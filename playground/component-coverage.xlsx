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ns2="http://schemas.microsoft.com/office/spreadsheetml/2010/11/ac" xmlns:ns8="http://schemas.microsoft.com/office/spreadsheetml/2018/calcfeatures" xmlns:r="http://schemas.openxmlformats.org/officeDocument/2006/relationships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xmlns:x15="http://schemas.microsoft.com/office/spreadsheetml/2010/11/main" mc:Ignorable="x15 xr xr6 xr10 xr2">
  <fileVersion appName="xl" lastEdited="7" lowestEdited="7" rupBuild="10628"/>
  <workbookPr/>
  <mc:AlternateContent>
    <mc:Choice Requires="x15">
      <ns2:absPath url="/Users/willdonin/Library/Mobile Documents/com~apple~CloudDocs/DEVELOPER/FLOWSTACK/atom-ui/package/playground/"/>
    </mc:Choice>
  </mc:AlternateContent>
  <xr:revisionPtr revIDLastSave="0" documentId="13_ncr:1_{CACC88F3-EB26-014F-B9BE-AE193AEFFB3C}" xr6:coauthVersionLast="47" xr6:coauthVersionMax="47" xr10:uidLastSave="{00000000-0000-0000-0000-000000000000}"/>
  <bookViews>
    <workbookView xWindow="0" yWindow="620" windowWidth="38400" windowHeight="20980" xr2:uid="{00000000-000D-0000-FFFF-FFFF00000000}"/>
  </bookViews>
  <sheets>
    <sheet name="Index" sheetId="1" r:id="rId1"/>
    <sheet name="Accordion" sheetId="2" r:id="rId2"/>
    <sheet name="AlertDialog" sheetId="3" r:id="rId3"/>
    <sheet name="AppBar" sheetId="4" r:id="rId4"/>
    <sheet name="AspectRatio" sheetId="5" r:id="rId5"/>
    <sheet name="Avatar" sheetId="6" r:id="rId6"/>
    <sheet name="Badge" sheetId="7" r:id="rId7"/>
    <sheet name="BottomNavigation" sheetId="8" r:id="rId8"/>
    <sheet name="Breadcrumb" sheetId="9" r:id="rId9"/>
    <sheet name="Button" sheetId="10" r:id="rId10"/>
    <sheet name="Checkbox" sheetId="11" r:id="rId11"/>
    <sheet name="CheckboxGroup" sheetId="12" r:id="rId12"/>
    <sheet name="Collapsible" sheetId="13" r:id="rId13"/>
    <sheet name="Collection" sheetId="14" r:id="rId14"/>
    <sheet name="Combobox" sheetId="15" r:id="rId15"/>
    <sheet name="ContextMenu" sheetId="16" r:id="rId16"/>
    <sheet name="DataGrid" sheetId="17" r:id="rId17"/>
    <sheet name="Dialog" sheetId="18" r:id="rId18"/>
    <sheet name="Direction" sheetId="19" r:id="rId19"/>
    <sheet name="Divider" sheetId="20" r:id="rId20"/>
    <sheet name="Drawer" sheetId="21" r:id="rId21"/>
    <sheet name="DropdownMenu" sheetId="22" r:id="rId22"/>
    <sheet name="Feed" sheetId="23" r:id="rId23"/>
    <sheet name="Field" sheetId="24" r:id="rId24"/>
    <sheet name="Fieldset" sheetId="25" r:id="rId25"/>
    <sheet name="FileUpload" sheetId="26" r:id="rId26"/>
    <sheet name="Form" sheetId="27" r:id="rId27"/>
    <sheet name="HoverCard" sheetId="28" r:id="rId28"/>
    <sheet name="Input" sheetId="29" r:id="rId29"/>
    <sheet name="Label" sheetId="30" r:id="rId30"/>
    <sheet name="List" sheetId="31" r:id="rId31"/>
    <sheet name="Listbox" sheetId="32" r:id="rId32"/>
    <sheet name="Menu" sheetId="33" r:id="rId33"/>
    <sheet name="Menubar" sheetId="34" r:id="rId34"/>
    <sheet name="Modal" sheetId="35" r:id="rId35"/>
    <sheet name="NavList" sheetId="36" r:id="rId36"/>
    <sheet name="NavigationMenu" sheetId="37" r:id="rId37"/>
    <sheet name="NumberInput" sheetId="38" r:id="rId38"/>
    <sheet name="OTPField" sheetId="39" r:id="rId39"/>
    <sheet name="Pagination" sheetId="40" r:id="rId40"/>
    <sheet name="PasswordToggleField" sheetId="41" r:id="rId41"/>
    <sheet name="Popover" sheetId="42" r:id="rId42"/>
    <sheet name="Portal" sheetId="43" r:id="rId43"/>
    <sheet name="Pressable" sheetId="44" r:id="rId44"/>
    <sheet name="Progress" sheetId="45" r:id="rId45"/>
    <sheet name="RadioGroup" sheetId="46" r:id="rId46"/>
    <sheet name="Rating" sheetId="47" r:id="rId47"/>
    <sheet name="ScrollArea" sheetId="48" r:id="rId48"/>
    <sheet name="Select" sheetId="49" r:id="rId49"/>
    <sheet name="Sidebar" sheetId="50" r:id="rId50"/>
    <sheet name="SkipLink" sheetId="51" r:id="rId51"/>
    <sheet name="Slider" sheetId="52" r:id="rId52"/>
    <sheet name="SwipeableItem" sheetId="53" r:id="rId53"/>
    <sheet name="Switch" sheetId="54" r:id="rId54"/>
    <sheet name="Table" sheetId="55" r:id="rId55"/>
    <sheet name="Tabs" sheetId="56" r:id="rId56"/>
    <sheet name="Textarea" sheetId="57" r:id="rId57"/>
    <sheet name="Toast" sheetId="58" r:id="rId58"/>
    <sheet name="Toggle" sheetId="59" r:id="rId59"/>
    <sheet name="ToggleGroup" sheetId="60" r:id="rId60"/>
    <sheet name="Toolbar" sheetId="61" r:id="rId61"/>
    <sheet name="Tooltip" sheetId="62" r:id="rId62"/>
    <sheet name="Tree" sheetId="63" r:id="rId63"/>
    <sheet name="TreeGrid" sheetId="64" r:id="rId64"/>
    <sheet name="Virtualizer" sheetId="65" r:id="rId65"/>
    <sheet name="VisuallyHidden" sheetId="66" r:id="rId66"/>
  </sheets>
  <calcPr calcId="191029" forceFullCalc="1" calcMode="auto" fullCalcOnLoad="1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sharedStrings.xml><?xml version="1.0" encoding="utf-8"?>
<sst xmlns="http://schemas.openxmlformats.org/spreadsheetml/2006/main" count="54012" uniqueCount="2313">
  <si>
    <t>Atom Playground Coverage Index</t>
  </si>
  <si>
    <t>Formula-driven summary of component playground coverage. Component tabs are alphabetical; completion updates when each component table changes.</t>
  </si>
  <si>
    <t>Components</t>
  </si>
  <si>
    <t>Overall</t>
  </si>
  <si>
    <t>Done</t>
  </si>
  <si>
    <t>Open</t>
  </si>
  <si>
    <t>Component</t>
  </si>
  <si>
    <t>Total Tests</t>
  </si>
  <si>
    <t>Covered</t>
  </si>
  <si>
    <t>Partial</t>
  </si>
  <si>
    <t>Missing</t>
  </si>
  <si>
    <t>Untested</t>
  </si>
  <si>
    <t>Completion</t>
  </si>
  <si>
    <t>Status</t>
  </si>
  <si>
    <t>Accordion</t>
  </si>
  <si>
    <t>AlertDialog</t>
  </si>
  <si>
    <t>AppBar</t>
  </si>
  <si>
    <t>AspectRatio</t>
  </si>
  <si>
    <t>Avatar</t>
  </si>
  <si>
    <t>Badge</t>
  </si>
  <si>
    <t>BottomNavigation</t>
  </si>
  <si>
    <t>Breadcrumb</t>
  </si>
  <si>
    <t>Button</t>
  </si>
  <si>
    <t>Checkbox</t>
  </si>
  <si>
    <t>CheckboxGroup</t>
  </si>
  <si>
    <t>Collapsible</t>
  </si>
  <si>
    <t>Collection</t>
  </si>
  <si>
    <t>Combobox</t>
  </si>
  <si>
    <t>ContextMenu</t>
  </si>
  <si>
    <t>DataGrid</t>
  </si>
  <si>
    <t>Dialog</t>
  </si>
  <si>
    <t>Direction</t>
  </si>
  <si>
    <t>Divider</t>
  </si>
  <si>
    <t>Drawer</t>
  </si>
  <si>
    <t>DropdownMenu</t>
  </si>
  <si>
    <t>Feed</t>
  </si>
  <si>
    <t>Field</t>
  </si>
  <si>
    <t>Fieldset</t>
  </si>
  <si>
    <t>FileUpload</t>
  </si>
  <si>
    <t>Form</t>
  </si>
  <si>
    <t>HoverCard</t>
  </si>
  <si>
    <t>Input</t>
  </si>
  <si>
    <t>Label</t>
  </si>
  <si>
    <t>List</t>
  </si>
  <si>
    <t>Listbox</t>
  </si>
  <si>
    <t>Menu</t>
  </si>
  <si>
    <t>Menubar</t>
  </si>
  <si>
    <t>Modal</t>
  </si>
  <si>
    <t>NavigationMenu</t>
  </si>
  <si>
    <t>NavList</t>
  </si>
  <si>
    <t>NumberInput</t>
  </si>
  <si>
    <t>OTPField</t>
  </si>
  <si>
    <t>Pagination</t>
  </si>
  <si>
    <t>PasswordToggleField</t>
  </si>
  <si>
    <t>Popover</t>
  </si>
  <si>
    <t>Portal</t>
  </si>
  <si>
    <t>Pressable</t>
  </si>
  <si>
    <t>Progress</t>
  </si>
  <si>
    <t>RadioGroup</t>
  </si>
  <si>
    <t>Rating</t>
  </si>
  <si>
    <t>ScrollArea</t>
  </si>
  <si>
    <t>Select</t>
  </si>
  <si>
    <t>Sidebar</t>
  </si>
  <si>
    <t>SkipLink</t>
  </si>
  <si>
    <t>Slider</t>
  </si>
  <si>
    <t>SwipeableItem</t>
  </si>
  <si>
    <t>Switch</t>
  </si>
  <si>
    <t>Table</t>
  </si>
  <si>
    <t>Tabs</t>
  </si>
  <si>
    <t>Textarea</t>
  </si>
  <si>
    <t>Toast</t>
  </si>
  <si>
    <t>Toggle</t>
  </si>
  <si>
    <t>ToggleGroup</t>
  </si>
  <si>
    <t>Toolbar</t>
  </si>
  <si>
    <t>Tooltip</t>
  </si>
  <si>
    <t>Tree</t>
  </si>
  <si>
    <t>TreeGrid</t>
  </si>
  <si>
    <t>Virtualizer</t>
  </si>
  <si>
    <t>VisuallyHidden</t>
  </si>
  <si>
    <t>Accordion Playground Coverage</t>
  </si>
  <si>
    <t>Tracks manual playground coverage only. Rows that are not applicable to this component are removed, not counted as covered.</t>
  </si>
  <si>
    <t>Coverage</t>
  </si>
  <si>
    <t>Scoring: completion is SUM(Score) / total playground rows. Score is formula-driven from Implemented, Tested, and Coverage Status.</t>
  </si>
  <si>
    <t>ID</t>
  </si>
  <si>
    <t>Area</t>
  </si>
  <si>
    <t>Part</t>
  </si>
  <si>
    <t>Test item</t>
  </si>
  <si>
    <t>Implemented</t>
  </si>
  <si>
    <t>Tested</t>
  </si>
  <si>
    <t>Result</t>
  </si>
  <si>
    <t>Coverage Status</t>
  </si>
  <si>
    <t>Currently covered by</t>
  </si>
  <si>
    <t>Missing / next step</t>
  </si>
  <si>
    <t>Score</t>
  </si>
  <si>
    <t>Playground</t>
  </si>
  <si>
    <t>Props</t>
  </si>
  <si>
    <t>Props toolbar exposes Prop Check and keeps data-prop-check off by default</t>
  </si>
  <si>
    <t>no</t>
  </si>
  <si>
    <t>needs implementation</t>
  </si>
  <si>
    <t>missing</t>
  </si>
  <si>
    <t>Shared playground prop rule.</t>
  </si>
  <si>
    <t>Add Props &gt; Prop Check and pass data-prop-check to every testable Atom part only when enabled.</t>
  </si>
  <si>
    <t>custom data-slot override is available for every slot-owning anatomy part</t>
  </si>
  <si>
    <t>Add part-specific custom slot toggles and verify live Anatomy/Inspector Data shows the custom slot.</t>
  </si>
  <si>
    <t>scenario is reachable from top menu</t>
  </si>
  <si>
    <t>yes</t>
  </si>
  <si>
    <t>ready for manual test</t>
  </si>
  <si>
    <t>untested</t>
  </si>
  <si>
    <t>Accordion playground scenario.</t>
  </si>
  <si>
    <t>Manual verification needed.</t>
  </si>
  <si>
    <t>canvas source reflects current toggles</t>
  </si>
  <si>
    <t>anatomy uses live DOM attributes, ARIA, and data groups</t>
  </si>
  <si>
    <t>inspector selected/focused/logs work for this scenario</t>
  </si>
  <si>
    <t>Feature</t>
  </si>
  <si>
    <t>Supports single and multiple expanded items</t>
  </si>
  <si>
    <t>Supports controlled and uncontrolled state</t>
  </si>
  <si>
    <t>Supports horizontal and vertical arrow-key navigation</t>
  </si>
  <si>
    <t>Links each trigger to its content with stable ARIA IDs</t>
  </si>
  <si>
    <t>Supports mounted and unmounted closed content</t>
  </si>
  <si>
    <t>Supports `asChild` and `render` on every part</t>
  </si>
  <si>
    <t>Anatomy</t>
  </si>
  <si>
    <t>Root</t>
  </si>
  <si>
    <t>renders correct part when expected</t>
  </si>
  <si>
    <t>appears in documented order</t>
  </si>
  <si>
    <t>Identity</t>
  </si>
  <si>
    <t>default tag is visible in Anatomy/Inspector</t>
  </si>
  <si>
    <t>data-slot is present and correct</t>
  </si>
  <si>
    <t>non-Atom native props pass through with data-prop-check marker</t>
  </si>
  <si>
    <t>Refs</t>
  </si>
  <si>
    <t>consumer ref receives the rendered element</t>
  </si>
  <si>
    <t>Composition</t>
  </si>
  <si>
    <t>asChild prop behavior</t>
  </si>
  <si>
    <t>render prop behavior</t>
  </si>
  <si>
    <t>Public API</t>
  </si>
  <si>
    <t>type prop behavior</t>
  </si>
  <si>
    <t>State</t>
  </si>
  <si>
    <t>value prop behavior</t>
  </si>
  <si>
    <t>defaultValue prop behavior</t>
  </si>
  <si>
    <t>onValueChange prop behavior</t>
  </si>
  <si>
    <t>collapsible prop behavior</t>
  </si>
  <si>
    <t>disabled prop behavior</t>
  </si>
  <si>
    <t>orientation prop behavior</t>
  </si>
  <si>
    <t>[data-slot] prop behavior</t>
  </si>
  <si>
    <t>[data-orientation] prop behavior</t>
  </si>
  <si>
    <t>[data-disabled] prop behavior</t>
  </si>
  <si>
    <t>Trigger</t>
  </si>
  <si>
    <t>[data-state] prop behavior</t>
  </si>
  <si>
    <t>Content</t>
  </si>
  <si>
    <t>keepMounted prop behavior</t>
  </si>
  <si>
    <t>--content-height prop behavior</t>
  </si>
  <si>
    <t>Item</t>
  </si>
  <si>
    <t>Header</t>
  </si>
  <si>
    <t>as prop behavior</t>
  </si>
  <si>
    <t>ARIA</t>
  </si>
  <si>
    <t>Live DOM</t>
  </si>
  <si>
    <t>aria-controls is present at the correct time</t>
  </si>
  <si>
    <t>aria-disabled is present at the correct time</t>
  </si>
  <si>
    <t>aria-expanded is present at the correct time</t>
  </si>
  <si>
    <t>aria-labelledby is present at the correct time</t>
  </si>
  <si>
    <t>Data</t>
  </si>
  <si>
    <t>data-disabled is present at the correct time</t>
  </si>
  <si>
    <t>data-orientation is present at the correct time</t>
  </si>
  <si>
    <t>data-slot is present at the correct time</t>
  </si>
  <si>
    <t>data-state is present at the correct time</t>
  </si>
  <si>
    <t>asChild preserves child content without double nesting</t>
  </si>
  <si>
    <t>asChild merges Atom props and consumer props</t>
  </si>
  <si>
    <t>asChild lets preventDefault block Atom behavior where supported</t>
  </si>
  <si>
    <t>render prop renders custom element</t>
  </si>
  <si>
    <t>render prop preserves refs and behavior props</t>
  </si>
  <si>
    <t>controlled state path</t>
  </si>
  <si>
    <t>uncontrolled default state path</t>
  </si>
  <si>
    <t>state change callback fires once with correct value</t>
  </si>
  <si>
    <t>Interaction</t>
  </si>
  <si>
    <t>mouse click or pointer activation</t>
  </si>
  <si>
    <t>Enter key activation</t>
  </si>
  <si>
    <t>Space key activation</t>
  </si>
  <si>
    <t>disabled trigger blocks pointer and keyboard</t>
  </si>
  <si>
    <t>Focus</t>
  </si>
  <si>
    <t>focus ring and focus restoration are correct</t>
  </si>
  <si>
    <t>Keyboard</t>
  </si>
  <si>
    <t>End behavior</t>
  </si>
  <si>
    <t>Home behavior</t>
  </si>
  <si>
    <t>Arrow key navigation follows documented orientation</t>
  </si>
  <si>
    <t>Home and End navigation where supported</t>
  </si>
  <si>
    <t>disabled items are skipped or exposed according to pattern</t>
  </si>
  <si>
    <t>typeahead/search behavior where supported</t>
  </si>
  <si>
    <t>roving focus or active descendant state is visible</t>
  </si>
  <si>
    <t>reads Direction.Provider context for horizontal keyboard navigation</t>
  </si>
  <si>
    <t>Add Direction.Provider fallback before testing horizontal RTL arrows.</t>
  </si>
  <si>
    <t>RTL mirrors horizontal ArrowLeft and ArrowRight navigation</t>
  </si>
  <si>
    <t>Implement and test horizontal RTL arrow mapping.</t>
  </si>
  <si>
    <t>Direction controls</t>
  </si>
  <si>
    <t>scenario exposes provider direction controls</t>
  </si>
  <si>
    <t>Add provider direction controls to the playground scenario.</t>
  </si>
  <si>
    <t>AlertDialog Playground Coverage</t>
  </si>
  <si>
    <t>passed manual test</t>
  </si>
  <si>
    <t>covered</t>
  </si>
  <si>
    <t>Tester-first AlertDialog manual checklist.</t>
  </si>
  <si>
    <t/>
  </si>
  <si>
    <t>layout renders Anatomy, Canvas toolbar, Canvas stage, footer, and Inspector in expected order</t>
  </si>
  <si>
    <t>Canvas toolbar exposes State, Popup, Dismiss, ARIA, Composition, and Props groups</t>
  </si>
  <si>
    <t>Props toolbar keeps Prop Check off by default</t>
  </si>
  <si>
    <t>custom slot toggles are off by default</t>
  </si>
  <si>
    <t>Anatomy uses live DOM Attributes, ARIA, and Data groups for rendered parts</t>
  </si>
  <si>
    <t>content forces role="alertdialog"</t>
  </si>
  <si>
    <t>Content raw ARIA verified role="alertdialog".</t>
  </si>
  <si>
    <t>backdrop/overlay click does not dismiss by design</t>
  </si>
  <si>
    <t>Overlay click logged while AlertDialog stayed open.</t>
  </si>
  <si>
    <t>public anatomy parts render in documented order</t>
  </si>
  <si>
    <t>Anatomy order verified: Root, Trigger, Portal, Overlay, Content, Title, Description, Cancel, Action.</t>
  </si>
  <si>
    <t>Cancel autofocus is enabled by default</t>
  </si>
  <si>
    <t>Initial focus landed on Cancel with Cancel autofocus enabled.</t>
  </si>
  <si>
    <t>close reasons distinguish cancel and action flows</t>
  </si>
  <si>
    <t>Logs verified closed by cancelClick and closed by actionClick.</t>
  </si>
  <si>
    <t>Escape dismissal follows closeOnEscape state</t>
  </si>
  <si>
    <t>Escape closed when enabled and did not close when disabled.</t>
  </si>
  <si>
    <t>focus containment and focus restore work while open/after close</t>
  </si>
  <si>
    <t>Focus escape probe stayed inside; close restored focus to Trigger.</t>
  </si>
  <si>
    <t>nested overlay Escape order closes nested layer before parent</t>
  </si>
  <si>
    <t>Nested Select closed on first Escape; AlertDialog closed on second Escape.</t>
  </si>
  <si>
    <t>provider has no DOM identity row to inspect</t>
  </si>
  <si>
    <t>Root verified as behavior-only provider; no Root tag or data-slot expected.</t>
  </si>
  <si>
    <t>uncontrolled default starts closed</t>
  </si>
  <si>
    <t>Default Canvas starts closed with Trigger data-state="closed".</t>
  </si>
  <si>
    <t>controlled open prop updates visible open state</t>
  </si>
  <si>
    <t>Controlled Open/Close controls opened and closed AlertDialog.</t>
  </si>
  <si>
    <t>onOpenChange reports open, cancelClick, actionClick, and Escape close changes</t>
  </si>
  <si>
    <t>Logs verified open and close reasons from manual interactions.</t>
  </si>
  <si>
    <t>disabled prop prevents trigger activation</t>
  </si>
  <si>
    <t>Disabled Trigger blocked pointer, Enter, and Space activation.</t>
  </si>
  <si>
    <t>keepMounted keeps Overlay and Content mounted after close</t>
  </si>
  <si>
    <t>Overlay and Content remained mounted with data-state="closed".</t>
  </si>
  <si>
    <t>closeOnEscape=false prevents Escape dismissal</t>
  </si>
  <si>
    <t>Escape did not close while Dismiss &gt; Escape closes was off.</t>
  </si>
  <si>
    <t>backdrop dismissal remains disabled</t>
  </si>
  <si>
    <t>Anatomy Root Backdrop closes row stayed no; overlay click did not close.</t>
  </si>
  <si>
    <t>appears after Root in public anatomy order</t>
  </si>
  <si>
    <t>default tag is button</t>
  </si>
  <si>
    <t>Trigger raw Attributes verified button tag.</t>
  </si>
  <si>
    <t>consumer ref evidence records button in Anatomy</t>
  </si>
  <si>
    <t>Anatomy Trigger Ref verified button.</t>
  </si>
  <si>
    <t>default data-slot is alert-dialog-trigger</t>
  </si>
  <si>
    <t>Trigger raw Data verified data-slot="alert-dialog-trigger".</t>
  </si>
  <si>
    <t>closed state uses data-state="closed"</t>
  </si>
  <si>
    <t>Trigger raw Data verified closed state.</t>
  </si>
  <si>
    <t>open state uses data-state="open"</t>
  </si>
  <si>
    <t>Trigger raw Data verified open state.</t>
  </si>
  <si>
    <t>closed state uses aria-expanded="false"</t>
  </si>
  <si>
    <t>Trigger raw ARIA verified aria-expanded="false".</t>
  </si>
  <si>
    <t>open state uses aria-expanded="true"</t>
  </si>
  <si>
    <t>Trigger raw ARIA verified aria-expanded="true".</t>
  </si>
  <si>
    <t>aria-controls matches current Content id</t>
  </si>
  <si>
    <t>Trigger aria-controls matched generated Content id.</t>
  </si>
  <si>
    <t>disabled state blocks pointer and keyboard activation</t>
  </si>
  <si>
    <t>Disabled Trigger probes blocked click, Enter, and Space.</t>
  </si>
  <si>
    <t>Prop Check emits data-prop-check="trigger"</t>
  </si>
  <si>
    <t>Trigger raw Data verified data-prop-check="trigger".</t>
  </si>
  <si>
    <t>Slots</t>
  </si>
  <si>
    <t>custom slot emits data-slot="alert-dialog-trigger-custom"</t>
  </si>
  <si>
    <t>Trigger custom slot raw Data verified.</t>
  </si>
  <si>
    <t>Default mode renders button and opens on click, Enter, and Space</t>
  </si>
  <si>
    <t>As Child mode merges Trigger props into single child without duplicate control</t>
  </si>
  <si>
    <t>Render mode renders button through render={(props) =&gt; &lt;button {...props} /&gt;}</t>
  </si>
  <si>
    <t>preventDefault handler blocks Trigger open when Block trigger event is enabled</t>
  </si>
  <si>
    <t>Block trigger event kept dialog closed and logged blocked trigger text.</t>
  </si>
  <si>
    <t>focus is restored to Trigger after close</t>
  </si>
  <si>
    <t>Focus restored after Cancel, Action, and Escape closes.</t>
  </si>
  <si>
    <t>appears after Trigger in public anatomy order</t>
  </si>
  <si>
    <t>Portal verified as behavior-only portal; no Portal tag or data-slot expected.</t>
  </si>
  <si>
    <t>default portal renders Content outside .canvas</t>
  </si>
  <si>
    <t>Anatomy Portal Inside canvas verified no by default.</t>
  </si>
  <si>
    <t>disabled portal renders Content inside .canvas</t>
  </si>
  <si>
    <t>Popup &gt; Disable portal changed Inside canvas to yes.</t>
  </si>
  <si>
    <t>Overlay</t>
  </si>
  <si>
    <t>appears after Portal in public anatomy order</t>
  </si>
  <si>
    <t>default tag is div</t>
  </si>
  <si>
    <t>Overlay raw Attributes verified div tag.</t>
  </si>
  <si>
    <t>consumer ref evidence records div in Anatomy</t>
  </si>
  <si>
    <t>Anatomy Overlay Ref verified div.</t>
  </si>
  <si>
    <t>default data-slot is alert-dialog-overlay</t>
  </si>
  <si>
    <t>Overlay raw Data verified data-slot="alert-dialog-overlay".</t>
  </si>
  <si>
    <t>open state uses data-state="open" after positioning</t>
  </si>
  <si>
    <t>Overlay raw Data verified open state.</t>
  </si>
  <si>
    <t>closed keepMounted state uses data-state="closed"</t>
  </si>
  <si>
    <t>Overlay raw Data verified closed state after close with keepMounted.</t>
  </si>
  <si>
    <t>data-positioned appears after positioning</t>
  </si>
  <si>
    <t>Overlay raw Data verified data-positioned present.</t>
  </si>
  <si>
    <t>aria-hidden="true" is present</t>
  </si>
  <si>
    <t>Overlay raw ARIA verified aria-hidden="true".</t>
  </si>
  <si>
    <t>Prop Check emits data-prop-check="overlay"</t>
  </si>
  <si>
    <t>Overlay raw Data verified data-prop-check="overlay".</t>
  </si>
  <si>
    <t>disabled prop is exposed without enabling AlertDialog dismissal</t>
  </si>
  <si>
    <t>Popup &gt; Disable overlay updated Anatomy/Source; overlay click still did not close.</t>
  </si>
  <si>
    <t>custom slot emits data-slot="alert-dialog-overlay-custom"</t>
  </si>
  <si>
    <t>Overlay custom slot raw Data verified.</t>
  </si>
  <si>
    <t>click logs overlay click and does not close</t>
  </si>
  <si>
    <t>Overlay click logged and AlertDialog stayed open.</t>
  </si>
  <si>
    <t>appears after Overlay in public anatomy order</t>
  </si>
  <si>
    <t>Content raw Attributes verified div tag.</t>
  </si>
  <si>
    <t>Anatomy Content Ref verified div.</t>
  </si>
  <si>
    <t>generated id remains stable while mounted</t>
  </si>
  <si>
    <t>Content id stayed stable for mounted instance.</t>
  </si>
  <si>
    <t>default data-slot is alert-dialog-content</t>
  </si>
  <si>
    <t>Content raw Data verified data-slot="alert-dialog-content".</t>
  </si>
  <si>
    <t>Content raw Data verified open state.</t>
  </si>
  <si>
    <t>Content raw Data verified closed state after close with keepMounted.</t>
  </si>
  <si>
    <t>Content raw Data verified data-positioned present.</t>
  </si>
  <si>
    <t>role is alertdialog</t>
  </si>
  <si>
    <t>aria-modal is true</t>
  </si>
  <si>
    <t>Content raw ARIA verified aria-modal="true".</t>
  </si>
  <si>
    <t>aria-labelledby matches rendered Title id</t>
  </si>
  <si>
    <t>Content aria-labelledby matched generated Title id.</t>
  </si>
  <si>
    <t>aria-describedby matches rendered Description id</t>
  </si>
  <si>
    <t>Content aria-describedby matched generated Description id.</t>
  </si>
  <si>
    <t>ariaLabel mode uses aria-label="Delete project confirmation" and omits Title</t>
  </si>
  <si>
    <t>ARIA &gt; Use ariaLabel verified aria-label and Title not rendered.</t>
  </si>
  <si>
    <t>Prop Check emits data-prop-check="content"</t>
  </si>
  <si>
    <t>Content raw Data verified data-prop-check="content".</t>
  </si>
  <si>
    <t>custom slot emits data-slot="alert-dialog-content-custom"</t>
  </si>
  <si>
    <t>Content custom slot raw Data verified.</t>
  </si>
  <si>
    <t>focus escape probe remains inside AlertDialog content</t>
  </si>
  <si>
    <t>Test focus escape logged focus stayed inside alert dialog: yes.</t>
  </si>
  <si>
    <t>Title</t>
  </si>
  <si>
    <t>appears after Content in public anatomy order</t>
  </si>
  <si>
    <t>default tag is h2</t>
  </si>
  <si>
    <t>Title raw Attributes verified h2 by default.</t>
  </si>
  <si>
    <t>as prop renders h1 through h6 when selected</t>
  </si>
  <si>
    <t>ARIA &gt; Title as verified h1-h6 tags.</t>
  </si>
  <si>
    <t>consumer ref evidence records selected heading tag in Anatomy</t>
  </si>
  <si>
    <t>Anatomy Title Ref matched selected heading tag.</t>
  </si>
  <si>
    <t>Title id stayed stable for mounted instance.</t>
  </si>
  <si>
    <t>default data-slot is alert-dialog-title</t>
  </si>
  <si>
    <t>Title raw Data verified data-slot="alert-dialog-title".</t>
  </si>
  <si>
    <t>Content aria-labelledby matches Title id</t>
  </si>
  <si>
    <t>Title is omitted when Content ariaLabel is used</t>
  </si>
  <si>
    <t>ARIA &gt; Use ariaLabel removed Title from DOM/Anatomy.</t>
  </si>
  <si>
    <t>Prop Check emits data-prop-check="title" when Title renders</t>
  </si>
  <si>
    <t>Title raw Data verified data-prop-check="title".</t>
  </si>
  <si>
    <t>custom slot emits data-slot="alert-dialog-title-custom" when Title renders</t>
  </si>
  <si>
    <t>Title custom slot raw Data verified.</t>
  </si>
  <si>
    <t>Description</t>
  </si>
  <si>
    <t>appears after Title in public anatomy order</t>
  </si>
  <si>
    <t>default tag is p</t>
  </si>
  <si>
    <t>Description raw Attributes verified p tag.</t>
  </si>
  <si>
    <t>consumer ref evidence records p in Anatomy</t>
  </si>
  <si>
    <t>Anatomy Description Ref verified p.</t>
  </si>
  <si>
    <t>Description id stayed stable for mounted instance.</t>
  </si>
  <si>
    <t>default data-slot is alert-dialog-description</t>
  </si>
  <si>
    <t>Description raw Data verified data-slot="alert-dialog-description".</t>
  </si>
  <si>
    <t>Content aria-describedby matches Description id</t>
  </si>
  <si>
    <t>Prop Check emits data-prop-check="description"</t>
  </si>
  <si>
    <t>Description raw Data verified data-prop-check="description".</t>
  </si>
  <si>
    <t>custom slot emits data-slot="alert-dialog-description-custom"</t>
  </si>
  <si>
    <t>Description custom slot raw Data verified.</t>
  </si>
  <si>
    <t>Cancel</t>
  </si>
  <si>
    <t>appears after Description in public anatomy order</t>
  </si>
  <si>
    <t>Cancel raw Attributes verified button tag.</t>
  </si>
  <si>
    <t>default/render mode has type="button"</t>
  </si>
  <si>
    <t>Cancel raw Attributes verified type="button" in default/render modes.</t>
  </si>
  <si>
    <t>Anatomy Cancel Ref verified button in default mode.</t>
  </si>
  <si>
    <t>default data-slot is alert-dialog-cancel</t>
  </si>
  <si>
    <t>Cancel raw Data verified data-slot="alert-dialog-cancel".</t>
  </si>
  <si>
    <t>Prop Check emits data-prop-check="cancel"</t>
  </si>
  <si>
    <t>Cancel raw Data verified data-prop-check="cancel".</t>
  </si>
  <si>
    <t>custom slot emits data-slot="alert-dialog-cancel-custom"</t>
  </si>
  <si>
    <t>Cancel custom slot raw Data verified.</t>
  </si>
  <si>
    <t>Default mode renders button and closes with cancelClick</t>
  </si>
  <si>
    <t>As Child mode merges Cancel props into single child without duplicate control</t>
  </si>
  <si>
    <t>Render mode renders button and receives type="button" through spread props</t>
  </si>
  <si>
    <t>autoFocus defaults to true and initially focuses Cancel</t>
  </si>
  <si>
    <t>Initial focus landed on Cancel with Cancel autofocus on.</t>
  </si>
  <si>
    <t>click closes and logs cancelClick reason</t>
  </si>
  <si>
    <t>Cancel click closed and log included closed by cancelClick.</t>
  </si>
  <si>
    <t>preventDefault handler blocks close when Block cancel close is enabled</t>
  </si>
  <si>
    <t>Block cancel close kept dialog open and logged blocked cancel text.</t>
  </si>
  <si>
    <t>Action</t>
  </si>
  <si>
    <t>appears after Cancel in public anatomy order</t>
  </si>
  <si>
    <t>Action raw Attributes verified button tag.</t>
  </si>
  <si>
    <t>Action raw Attributes verified type="button" in default/render modes.</t>
  </si>
  <si>
    <t>Anatomy Action Ref verified button in default mode.</t>
  </si>
  <si>
    <t>default data-slot is alert-dialog-action</t>
  </si>
  <si>
    <t>Action raw Data verified data-slot="alert-dialog-action".</t>
  </si>
  <si>
    <t>Prop Check emits data-prop-check="action"</t>
  </si>
  <si>
    <t>Action raw Data verified data-prop-check="action".</t>
  </si>
  <si>
    <t>custom slot emits data-slot="alert-dialog-action-custom"</t>
  </si>
  <si>
    <t>Action custom slot raw Data verified.</t>
  </si>
  <si>
    <t>Default mode renders button and closes with actionClick</t>
  </si>
  <si>
    <t>As Child mode merges Action props into single child without duplicate control</t>
  </si>
  <si>
    <t>click closes and logs actionClick reason</t>
  </si>
  <si>
    <t>Action click closed and log included closed by actionClick.</t>
  </si>
  <si>
    <t>preventDefault handler blocks close when Block action close is enabled</t>
  </si>
  <si>
    <t>Block action close kept dialog open and logged blocked action text.</t>
  </si>
  <si>
    <t>Source</t>
  </si>
  <si>
    <t>default Source omits false/default props</t>
  </si>
  <si>
    <t>Source omitted disabled={false}, keepMounted={false}, and default false booleans.</t>
  </si>
  <si>
    <t>controlled mode Source shows open={open}</t>
  </si>
  <si>
    <t>Source verified controlled open prop appears only in controlled mode.</t>
  </si>
  <si>
    <t>disabled, keepMounted, and closeOnEscape={false} appear only when active</t>
  </si>
  <si>
    <t>disabled portal Source shows &lt;AlertDialog.Portal disabled&gt;</t>
  </si>
  <si>
    <t>disabled overlay Source shows disabled on AlertDialog.Overlay</t>
  </si>
  <si>
    <t>ariaLabel Source omits Title and shows ariaLabel="Delete project confirmation"</t>
  </si>
  <si>
    <t>heading Source shows selected as="h1" through as="h6"</t>
  </si>
  <si>
    <t>Prop Check Source shows exact data-prop-check values for rendered parts</t>
  </si>
  <si>
    <t>custom slot Source shows exact custom data-slot values for rendered parts</t>
  </si>
  <si>
    <t>render composition Source uses render={(props) =&gt; &lt;button {...props} /&gt;} for Trigger, Cancel, and Action</t>
  </si>
  <si>
    <t>Dismiss</t>
  </si>
  <si>
    <t>blocked event Source shows preventDefault handlers for Trigger, Cancel, and Action</t>
  </si>
  <si>
    <t>Nested Select</t>
  </si>
  <si>
    <t>nested Select Source includes Select.Root, Trigger, Content, Viewport, Item, and ItemText</t>
  </si>
  <si>
    <t>Inspector</t>
  </si>
  <si>
    <t>Selected</t>
  </si>
  <si>
    <t>clicking rendered parts updates Selected raw Attributes, ARIA, and Data</t>
  </si>
  <si>
    <t>Focused</t>
  </si>
  <si>
    <t>focusing controls updates Focused raw Attributes, ARIA, and Data</t>
  </si>
  <si>
    <t>Logs</t>
  </si>
  <si>
    <t>logs record trigger click/key, overlay, cancel, action, blocked events, and controlled open/close</t>
  </si>
  <si>
    <t>logs persist after AlertDialog closes</t>
  </si>
  <si>
    <t>logs use compact timestamp rows</t>
  </si>
  <si>
    <t>default portal path and disabled portal path are both manually verified</t>
  </si>
  <si>
    <t>Nesting</t>
  </si>
  <si>
    <t>Nested Select remains within AlertDialog layer stack</t>
  </si>
  <si>
    <t>Escape closes Nested Select before parent AlertDialog</t>
  </si>
  <si>
    <t>AppBar Playground Coverage</t>
  </si>
  <si>
    <t>AppBar playground scenario.</t>
  </si>
  <si>
    <t>Renders a native `header` root</t>
  </si>
  <si>
    <t>Provides toolbar, start, center, and end structural slots</t>
  </si>
  <si>
    <t>Exposes root position and toolbar density through data attributes</t>
  </si>
  <si>
    <t>Does not add ARIA toolbar behavior unless consumers compose a real `Toolbar`</t>
  </si>
  <si>
    <t>position prop behavior</t>
  </si>
  <si>
    <t>[data-position] prop behavior</t>
  </si>
  <si>
    <t>BarCenter</t>
  </si>
  <si>
    <t>BarToolbar</t>
  </si>
  <si>
    <t>Center</t>
  </si>
  <si>
    <t>End</t>
  </si>
  <si>
    <t>Section</t>
  </si>
  <si>
    <t>Start</t>
  </si>
  <si>
    <t>density prop behavior</t>
  </si>
  <si>
    <t>[data-density] prop behavior</t>
  </si>
  <si>
    <t>aria-label is present at the correct time</t>
  </si>
  <si>
    <t>data-density is present at the correct time</t>
  </si>
  <si>
    <t>data-position is present at the correct time</t>
  </si>
  <si>
    <t>AspectRatio Playground Coverage</t>
  </si>
  <si>
    <t>passed</t>
  </si>
  <si>
    <t>AspectRatio props manual verification.</t>
  </si>
  <si>
    <t>Manual verification passed.</t>
  </si>
  <si>
    <t>Aspect Ratio playground scenario.</t>
  </si>
  <si>
    <t>Applies an authoritative `aspect-ratio` inline style</t>
  </si>
  <si>
    <t>Normalizes invalid ratios back to `16 / 9`</t>
  </si>
  <si>
    <t>Preserves native DOM props and consumer styles outside the owned ratio style</t>
  </si>
  <si>
    <t>Supports `asChild` and `render`</t>
  </si>
  <si>
    <t>ratio prop behavior</t>
  </si>
  <si>
    <t>Utility</t>
  </si>
  <si>
    <t>ratio style is calculated correctly</t>
  </si>
  <si>
    <t>invalid ratios normalize safely</t>
  </si>
  <si>
    <t>Avatar Playground Coverage</t>
  </si>
  <si>
    <t>Avatar props manual verification.</t>
  </si>
  <si>
    <t>Avatar page is reachable from Display &gt; Avatar.</t>
  </si>
  <si>
    <t>Source updates for image source, alt mode, and fallback delay were manually verified.</t>
  </si>
  <si>
    <t>Avatar anatomy and inspector expose live attributes, ARIA, and data groups for image state changes.</t>
  </si>
  <si>
    <t>Inspector selected image updates live for src/alt changes and logs show useful image status events.</t>
  </si>
  <si>
    <t>Tracks image loading status</t>
  </si>
  <si>
    <t>Image loading status was manually verified for loaded, broken, and loading/idle modes.</t>
  </si>
  <si>
    <t>Renders fallback content while the image is missing, loading, or errored</t>
  </si>
  <si>
    <t>Fallback rendering was manually verified when the image is broken or not loaded.</t>
  </si>
  <si>
    <t>Supports delayed fallback rendering to avoid loading flashes</t>
  </si>
  <si>
    <t>Delayed fallback source output was manually verified with delayMs={600}.</t>
  </si>
  <si>
    <t>Provides a group wrapper for stacked or clustered avatars</t>
  </si>
  <si>
    <t>Avatar Group wrapper was manually verified with a primary avatar and secondary fallback avatar.</t>
  </si>
  <si>
    <t>Avatar Image asChild and render composition were manually verified.</t>
  </si>
  <si>
    <t>Root renders in the Avatar scenario and remains present while image/fallback state changes.</t>
  </si>
  <si>
    <t>Root anatomy order was verified during Avatar Root composition tests.</t>
  </si>
  <si>
    <t>Root default tag was verified as span.</t>
  </si>
  <si>
    <t>Root data-slot was verified as avatar-root.</t>
  </si>
  <si>
    <t>Root prop passthrough marker was verified in Anatomy/Inspector.</t>
  </si>
  <si>
    <t>Root ref target was verified in Anatomy.</t>
  </si>
  <si>
    <t>Root asChild behavior was manually verified.</t>
  </si>
  <si>
    <t>Root render behavior was manually verified after correcting the playground render pattern.</t>
  </si>
  <si>
    <t>src prop behavior</t>
  </si>
  <si>
    <t>Root src behavior was verified through loaded, broken, and loading source modes.</t>
  </si>
  <si>
    <t>onLoadingStatusChange prop behavior</t>
  </si>
  <si>
    <t>Root loading status callback was verified through the playground log/status state.</t>
  </si>
  <si>
    <t>Root data-slot behavior was verified through data-slot="avatar-root".</t>
  </si>
  <si>
    <t>Group</t>
  </si>
  <si>
    <t>Group renders when State &gt; Group is enabled.</t>
  </si>
  <si>
    <t>Group appears in the expected Avatar anatomy order.</t>
  </si>
  <si>
    <t>Group default tag was verified as div in Anatomy/Inspector.</t>
  </si>
  <si>
    <t>Group data-slot was verified as avatar-group.</t>
  </si>
  <si>
    <t>Group prop passthrough marker was verified in Inspector.</t>
  </si>
  <si>
    <t>Group ref target was verified as div in Anatomy.</t>
  </si>
  <si>
    <t>Group asChild behavior was manually verified.</t>
  </si>
  <si>
    <t>Group render behavior was manually verified with section output.</t>
  </si>
  <si>
    <t>Group data-slot behavior was verified through data-slot="avatar-group".</t>
  </si>
  <si>
    <t>Fallback</t>
  </si>
  <si>
    <t>Fallback renders when the image is broken or loading/idle and is absent when the image is loaded.</t>
  </si>
  <si>
    <t>Fallback appears in the expected Avatar anatomy order after Image.</t>
  </si>
  <si>
    <t>Fallback default tag was verified when fallback is rendered.</t>
  </si>
  <si>
    <t>Fallback data-slot was verified when fallback is rendered.</t>
  </si>
  <si>
    <t>Fallback native/data prop passthrough marker was verified in Inspector.</t>
  </si>
  <si>
    <t>Fallback ref target was verified as span in Anatomy.</t>
  </si>
  <si>
    <t>Fallback asChild behavior was manually verified.</t>
  </si>
  <si>
    <t>Fallback render behavior was manually verified.</t>
  </si>
  <si>
    <t>delayMs prop behavior</t>
  </si>
  <si>
    <t>Fallback delayMs behavior is represented in Source and verified with Delay fallback on.</t>
  </si>
  <si>
    <t>Fallback data-slot behavior was verified through data-slot="avatar-fallback".</t>
  </si>
  <si>
    <t>Image</t>
  </si>
  <si>
    <t>Image renders when loaded and is absent when broken/loading.</t>
  </si>
  <si>
    <t>Image appears in the expected Avatar anatomy order.</t>
  </si>
  <si>
    <t>Image default tag was verified as img when loaded.</t>
  </si>
  <si>
    <t>Image data-slot was verified as avatar-image when loaded.</t>
  </si>
  <si>
    <t>Image native/data prop passthrough marker was verified in Inspector.</t>
  </si>
  <si>
    <t>Image ref target was verified as img in Anatomy.</t>
  </si>
  <si>
    <t>Image asChild behavior was manually verified with live alt/data updates.</t>
  </si>
  <si>
    <t>Image render behavior was manually verified with live alt/data updates.</t>
  </si>
  <si>
    <t>Image src behavior was verified through loaded, broken, and loading source modes.</t>
  </si>
  <si>
    <t>alt prop behavior</t>
  </si>
  <si>
    <t>Image alt behavior was verified for meaningful alt text and decorative alt="".</t>
  </si>
  <si>
    <t>Image data-slot override/default behavior was verified through data-slot="avatar-image".</t>
  </si>
  <si>
    <t>Live data-slot and data attributes were verified in Anatomy/Inspector for the rendered Avatar parts.</t>
  </si>
  <si>
    <t>Avatar asChild composition preserved child image rendering without duplicate nesting.</t>
  </si>
  <si>
    <t>Avatar asChild composition merged Atom image props and consumer data props.</t>
  </si>
  <si>
    <t>Avatar render composition rendered the custom image element.</t>
  </si>
  <si>
    <t>Avatar render composition preserved refs and behavior props on the image.</t>
  </si>
  <si>
    <t>Status change logging was verified without duplicate consecutive loading events.</t>
  </si>
  <si>
    <t>Badge Playground Coverage</t>
  </si>
  <si>
    <t>Badge props manual verification.</t>
  </si>
  <si>
    <t>Badge playground manual verification.</t>
  </si>
  <si>
    <t>Renders a native `span`</t>
  </si>
  <si>
    <t>Keeps text content in the accessibility tree</t>
  </si>
  <si>
    <t>Supports native span props</t>
  </si>
  <si>
    <t>Badge playground manual verification; data-slot is badge and empty data markers render bare.</t>
  </si>
  <si>
    <t>Badge playground manual verification; asChild/render use strong custom element.</t>
  </si>
  <si>
    <t>BottomNavigation Playground Coverage</t>
  </si>
  <si>
    <t>BottomNavigation playground scenario.</t>
  </si>
  <si>
    <t>Renders a named `nav` landmark</t>
  </si>
  <si>
    <t>Supports link destinations and button destinations</t>
  </si>
  <si>
    <t>Supports controlled and uncontrolled active value</t>
  </si>
  <si>
    <t>Exposes active, disabled, and label-visibility state through data attributes</t>
  </si>
  <si>
    <t>onChange prop behavior</t>
  </si>
  <si>
    <t>showLabels prop behavior</t>
  </si>
  <si>
    <t>Accessibility</t>
  </si>
  <si>
    <t>aria-label prop behavior</t>
  </si>
  <si>
    <t>href prop behavior</t>
  </si>
  <si>
    <t>target prop behavior</t>
  </si>
  <si>
    <t>rel prop behavior</t>
  </si>
  <si>
    <t>[data-value] prop behavior</t>
  </si>
  <si>
    <t>[data-active] prop behavior</t>
  </si>
  <si>
    <t>[data-label-visible] prop behavior</t>
  </si>
  <si>
    <t>NavigationItem</t>
  </si>
  <si>
    <t>aria-current is present at the correct time</t>
  </si>
  <si>
    <t>data-active is present at the correct time</t>
  </si>
  <si>
    <t>data-label-visible is present at the correct time</t>
  </si>
  <si>
    <t>data-value is present at the correct time</t>
  </si>
  <si>
    <t>Breadcrumb Playground Coverage</t>
  </si>
  <si>
    <t>Breadcrumb playground scenario.</t>
  </si>
  <si>
    <t>Renders a named breadcrumb `nav` landmark</t>
  </si>
  <si>
    <t>Uses an ordered list for page hierarchy</t>
  </si>
  <si>
    <t>Marks the current page with `aria-current="page"`</t>
  </si>
  <si>
    <t>Provides separator and ellipsis parts</t>
  </si>
  <si>
    <t>Ellipsis</t>
  </si>
  <si>
    <t>Link</t>
  </si>
  <si>
    <t>Page</t>
  </si>
  <si>
    <t>Separator</t>
  </si>
  <si>
    <t>aria-hidden is present at the correct time</t>
  </si>
  <si>
    <t>Button Playground Coverage</t>
  </si>
  <si>
    <t>pass</t>
  </si>
  <si>
    <t>Button playground manual verification.</t>
  </si>
  <si>
    <t>Complete.</t>
  </si>
  <si>
    <t>renders a native button by default</t>
  </si>
  <si>
    <t>renders an anchor when href is present</t>
  </si>
  <si>
    <t>adds safe rel for target blank links</t>
  </si>
  <si>
    <t>supports disabled state</t>
  </si>
  <si>
    <t>supports loading state</t>
  </si>
  <si>
    <t>calls onClick before onPress</t>
  </si>
  <si>
    <t>consumer preventDefault blocks onPress</t>
  </si>
  <si>
    <t>custom non-native render receives button semantics</t>
  </si>
  <si>
    <t>is the only Button anatomy part</t>
  </si>
  <si>
    <t>anchor tag appears when href is enabled</t>
  </si>
  <si>
    <t>custom tag appears for asChild/render</t>
  </si>
  <si>
    <t>ref target matches rendered tag</t>
  </si>
  <si>
    <t>data-slot is button</t>
  </si>
  <si>
    <t>loading prop behavior</t>
  </si>
  <si>
    <t>onPress prop behavior</t>
  </si>
  <si>
    <t>onClick prop behavior</t>
  </si>
  <si>
    <t>Enter activates custom non-native render</t>
  </si>
  <si>
    <t>Space activates custom non-native render</t>
  </si>
  <si>
    <t>disabled/loading blocks keyboard activation</t>
  </si>
  <si>
    <t>aria-disabled is present for inactive non-native renders</t>
  </si>
  <si>
    <t>aria-busy is present while loading</t>
  </si>
  <si>
    <t>data-slot is present</t>
  </si>
  <si>
    <t>data-disabled is present when disabled</t>
  </si>
  <si>
    <t>data-loading is present when loading</t>
  </si>
  <si>
    <t>Forms</t>
  </si>
  <si>
    <t>native type button is default</t>
  </si>
  <si>
    <t>submit and reset type pass through</t>
  </si>
  <si>
    <t>Log</t>
  </si>
  <si>
    <t>logs click/press/default prevention clearly</t>
  </si>
  <si>
    <t>Checkbox Playground Coverage</t>
  </si>
  <si>
    <t>passes manual test</t>
  </si>
  <si>
    <t>Checkbox playground scenario.</t>
  </si>
  <si>
    <t>423</t>
  </si>
  <si>
    <t>Checkbox playground page uses shared Canvas/Source, Anatomy, Inspector, and Log infrastructure.</t>
  </si>
  <si>
    <t>Supports checked, unchecked, and indeterminate states</t>
  </si>
  <si>
    <t>Can be controlled or uncontrolled</t>
  </si>
  <si>
    <t>Supports read-only and disabled state</t>
  </si>
  <si>
    <t>Renders an optional hidden checkbox input for native form submission</t>
  </si>
  <si>
    <t>Exposes state through ARIA and data attributes</t>
  </si>
  <si>
    <t>Package tests/source review verify consumer ref plumbing for Checkbox; playground manual pass can inspect rendered DOM behavior.</t>
  </si>
  <si>
    <t>checked prop behavior</t>
  </si>
  <si>
    <t>defaultChecked prop behavior</t>
  </si>
  <si>
    <t>onCheckedChange prop behavior</t>
  </si>
  <si>
    <t>readOnly prop behavior</t>
  </si>
  <si>
    <t>invalid prop behavior</t>
  </si>
  <si>
    <t>required prop behavior</t>
  </si>
  <si>
    <t>name prop behavior</t>
  </si>
  <si>
    <t>form prop behavior</t>
  </si>
  <si>
    <t>ariaLabel prop behavior</t>
  </si>
  <si>
    <t>[data-readonly] prop behavior</t>
  </si>
  <si>
    <t>[data-invalid] prop behavior</t>
  </si>
  <si>
    <t>Indicator</t>
  </si>
  <si>
    <t>forceMount prop behavior</t>
  </si>
  <si>
    <t>aria-checked is present at the correct time</t>
  </si>
  <si>
    <t>aria-invalid is present at the correct time</t>
  </si>
  <si>
    <t>aria-readonly is present at the correct time</t>
  </si>
  <si>
    <t>aria-required is present at the correct time</t>
  </si>
  <si>
    <t>data-invalid is present at the correct time</t>
  </si>
  <si>
    <t>data-readonly is present at the correct time</t>
  </si>
  <si>
    <t>Composition controls/package tests cover render/asChild behavior for Checkbox; ready for manual verification where exposed.</t>
  </si>
  <si>
    <t>disabled state blocks or exposes behavior correctly where supported</t>
  </si>
  <si>
    <t>readonly/readOnly state blocks or exposes behavior correctly where supported</t>
  </si>
  <si>
    <t>required state blocks or exposes behavior correctly where supported</t>
  </si>
  <si>
    <t>invalid state blocks or exposes behavior correctly where supported</t>
  </si>
  <si>
    <t>form value participates correctly where supported</t>
  </si>
  <si>
    <t>hidden input mirrors value/checked/disabled where supported</t>
  </si>
  <si>
    <t xml:space="preserve">  behavior</t>
  </si>
  <si>
    <t>Enter behavior</t>
  </si>
  <si>
    <t>CheckboxGroup Playground Coverage</t>
  </si>
  <si>
    <t>CheckboxGroup playground scenario.</t>
  </si>
  <si>
    <t>Manages an array of selected values</t>
  </si>
  <si>
    <t>Shares disabled, read-only, required, invalid, name, and form state with items</t>
  </si>
  <si>
    <t>Each item can render a hidden checkbox input for native form submission</t>
  </si>
  <si>
    <t>Exposes orientation and item state through data attributes</t>
  </si>
  <si>
    <t>GroupItem</t>
  </si>
  <si>
    <t>Collapsible Playground Coverage</t>
  </si>
  <si>
    <t>Props toolbar exposes Prop Check; raw Data verifies data-prop-check is absent by default and present when enabled.</t>
  </si>
  <si>
    <t>Props toolbar exposes Root, Trigger, and Content custom slot toggles; raw Data verifies custom data-slot values.</t>
  </si>
  <si>
    <t>Step 0 smoke check verified top menu reachability.</t>
  </si>
  <si>
    <t>Step 5 verified Source updates for state, composition, props, slots, and blocked trigger behavior.</t>
  </si>
  <si>
    <t>Anatomy exposes live Attributes, ARIA, and Data groups for Root, Trigger, and Content.</t>
  </si>
  <si>
    <t>Inspector Selected, Focused, and Logs verified for Collapsible.</t>
  </si>
  <si>
    <t>Supports controlled and uncontrolled open state</t>
  </si>
  <si>
    <t>Collapsible manual protocol in .manual-tests/collapsible.md.</t>
  </si>
  <si>
    <t>Links trigger and content with stable ARIA IDs</t>
  </si>
  <si>
    <t>Trigger aria-controls matches rendered Content id; Content aria-labelledby matches Trigger id.</t>
  </si>
  <si>
    <t>Exposes measured content height for CSS animation</t>
  </si>
  <si>
    <t>Content exposes --content-height as a measured pixel value related to rendered content height.</t>
  </si>
  <si>
    <t>Root data-prop-check verified in raw Data only when Prop Check is enabled.</t>
  </si>
  <si>
    <t>Root ref verified through Anatomy Ref target row.</t>
  </si>
  <si>
    <t>open prop behavior</t>
  </si>
  <si>
    <t>defaultOpen prop behavior</t>
  </si>
  <si>
    <t>onOpenChange prop behavior</t>
  </si>
  <si>
    <t>Trigger data-prop-check verified in raw Data only when Prop Check is enabled.</t>
  </si>
  <si>
    <t>Trigger ref verified through Anatomy Ref target row.</t>
  </si>
  <si>
    <t>Content data-prop-check verified in raw Data only when Prop Check is enabled.</t>
  </si>
  <si>
    <t>Content ref verified through Anatomy Ref target row.</t>
  </si>
  <si>
    <t>Content --content-height verified as a dynamic measured pixel value.</t>
  </si>
  <si>
    <t>aria-controls verified as a generated relationship matching Content id when Content is rendered.</t>
  </si>
  <si>
    <t>aria-labelledby verified as a generated relationship matching Trigger id.</t>
  </si>
  <si>
    <t>Root, Trigger, and Content asChild modes verified without extra wrappers.</t>
  </si>
  <si>
    <t>asChild modes verified with Atom data/ARIA behavior and consumer props merged.</t>
  </si>
  <si>
    <t>Block trigger control verifies consumer preventDefault blocks Atom trigger behavior.</t>
  </si>
  <si>
    <t>Root, Trigger, and Content render modes verified with custom elements.</t>
  </si>
  <si>
    <t>Render modes verified with behavior props and Ref target evidence.</t>
  </si>
  <si>
    <t>Disabled trigger verified to block pointer and keyboard activation.</t>
  </si>
  <si>
    <t>Collection Playground Coverage</t>
  </si>
  <si>
    <t>Collection manual batch 1: initial values, disabled skip, next/previous focus movement, footer, Anatomy, and Log verified.</t>
  </si>
  <si>
    <t>Collection playground manual verification.</t>
  </si>
  <si>
    <t>Registers items by stable value and DOM element</t>
  </si>
  <si>
    <t>Sorts items by live document order</t>
  </si>
  <si>
    <t>Tracks disabled state and custom item metadata</t>
  </si>
  <si>
    <t>Provides first, last, next, previous, enabled, and raw item lookup helpers</t>
  </si>
  <si>
    <t>Warns in development when duplicate values are registered</t>
  </si>
  <si>
    <t>Keeps roles, keyboard behavior, and rendered structure in the component that uses the collection</t>
  </si>
  <si>
    <t>Hook API</t>
  </si>
  <si>
    <t>hook API state appears in Anatomy</t>
  </si>
  <si>
    <t>hook API appears before consumer DOM evidence</t>
  </si>
  <si>
    <t>Consumer DOM</t>
  </si>
  <si>
    <t>demo item tag is visible in Anatomy/Inspector</t>
  </si>
  <si>
    <t>Collection emits no data-slot because it renders no DOM</t>
  </si>
  <si>
    <t>non-Atom marker data-prop-check appears on demo item</t>
  </si>
  <si>
    <t>registered items render in DOM evidence group</t>
  </si>
  <si>
    <t>item groups follow live DOM order</t>
  </si>
  <si>
    <t>item values are visible in Anatomy/Inspector</t>
  </si>
  <si>
    <t>Collection emits no Atom data attributes because it renders no DOM</t>
  </si>
  <si>
    <t>metadata and disabled state are visible in lookup/items</t>
  </si>
  <si>
    <t>registers enabled and disabled items in DOM order</t>
  </si>
  <si>
    <t>sorts disconnected items after connected items</t>
  </si>
  <si>
    <t>next/previous navigation respects loop</t>
  </si>
  <si>
    <t>Combobox Playground Coverage</t>
  </si>
  <si>
    <t>Combobox playground scenario.</t>
  </si>
  <si>
    <t>Controlled and uncontrolled selected value</t>
  </si>
  <si>
    <t>Controlled and uncontrolled input value</t>
  </si>
  <si>
    <t>Controlled and uncontrolled open state</t>
  </si>
  <si>
    <t>Keyboard navigation with `aria-activedescendant`</t>
  </si>
  <si>
    <t>Escape closes first, then clears when closed</t>
  </si>
  <si>
    <t>Stack-aware Escape dismissal when nested inside parent overlays</t>
  </si>
  <si>
    <t>Option groups, labels, empty/loading states, portal, and clear control</t>
  </si>
  <si>
    <t>Hidden input for native form submission</t>
  </si>
  <si>
    <t>options prop behavior</t>
  </si>
  <si>
    <t>inputValue prop behavior</t>
  </si>
  <si>
    <t>defaultInputValue prop behavior</t>
  </si>
  <si>
    <t>onInputValueChange prop behavior</t>
  </si>
  <si>
    <t>openOnFocus prop behavior</t>
  </si>
  <si>
    <t>clearOnSelect prop behavior</t>
  </si>
  <si>
    <t>Positioning</t>
  </si>
  <si>
    <t>container prop behavior</t>
  </si>
  <si>
    <t>aria-labelledby prop behavior</t>
  </si>
  <si>
    <t>label prop behavior</t>
  </si>
  <si>
    <t>[data-highlighted] prop behavior</t>
  </si>
  <si>
    <t>Clear</t>
  </si>
  <si>
    <t>data-slot prop behavior</t>
  </si>
  <si>
    <t>[data-hidden] prop behavior</t>
  </si>
  <si>
    <t>Empty</t>
  </si>
  <si>
    <t>[data-filled] prop behavior</t>
  </si>
  <si>
    <t>Loading</t>
  </si>
  <si>
    <t>aria-activedescendant is present at the correct time</t>
  </si>
  <si>
    <t>aria-autocomplete is present at the correct time</t>
  </si>
  <si>
    <t>aria-haspopup is present at the correct time</t>
  </si>
  <si>
    <t>aria-selected is present at the correct time</t>
  </si>
  <si>
    <t>data-hidden is present at the correct time</t>
  </si>
  <si>
    <t>data-highlighted is present at the correct time</t>
  </si>
  <si>
    <t>data-positioned is present at the correct time</t>
  </si>
  <si>
    <t>portal renders in body by default</t>
  </si>
  <si>
    <t>custom/disabled portal path works where supported</t>
  </si>
  <si>
    <t>side options position content correctly</t>
  </si>
  <si>
    <t>align options position content correctly</t>
  </si>
  <si>
    <t>collision/flip/shift behavior stays in viewport</t>
  </si>
  <si>
    <t>arrow or anchor geometry matches content where supported</t>
  </si>
  <si>
    <t>pointer selecting an already-selected option closes the listbox</t>
  </si>
  <si>
    <t>clearOnSelect clears input after keyboard and pointer selection</t>
  </si>
  <si>
    <t>openOnFocus opens the empty state when Combobox.Empty is mounted</t>
  </si>
  <si>
    <t>ContextMenu Playground Coverage</t>
  </si>
  <si>
    <t>open prop controls context menu visibility</t>
  </si>
  <si>
    <t>ContextMenu playground scenario.</t>
  </si>
  <si>
    <t>defaultOpen initializes uncontrolled open state</t>
  </si>
  <si>
    <t>onOpenChange fires on open and close</t>
  </si>
  <si>
    <t>modal true locks scroll while open</t>
  </si>
  <si>
    <t>modal false leaves page scroll unlocked</t>
  </si>
  <si>
    <t>closeOnSelect true closes action items</t>
  </si>
  <si>
    <t>closeOnSelect false keeps menu open after item select</t>
  </si>
  <si>
    <t>loop true wraps keyboard highlight</t>
  </si>
  <si>
    <t>loop false stops at first and last item</t>
  </si>
  <si>
    <t>closeOnEscape true closes on Escape</t>
  </si>
  <si>
    <t>closeOnEscape false ignores Escape</t>
  </si>
  <si>
    <t>right-click anchor point controls content position</t>
  </si>
  <si>
    <t>keyboard anchor point uses trigger bounds</t>
  </si>
  <si>
    <t>renders span by default</t>
  </si>
  <si>
    <t>default trigger uses display contents</t>
  </si>
  <si>
    <t>trigger id is stable and present</t>
  </si>
  <si>
    <t>data-slot is context-menu-trigger</t>
  </si>
  <si>
    <t>data-state reflects open and closed</t>
  </si>
  <si>
    <t>disabled trigger exposes data-disabled flag</t>
  </si>
  <si>
    <t>right click prevents native browser menu</t>
  </si>
  <si>
    <t>right click opens context menu</t>
  </si>
  <si>
    <t>disabled right click does not open menu</t>
  </si>
  <si>
    <t>Shift+F10 opens context menu</t>
  </si>
  <si>
    <t>ContextMenu key opens context menu</t>
  </si>
  <si>
    <t>consumer onContextMenu runs before Atom open</t>
  </si>
  <si>
    <t>consumer onContextMenu can prevent Atom open</t>
  </si>
  <si>
    <t>consumer onKeyDown can prevent keyboard open</t>
  </si>
  <si>
    <t>native className and data props pass through</t>
  </si>
  <si>
    <t>asChild trigger preserves child content without nesting</t>
  </si>
  <si>
    <t>asChild trigger receives ContextMenu trigger data attributes</t>
  </si>
  <si>
    <t>render trigger preserves custom element content</t>
  </si>
  <si>
    <t>render trigger receives ContextMenu trigger data attributes</t>
  </si>
  <si>
    <t>renders only while open</t>
  </si>
  <si>
    <t>role is menu</t>
  </si>
  <si>
    <t>aria-orientation is vertical</t>
  </si>
  <si>
    <t>aria-label prop names menu</t>
  </si>
  <si>
    <t>aria-labelledby references trigger when ariaLabel is absent</t>
  </si>
  <si>
    <t>tabindex attr is -1</t>
  </si>
  <si>
    <t>id matches trigger aria-controls when available</t>
  </si>
  <si>
    <t>data-slot is menu-content</t>
  </si>
  <si>
    <t>data-state is open</t>
  </si>
  <si>
    <t>data-side reflects final placement</t>
  </si>
  <si>
    <t>data-align reflects final placement</t>
  </si>
  <si>
    <t>side prop changes placement</t>
  </si>
  <si>
    <t>align prop changes placement</t>
  </si>
  <si>
    <t>sideOffset changes menu distance</t>
  </si>
  <si>
    <t>loop prop overrides root loop</t>
  </si>
  <si>
    <t>onKeyDownCapture can block Atom key behavior</t>
  </si>
  <si>
    <t>renders role menuitem</t>
  </si>
  <si>
    <t>value appears as data-value</t>
  </si>
  <si>
    <t>data-slot is menu-item</t>
  </si>
  <si>
    <t>onSelect fires on click</t>
  </si>
  <si>
    <t>onSelect fires on Enter</t>
  </si>
  <si>
    <t>onSelect fires on Space</t>
  </si>
  <si>
    <t>disabled item exposes aria-disabled true</t>
  </si>
  <si>
    <t>disabled item exposes data-disabled flag</t>
  </si>
  <si>
    <t>disabled item is skipped by keyboard</t>
  </si>
  <si>
    <t>consumer onClick can prevent Atom behavior</t>
  </si>
  <si>
    <t>Checkbox Item</t>
  </si>
  <si>
    <t>renders role menuitemcheckbox</t>
  </si>
  <si>
    <t>aria-checked reflects checked false</t>
  </si>
  <si>
    <t>aria-checked reflects checked true</t>
  </si>
  <si>
    <t>data-checked appears when checked</t>
  </si>
  <si>
    <t>onCheckedChange fires on click</t>
  </si>
  <si>
    <t>closeOnSelect false keeps menu open</t>
  </si>
  <si>
    <t>closeOnSelect true closes menu</t>
  </si>
  <si>
    <t>disabled checkbox is skipped</t>
  </si>
  <si>
    <t>Radio Group</t>
  </si>
  <si>
    <t>renders role group</t>
  </si>
  <si>
    <t>data-slot is menu-radio-group</t>
  </si>
  <si>
    <t>value controls checked radio item</t>
  </si>
  <si>
    <t>onValueChange fires when radio changes</t>
  </si>
  <si>
    <t>Radio Item</t>
  </si>
  <si>
    <t>renders role menuitemradio</t>
  </si>
  <si>
    <t>aria-checked reflects selected item</t>
  </si>
  <si>
    <t>data-checked appears on selected item</t>
  </si>
  <si>
    <t>value appears as data-value without internal group id</t>
  </si>
  <si>
    <t>disabled radio item is skipped</t>
  </si>
  <si>
    <t>data-slot is menu-group</t>
  </si>
  <si>
    <t>renders role separator</t>
  </si>
  <si>
    <t>aria-orientation is horizontal</t>
  </si>
  <si>
    <t>data-slot is menu-separator</t>
  </si>
  <si>
    <t>Sub</t>
  </si>
  <si>
    <t>defaultOpen initializes uncontrolled submenu</t>
  </si>
  <si>
    <t>open prop controls submenu</t>
  </si>
  <si>
    <t>onOpenChange fires for controlled submenu</t>
  </si>
  <si>
    <t>only one uncontrolled submenu is open at a time</t>
  </si>
  <si>
    <t>Sub Trigger</t>
  </si>
  <si>
    <t>aria-haspopup is menu</t>
  </si>
  <si>
    <t>aria-expanded reflects submenu open state</t>
  </si>
  <si>
    <t>data-state reflects submenu state</t>
  </si>
  <si>
    <t>data-slot is menu-sub-trigger</t>
  </si>
  <si>
    <t>hover opens submenu after delay</t>
  </si>
  <si>
    <t>click toggles submenu</t>
  </si>
  <si>
    <t>ArrowRight opens submenu</t>
  </si>
  <si>
    <t>disabled sub trigger is skipped</t>
  </si>
  <si>
    <t>textValue is used for typeahead</t>
  </si>
  <si>
    <t>Sub Content</t>
  </si>
  <si>
    <t>renders role menu</t>
  </si>
  <si>
    <t>aria-label prop names submenu</t>
  </si>
  <si>
    <t>aria-labelledby references sub trigger when ariaLabel is absent</t>
  </si>
  <si>
    <t>data-slot is menu-sub-content</t>
  </si>
  <si>
    <t>sideOffset changes submenu distance</t>
  </si>
  <si>
    <t>loop prop controls submenu wrapping</t>
  </si>
  <si>
    <t>Open And Close</t>
  </si>
  <si>
    <t>right click opens at pointer location</t>
  </si>
  <si>
    <t>keyboard opens at trigger center</t>
  </si>
  <si>
    <t>outside click closes menu</t>
  </si>
  <si>
    <t>Tab closes menu and returns focus to trigger</t>
  </si>
  <si>
    <t>Escape closes menu when no submenu is open</t>
  </si>
  <si>
    <t>Escape closes submenu first and returns focus to parent content</t>
  </si>
  <si>
    <t>selecting action item closes menu when enabled</t>
  </si>
  <si>
    <t>selecting checkbox/radio can keep menu open</t>
  </si>
  <si>
    <t>selecting submenu item closes submenu and parent menu</t>
  </si>
  <si>
    <t>Navigation</t>
  </si>
  <si>
    <t>ArrowDown moves highlight forward</t>
  </si>
  <si>
    <t>ArrowUp moves highlight backward</t>
  </si>
  <si>
    <t>Home moves highlight to first item</t>
  </si>
  <si>
    <t>End moves highlight to last item</t>
  </si>
  <si>
    <t>disabled items are skipped</t>
  </si>
  <si>
    <t>loop forward wraps to first</t>
  </si>
  <si>
    <t>loop backward wraps to last</t>
  </si>
  <si>
    <t>loop off does not wrap forward</t>
  </si>
  <si>
    <t>loop off does not wrap backward</t>
  </si>
  <si>
    <t>Enter activates highlighted item</t>
  </si>
  <si>
    <t>Space activates highlighted item</t>
  </si>
  <si>
    <t>typeahead highlights matching item</t>
  </si>
  <si>
    <t>single-character typeahead cycles same-letter matches</t>
  </si>
  <si>
    <t>multi-character typeahead matches exact prefix</t>
  </si>
  <si>
    <t>submenu has independent highlight state</t>
  </si>
  <si>
    <t>ArrowLeft closes submenu</t>
  </si>
  <si>
    <t>ArrowRight opens nested submenu from submenu</t>
  </si>
  <si>
    <t>Pointer</t>
  </si>
  <si>
    <t>Highlight</t>
  </si>
  <si>
    <t>pointer open starts with no highlighted item</t>
  </si>
  <si>
    <t>hovering item highlights it</t>
  </si>
  <si>
    <t>hovering disabled item does not highlight it</t>
  </si>
  <si>
    <t>hovering item closes previously open submenu</t>
  </si>
  <si>
    <t>reopening from pointer does not alternate stale first highlight</t>
  </si>
  <si>
    <t>Relationships</t>
  </si>
  <si>
    <t>trigger has accessible text</t>
  </si>
  <si>
    <t>content has accessible name</t>
  </si>
  <si>
    <t>content references trigger when unnamed</t>
  </si>
  <si>
    <t>sub content references sub trigger when unnamed</t>
  </si>
  <si>
    <t>checked states are exposed through aria-checked</t>
  </si>
  <si>
    <t>disabled states are exposed through aria-disabled</t>
  </si>
  <si>
    <t>nested ContextMenu Escape does not close parent overlay</t>
  </si>
  <si>
    <t>Trigger Composition</t>
  </si>
  <si>
    <t>trigger asChild preserves child content</t>
  </si>
  <si>
    <t>trigger render preserves child content</t>
  </si>
  <si>
    <t>Item Composition</t>
  </si>
  <si>
    <t>Item asChild preserves child content</t>
  </si>
  <si>
    <t>Item render preserves child content</t>
  </si>
  <si>
    <t>Native Props</t>
  </si>
  <si>
    <t>Trigger native props pass through</t>
  </si>
  <si>
    <t>Content native props pass through</t>
  </si>
  <si>
    <t>Item native props pass through</t>
  </si>
  <si>
    <t>CheckboxItem native props pass through</t>
  </si>
  <si>
    <t>RadioGroup native props pass through</t>
  </si>
  <si>
    <t>RadioItem native props pass through</t>
  </si>
  <si>
    <t>Group native props pass through</t>
  </si>
  <si>
    <t>SubContent native props pass through</t>
  </si>
  <si>
    <t>Styling Hooks</t>
  </si>
  <si>
    <t>Data Attributes</t>
  </si>
  <si>
    <t>trigger open state visible through data-state</t>
  </si>
  <si>
    <t>content open state visible through data-state</t>
  </si>
  <si>
    <t>disabled trigger visible through data-disabled</t>
  </si>
  <si>
    <t>disabled item visible through data-disabled</t>
  </si>
  <si>
    <t>checked item visible through data-checked</t>
  </si>
  <si>
    <t>positioned state visible through data-positioned</t>
  </si>
  <si>
    <t>Portal And Positioning</t>
  </si>
  <si>
    <t>content portals to body</t>
  </si>
  <si>
    <t>sub content portals to body</t>
  </si>
  <si>
    <t>content positions relative to pointer anchor</t>
  </si>
  <si>
    <t>content positions relative to trigger for keyboard open</t>
  </si>
  <si>
    <t>placement flips or shifts near viewport edge</t>
  </si>
  <si>
    <t>Regression</t>
  </si>
  <si>
    <t>Recent Fixes</t>
  </si>
  <si>
    <t>Escape closes topmost context menu before parent overlay</t>
  </si>
  <si>
    <t>typeahead same-letter cycling works in context menu</t>
  </si>
  <si>
    <t>trigger disabled right click does not open menu</t>
  </si>
  <si>
    <t>trigger asChild composition keeps one child element</t>
  </si>
  <si>
    <t>outside click closes portalled context menu</t>
  </si>
  <si>
    <t>submenu focus returns to parent content on close</t>
  </si>
  <si>
    <t>hovering non-item content does not reset highlight to first item</t>
  </si>
  <si>
    <t>Mobile</t>
  </si>
  <si>
    <t>Touch</t>
  </si>
  <si>
    <t>long press opens context menu where supported</t>
  </si>
  <si>
    <t>partial: mobile browser support is inconsistent</t>
  </si>
  <si>
    <t>partial</t>
  </si>
  <si>
    <t>ContextMenu playground scenario; reliable mobile trigger is Open Menu.</t>
  </si>
  <si>
    <t>Native long press did not fire contextmenu in tested mobile Safari/Chrome.</t>
  </si>
  <si>
    <t>touch outside closes context menu</t>
  </si>
  <si>
    <t>touch selects action item</t>
  </si>
  <si>
    <t>touch toggles checkbox item</t>
  </si>
  <si>
    <t>touch selects radio item</t>
  </si>
  <si>
    <t>touch opens submenu</t>
  </si>
  <si>
    <t>Submenu</t>
  </si>
  <si>
    <t>reads Direction.Provider context for submenu keyboard behavior</t>
  </si>
  <si>
    <t>ContextMenu playground direction scenario; manually verified.</t>
  </si>
  <si>
    <t>RTL mirrors submenu ArrowLeft and ArrowRight open/close behavior</t>
  </si>
  <si>
    <t>DataGrid Playground Coverage</t>
  </si>
  <si>
    <t>DataGrid playground scenario.</t>
  </si>
  <si>
    <t>Implements `role="grid"` with row, column header, and gridcell parts</t>
  </si>
  <si>
    <t>Uses collection registration for DOM-ordered keyboard navigation</t>
  </si>
  <si>
    <t>Supports controlled and uncontrolled active cell state</t>
  </si>
  <si>
    <t>Supports none, single, and multiple row selection modes</t>
  </si>
  <si>
    <t>Supports row click selection, disabled/read-only state, row and column counts, and optional row wrapping</t>
  </si>
  <si>
    <t>Keeps sorting models, filtering, resizing, editing, and virtualization outside the primitive</t>
  </si>
  <si>
    <t>activeCell prop behavior</t>
  </si>
  <si>
    <t>defaultActiveCell prop behavior</t>
  </si>
  <si>
    <t>onActiveCellChange prop behavior</t>
  </si>
  <si>
    <t>selectionMode prop behavior</t>
  </si>
  <si>
    <t>loop prop behavior</t>
  </si>
  <si>
    <t>wrapRows prop behavior</t>
  </si>
  <si>
    <t>rowCount prop behavior</t>
  </si>
  <si>
    <t>columnCount prop behavior</t>
  </si>
  <si>
    <t>selectOnRowClick prop behavior</t>
  </si>
  <si>
    <t>[data-focused] prop behavior</t>
  </si>
  <si>
    <t>[data-selection-mode] prop behavior</t>
  </si>
  <si>
    <t>Body</t>
  </si>
  <si>
    <t>Caption</t>
  </si>
  <si>
    <t>Cell</t>
  </si>
  <si>
    <t>columnIndex prop behavior</t>
  </si>
  <si>
    <t>index prop behavior</t>
  </si>
  <si>
    <t>[data-selected] prop behavior</t>
  </si>
  <si>
    <t>ColumnHeader</t>
  </si>
  <si>
    <t>sortDirection prop behavior</t>
  </si>
  <si>
    <t>Footer</t>
  </si>
  <si>
    <t>GridBody</t>
  </si>
  <si>
    <t>GridCaption</t>
  </si>
  <si>
    <t>GridCell</t>
  </si>
  <si>
    <t>GridColumnHeader</t>
  </si>
  <si>
    <t>GridFooter</t>
  </si>
  <si>
    <t>GridHeader</t>
  </si>
  <si>
    <t>GridRow</t>
  </si>
  <si>
    <t>Row</t>
  </si>
  <si>
    <t>rowIndex prop behavior</t>
  </si>
  <si>
    <t>selectable prop behavior</t>
  </si>
  <si>
    <t>aria-colcount is present at the correct time</t>
  </si>
  <si>
    <t>aria-colindex is present at the correct time</t>
  </si>
  <si>
    <t>aria-multiselectable is present at the correct time</t>
  </si>
  <si>
    <t>aria-rowcount is present at the correct time</t>
  </si>
  <si>
    <t>aria-rowindex is present at the correct time</t>
  </si>
  <si>
    <t>aria-sort is present at the correct time</t>
  </si>
  <si>
    <t>data-column-count is present at the correct time</t>
  </si>
  <si>
    <t>data-column-index is present at the correct time</t>
  </si>
  <si>
    <t>data-focused is present at the correct time</t>
  </si>
  <si>
    <t>data-grid is present at the correct time</t>
  </si>
  <si>
    <t>data-grid- is present at the correct time</t>
  </si>
  <si>
    <t>data-grid-body is present at the correct time</t>
  </si>
  <si>
    <t>data-grid-caption is present at the correct time</t>
  </si>
  <si>
    <t>data-grid-cell is present at the correct time</t>
  </si>
  <si>
    <t>data-grid-column-header is present at the correct time</t>
  </si>
  <si>
    <t>data-grid-footer is present at the correct time</t>
  </si>
  <si>
    <t>data-grid-header is present at the correct time</t>
  </si>
  <si>
    <t>data-grid-row is present at the correct time</t>
  </si>
  <si>
    <t>data-row-count is present at the correct time</t>
  </si>
  <si>
    <t>data-row-index is present at the correct time</t>
  </si>
  <si>
    <t>data-selected is present at the correct time</t>
  </si>
  <si>
    <t>data-selection-mode is present at the correct time</t>
  </si>
  <si>
    <t>data-sort is present at the correct time</t>
  </si>
  <si>
    <t>Grid</t>
  </si>
  <si>
    <t>reads Direction.Provider context for horizontal cell navigation</t>
  </si>
  <si>
    <t>Add Direction.Provider fallback before testing RTL grid arrows.</t>
  </si>
  <si>
    <t>RTL mirrors ArrowLeft and ArrowRight cell movement</t>
  </si>
  <si>
    <t>Implement and test RTL cell navigation.</t>
  </si>
  <si>
    <t>row start and row end respect RTL direction</t>
  </si>
  <si>
    <t>Implement and test RTL row-start/row-end semantics.</t>
  </si>
  <si>
    <t>Dialog Playground Coverage</t>
  </si>
  <si>
    <t>controlled open prop</t>
  </si>
  <si>
    <t>Dialog playground scenario; manually verified.</t>
  </si>
  <si>
    <t>defaultOpen / uncontrolled state</t>
  </si>
  <si>
    <t>onOpenChange callback</t>
  </si>
  <si>
    <t>onOpenChange close reason</t>
  </si>
  <si>
    <t>disabled</t>
  </si>
  <si>
    <t>closeOnEscape</t>
  </si>
  <si>
    <t>closeOnBackdropClick</t>
  </si>
  <si>
    <t>keepMounted</t>
  </si>
  <si>
    <t>click opens</t>
  </si>
  <si>
    <t>Enter opens</t>
  </si>
  <si>
    <t>Space opens</t>
  </si>
  <si>
    <t>disabled blocks click</t>
  </si>
  <si>
    <t>disabled blocks Enter/Space</t>
  </si>
  <si>
    <t>data-state</t>
  </si>
  <si>
    <t>aria-controls id match</t>
  </si>
  <si>
    <t>aria-haspopup / aria-expanded</t>
  </si>
  <si>
    <t>asChild</t>
  </si>
  <si>
    <t>render prop</t>
  </si>
  <si>
    <t>merged onClick</t>
  </si>
  <si>
    <t>merged onKeyDown</t>
  </si>
  <si>
    <t>ref receives element</t>
  </si>
  <si>
    <t>native button props passthrough</t>
  </si>
  <si>
    <t>Verify the part forwards a non-Atom-owned data-prop-check marker in the live raw Data group or Inspector.</t>
  </si>
  <si>
    <t>Styling hooks</t>
  </si>
  <si>
    <t>className passthrough</t>
  </si>
  <si>
    <t>data-slot override</t>
  </si>
  <si>
    <t>content mounts in body</t>
  </si>
  <si>
    <t>content not inside canvas</t>
  </si>
  <si>
    <t>unmounts after close without keepMounted</t>
  </si>
  <si>
    <t>stays mounted with keepMounted</t>
  </si>
  <si>
    <t>renders when open</t>
  </si>
  <si>
    <t>backdrop click closes when enabled</t>
  </si>
  <si>
    <t>backdrop click does not close when disabled</t>
  </si>
  <si>
    <t>user onClick merges with close behavior</t>
  </si>
  <si>
    <t>native div props passthrough</t>
  </si>
  <si>
    <t>unmounts when closed</t>
  </si>
  <si>
    <t>hidden with keepMounted</t>
  </si>
  <si>
    <t>role dialog</t>
  </si>
  <si>
    <t>role alertdialog</t>
  </si>
  <si>
    <t>tabIndex -1</t>
  </si>
  <si>
    <t>data-positioned</t>
  </si>
  <si>
    <t>aria-modal</t>
  </si>
  <si>
    <t>aria-labelledby</t>
  </si>
  <si>
    <t>aria-describedby</t>
  </si>
  <si>
    <t>aria-label fallback</t>
  </si>
  <si>
    <t>click inside content does not close</t>
  </si>
  <si>
    <t>first focusable receives focus on open</t>
  </si>
  <si>
    <t>no focusable child focuses content</t>
  </si>
  <si>
    <t>focus trap Tab loop</t>
  </si>
  <si>
    <t>focus trap Shift+Tab loop</t>
  </si>
  <si>
    <t>focus cannot escape behind dialog</t>
  </si>
  <si>
    <t>focus restores to trigger after close</t>
  </si>
  <si>
    <t>scroll lock on open</t>
  </si>
  <si>
    <t>renders title</t>
  </si>
  <si>
    <t>id matches aria-labelledby</t>
  </si>
  <si>
    <t>heading level default</t>
  </si>
  <si>
    <t>heading level as prop</t>
  </si>
  <si>
    <t>ref receives heading</t>
  </si>
  <si>
    <t>heading props passthrough</t>
  </si>
  <si>
    <t>renders description</t>
  </si>
  <si>
    <t>id matches aria-describedby</t>
  </si>
  <si>
    <t>ref receives paragraph</t>
  </si>
  <si>
    <t>paragraph props passthrough</t>
  </si>
  <si>
    <t>Close</t>
  </si>
  <si>
    <t>Cancel close button closes</t>
  </si>
  <si>
    <t>Save close button closes</t>
  </si>
  <si>
    <t>closeClick reason</t>
  </si>
  <si>
    <t>Escape closes when enabled</t>
  </si>
  <si>
    <t>Escape does not close when disabled</t>
  </si>
  <si>
    <t>fullscreen browser Escape limitation documented</t>
  </si>
  <si>
    <t>Cycle</t>
  </si>
  <si>
    <t>multiple open/close cycles</t>
  </si>
  <si>
    <t>tap trigger</t>
  </si>
  <si>
    <t>tap backdrop</t>
  </si>
  <si>
    <t>viewport fit</t>
  </si>
  <si>
    <t>mobile focus expectations</t>
  </si>
  <si>
    <t>Direction Playground Coverage</t>
  </si>
  <si>
    <t>No slot-owning Atom DOM part for this utility; no custom slot override applies.</t>
  </si>
  <si>
    <t>Direction playground scenario.</t>
  </si>
  <si>
    <t>Provides `ltr` or `rtl` direction to Atom primitives</t>
  </si>
  <si>
    <t>Supports nested providers</t>
  </si>
  <si>
    <t>Exports `useDirection` for custom headless compositions</t>
  </si>
  <si>
    <t>Does not render a DOM wrapper</t>
  </si>
  <si>
    <t>Provider</t>
  </si>
  <si>
    <t>dir prop behavior</t>
  </si>
  <si>
    <t>direction provider changes descendant direction context</t>
  </si>
  <si>
    <t>rtl-sensitive keyboard behavior updates in composed widgets</t>
  </si>
  <si>
    <t>Divider Playground Coverage</t>
  </si>
  <si>
    <t>Divider props manual verification.</t>
  </si>
  <si>
    <t>Divider playground scenario.</t>
  </si>
  <si>
    <t>Renders `hr` when it has no children and `div` when it contains content</t>
  </si>
  <si>
    <t>Defaults to decorative output</t>
  </si>
  <si>
    <t>Supports horizontal and vertical semantic orientation</t>
  </si>
  <si>
    <t>decorative prop behavior</t>
  </si>
  <si>
    <t>aria-orientation is present at the correct time</t>
  </si>
  <si>
    <t>Drawer Playground Coverage</t>
  </si>
  <si>
    <t>Drawer playground scenario.</t>
  </si>
  <si>
    <t>Trigger, portal, overlay, content, title, description, and close parts</t>
  </si>
  <si>
    <t>Focus trap, focus restore, Escape dismissal, backdrop dismissal, and scroll lock</t>
  </si>
  <si>
    <t>Stack-aware Escape dismissal so nested overlays close before the parent drawer</t>
  </si>
  <si>
    <t>`placement` value exposed as `data-placement` for styling</t>
  </si>
  <si>
    <t>Keep-mounted content support for exit animations</t>
  </si>
  <si>
    <t>Headless only: placement does not apply visual positioning by itself</t>
  </si>
  <si>
    <t>closeOnEscape prop behavior</t>
  </si>
  <si>
    <t>closeOnBackdropClick prop behavior</t>
  </si>
  <si>
    <t>[data-positioned] prop behavior</t>
  </si>
  <si>
    <t>placement prop behavior</t>
  </si>
  <si>
    <t>[data-placement] prop behavior</t>
  </si>
  <si>
    <t>data-placement is present at the correct time</t>
  </si>
  <si>
    <t>Escape closes only the topmost active layer</t>
  </si>
  <si>
    <t>outside click/interact closes when enabled</t>
  </si>
  <si>
    <t>outside click/interact is blocked when disabled</t>
  </si>
  <si>
    <t>focus returns to the correct trigger/anchor after close</t>
  </si>
  <si>
    <t>nested overlays keep focus and Escape order correct</t>
  </si>
  <si>
    <t>mobile viewport/touch behavior</t>
  </si>
  <si>
    <t>DropdownMenu Playground Coverage</t>
  </si>
  <si>
    <t>DropdownMenu playground manual verification.</t>
  </si>
  <si>
    <t>open prop controls menu visibility</t>
  </si>
  <si>
    <t>closeOnSelect false keeps selection menu open</t>
  </si>
  <si>
    <t>closeOnEscape true closes menu</t>
  </si>
  <si>
    <t>closeOnEscape false leaves menu open</t>
  </si>
  <si>
    <t>nested submenu disables parent Escape close</t>
  </si>
  <si>
    <t>renders native button by default</t>
  </si>
  <si>
    <t>default trigger has type button</t>
  </si>
  <si>
    <t>trigger data-slot is dropdown-menu-trigger</t>
  </si>
  <si>
    <t>trigger data-state is closed when menu is closed</t>
  </si>
  <si>
    <t>trigger data-state is open when menu is open</t>
  </si>
  <si>
    <t>trigger aria-haspopup is menu</t>
  </si>
  <si>
    <t>trigger aria-expanded reflects open state</t>
  </si>
  <si>
    <t>trigger aria-controls references content id</t>
  </si>
  <si>
    <t>trigger controls match content id</t>
  </si>
  <si>
    <t>disabled trigger exposes native disabled attr</t>
  </si>
  <si>
    <t>disabled trigger exposes aria-disabled true</t>
  </si>
  <si>
    <t>disabled trigger does not open on click</t>
  </si>
  <si>
    <t>disabled trigger does not open from keyboard</t>
  </si>
  <si>
    <t>consumer onClick runs before Atom toggle</t>
  </si>
  <si>
    <t>consumer onClick can prevent Atom toggle</t>
  </si>
  <si>
    <t>consumer onKeyDown runs before Atom key behavior</t>
  </si>
  <si>
    <t>consumer onKeyDown can prevent Atom key behavior</t>
  </si>
  <si>
    <t>click toggles menu open and closed</t>
  </si>
  <si>
    <t>pointer click opens without pre-highlighting first item</t>
  </si>
  <si>
    <t>Enter opens menu and seeds first highlight</t>
  </si>
  <si>
    <t>Space opens menu and seeds first highlight</t>
  </si>
  <si>
    <t>ArrowDown opens menu and seeds first highlight</t>
  </si>
  <si>
    <t>ArrowUp opens menu and seeds last highlight</t>
  </si>
  <si>
    <t>focus returns to trigger after Escape close</t>
  </si>
  <si>
    <t>focus returns to trigger after item selection close</t>
  </si>
  <si>
    <t>trigger ref points to rendered trigger element</t>
  </si>
  <si>
    <t>asChild trigger receives role button</t>
  </si>
  <si>
    <t>asChild trigger receives tabindex 0 when enabled</t>
  </si>
  <si>
    <t>asChild disabled trigger receives tabindex -1</t>
  </si>
  <si>
    <t>render trigger receives role button</t>
  </si>
  <si>
    <t>render trigger receives tabindex 0 when enabled</t>
  </si>
  <si>
    <t>render disabled trigger receives tabindex -1</t>
  </si>
  <si>
    <t>custom data-slot override applies to trigger</t>
  </si>
  <si>
    <t>id matches trigger aria-controls</t>
  </si>
  <si>
    <t>onSelect fires from keyboard activation</t>
  </si>
  <si>
    <t>disabled item is skipped by keyboard navigation</t>
  </si>
  <si>
    <t>disabled item exposes aria-disabled</t>
  </si>
  <si>
    <t>disabled item exposes data-disabled</t>
  </si>
  <si>
    <t>highlighted item exposes data-highlighted</t>
  </si>
  <si>
    <t>closeOnSelect overrides root close behavior</t>
  </si>
  <si>
    <t>asChild composition works</t>
  </si>
  <si>
    <t>render composition works</t>
  </si>
  <si>
    <t>checked true exposes aria-checked true</t>
  </si>
  <si>
    <t>checked false exposes aria-checked false</t>
  </si>
  <si>
    <t>checked true exposes data-checked</t>
  </si>
  <si>
    <t>onCheckedChange toggles checked state</t>
  </si>
  <si>
    <t>default closeOnSelect false keeps menu open</t>
  </si>
  <si>
    <t>value controls checked item</t>
  </si>
  <si>
    <t>onValueChange fires when selecting radio item</t>
  </si>
  <si>
    <t>duplicate public radio values in different groups do not conflict</t>
  </si>
  <si>
    <t>checked item exposes aria-checked true</t>
  </si>
  <si>
    <t>unchecked item exposes aria-checked false</t>
  </si>
  <si>
    <t>checked item exposes data-checked</t>
  </si>
  <si>
    <t>is not keyboard highlightable</t>
  </si>
  <si>
    <t>trigger click opens menu</t>
  </si>
  <si>
    <t>trigger click closes open menu</t>
  </si>
  <si>
    <t>controlled open button opens menu</t>
  </si>
  <si>
    <t>controlled close button closes menu</t>
  </si>
  <si>
    <t>outside click closes submenu</t>
  </si>
  <si>
    <t>Escape closes root menu and returns focus</t>
  </si>
  <si>
    <t>selecting checkbox/radio stays open by default</t>
  </si>
  <si>
    <t>ArrowDown opens from trigger and highlights first enabled item</t>
  </si>
  <si>
    <t>ArrowUp opens from trigger and highlights last enabled item</t>
  </si>
  <si>
    <t>Enter opens from trigger and highlights first enabled item</t>
  </si>
  <si>
    <t>Space opens from trigger and highlights first enabled item</t>
  </si>
  <si>
    <t>ArrowDown moves to next enabled item</t>
  </si>
  <si>
    <t>ArrowUp moves to previous enabled item</t>
  </si>
  <si>
    <t>Home highlights first enabled item</t>
  </si>
  <si>
    <t>End highlights last enabled item</t>
  </si>
  <si>
    <t>disabled items are skipped by Arrow keys</t>
  </si>
  <si>
    <t>separator is skipped by Arrow keys</t>
  </si>
  <si>
    <t>typeahead uses explicit textValue</t>
  </si>
  <si>
    <t>typeahead buffer resets after delay</t>
  </si>
  <si>
    <t>pointer enter highlights item</t>
  </si>
  <si>
    <t>pointer leave clears highlight</t>
  </si>
  <si>
    <t>pointer-opened menu does not pre-highlight first item</t>
  </si>
  <si>
    <t>hovering group labels or gaps does not reset initial highlight</t>
  </si>
  <si>
    <t>disabled item hover does not highlight</t>
  </si>
  <si>
    <t>trigger controls content by id</t>
  </si>
  <si>
    <t>focus stays inside modal parent when opened inside Dialog</t>
  </si>
  <si>
    <t>portalled dropdown registers with parent modal focus scope</t>
  </si>
  <si>
    <t>nested dropdown Escape does not close parent overlay</t>
  </si>
  <si>
    <t>trigger consumer event can block open</t>
  </si>
  <si>
    <t>Item consumer event can block selection</t>
  </si>
  <si>
    <t>highlighted item visible through data-highlighted</t>
  </si>
  <si>
    <t>placement visible through data-side and data-align</t>
  </si>
  <si>
    <t>content positions relative to trigger</t>
  </si>
  <si>
    <t>dropdown works inside Dialog without focus escape</t>
  </si>
  <si>
    <t>dropdown inside Dialog closes before Dialog on Escape</t>
  </si>
  <si>
    <t>Escape closes topmost dropdown before parent overlay</t>
  </si>
  <si>
    <t>portalled dropdown remains valid focus target inside Dialog</t>
  </si>
  <si>
    <t>trigger disabled click does not open menu</t>
  </si>
  <si>
    <t>trigger disabled asChild is removed from tab order</t>
  </si>
  <si>
    <t>pointer-opened menu does not preselect first item</t>
  </si>
  <si>
    <t>keyboard-opened menu highlights expected first or last item</t>
  </si>
  <si>
    <t>radio groups with duplicate values highlight independently</t>
  </si>
  <si>
    <t>outside click closes portalled dropdown</t>
  </si>
  <si>
    <t>touch trigger opens dropdown</t>
  </si>
  <si>
    <t>touch trigger closes open dropdown</t>
  </si>
  <si>
    <t>outside touch closes dropdown</t>
  </si>
  <si>
    <t>Typeahead</t>
  </si>
  <si>
    <t>single-character typeahead cycles from current matching item after buffer reset</t>
  </si>
  <si>
    <t>Feed Playground Coverage</t>
  </si>
  <si>
    <t>Manual Test Protocol passed.</t>
  </si>
  <si>
    <t>Feed playground scenario.</t>
  </si>
  <si>
    <t>Implements `role="feed"` and `role="article"`</t>
  </si>
  <si>
    <t>Supports known and unknown feed sizes with `aria-setsize`</t>
  </si>
  <si>
    <t>Supports article position announcements with `aria-posinset`</t>
  </si>
  <si>
    <t>Supports feed loading state with `aria-busy`</t>
  </si>
  <si>
    <t>Implements Page Up, Page Down, Control/Command + Home, and Control/Command + End feed keyboard behavior</t>
  </si>
  <si>
    <t>Keeps layout, fetching, virtualization, and item rendering outside the primitive</t>
  </si>
  <si>
    <t>verified by Source and Canvas boundaries</t>
  </si>
  <si>
    <t>Primitive stays headless; layout and scrolling remain playground-owned.</t>
  </si>
  <si>
    <t>busy prop behavior</t>
  </si>
  <si>
    <t>setSize prop behavior</t>
  </si>
  <si>
    <t>[data-busy] prop behavior</t>
  </si>
  <si>
    <t>[data-setsize] prop behavior</t>
  </si>
  <si>
    <t>aria-busy is present at the correct time</t>
  </si>
  <si>
    <t>aria-posinset is present at the correct time</t>
  </si>
  <si>
    <t>aria-setsize is present at the correct time</t>
  </si>
  <si>
    <t>data-busy is present at the correct time</t>
  </si>
  <si>
    <t>data-setsize is present at the correct time</t>
  </si>
  <si>
    <t>Ctrl/Cmd+End behavior</t>
  </si>
  <si>
    <t>Ctrl/Cmd+Home behavior</t>
  </si>
  <si>
    <t>PageDown behavior</t>
  </si>
  <si>
    <t>Field Playground Coverage</t>
  </si>
  <si>
    <t>Field playground Props menu implemented with conditional data-prop-check and custom data-slot toggles.</t>
  </si>
  <si>
    <t>Field playground scenario.</t>
  </si>
  <si>
    <t>Manual verification completed in Field playground batch.</t>
  </si>
  <si>
    <t>Field playground page uses shared Canvas/Source, Anatomy, Inspector, and Log infrastructure.</t>
  </si>
  <si>
    <t>Generates stable IDs for label, control, description, and error</t>
  </si>
  <si>
    <t>Wires Field-aware controls to descriptions and visible errors</t>
  </si>
  <si>
    <t>Shares disabled, required, readonly, and invalid state with child controls</t>
  </si>
  <si>
    <t>Supports required and optional label indicators</t>
  </si>
  <si>
    <t>Keeps layout outside Atom through `data-orientation`</t>
  </si>
  <si>
    <t>Field form-field playground page exposes this part/prop in Anatomy, Inspector, Source, or toolbar controls.</t>
  </si>
  <si>
    <t>Field source/anatomy documents whether Root renders DOM; Inspector verifies rendered descendants.</t>
  </si>
  <si>
    <t>id prop behavior</t>
  </si>
  <si>
    <t>[data-required] prop behavior</t>
  </si>
  <si>
    <t>requiredIndicator prop behavior</t>
  </si>
  <si>
    <t>optionalIndicator prop behavior</t>
  </si>
  <si>
    <t>Error</t>
  </si>
  <si>
    <t>match prop behavior</t>
  </si>
  <si>
    <t>forceMatch prop behavior</t>
  </si>
  <si>
    <t>RequiredIndicator</t>
  </si>
  <si>
    <t>fallback prop behavior</t>
  </si>
  <si>
    <t>Shared Anatomy/Inspector expose live ARIA/data attributes for Field when the part is rendered.</t>
  </si>
  <si>
    <t>data-required is present at the correct time</t>
  </si>
  <si>
    <t>Integration</t>
  </si>
  <si>
    <t>Native control</t>
  </si>
  <si>
    <t>Field.Root wires Label, Description, Error, and state to a native input control</t>
  </si>
  <si>
    <t>tested</t>
  </si>
  <si>
    <t>Field Content &gt; Control: Native.</t>
  </si>
  <si>
    <t>Manual test passed.</t>
  </si>
  <si>
    <t>Atom control</t>
  </si>
  <si>
    <t>Field.Root wires Label, Description, Error, and state to Atom Input.Root</t>
  </si>
  <si>
    <t>Field Content &gt; Control: Atom.</t>
  </si>
  <si>
    <t>Fieldset Playground Coverage</t>
  </si>
  <si>
    <t>Fieldset playground Props menu implemented with conditional data-prop-check and custom data-slot toggles.</t>
  </si>
  <si>
    <t>Fieldset playground scenario.</t>
  </si>
  <si>
    <t>Renders native `&lt;fieldset&gt;` and `&lt;legend&gt;` semantics</t>
  </si>
  <si>
    <t>Shares disabled, required, and invalid state across grouped controls</t>
  </si>
  <si>
    <t>Wires description and visible error content with `aria-describedby`</t>
  </si>
  <si>
    <t>Supports required and optional legend indicators</t>
  </si>
  <si>
    <t>Keeps visual layout outside Atom</t>
  </si>
  <si>
    <t>Fieldset form-field playground page exposes this part/prop in Anatomy, Inspector, Source, or toolbar controls.</t>
  </si>
  <si>
    <t>Fieldset source/anatomy documents whether Root renders DOM; Inspector verifies rendered descendants.</t>
  </si>
  <si>
    <t>Legend</t>
  </si>
  <si>
    <t>aria-describedby is present at the correct time</t>
  </si>
  <si>
    <t>Shared Anatomy/Inspector expose live ARIA/data attributes for Fieldset when the part is rendered.</t>
  </si>
  <si>
    <t>aria-required is absent from Fieldset.Root when required</t>
  </si>
  <si>
    <t>Fieldset required toggle, Inspector, and axe verification.</t>
  </si>
  <si>
    <t>Native controls</t>
  </si>
  <si>
    <t>native radio controls work inside Fieldset with shared required, invalid, and disabled state</t>
  </si>
  <si>
    <t>Fieldset Content &gt; Controls: Native.</t>
  </si>
  <si>
    <t>Atom controls</t>
  </si>
  <si>
    <t>Atom RadioGroup works inside Fieldset with shared required, invalid, and disabled state</t>
  </si>
  <si>
    <t>Fieldset Content &gt; Controls: Atom.</t>
  </si>
  <si>
    <t>FileUpload Playground Coverage</t>
  </si>
  <si>
    <t>FileUpload playground scenario.</t>
  </si>
  <si>
    <t>391</t>
  </si>
  <si>
    <t>Controlled and uncontrolled file list</t>
  </si>
  <si>
    <t>Native hidden file input</t>
  </si>
  <si>
    <t>Picker trigger and drag-and-drop dropzone</t>
  </si>
  <si>
    <t>Accept, max file count, max file size, and custom file validation</t>
  </si>
  <si>
    <t>Multiple-file append or replace behavior</t>
  </si>
  <si>
    <t>Rejected file reporting</t>
  </si>
  <si>
    <t>Item group and item metadata parts</t>
  </si>
  <si>
    <t>Same-file re-selection support after removing or clearing files</t>
  </si>
  <si>
    <t>Field context integration for ID, description, required, disabled, read-only, and invalid state</t>
  </si>
  <si>
    <t>files prop behavior</t>
  </si>
  <si>
    <t>defaultFiles prop behavior</t>
  </si>
  <si>
    <t>onFilesChange prop behavior</t>
  </si>
  <si>
    <t>onRejectedFilesChange prop behavior</t>
  </si>
  <si>
    <t>accept prop behavior</t>
  </si>
  <si>
    <t>multiple prop behavior</t>
  </si>
  <si>
    <t>appendFiles prop behavior</t>
  </si>
  <si>
    <t>maxFiles prop behavior</t>
  </si>
  <si>
    <t>maxSize prop behavior</t>
  </si>
  <si>
    <t>validateFile prop behavior</t>
  </si>
  <si>
    <t>[data-drag] prop behavior</t>
  </si>
  <si>
    <t>[data-rejected] prop behavior</t>
  </si>
  <si>
    <t>visible trigger text is shown in Anatomy and Inspector</t>
  </si>
  <si>
    <t>file prop behavior</t>
  </si>
  <si>
    <t>[data-name] prop behavior</t>
  </si>
  <si>
    <t>[data-size] prop behavior</t>
  </si>
  <si>
    <t>Dropzone</t>
  </si>
  <si>
    <t>visible dropzone text is shown in Anatomy and Inspector</t>
  </si>
  <si>
    <t>Enter prop behavior</t>
  </si>
  <si>
    <t>Space prop behavior</t>
  </si>
  <si>
    <t>Tab prop behavior</t>
  </si>
  <si>
    <t>HiddenInput</t>
  </si>
  <si>
    <t>Native Attrs</t>
  </si>
  <si>
    <t>accept mirrors Root accept on the native file input</t>
  </si>
  <si>
    <t>multiple mirrors Root multiple on the native file input</t>
  </si>
  <si>
    <t>name mirrors Root name on the native file input</t>
  </si>
  <si>
    <t>form mirrors Root form on the native file input</t>
  </si>
  <si>
    <t>required mirrors Root or Field required on the native file input</t>
  </si>
  <si>
    <t>disabled mirrors Root or Field disabled on the native file input</t>
  </si>
  <si>
    <t>aria-describedby mirrors Field description and error ids</t>
  </si>
  <si>
    <t>aria-invalid mirrors Root or Field invalid state</t>
  </si>
  <si>
    <t>ItemDeleteTrigger</t>
  </si>
  <si>
    <t>visible delete trigger text is shown in Anatomy and Inspector</t>
  </si>
  <si>
    <t>ItemGroup</t>
  </si>
  <si>
    <t>[data-count] prop behavior</t>
  </si>
  <si>
    <t>ItemName</t>
  </si>
  <si>
    <t>ItemSize</t>
  </si>
  <si>
    <t>data-count is present at the correct time</t>
  </si>
  <si>
    <t>data-drag is present at the correct time</t>
  </si>
  <si>
    <t>data-filled is present at the correct time</t>
  </si>
  <si>
    <t>data-name is present at the correct time</t>
  </si>
  <si>
    <t>data-rejected is present at the correct time</t>
  </si>
  <si>
    <t>data-size is present at the correct time</t>
  </si>
  <si>
    <t>Form Playground Coverage</t>
  </si>
  <si>
    <t>Form playground Props menu implemented with conditional data-prop-check and custom data-slot toggles.</t>
  </si>
  <si>
    <t>Form playground manual verification.</t>
  </si>
  <si>
    <t>renders a native form by default</t>
  </si>
  <si>
    <t>composes native onSubmit and onReset handlers</t>
  </si>
  <si>
    <t>supports optional preventDefaultOnSubmit</t>
  </si>
  <si>
    <t>supports no validation, passing validation, and failing validation</t>
  </si>
  <si>
    <t>supports async submit validation while exposing pending state</t>
  </si>
  <si>
    <t>exposes submitting, submitted, and invalid state through data attributes</t>
  </si>
  <si>
    <t>is the only Form anatomy part</t>
  </si>
  <si>
    <t>default tag is form in Anatomy/Inspector</t>
  </si>
  <si>
    <t>ref target is form</t>
  </si>
  <si>
    <t>data-slot is form</t>
  </si>
  <si>
    <t>preventDefaultOnSubmit prop behavior</t>
  </si>
  <si>
    <t>validateOnSubmit prop behavior</t>
  </si>
  <si>
    <t>onSubmit prop behavior</t>
  </si>
  <si>
    <t>onReset prop behavior</t>
  </si>
  <si>
    <t>data-submitting is present during async submit</t>
  </si>
  <si>
    <t>data-submitted is present after successful submit</t>
  </si>
  <si>
    <t>data-invalid is present after failed validation</t>
  </si>
  <si>
    <t>data-slot is visible in Anatomy/Inspector</t>
  </si>
  <si>
    <t>data-submitting is visible in Anatomy/Inspector</t>
  </si>
  <si>
    <t>data-submitted is visible in Anatomy/Inspector</t>
  </si>
  <si>
    <t>data-invalid is visible in Anatomy/Inspector</t>
  </si>
  <si>
    <t>asChild preserves child form content without double nesting</t>
  </si>
  <si>
    <t>asChild preserves submit/reset behavior</t>
  </si>
  <si>
    <t>render prop renders custom form element</t>
  </si>
  <si>
    <t>reset clears submitted, submitting, and invalid state</t>
  </si>
  <si>
    <t>logs validation, submit, reset, and navigation prevention clearly</t>
  </si>
  <si>
    <t>Form.Root submits and resets with a native input control</t>
  </si>
  <si>
    <t>Form State &gt; Control: Native.</t>
  </si>
  <si>
    <t>Form.Root submits and resets with Atom Input.Root</t>
  </si>
  <si>
    <t>Form State &gt; Control: Atom.</t>
  </si>
  <si>
    <t>HoverCard Playground Coverage</t>
  </si>
  <si>
    <t>ready</t>
  </si>
  <si>
    <t>Props toolbar now toggles Prop Check and custom slots for Trigger, Content, and Arrow.</t>
  </si>
  <si>
    <t>HoverCard playground scenario.</t>
  </si>
  <si>
    <t>HoverCard playground page uses shared Canvas/Source, Anatomy, Inspector, and Log infrastructure.</t>
  </si>
  <si>
    <t>Opens from hover and focus-visible trigger interactions</t>
  </si>
  <si>
    <t>Configurable open and close delays</t>
  </si>
  <si>
    <t>Floating UI positioning with side, align, side offset, collision shift, flip, and arrow coordinates</t>
  </si>
  <si>
    <t>HoverCard playground exposes side/align/offset positioning controls; mobile/touch behavior is ready for device verification.</t>
  </si>
  <si>
    <t>Portal and arrow parts</t>
  </si>
  <si>
    <t>Headless only: no card styling, shadows, animation, or layout</t>
  </si>
  <si>
    <t>Package tests/source review verify consumer ref plumbing for HoverCard; playground manual pass can inspect rendered DOM behavior.</t>
  </si>
  <si>
    <t>openDelay prop behavior</t>
  </si>
  <si>
    <t>closeDelay prop behavior</t>
  </si>
  <si>
    <t>side prop behavior</t>
  </si>
  <si>
    <t>align prop behavior</t>
  </si>
  <si>
    <t>sideOffset prop behavior</t>
  </si>
  <si>
    <t>[data-side] prop behavior</t>
  </si>
  <si>
    <t>Arrow</t>
  </si>
  <si>
    <t>width prop behavior</t>
  </si>
  <si>
    <t>height prop behavior</t>
  </si>
  <si>
    <t>CardContent</t>
  </si>
  <si>
    <t>CardPortal</t>
  </si>
  <si>
    <t>CardTrigger</t>
  </si>
  <si>
    <t>data-side is present at the correct time</t>
  </si>
  <si>
    <t>Composition controls/package tests cover render/asChild behavior for HoverCard; ready for manual verification where exposed.</t>
  </si>
  <si>
    <t>Input Playground Coverage</t>
  </si>
  <si>
    <t>Input playground scenario.</t>
  </si>
  <si>
    <t>Input playground page uses shared Canvas/Source, Anatomy, Inspector, and Log infrastructure.</t>
  </si>
  <si>
    <t>Renders a native `&lt;input&gt;`</t>
  </si>
  <si>
    <t>Supports controlled and uncontrolled value</t>
  </si>
  <si>
    <t>Integrates with `Field.Root` for IDs, descriptions, errors, and state</t>
  </si>
  <si>
    <t>Exposes filled, focused, disabled, readonly, and invalid state</t>
  </si>
  <si>
    <t>Includes an optional clear button that clears and refocuses the input</t>
  </si>
  <si>
    <t>Preserves native input props and event handlers</t>
  </si>
  <si>
    <t>Input form-field playground page exposes this part/prop in Anatomy, Inspector, Source, or toolbar controls.</t>
  </si>
  <si>
    <t>Input source/anatomy documents whether Root renders DOM; Inspector verifies rendered descendants.</t>
  </si>
  <si>
    <t>onClear prop behavior</t>
  </si>
  <si>
    <t>Shared Anatomy/Inspector expose live ARIA/data attributes for Input when the part is rendered.</t>
  </si>
  <si>
    <t>Label Playground Coverage</t>
  </si>
  <si>
    <t>Label playground Props menu implemented with conditional data-prop-check and custom data-slot toggles.</t>
  </si>
  <si>
    <t>scenario is reachable from Fields &gt; Label</t>
  </si>
  <si>
    <t>Fields menu opens the Label playground page.</t>
  </si>
  <si>
    <t>canvas source reflects current toggles without false-prop noise</t>
  </si>
  <si>
    <t>Source view is generated from the Label scenario state.</t>
  </si>
  <si>
    <t>anatomy contains only the real Label Root part</t>
  </si>
  <si>
    <t>Anatomy shows Root only; helper input remains inspectable in Canvas.</t>
  </si>
  <si>
    <t>inspector selected/focused/logs work for the Label scenario</t>
  </si>
  <si>
    <t>Shared Inspector and log panel are wired to Label canvas elements.</t>
  </si>
  <si>
    <t>renders when expected</t>
  </si>
  <si>
    <t>Root anatomy uses the live [data-label-root] element.</t>
  </si>
  <si>
    <t>default tag is label</t>
  </si>
  <si>
    <t>Attributes group exposes the live tag.</t>
  </si>
  <si>
    <t>ref target receives the rendered element</t>
  </si>
  <si>
    <t>Root anatomy includes Ref target.</t>
  </si>
  <si>
    <t>label text remains Email</t>
  </si>
  <si>
    <t>Root summary and Inspector text expose the live text.</t>
  </si>
  <si>
    <t>data-slot is label</t>
  </si>
  <si>
    <t>Shared Anatomy/Inspector Data group exposes data-slot.</t>
  </si>
  <si>
    <t>data-prop-check marker passes through</t>
  </si>
  <si>
    <t>Canvas passes data-prop-check="root" to Label.Root.</t>
  </si>
  <si>
    <t>Native prop</t>
  </si>
  <si>
    <t>htmlFor renders native for attribute when enabled</t>
  </si>
  <si>
    <t>State menu toggles Use htmlFor; Anatomy/Inspector expose for.</t>
  </si>
  <si>
    <t>htmlFor can be removed</t>
  </si>
  <si>
    <t>Use htmlFor toggle removes the for attribute.</t>
  </si>
  <si>
    <t>Behavior</t>
  </si>
  <si>
    <t>for attribute matches the helper input id</t>
  </si>
  <si>
    <t>Root anatomy includes Matches input.</t>
  </si>
  <si>
    <t>clicking the label focuses the associated input when htmlFor is enabled</t>
  </si>
  <si>
    <t>Label click and input focus are logged.</t>
  </si>
  <si>
    <t>disabled prop exposes data-disabled</t>
  </si>
  <si>
    <t>State menu toggles Disabled and live Data exposes data-disabled.</t>
  </si>
  <si>
    <t>disabled does not create native disabled on label</t>
  </si>
  <si>
    <t>Attributes group should not show disabled on the label.</t>
  </si>
  <si>
    <t>required prop exposes data-required</t>
  </si>
  <si>
    <t>State menu toggles Required and live Data exposes data-required.</t>
  </si>
  <si>
    <t>required does not create native required on label</t>
  </si>
  <si>
    <t>Attributes group should not show required on the label.</t>
  </si>
  <si>
    <t>readOnly prop exposes data-readonly</t>
  </si>
  <si>
    <t>State menu toggles Read only and live Data exposes data-readonly.</t>
  </si>
  <si>
    <t>readOnly does not create native readonly on label</t>
  </si>
  <si>
    <t>Attributes group should not show readonly on the label.</t>
  </si>
  <si>
    <t>invalid prop exposes data-invalid</t>
  </si>
  <si>
    <t>State menu toggles Invalid and live Data exposes data-invalid.</t>
  </si>
  <si>
    <t>invalid does not create aria-invalid on label</t>
  </si>
  <si>
    <t>ARIA group should stay empty unless a real ARIA prop exists.</t>
  </si>
  <si>
    <t>default composition renders label</t>
  </si>
  <si>
    <t>Composition menu Root default renders native label.</t>
  </si>
  <si>
    <t>asChild renders the child span</t>
  </si>
  <si>
    <t>Composition menu Root asChild renders span and keeps text.</t>
  </si>
  <si>
    <t>asChild merges state and data props</t>
  </si>
  <si>
    <t>Live Data group should keep data-slot/data-prop-check/state markers.</t>
  </si>
  <si>
    <t>render prop renders a span</t>
  </si>
  <si>
    <t>Composition menu Root render uses render prop with a span.</t>
  </si>
  <si>
    <t>render prop preserves ref and behavior props</t>
  </si>
  <si>
    <t>Root ref and Data groups update under render mode.</t>
  </si>
  <si>
    <t>Label.Root associates with a native input using htmlFor</t>
  </si>
  <si>
    <t>Label Association &gt; Control: Native.</t>
  </si>
  <si>
    <t>Label.Root associates with Atom Input.Root using htmlFor</t>
  </si>
  <si>
    <t>Label Association &gt; Control: Atom.</t>
  </si>
  <si>
    <t>List Playground Coverage</t>
  </si>
  <si>
    <t>List props manual verification.</t>
  </si>
  <si>
    <t>List playground manual pass.</t>
  </si>
  <si>
    <t>Renders native `ul`, `ol`, and `li` semantics</t>
  </si>
  <si>
    <t>Supports ordered and unordered list roots</t>
  </si>
  <si>
    <t>Supports disabled item metadata through `aria-disabled` and `data-disabled`</t>
  </si>
  <si>
    <t>Supports `asChild` and `render` composition</t>
  </si>
  <si>
    <t>Stays server-safe with no client boundary</t>
  </si>
  <si>
    <t>ordered prop behavior</t>
  </si>
  <si>
    <t>[data-ordered] prop behavior</t>
  </si>
  <si>
    <t>data-ordered is present at the correct time</t>
  </si>
  <si>
    <t>Listbox Playground Coverage</t>
  </si>
  <si>
    <t>Listbox playground scenario.</t>
  </si>
  <si>
    <t>Manual verification complete.</t>
  </si>
  <si>
    <t>Implements WAI-ARIA listbox and option roles</t>
  </si>
  <si>
    <t>Supports single and multiple selection</t>
  </si>
  <si>
    <t>Supports controlled and uncontrolled values</t>
  </si>
  <si>
    <t>Supports option groups and labels</t>
  </si>
  <si>
    <t>Supports roving active option with `aria-activedescendant`</t>
  </si>
  <si>
    <t>Supports typeahead, Home/End, arrow navigation, disabled options, form submission, and Field context</t>
  </si>
  <si>
    <t>[data-multiple] prop behavior</t>
  </si>
  <si>
    <t>Group prop behavior</t>
  </si>
  <si>
    <t>Label prop behavior</t>
  </si>
  <si>
    <t>Option</t>
  </si>
  <si>
    <t>OptionText</t>
  </si>
  <si>
    <t>data-multiple is present at the correct time</t>
  </si>
  <si>
    <t>Menu Playground Coverage</t>
  </si>
  <si>
    <t>Menu playground manual verification.</t>
  </si>
  <si>
    <t>modal false skips scroll lock</t>
  </si>
  <si>
    <t>anchorPoint positions from pointer coordinates</t>
  </si>
  <si>
    <t>open button opens menu</t>
  </si>
  <si>
    <t>outside click closes root menu</t>
  </si>
  <si>
    <t>focus stays inside modal menu while open</t>
  </si>
  <si>
    <t>portalled menu registers with parent modal focus scope</t>
  </si>
  <si>
    <t>nested menu Escape does not close parent overlay</t>
  </si>
  <si>
    <t>Rendering</t>
  </si>
  <si>
    <t>root open state visible through content data-state</t>
  </si>
  <si>
    <t>root content portals to body</t>
  </si>
  <si>
    <t>anchorPoint opens at pointer location</t>
  </si>
  <si>
    <t>scroll lock applies only when modal</t>
  </si>
  <si>
    <t>menu works inside Dialog without focus escape</t>
  </si>
  <si>
    <t>outside click closes portalled menu</t>
  </si>
  <si>
    <t>Escape closes topmost overlay only</t>
  </si>
  <si>
    <t>touch opens menu</t>
  </si>
  <si>
    <t>outside touch closes menu</t>
  </si>
  <si>
    <t>Menubar Playground Coverage</t>
  </si>
  <si>
    <t>Menubar playground scenario.</t>
  </si>
  <si>
    <t>Renders `role="menubar"` with menu trigger and content behavior</t>
  </si>
  <si>
    <t>Opens adjacent top-level menus with arrow keys</t>
  </si>
  <si>
    <t>Uses the shared `Menu` item, checkbox, radio, group, separator, and submenu behavior</t>
  </si>
  <si>
    <t>Supports controlled and uncontrolled active menu state</t>
  </si>
  <si>
    <t>Supports configurable `closeOnSelect`, looping, and escape close per menu</t>
  </si>
  <si>
    <t>CheckboxItem</t>
  </si>
  <si>
    <t>closeOnSelect prop behavior</t>
  </si>
  <si>
    <t>RadioItem</t>
  </si>
  <si>
    <t>SubContent</t>
  </si>
  <si>
    <t>SubTrigger</t>
  </si>
  <si>
    <t>ArrowLeft behavior</t>
  </si>
  <si>
    <t>ArrowRight behavior</t>
  </si>
  <si>
    <t>checkbox item checked/unchecked state</t>
  </si>
  <si>
    <t>radio group item exclusivity</t>
  </si>
  <si>
    <t>submenu open, close, keyboard, and nested dismissal</t>
  </si>
  <si>
    <t>selection closes parent menu when expected</t>
  </si>
  <si>
    <t>mouse hover does not reset highlight unexpectedly</t>
  </si>
  <si>
    <t>reads Direction.Provider context for horizontal menubar navigation</t>
  </si>
  <si>
    <t>Add Direction.Provider support to menubar navigation.</t>
  </si>
  <si>
    <t>RTL mirrors top-level ArrowLeft and ArrowRight navigation</t>
  </si>
  <si>
    <t>Implement and test RTL top-level arrow mapping.</t>
  </si>
  <si>
    <t>Implement and test RTL submenu key mapping.</t>
  </si>
  <si>
    <t>Modal Playground Coverage</t>
  </si>
  <si>
    <t>Modal playground scenario.</t>
  </si>
  <si>
    <t>Escape-key and backdrop dismissal controls</t>
  </si>
  <si>
    <t>Stack-aware Escape dismissal so nested overlays close before the parent modal</t>
  </si>
  <si>
    <t>Focus trap, focus restore, scroll lock, and initial focus management</t>
  </si>
  <si>
    <t>Optional keep-mounted content support through `useModalContent`</t>
  </si>
  <si>
    <t>Close reasons for action, cancel, backdrop, Escape, and close-button flows</t>
  </si>
  <si>
    <t>Live DOM shows Modal remains headless: no Atom-owned visual classes, icons, or animation DOM</t>
  </si>
  <si>
    <t>Rewritten from package-level headless characterization to playground-verifiable DOM/Source evidence.</t>
  </si>
  <si>
    <t>Root provider state is represented without a fake DOM selector</t>
  </si>
  <si>
    <t>Rewritten because Modal.Root renders no DOM element.</t>
  </si>
  <si>
    <t>Source shows Root wrapping Trigger and Portal in documented order</t>
  </si>
  <si>
    <t>Root has no default DOM tag and Anatomy shows provider state only</t>
  </si>
  <si>
    <t>Root has no data-slot because it renders no DOM element</t>
  </si>
  <si>
    <t>Root props are verified through behavior, Source, and Anatomy state rows</t>
  </si>
  <si>
    <t>Rewritten because Modal.Root has no native DOM passthrough surface.</t>
  </si>
  <si>
    <t>No Root DOM ref row is tracked because Root renders no element</t>
  </si>
  <si>
    <t>Rewritten because Modal.Root has no rendered element ref target.</t>
  </si>
  <si>
    <t>Portal behavior renders content/backdrop evidence under the Portal section</t>
  </si>
  <si>
    <t>Rewritten because Modal.Portal renders no own Atom DOM element.</t>
  </si>
  <si>
    <t>Source shows Portal in documented order after Trigger</t>
  </si>
  <si>
    <t>Portal has no default DOM tag; rendered content parent is verified instead</t>
  </si>
  <si>
    <t>Portal has no data-slot because it renders no own DOM element</t>
  </si>
  <si>
    <t>Portal disabled and container props are verified through content parent behavior</t>
  </si>
  <si>
    <t>Rewritten because Modal.Portal has no native DOM passthrough surface.</t>
  </si>
  <si>
    <t>No Portal DOM ref row is tracked because Portal renders no own element</t>
  </si>
  <si>
    <t>Rewritten because Modal.Portal has no rendered element ref target.</t>
  </si>
  <si>
    <t>container prop renders content into the custom container</t>
  </si>
  <si>
    <t>Rewritten to exact playground-verifiable portal behavior.</t>
  </si>
  <si>
    <t>disabled prop renders content inline instead of portalling to body</t>
  </si>
  <si>
    <t>Rewritten from non-Close keyboard behavior to public Close composition coverage.</t>
  </si>
  <si>
    <t>consumer click preventDefault blocks close behavior</t>
  </si>
  <si>
    <t>Rewritten from non-Close keyboard behavior to public Close click composition coverage.</t>
  </si>
  <si>
    <t>aria-modal is present at the correct time</t>
  </si>
  <si>
    <t>Rewritten from broad Modal composition to Trigger-specific composition coverage.</t>
  </si>
  <si>
    <t>consumer click preventDefault blocks open behavior</t>
  </si>
  <si>
    <t>Rewritten from broad Modal composition to Trigger-specific event composition coverage.</t>
  </si>
  <si>
    <t>render prop renders custom close element</t>
  </si>
  <si>
    <t>Rewritten from broad Modal composition to Close-specific composition coverage.</t>
  </si>
  <si>
    <t>NavList Playground Coverage</t>
  </si>
  <si>
    <t>NavList playground scenario.</t>
  </si>
  <si>
    <t>Renders native navigation and list semantics</t>
  </si>
  <si>
    <t>Supports active/current link state</t>
  </si>
  <si>
    <t>Supports collapsible sections</t>
  </si>
  <si>
    <t>Supports vertical and horizontal orientation metadata</t>
  </si>
  <si>
    <t>Keeps route behavior in consumer links while Atom owns ARIA and data attributes</t>
  </si>
  <si>
    <t>currentValue prop behavior</t>
  </si>
  <si>
    <t>active prop behavior</t>
  </si>
  <si>
    <t>[data-current] prop behavior</t>
  </si>
  <si>
    <t>ListItem</t>
  </si>
  <si>
    <t>ListLink</t>
  </si>
  <si>
    <t>ListList</t>
  </si>
  <si>
    <t>ListSection</t>
  </si>
  <si>
    <t>ListSectionContent</t>
  </si>
  <si>
    <t>ListSectionLabel</t>
  </si>
  <si>
    <t>ListSectionTrigger</t>
  </si>
  <si>
    <t>SectionContent</t>
  </si>
  <si>
    <t>SectionLabel</t>
  </si>
  <si>
    <t>SectionTrigger</t>
  </si>
  <si>
    <t>data-collapsible is present at the correct time</t>
  </si>
  <si>
    <t>data-current is present at the correct time</t>
  </si>
  <si>
    <t>NavigationMenu Playground Coverage</t>
  </si>
  <si>
    <t>NavigationMenu playground scenario.</t>
  </si>
  <si>
    <t>Supports root and nested navigation menu scopes</t>
  </si>
  <si>
    <t>Supports delayed open, skip delay, pointer open, click open, and keyboard open</t>
  </si>
  <si>
    <t>Provides a shared viewport that adapts to the active content size</t>
  </si>
  <si>
    <t>Provides indicator geometry CSS variables for styling arrows or active markers</t>
  </si>
  <si>
    <t>Supports active links and `aria-current`</t>
  </si>
  <si>
    <t>Supports horizontal and vertical orientation</t>
  </si>
  <si>
    <t>delayDuration prop behavior</t>
  </si>
  <si>
    <t>skipDelayDuration prop behavior</t>
  </si>
  <si>
    <t>[data-motion] prop behavior</t>
  </si>
  <si>
    <t>Viewport</t>
  </si>
  <si>
    <t>--atom-navigation-menu-viewport-width prop behavior</t>
  </si>
  <si>
    <t>--atom-navigation-menu-viewport-height prop behavior</t>
  </si>
  <si>
    <t>--atom-navigation-menu-trigger-left prop behavior</t>
  </si>
  <si>
    <t>--atom-navigation-menu-trigger-top prop behavior</t>
  </si>
  <si>
    <t>--atom-navigation-menu-trigger-width prop behavior</t>
  </si>
  <si>
    <t>--atom-navigation-menu-trigger-height prop behavior</t>
  </si>
  <si>
    <t>--atom-navigation-menu-trigger-center-x prop behavior</t>
  </si>
  <si>
    <t>--atom-navigation-menu-trigger-center-y prop behavior</t>
  </si>
  <si>
    <t>onSelect prop behavior</t>
  </si>
  <si>
    <t>MenuContent</t>
  </si>
  <si>
    <t>MenuIndicator</t>
  </si>
  <si>
    <t>MenuItem</t>
  </si>
  <si>
    <t>MenuLink</t>
  </si>
  <si>
    <t>MenuList</t>
  </si>
  <si>
    <t>MenuSub</t>
  </si>
  <si>
    <t>MenuTrigger</t>
  </si>
  <si>
    <t>MenuViewport</t>
  </si>
  <si>
    <t>data-motion is present at the correct time</t>
  </si>
  <si>
    <t>reads Direction.Provider context before defaulting to ltr</t>
  </si>
  <si>
    <t>NavigationMenu currently exposes a local dir prop only.</t>
  </si>
  <si>
    <t>direct dir prop overrides provider direction</t>
  </si>
  <si>
    <t>Direction-sensitive behavior is supported by source; manual verification needed.</t>
  </si>
  <si>
    <t>RTL mirrors trigger and viewport positioning behavior</t>
  </si>
  <si>
    <t>scenario exposes provider direction and direct dir override separately</t>
  </si>
  <si>
    <t>Add separate provider and direct override controls.</t>
  </si>
  <si>
    <t>NumberInput Playground Coverage</t>
  </si>
  <si>
    <t>NumberInput playground manual verification.</t>
  </si>
  <si>
    <t>Renders an editable text input with `role="spinbutton"`</t>
  </si>
  <si>
    <t>Supports `min`, `max`, `step`, `largeStep`, and precision formatting</t>
  </si>
  <si>
    <t>Supports keyboard stepping with arrows, Page Up/Down, Home, and End</t>
  </si>
  <si>
    <t>Supports custom parser and formatter functions</t>
  </si>
  <si>
    <t>Renders a hidden input for native form submission when named</t>
  </si>
  <si>
    <t>min prop behavior</t>
  </si>
  <si>
    <t>max prop behavior</t>
  </si>
  <si>
    <t>step prop behavior</t>
  </si>
  <si>
    <t>largeStep prop behavior</t>
  </si>
  <si>
    <t>precision prop behavior</t>
  </si>
  <si>
    <t>clampOnBlur prop behavior</t>
  </si>
  <si>
    <t>formatter prop behavior</t>
  </si>
  <si>
    <t>parser prop behavior</t>
  </si>
  <si>
    <t>ariaValueText prop behavior</t>
  </si>
  <si>
    <t>ariaDescribedBy prop behavior</t>
  </si>
  <si>
    <t>aria-valuemax is present at the correct time</t>
  </si>
  <si>
    <t>aria-valuemin is present at the correct time</t>
  </si>
  <si>
    <t>aria-valuenow is present at the correct time</t>
  </si>
  <si>
    <t>aria-valuetext is present at the correct time</t>
  </si>
  <si>
    <t>OTPField Playground Coverage</t>
  </si>
  <si>
    <t>OTPField playground scenario.</t>
  </si>
  <si>
    <t>Manual verification completed.</t>
  </si>
  <si>
    <t>Controlled and uncontrolled full value</t>
  </si>
  <si>
    <t>Auto-generated input cells based on `length`</t>
  </si>
  <si>
    <t>Optional explicit input indexes</t>
  </si>
  <si>
    <t>Roving tab stop so the field behaves as one logical control</t>
  </si>
  <si>
    <t>Paste distribution across cells</t>
  </si>
  <si>
    <t>Arrow, Backspace, Delete, Home, and End navigation</t>
  </si>
  <si>
    <t>Numeric, alphabetic, alphanumeric, or custom pattern filtering</t>
  </si>
  <si>
    <t>length prop behavior</t>
  </si>
  <si>
    <t>pattern prop behavior</t>
  </si>
  <si>
    <t>autoFocus prop behavior</t>
  </si>
  <si>
    <t>[data-index] prop behavior</t>
  </si>
  <si>
    <t>data-index is present at the correct time</t>
  </si>
  <si>
    <t>Pagination Playground Coverage</t>
  </si>
  <si>
    <t>Pagination playground scenario.</t>
  </si>
  <si>
    <t>Renders a navigation landmark and ordered page list</t>
  </si>
  <si>
    <t>Supports controlled and uncontrolled current page</t>
  </si>
  <si>
    <t>Generates stable-length page ranges to reduce layout shift</t>
  </si>
  <si>
    <t>Supports sibling and boundary page counts</t>
  </si>
  <si>
    <t>Supports previous, next, page item, and decorative ellipsis parts</t>
  </si>
  <si>
    <t>Allows localized page labels through native `aria-label`</t>
  </si>
  <si>
    <t>totalPages prop behavior</t>
  </si>
  <si>
    <t>page prop behavior</t>
  </si>
  <si>
    <t>defaultPage prop behavior</t>
  </si>
  <si>
    <t>onPageChange prop behavior</t>
  </si>
  <si>
    <t>siblingCount prop behavior</t>
  </si>
  <si>
    <t>boundaryCount prop behavior</t>
  </si>
  <si>
    <t>[data-page] prop behavior</t>
  </si>
  <si>
    <t>Control</t>
  </si>
  <si>
    <t>Next</t>
  </si>
  <si>
    <t>[data-direction] prop behavior</t>
  </si>
  <si>
    <t>Previous</t>
  </si>
  <si>
    <t>data-direction is present at the correct time</t>
  </si>
  <si>
    <t>data-page is present at the correct time</t>
  </si>
  <si>
    <t>PasswordToggleField Playground Coverage</t>
  </si>
  <si>
    <t>PasswordToggleField playground scenario.</t>
  </si>
  <si>
    <t>PasswordToggleField playground page uses shared Canvas/Source, Anatomy, Inspector, and Log infrastructure.</t>
  </si>
  <si>
    <t>Controlled and uncontrolled password visibility</t>
  </si>
  <si>
    <t>Native password input type switching</t>
  </si>
  <si>
    <t>Toggle button with dynamic accessible label</t>
  </si>
  <si>
    <t>Optional icon part that switches visible/hidden content</t>
  </si>
  <si>
    <t>Disabled, read-only, required, and invalid state propagation</t>
  </si>
  <si>
    <t>Headless only: no icon, layout, or visual affordance is included</t>
  </si>
  <si>
    <t>PasswordToggleField form-field playground page exposes this part/prop in Anatomy, Inspector, Source, or toolbar controls.</t>
  </si>
  <si>
    <t>visible prop behavior</t>
  </si>
  <si>
    <t>defaultVisible prop behavior</t>
  </si>
  <si>
    <t>onVisibleChange prop behavior</t>
  </si>
  <si>
    <t>Icon</t>
  </si>
  <si>
    <t>hidden prop behavior</t>
  </si>
  <si>
    <t>Popover Playground Coverage</t>
  </si>
  <si>
    <t>Popover manual protocol and live playground evidence.</t>
  </si>
  <si>
    <t>Click or hover trigger mode</t>
  </si>
  <si>
    <t>Optional anchor separate from the trigger</t>
  </si>
  <si>
    <t>Modal mode with focus trap and scroll lock</t>
  </si>
  <si>
    <t>Non-modal focus guards and outside interaction dismissal</t>
  </si>
  <si>
    <t>Stack-aware Escape dismissal for nested overlays</t>
  </si>
  <si>
    <t>Close button part and portal support</t>
  </si>
  <si>
    <t>Root is behavior-only and renders no DOM tag</t>
  </si>
  <si>
    <t>passed manual test; Root has state rows only and no raw DOM element</t>
  </si>
  <si>
    <t>Root Anatomy state rows; Root has no Attributes, ARIA, or Data groups.</t>
  </si>
  <si>
    <t>passed manual test; data-slot is not applicable to Root</t>
  </si>
  <si>
    <t>Root Anatomy confirms behavior-only context with no DOM slot.</t>
  </si>
  <si>
    <t>Root native DOM prop passthrough is not applicable</t>
  </si>
  <si>
    <t>passed manual test; Root exposes behavior through child DOM parts</t>
  </si>
  <si>
    <t>Root is non-DOM; prop checks apply to Anchor, Trigger, Content, Arrow, and Close.</t>
  </si>
  <si>
    <t>Root consumer DOM ref is not applicable</t>
  </si>
  <si>
    <t>passed manual test; Root has no rendered element for a DOM ref</t>
  </si>
  <si>
    <t>Root renders context only; refs are verified on DOM parts where applicable.</t>
  </si>
  <si>
    <t>modal prop behavior</t>
  </si>
  <si>
    <t>triggerMode prop behavior</t>
  </si>
  <si>
    <t>closeOnInteractOutside prop behavior</t>
  </si>
  <si>
    <t>Portal wrapper has no default DOM tag</t>
  </si>
  <si>
    <t>passed manual test; portal behavior verified through content parent evidence</t>
  </si>
  <si>
    <t>Portal Anatomy shows body, custom container, and disabled inline placement through Content parent rows.</t>
  </si>
  <si>
    <t>Portal has no data-slot because it renders no Atom DOM part</t>
  </si>
  <si>
    <t>passed manual test; data-slot is not applicable to Portal</t>
  </si>
  <si>
    <t>Portal behavior is verified through Content parent and Source portal props.</t>
  </si>
  <si>
    <t>Portal native DOM prop passthrough is not applicable</t>
  </si>
  <si>
    <t>passed manual test; Portal exposes portal utility props instead of DOM props</t>
  </si>
  <si>
    <t>Portal rows verify body, container, and disabled portal behavior.</t>
  </si>
  <si>
    <t>Portal consumer DOM ref is not applicable</t>
  </si>
  <si>
    <t>passed manual test; Portal has no rendered element for a DOM ref</t>
  </si>
  <si>
    <t>Portal behavior is verified through rendered Content placement evidence.</t>
  </si>
  <si>
    <t>Anchor</t>
  </si>
  <si>
    <t>[data-trigger-mode] prop behavior</t>
  </si>
  <si>
    <t>passed manual test; default Arrow width/height verified as 10 by 5</t>
  </si>
  <si>
    <t>Arrow Anatomy width/height rows and package geometry tests.</t>
  </si>
  <si>
    <t>passed manual test; wide Arrow width/height verified as 16 by 8</t>
  </si>
  <si>
    <t>Arrow Size toolbar option, Arrow Anatomy rows, and package geometry tests.</t>
  </si>
  <si>
    <t>data-trigger-mode is present at the correct time</t>
  </si>
  <si>
    <t>passed manual test; Escape closes nested layer before parent Popover</t>
  </si>
  <si>
    <t>Nested Popover manual protocol and package dismissable layer behavior.</t>
  </si>
  <si>
    <t>passed manual test; nested portalled Popover interaction stays inside parent layer</t>
  </si>
  <si>
    <t>Nested Popover manual protocol; package click-away ignores descendant portalled layers controlled inside parent content.</t>
  </si>
  <si>
    <t>desktop browser manual workflow covers pointer and keyboard behavior; mobile touch remains responsive smoke only</t>
  </si>
  <si>
    <t>passed desktop manual test; mobile-specific device testing not separately required for this row</t>
  </si>
  <si>
    <t>Popover playground manual protocol covers pointer, keyboard, portal, modal, and nested overlay behavior in browser.</t>
  </si>
  <si>
    <t>passed manual test; body, custom container, and disabled portal paths verified</t>
  </si>
  <si>
    <t>Portal toolbar mode, Portal Anatomy rows, and Source output.</t>
  </si>
  <si>
    <t>passed manual test; side/align/offset and collision-aware data-side behavior verified</t>
  </si>
  <si>
    <t>Content placement controls and live Content data-side/positioned evidence.</t>
  </si>
  <si>
    <t>passed manual test; Arrow geometry and default Anchor child reference behavior verified</t>
  </si>
  <si>
    <t>Anchor positioning manual test, Arrow Anatomy rows, and package PopoverContent reference tests.</t>
  </si>
  <si>
    <t>Portal Playground Coverage</t>
  </si>
  <si>
    <t>Portal playground manual verification.</t>
  </si>
  <si>
    <t>Portals to `document.body` after mount by default</t>
  </si>
  <si>
    <t>Accepts a custom container element</t>
  </si>
  <si>
    <t>Can be disabled to render children in place</t>
  </si>
  <si>
    <t>Returns `null` before a client-side target exists</t>
  </si>
  <si>
    <t>shows Portal behavioral state when expected</t>
  </si>
  <si>
    <t>documents that Portal renders no DOM tag</t>
  </si>
  <si>
    <t>documents that Portal exposes no data-slot because it renders no wrapper</t>
  </si>
  <si>
    <t>Portaled child</t>
  </si>
  <si>
    <t>child content can carry native props/data-prop-check marker</t>
  </si>
  <si>
    <t>child content can be inspected when mounted</t>
  </si>
  <si>
    <t>child inspection is separate from Portal behavior anatomy</t>
  </si>
  <si>
    <t>child default tag is visible in Inspector</t>
  </si>
  <si>
    <t>child data attributes are visible in Inspector</t>
  </si>
  <si>
    <t>child non-Atom props pass through with data-prop-check marker</t>
  </si>
  <si>
    <t>default container is document.body</t>
  </si>
  <si>
    <t>custom container receives children</t>
  </si>
  <si>
    <t>disabled portal renders in place where supported</t>
  </si>
  <si>
    <t>Pressable Playground Coverage</t>
  </si>
  <si>
    <t>Pressable playground manual verification.</t>
  </si>
  <si>
    <t>Renders a native `&lt;button&gt;` by default</t>
  </si>
  <si>
    <t>Adds button semantics for custom non-native renders</t>
  </si>
  <si>
    <t>Supports pointer press state through `data-pressed`</t>
  </si>
  <si>
    <t>Supports disabled state and press cancellation</t>
  </si>
  <si>
    <t>Fires `onPress` for pointer and keyboard activation</t>
  </si>
  <si>
    <t>Handles Space activation on keyup for ARIA button parity</t>
  </si>
  <si>
    <t>onKeyDown prop behavior</t>
  </si>
  <si>
    <t>onKeyUp prop behavior</t>
  </si>
  <si>
    <t>onPointerDown prop behavior</t>
  </si>
  <si>
    <t>onPointerUp prop behavior</t>
  </si>
  <si>
    <t>onPointerCancel prop behavior</t>
  </si>
  <si>
    <t>onLostPointerCapture prop behavior</t>
  </si>
  <si>
    <t>[data-pressed] prop behavior</t>
  </si>
  <si>
    <t>data-pressed is present at the correct time</t>
  </si>
  <si>
    <t>Root composition</t>
  </si>
  <si>
    <t>custom render/asChild pointer down then release outside does not fire press</t>
  </si>
  <si>
    <t>Progress Playground Coverage</t>
  </si>
  <si>
    <t>Progress playground manual pass.</t>
  </si>
  <si>
    <t>Implements `role="progressbar"`</t>
  </si>
  <si>
    <t>Supports determinate values and indeterminate progress</t>
  </si>
  <si>
    <t>Normalizes invalid `min`/`max` ranges</t>
  </si>
  <si>
    <t>Exposes progress state, value, min, max, and percent through data attributes</t>
  </si>
  <si>
    <t>Supports custom assistive value text</t>
  </si>
  <si>
    <t>aria-valuetext prop behavior</t>
  </si>
  <si>
    <t>getValueLabel prop behavior</t>
  </si>
  <si>
    <t>[data-min] prop behavior</t>
  </si>
  <si>
    <t>[data-max] prop behavior</t>
  </si>
  <si>
    <t>[data-percent] prop behavior</t>
  </si>
  <si>
    <t>data-max is present at the correct time</t>
  </si>
  <si>
    <t>data-min is present at the correct time</t>
  </si>
  <si>
    <t>data-percent is present at the correct time</t>
  </si>
  <si>
    <t>RadioGroup Playground Coverage</t>
  </si>
  <si>
    <t>RadioGroup playground scenario.</t>
  </si>
  <si>
    <t>RadioGroup playground page uses shared Canvas/Source, Anatomy, Inspector, and Log infrastructure.</t>
  </si>
  <si>
    <t>Manages one selected value</t>
  </si>
  <si>
    <t>Supports horizontal and vertical keyboard navigation</t>
  </si>
  <si>
    <t>Supports optional looping</t>
  </si>
  <si>
    <t>Renders hidden native radio inputs for form submission when named</t>
  </si>
  <si>
    <t>Keeps only the selected or first enabled item in the tab order</t>
  </si>
  <si>
    <t>Package tests/source review verify consumer ref plumbing for RadioGroup; playground manual pass can inspect rendered DOM behavior.</t>
  </si>
  <si>
    <t>Composition controls/package tests cover render/asChild behavior for RadioGroup; ready for manual verification where exposed.</t>
  </si>
  <si>
    <t>Rating Playground Coverage</t>
  </si>
  <si>
    <t>Rating playground scenario.</t>
  </si>
  <si>
    <t>Implements rating as a WAI-ARIA slider</t>
  </si>
  <si>
    <t>Supports fractional values with configurable `step`</t>
  </si>
  <si>
    <t>Supports pointer selection, drag updates, keyboard control, and click-to-clear</t>
  </si>
  <si>
    <t>Supports disabled, read-only, invalid, and required states</t>
  </si>
  <si>
    <t>Renders an optional hidden input for form submission</t>
  </si>
  <si>
    <t>formValue prop behavior</t>
  </si>
  <si>
    <t>tabIndex prop behavior</t>
  </si>
  <si>
    <t>[data-step] prop behavior</t>
  </si>
  <si>
    <t>[data-fill] prop behavior</t>
  </si>
  <si>
    <t>data-fill is present at the correct time</t>
  </si>
  <si>
    <t>data-step is present at the correct time</t>
  </si>
  <si>
    <t>reads Direction.Provider context for horizontal rating movement</t>
  </si>
  <si>
    <t>RTL mirrors ArrowLeft and ArrowRight rating changes</t>
  </si>
  <si>
    <t>ScrollArea Playground Coverage</t>
  </si>
  <si>
    <t>ScrollArea playground scenario.</t>
  </si>
  <si>
    <t>Provides root and viewport parts</t>
  </si>
  <si>
    <t>Supports vertical, horizontal, and both-axis orientation metadata</t>
  </si>
  <si>
    <t>Keeps the viewport out of the Tab order by default</t>
  </si>
  <si>
    <t>Adds `role="region"` only when the viewport has an accessible name</t>
  </si>
  <si>
    <t>focusable prop behavior</t>
  </si>
  <si>
    <t>role prop behavior</t>
  </si>
  <si>
    <t>viewport keyboard accessibility is opt-in</t>
  </si>
  <si>
    <t>named region semantics only appear when labelled</t>
  </si>
  <si>
    <t>Select Playground Coverage</t>
  </si>
  <si>
    <t>Select playground manual verification.</t>
  </si>
  <si>
    <t>controlled value prop</t>
  </si>
  <si>
    <t>defaultValue / uncontrolled value</t>
  </si>
  <si>
    <t>onValueChange callback</t>
  </si>
  <si>
    <t>defaultOpen / uncontrolled open</t>
  </si>
  <si>
    <t>required</t>
  </si>
  <si>
    <t>name hidden input</t>
  </si>
  <si>
    <t>form hidden input association</t>
  </si>
  <si>
    <t>Field integration</t>
  </si>
  <si>
    <t>inherits Field disabled</t>
  </si>
  <si>
    <t>inherits Field required</t>
  </si>
  <si>
    <t>inherits Field control id</t>
  </si>
  <si>
    <t>inherits Field label</t>
  </si>
  <si>
    <t>inherits Field description/error</t>
  </si>
  <si>
    <t>explicit aria-label overrides Field label</t>
  </si>
  <si>
    <t>click closes when open</t>
  </si>
  <si>
    <t>role combobox</t>
  </si>
  <si>
    <t>type button on default render</t>
  </si>
  <si>
    <t>aria-expanded</t>
  </si>
  <si>
    <t>aria-haspopup listbox</t>
  </si>
  <si>
    <t>aria-controls matches listbox id</t>
  </si>
  <si>
    <t>aria-activedescendant tracks highlight</t>
  </si>
  <si>
    <t>aria-disabled / disabled attribute</t>
  </si>
  <si>
    <t>data-disabled</t>
  </si>
  <si>
    <t>ArrowDown opens and highlights first enabled item</t>
  </si>
  <si>
    <t>ArrowUp opens and highlights last enabled item</t>
  </si>
  <si>
    <t>arrow navigation wraps</t>
  </si>
  <si>
    <t>Enter opens when closed</t>
  </si>
  <si>
    <t>Enter selects highlighted item when open</t>
  </si>
  <si>
    <t>Space opens when closed</t>
  </si>
  <si>
    <t>Space selects highlighted item when open</t>
  </si>
  <si>
    <t>Escape closes and keeps focus on trigger</t>
  </si>
  <si>
    <t>Tab closes and moves focus normally</t>
  </si>
  <si>
    <t>typeahead opens and highlights match</t>
  </si>
  <si>
    <t>typeahead buffer resets</t>
  </si>
  <si>
    <t>Value</t>
  </si>
  <si>
    <t>renders selected item label</t>
  </si>
  <si>
    <t>renders placeholder with no value</t>
  </si>
  <si>
    <t>children override displayed text</t>
  </si>
  <si>
    <t>data-placeholder</t>
  </si>
  <si>
    <t>ref receives span</t>
  </si>
  <si>
    <t>native span props passthrough</t>
  </si>
  <si>
    <t>data-slot</t>
  </si>
  <si>
    <t>renders decorative icon</t>
  </si>
  <si>
    <t>aria-hidden</t>
  </si>
  <si>
    <t>content mounts in body by default</t>
  </si>
  <si>
    <t>disabled keeps content inline</t>
  </si>
  <si>
    <t>container prop</t>
  </si>
  <si>
    <t>Focus scope</t>
  </si>
  <si>
    <t>registers with parent modal focus scope</t>
  </si>
  <si>
    <t>Content/Listbox</t>
  </si>
  <si>
    <t>Content alias renders listbox</t>
  </si>
  <si>
    <t>Listbox part renders directly</t>
  </si>
  <si>
    <t>renders only when open</t>
  </si>
  <si>
    <t>disablePortal</t>
  </si>
  <si>
    <t>role listbox</t>
  </si>
  <si>
    <t>aria-label</t>
  </si>
  <si>
    <t>data-state open</t>
  </si>
  <si>
    <t>min width matches trigger</t>
  </si>
  <si>
    <t>flips/shifts near viewport edge</t>
  </si>
  <si>
    <t>outside pointer closes</t>
  </si>
  <si>
    <t>inside click does not close unless selecting item</t>
  </si>
  <si>
    <t>Escape closes from open listbox</t>
  </si>
  <si>
    <t>highlighted item scrolls into view</t>
  </si>
  <si>
    <t>ref receives div</t>
  </si>
  <si>
    <t>renders item viewport</t>
  </si>
  <si>
    <t>renders group role</t>
  </si>
  <si>
    <t>aria-labelledby matches Label</t>
  </si>
  <si>
    <t>renders group label</t>
  </si>
  <si>
    <t>id registration</t>
  </si>
  <si>
    <t>renders option role</t>
  </si>
  <si>
    <t>value is required identity</t>
  </si>
  <si>
    <t>label prop controls typeahead/value display</t>
  </si>
  <si>
    <t>selected item aria-selected</t>
  </si>
  <si>
    <t>data-state checked/unchecked</t>
  </si>
  <si>
    <t>disabled item aria-disabled/data-disabled</t>
  </si>
  <si>
    <t>aria-labelledby appears after ItemText</t>
  </si>
  <si>
    <t>omits aria-labelledby without ItemText</t>
  </si>
  <si>
    <t>click selects item</t>
  </si>
  <si>
    <t>click closes listbox</t>
  </si>
  <si>
    <t>click restores focus to trigger</t>
  </si>
  <si>
    <t>disabled item click is ignored</t>
  </si>
  <si>
    <t>pointer move highlights enabled item</t>
  </si>
  <si>
    <t>merged onPointerMove</t>
  </si>
  <si>
    <t>merged onPointerLeave</t>
  </si>
  <si>
    <t>data-highlighted</t>
  </si>
  <si>
    <t>data-value</t>
  </si>
  <si>
    <t>ItemText</t>
  </si>
  <si>
    <t>registers item text</t>
  </si>
  <si>
    <t>id used by item aria-labelledby</t>
  </si>
  <si>
    <t>ItemIndicator</t>
  </si>
  <si>
    <t>renders only when selected by default</t>
  </si>
  <si>
    <t>forceMount renders unchecked indicator</t>
  </si>
  <si>
    <t>renders separator role</t>
  </si>
  <si>
    <t>aria-orientation horizontal</t>
  </si>
  <si>
    <t>ScrollUpButton</t>
  </si>
  <si>
    <t>renders only when can scroll up</t>
  </si>
  <si>
    <t>ScrollDownButton</t>
  </si>
  <si>
    <t>renders only when can scroll down</t>
  </si>
  <si>
    <t>Scroll buttons</t>
  </si>
  <si>
    <t>click scrolls viewport</t>
  </si>
  <si>
    <t>aria-hidden and tabIndex -1</t>
  </si>
  <si>
    <t>refs receive button</t>
  </si>
  <si>
    <t>data-slot direction</t>
  </si>
  <si>
    <t>renders decorative arrow</t>
  </si>
  <si>
    <t>tap trigger opens</t>
  </si>
  <si>
    <t>tap item selects</t>
  </si>
  <si>
    <t>tap outside closes</t>
  </si>
  <si>
    <t>viewport fit and scroll</t>
  </si>
  <si>
    <t>single-character typeahead cycles from current matching option after buffer reset</t>
  </si>
  <si>
    <t>Sidebar Playground Coverage</t>
  </si>
  <si>
    <t>Sidebar playground scenario.</t>
  </si>
  <si>
    <t>Supports controlled and uncontrolled sidebar state</t>
  </si>
  <si>
    <t>Supports `expanded`, `rail`, and `offcanvas` states</t>
  </si>
  <si>
    <t>Supports left and right sidebars</t>
  </si>
  <si>
    <t>Provides trigger, panel, and main content relationships</t>
  </si>
  <si>
    <t>Keeps layout and visual sizing in consumer styles</t>
  </si>
  <si>
    <t>Removes offcanvas panels from the accessibility tree</t>
  </si>
  <si>
    <t>state prop behavior</t>
  </si>
  <si>
    <t>defaultState prop behavior</t>
  </si>
  <si>
    <t>onStateChange prop behavior</t>
  </si>
  <si>
    <t>collapsedState prop behavior</t>
  </si>
  <si>
    <t>[data-collapsed-state] prop behavior</t>
  </si>
  <si>
    <t>Main</t>
  </si>
  <si>
    <t>Panel</t>
  </si>
  <si>
    <t>data-collapsed-state is present at the correct time</t>
  </si>
  <si>
    <t>data-target-state is present at the correct time</t>
  </si>
  <si>
    <t>SkipLink Playground Coverage</t>
  </si>
  <si>
    <t>SkipLink playground scenario.</t>
  </si>
  <si>
    <t>Renders a native anchor for progressive enhancement</t>
  </si>
  <si>
    <t>Focuses and scrolls the hash target on activation</t>
  </si>
  <si>
    <t>Safely handles malformed hash encoding</t>
  </si>
  <si>
    <t>Provides a programmatically focusable target</t>
  </si>
  <si>
    <t>Supports `asChild` and `render` on both parts</t>
  </si>
  <si>
    <t>focusTarget prop behavior</t>
  </si>
  <si>
    <t>Target</t>
  </si>
  <si>
    <t>skip link target receives programmatic focus</t>
  </si>
  <si>
    <t>malformed hashes do not break navigation</t>
  </si>
  <si>
    <t>Slider Playground Coverage</t>
  </si>
  <si>
    <t>Slider playground scenario.</t>
  </si>
  <si>
    <t>Supports single-value and multi-thumb range values</t>
  </si>
  <si>
    <t>Supports pointer dragging, keyboard changes, and commit callbacks</t>
  </si>
  <si>
    <t>Supports hidden form inputs</t>
  </si>
  <si>
    <t>Exposes geometry through data attributes and inline offset styles</t>
  </si>
  <si>
    <t>onValueCommit prop behavior</t>
  </si>
  <si>
    <t>minStepsBetweenThumbs prop behavior</t>
  </si>
  <si>
    <t>Range</t>
  </si>
  <si>
    <t>PageUp prop behavior</t>
  </si>
  <si>
    <t>PageDown prop behavior</t>
  </si>
  <si>
    <t>Home prop behavior</t>
  </si>
  <si>
    <t>End prop behavior</t>
  </si>
  <si>
    <t>Thumb</t>
  </si>
  <si>
    <t>Track</t>
  </si>
  <si>
    <t>data-end is present at the correct time</t>
  </si>
  <si>
    <t>data-start is present at the correct time</t>
  </si>
  <si>
    <t>reads Direction.Provider context for horizontal slider math</t>
  </si>
  <si>
    <t>RTL mirrors ArrowLeft and ArrowRight value changes</t>
  </si>
  <si>
    <t>RTL mirrors pointer math for horizontal value changes</t>
  </si>
  <si>
    <t>SwipeableItem Playground Coverage</t>
  </si>
  <si>
    <t>SwipeableItem playground scenario.</t>
  </si>
  <si>
    <t>Supports start and end action panels</t>
  </si>
  <si>
    <t>Supports pointer dragging and keyboard opening</t>
  </si>
  <si>
    <t>Supports controlled and uncontrolled open side state</t>
  </si>
  <si>
    <t>Supports left-to-right and right-to-left direction</t>
  </si>
  <si>
    <t>Supports optional full-swipe actions</t>
  </si>
  <si>
    <t>openSide prop behavior</t>
  </si>
  <si>
    <t>defaultOpenSide prop behavior</t>
  </si>
  <si>
    <t>onOpenSideChange prop behavior</t>
  </si>
  <si>
    <t>onFullSwipe prop behavior</t>
  </si>
  <si>
    <t>threshold prop behavior</t>
  </si>
  <si>
    <t>fullSwipeThreshold prop behavior</t>
  </si>
  <si>
    <t>[data-dragging] prop behavior</t>
  </si>
  <si>
    <t>--atom-swipeable-item-offset prop behavior</t>
  </si>
  <si>
    <t>--atom-swipeable-item-start-size prop behavior</t>
  </si>
  <si>
    <t>--atom-swipeable-item-end-size prop behavior</t>
  </si>
  <si>
    <t>Actions</t>
  </si>
  <si>
    <t>data-dragging is present at the correct time</t>
  </si>
  <si>
    <t>Escape behavior</t>
  </si>
  <si>
    <t>RTL mirrors start and end swipe sides</t>
  </si>
  <si>
    <t>RTL mirrors ArrowLeft and ArrowRight open side behavior</t>
  </si>
  <si>
    <t>Actions close the open item on click by default and can opt out with closeOnClick={false}</t>
  </si>
  <si>
    <t>Switch Playground Coverage</t>
  </si>
  <si>
    <t>Switch playground scenario.</t>
  </si>
  <si>
    <t>Switch playground page uses shared Canvas/Source, Anatomy, Inspector, and Log infrastructure.</t>
  </si>
  <si>
    <t>Renders a WAI-ARIA switch</t>
  </si>
  <si>
    <t>Supports disabled, read-only, required, and invalid states</t>
  </si>
  <si>
    <t>Includes a decorative thumb part that mirrors root state</t>
  </si>
  <si>
    <t>Package tests/source review verify consumer ref plumbing for Switch; playground manual pass can inspect rendered DOM behavior.</t>
  </si>
  <si>
    <t>Composition controls/package tests cover render/asChild behavior for Switch; ready for manual verification where exposed.</t>
  </si>
  <si>
    <t>Table Playground Coverage</t>
  </si>
  <si>
    <t>Table playground scenario.</t>
  </si>
  <si>
    <t>Renders native table semantics</t>
  </si>
  <si>
    <t>Provides all standard table structural parts</t>
  </si>
  <si>
    <t>Supports `aria-sort` and `data-sort` on header cells</t>
  </si>
  <si>
    <t>Leaves sorting, filtering, selection, and keyboard grid behavior to higher-level primitives</t>
  </si>
  <si>
    <t>Head</t>
  </si>
  <si>
    <t>scope prop behavior</t>
  </si>
  <si>
    <t>[data-sort] prop behavior</t>
  </si>
  <si>
    <t>Tabs Playground Coverage</t>
  </si>
  <si>
    <t>Tabs playground scenario.</t>
  </si>
  <si>
    <t>Implements linked tab and tabpanel ARIA</t>
  </si>
  <si>
    <t>Supports controlled and uncontrolled selected value</t>
  </si>
  <si>
    <t>Supports automatic or manual activation</t>
  </si>
  <si>
    <t>Supports disabled tabs, keep-mounted panels, focusable panels, and an optional indicator</t>
  </si>
  <si>
    <t>activationMode prop behavior</t>
  </si>
  <si>
    <t>Textarea Playground Coverage</t>
  </si>
  <si>
    <t>Textarea playground manual verification.</t>
  </si>
  <si>
    <t>Renders a native `&lt;textarea&gt;`</t>
  </si>
  <si>
    <t>Supports optional auto-resize with `minRows` and `maxRows`</t>
  </si>
  <si>
    <t>Includes an optional character count part</t>
  </si>
  <si>
    <t>Exposes filled, focused, disabled, readonly, invalid, and over-limit state</t>
  </si>
  <si>
    <t>autoResize prop behavior</t>
  </si>
  <si>
    <t>minRows prop behavior</t>
  </si>
  <si>
    <t>maxRows prop behavior</t>
  </si>
  <si>
    <t>[data-autoresize] prop behavior</t>
  </si>
  <si>
    <t>Count</t>
  </si>
  <si>
    <t>[data-over-limit] prop behavior</t>
  </si>
  <si>
    <t>aria-live is present at the correct time</t>
  </si>
  <si>
    <t>data-autoresize is present at the correct time</t>
  </si>
  <si>
    <t>data-over-limit is present at the correct time</t>
  </si>
  <si>
    <t>Toast Playground Coverage</t>
  </si>
  <si>
    <t>Toast playground scenario.</t>
  </si>
  <si>
    <t>Supports declarative and imperative toast rendering</t>
  </si>
  <si>
    <t>Includes a global toast store and `toast.*` helpers</t>
  </si>
  <si>
    <t>Supports queueing with a maximum visible count</t>
  </si>
  <si>
    <t>Announces toast titles/descriptions through persistent live regions</t>
  </si>
  <si>
    <t>Supports hover/focus-loss pause behavior</t>
  </si>
  <si>
    <t>Supports custom viewport rendering</t>
  </si>
  <si>
    <t>Supports `asChild` and `render` on visual parts</t>
  </si>
  <si>
    <t>toast prop behavior</t>
  </si>
  <si>
    <t>duration prop behavior</t>
  </si>
  <si>
    <t>paused prop behavior</t>
  </si>
  <si>
    <t>dismissible prop behavior</t>
  </si>
  <si>
    <t>closeButton prop behavior</t>
  </si>
  <si>
    <t>expanded prop behavior</t>
  </si>
  <si>
    <t>removeDelay prop behavior</t>
  </si>
  <si>
    <t>onAutoClose prop behavior</t>
  </si>
  <si>
    <t>onDismiss prop behavior</t>
  </si>
  <si>
    <t>[data-type] prop behavior</t>
  </si>
  <si>
    <t>[data-expanded] prop behavior</t>
  </si>
  <si>
    <t>maxVisible prop behavior</t>
  </si>
  <si>
    <t>expandOnHover prop behavior</t>
  </si>
  <si>
    <t>pauseOnHover prop behavior</t>
  </si>
  <si>
    <t>pauseOnFocusLoss prop behavior</t>
  </si>
  <si>
    <t>portalDisabled prop behavior</t>
  </si>
  <si>
    <t>renderToast prop behavior</t>
  </si>
  <si>
    <t>[data-slot="toast-announcer-polite"] prop behavior</t>
  </si>
  <si>
    <t>[data-slot="toast-announcer-assertive"] prop behavior</t>
  </si>
  <si>
    <t>altText prop behavior</t>
  </si>
  <si>
    <t>aria-atomic is present at the correct time</t>
  </si>
  <si>
    <t>data-expanded is present at the correct time</t>
  </si>
  <si>
    <t>data-type is present at the correct time</t>
  </si>
  <si>
    <t>Toggle Playground Coverage</t>
  </si>
  <si>
    <t>Toggle playground manual verification.</t>
  </si>
  <si>
    <t>canvas source reflects controlled, pressed, disabled, events, and composition</t>
  </si>
  <si>
    <t>anatomy uses live DOM attributes, ARIA, data, text, and ref evidence</t>
  </si>
  <si>
    <t>inspector selected/focused/logs update for this scenario</t>
  </si>
  <si>
    <t>Root is the only anatomy part</t>
  </si>
  <si>
    <t>Root summary follows data-state on/off</t>
  </si>
  <si>
    <t>default render is native button</t>
  </si>
  <si>
    <t>consumer ref receives rendered element</t>
  </si>
  <si>
    <t>visible text is Bold</t>
  </si>
  <si>
    <t>non-Atom native/data props pass through with data-prop-check marker</t>
  </si>
  <si>
    <t>value prop appears as data-value</t>
  </si>
  <si>
    <t>aria-label comes from ariaLabel</t>
  </si>
  <si>
    <t>aria-pressed reflects pressed state</t>
  </si>
  <si>
    <t>uncontrolled defaultPressed path starts from toolbar state</t>
  </si>
  <si>
    <t>controlled pressed path follows toolbar state</t>
  </si>
  <si>
    <t>click toggles pressed state</t>
  </si>
  <si>
    <t>Enter toggles pressed state</t>
  </si>
  <si>
    <t>Space toggles pressed state</t>
  </si>
  <si>
    <t>onPressedChange fires with the next value</t>
  </si>
  <si>
    <t>disabled blocks click and keyboard toggling</t>
  </si>
  <si>
    <t>Attributes</t>
  </si>
  <si>
    <t>type button is present for native button</t>
  </si>
  <si>
    <t>native disabled attribute appears when disabled</t>
  </si>
  <si>
    <t>data-slot is toggle</t>
  </si>
  <si>
    <t>data-state is on or off</t>
  </si>
  <si>
    <t>data-disabled appears only when disabled</t>
  </si>
  <si>
    <t>data-value is bold</t>
  </si>
  <si>
    <t>asChild renders the provided child element</t>
  </si>
  <si>
    <t>asChild keeps behavior, ARIA, data, and text</t>
  </si>
  <si>
    <t>render renders the custom element</t>
  </si>
  <si>
    <t>render keeps behavior, ARIA, data, and text</t>
  </si>
  <si>
    <t>Events</t>
  </si>
  <si>
    <t>consumer onClick logs before Atom state change</t>
  </si>
  <si>
    <t>consumer onKeyDown logs Enter and Space</t>
  </si>
  <si>
    <t>preventDefault on click blocks Atom toggle</t>
  </si>
  <si>
    <t>preventDefault on keyboard blocks Atom toggle</t>
  </si>
  <si>
    <t>Source hides false booleans and uses shorthand true booleans</t>
  </si>
  <si>
    <t>ToggleGroup Playground Coverage</t>
  </si>
  <si>
    <t>ToggleGroup playground manual verification.</t>
  </si>
  <si>
    <t>canvas source reflects current state, direction, and composition</t>
  </si>
  <si>
    <t>anatomy uses live DOM Attributes, ARIA, and Data groups</t>
  </si>
  <si>
    <t>inspector selected, focused, and logs work for this scenario</t>
  </si>
  <si>
    <t>Root appears before Item sections</t>
  </si>
  <si>
    <t>Bold, Italic, and Underline items are inspectable separately</t>
  </si>
  <si>
    <t>default tag is div and ref target matches rendered element</t>
  </si>
  <si>
    <t>role group and aria-label are present</t>
  </si>
  <si>
    <t>data-slot is toggle-group</t>
  </si>
  <si>
    <t>single type toggles one selected value</t>
  </si>
  <si>
    <t>multiple type toggles multiple selected values</t>
  </si>
  <si>
    <t>controlled value path updates from toolbar and item press</t>
  </si>
  <si>
    <t>uncontrolled defaultValue path updates from item press</t>
  </si>
  <si>
    <t>onValueChange logs the next value exactly once per change</t>
  </si>
  <si>
    <t>disabled disables every item and blocks value changes</t>
  </si>
  <si>
    <t>loop true wraps arrow focus</t>
  </si>
  <si>
    <t>loop false stops arrow focus at edges</t>
  </si>
  <si>
    <t>horizontal orientation uses ArrowLeft and ArrowRight</t>
  </si>
  <si>
    <t>vertical orientation uses ArrowUp and ArrowDown</t>
  </si>
  <si>
    <t>LTR horizontal ArrowRight moves forward and ArrowLeft moves backward</t>
  </si>
  <si>
    <t>RTL horizontal ArrowRight moves backward and ArrowLeft moves forward</t>
  </si>
  <si>
    <t>Home focuses the first enabled item</t>
  </si>
  <si>
    <t>End focuses the last enabled item</t>
  </si>
  <si>
    <t>disabled items are skipped during keyboard navigation</t>
  </si>
  <si>
    <t>roving tab stop follows selected item or first enabled item</t>
  </si>
  <si>
    <t>data-orientation changes with orientation</t>
  </si>
  <si>
    <t>data-disabled appears only when root is disabled</t>
  </si>
  <si>
    <t>asChild renders section without double nesting</t>
  </si>
  <si>
    <t>render renders section and preserves children</t>
  </si>
  <si>
    <t>default tag is button and ref target matches rendered element</t>
  </si>
  <si>
    <t>item text and value are visible</t>
  </si>
  <si>
    <t>aria-label is present for item labels</t>
  </si>
  <si>
    <t>aria-pressed tracks on and off states</t>
  </si>
  <si>
    <t>native disabled item does not add redundant aria-disabled</t>
  </si>
  <si>
    <t>non-native disabled item receives aria-disabled</t>
  </si>
  <si>
    <t>item press toggles selected state in multiple mode</t>
  </si>
  <si>
    <t>item press replaces selected state in single mode</t>
  </si>
  <si>
    <t>disabled item cannot be toggled</t>
  </si>
  <si>
    <t>data-slot is toggle-group-item</t>
  </si>
  <si>
    <t>data-value matches public value</t>
  </si>
  <si>
    <t>data-disabled appears only for disabled item</t>
  </si>
  <si>
    <t>asChild renders span and preserves behavior props</t>
  </si>
  <si>
    <t>render renders span and preserves behavior props</t>
  </si>
  <si>
    <t>preventDefault on item click blocks Atom toggle behavior</t>
  </si>
  <si>
    <t>preventDefault on Enter or Space blocks Atom toggle behavior</t>
  </si>
  <si>
    <t>Enter toggles the focused item</t>
  </si>
  <si>
    <t>Space toggles the focused item</t>
  </si>
  <si>
    <t>source omits false boolean props and shows disabled shorthand</t>
  </si>
  <si>
    <t>source shows Direction.Provider only for rtl</t>
  </si>
  <si>
    <t>value changes, item events, and root keyboard events are useful and not spammy</t>
  </si>
  <si>
    <t>Toolbar Playground Coverage</t>
  </si>
  <si>
    <t>Scenario is registered in the playground top menu.</t>
  </si>
  <si>
    <t>Worksheet planned from source/docs inventory.</t>
  </si>
  <si>
    <t>Toolbar playground page uses shared Canvas/Source, Anatomy, Inspector, and Log infrastructure.</t>
  </si>
  <si>
    <t>Renders `role="toolbar"` with orientation</t>
  </si>
  <si>
    <t>Supports buttons, links, separators, and toggle groups</t>
  </si>
  <si>
    <t>Registers toolbar items in DOM order</t>
  </si>
  <si>
    <t>Toolbar playground uses real Toolbar collection/navigation behavior and exposes keyboard/manual verification paths.</t>
  </si>
  <si>
    <t>Keeps styling, icons, and visual grouping outside the primitive</t>
  </si>
  <si>
    <t>ToggleItem</t>
  </si>
  <si>
    <t>Shared Anatomy/Inspector expose live ARIA/data attributes for Toolbar when the part is rendered.</t>
  </si>
  <si>
    <t>aria-pressed is present at the correct time</t>
  </si>
  <si>
    <t>ArrowDown behavior</t>
  </si>
  <si>
    <t>ArrowUp behavior</t>
  </si>
  <si>
    <t>Toolbar currently exposes a local dir prop only.</t>
  </si>
  <si>
    <t>Tooltip Playground Coverage</t>
  </si>
  <si>
    <t>Tooltip playground Props menu implemented with conditional data-prop-check toggles.</t>
  </si>
  <si>
    <t>Tooltip playground Props menu implemented with conditional custom data-slot toggles for Trigger, Content, and Arrow.</t>
  </si>
  <si>
    <t>Tooltip playground scenario.</t>
  </si>
  <si>
    <t>Tooltip playground page uses shared Canvas/Source, Anatomy, Inspector, and Log infrastructure.</t>
  </si>
  <si>
    <t>Provider-level delay configuration</t>
  </si>
  <si>
    <t>Opens on pointer hover, keyboard focus-visible, and touch long press</t>
  </si>
  <si>
    <t>Tooltip playground exposes side/align/offset positioning controls; mobile/touch behavior is ready for device verification.</t>
  </si>
  <si>
    <t>`aria-describedby` wiring between trigger and tooltip content</t>
  </si>
  <si>
    <t>Package tests/source review verify consumer ref plumbing for Tooltip; playground manual pass can inspect rendered DOM behavior.</t>
  </si>
  <si>
    <t>Composition controls/package tests cover render/asChild behavior for Tooltip; ready for manual verification where exposed.</t>
  </si>
  <si>
    <t>Tree Playground Coverage</t>
  </si>
  <si>
    <t>Tree playground scenario.</t>
  </si>
  <si>
    <t>Implements WAI-ARIA `tree`, `treeitem`, and `group` roles</t>
  </si>
  <si>
    <t>Supports controlled and uncontrolled selection</t>
  </si>
  <si>
    <t>Supports controlled and uncontrolled expansion</t>
  </si>
  <si>
    <t>Supports typeahead, roving active item, disabled items, Field context, and form submission</t>
  </si>
  <si>
    <t>Supports nested groups with automatic levels</t>
  </si>
  <si>
    <t>expandedValue prop behavior</t>
  </si>
  <si>
    <t>defaultExpandedValue prop behavior</t>
  </si>
  <si>
    <t>onExpandedValueChange prop behavior</t>
  </si>
  <si>
    <t>expandable prop behavior</t>
  </si>
  <si>
    <t>aria-level is present at the correct time</t>
  </si>
  <si>
    <t>data-expandable is present at the correct time</t>
  </si>
  <si>
    <t>data-level is present at the correct time</t>
  </si>
  <si>
    <t>reads Direction.Provider context for horizontal tree navigation</t>
  </si>
  <si>
    <t>Add Direction.Provider fallback before testing RTL tree arrows.</t>
  </si>
  <si>
    <t>RTL mirrors ArrowLeft and ArrowRight expand/collapse behavior</t>
  </si>
  <si>
    <t>Implement and test RTL tree expand/collapse mapping.</t>
  </si>
  <si>
    <t>TreeGrid Playground Coverage</t>
  </si>
  <si>
    <t>TreeGrid playground scenario.</t>
  </si>
  <si>
    <t>Implements `role="treegrid"` with row, row header, column header, and gridcell parts</t>
  </si>
  <si>
    <t>Supports optional row selection with selectable parent rows</t>
  </si>
  <si>
    <t>Hides descendant rows when parent rows are collapsed</t>
  </si>
  <si>
    <t>Keeps sorting, filtering, resizing, editing, and virtualization outside the primitive</t>
  </si>
  <si>
    <t>GridRowHeader</t>
  </si>
  <si>
    <t>parentValue prop behavior</t>
  </si>
  <si>
    <t>level prop behavior</t>
  </si>
  <si>
    <t>RowHeader</t>
  </si>
  <si>
    <t>data-parent-value is present at the correct time</t>
  </si>
  <si>
    <t>data-selectable is present at the correct time</t>
  </si>
  <si>
    <t>data-selection-disabled is present at the correct time</t>
  </si>
  <si>
    <t>Virtualizer Playground Coverage</t>
  </si>
  <si>
    <t>Virtualizer playground manual verification.</t>
  </si>
  <si>
    <t>Computes visible virtual items from item count, scroll offset, viewport size, and overscan</t>
  </si>
  <si>
    <t>Supports measured item sizes with `ResizeObserver`</t>
  </si>
  <si>
    <t>Supports stable item keys</t>
  </si>
  <si>
    <t>Provides `scrollToOffset` and `scrollToIndex` helpers</t>
  </si>
  <si>
    <t>Keeps DOM structure, ARIA roles, keyboard behavior, and styling in the component that uses it</t>
  </si>
  <si>
    <t>scroll container tag is visible in Anatomy/Inspector</t>
  </si>
  <si>
    <t>Virtualizer emits no data-slot because it renders no DOM</t>
  </si>
  <si>
    <t>non-Atom marker data-prop-check is not used for hook output</t>
  </si>
  <si>
    <t>visible virtual items render in DOM evidence group</t>
  </si>
  <si>
    <t>visible range rows follow hook output order</t>
  </si>
  <si>
    <t>virtual item indexes are visible in Anatomy/Inspector</t>
  </si>
  <si>
    <t>Virtualizer emits no Atom data attributes because it renders no DOM</t>
  </si>
  <si>
    <t>scroll container native tabIndex is visible</t>
  </si>
  <si>
    <t>visible range updates from item size and overscan</t>
  </si>
  <si>
    <t>scrollToIndex honors start, center, end, and auto alignment</t>
  </si>
  <si>
    <t>variable item sizes and zero-size items are handled</t>
  </si>
  <si>
    <t>Pure helpers</t>
  </si>
  <si>
    <t>getVirtualTotalSize export and behavior</t>
  </si>
  <si>
    <t>Unit tests cover pure helper behavior; playground shows total size.</t>
  </si>
  <si>
    <t>getVirtualOffsetForIndex export and behavior</t>
  </si>
  <si>
    <t>Unit tests cover pure helper behavior; playground shows item starts.</t>
  </si>
  <si>
    <t>getVirtualScrollOffsetForIndex export and behavior</t>
  </si>
  <si>
    <t>Unit tests cover pure helper behavior; playground tests scrollToIndex alignments.</t>
  </si>
  <si>
    <t>VisuallyHidden Playground Coverage</t>
  </si>
  <si>
    <t>Visually Hidden playground scenario.</t>
  </si>
  <si>
    <t>Keeps content available to assistive technology</t>
  </si>
  <si>
    <t>Applies an authoritative visually-hidden style contract</t>
  </si>
  <si>
    <t>Merges consumer styles before hiding styles</t>
  </si>
  <si>
    <t>content remains accessible while visually hidden</t>
  </si>
  <si>
    <t>asChild/render composition works without styling concerns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</si>
</sst>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>
    <font>
      <sz val="11"/>
      <name val="Carlito"/>
    </font>
    <font>
      <b/>
      <sz val="16"/>
      <color rgb="FF111827"/>
      <name val="Carlito"/>
    </font>
    <font>
      <sz val="10"/>
      <color rgb="FF64748B"/>
      <name val="Carlito"/>
    </font>
    <font>
      <i/>
      <sz val="9"/>
      <color rgb="FF64748B"/>
      <name val="Carlito"/>
    </font>
    <font>
      <b/>
      <sz val="11"/>
      <color rgb="FF1F2937"/>
      <name val="Carlito"/>
    </font>
    <font>
      <b/>
      <sz val="11"/>
      <color rgb="FF111827"/>
      <name val="Carlito"/>
    </font>
    <font>
      <b/>
      <sz val="11"/>
      <color rgb="FFFFFFFF"/>
      <name val="Carlito"/>
    </font>
    <font>
      <sz val="11"/>
      <color rgb="FF1F2937"/>
      <name val="Carlito"/>
    </font>
    <font>
      <b/>
      <sz val="11"/>
      <color rgb="FF64748B"/>
      <name val="Carlito"/>
    </font>
    <font>
      <b/>
      <sz val="16"/>
      <color rgb="FF1F2937"/>
      <name val="Carlito"/>
    </font>
    <font>
      <sz val="11"/>
      <color rgb="FF667085"/>
      <name val="Carlito"/>
    </font>
    <font>
      <b/>
      <sz val="11"/>
      <color rgb="FF1F2937"/>
      <name val="Carlito"/>
    </font>
    <font>
      <sz val="11"/>
      <color rgb="FF006100"/>
      <name val="Carlito"/>
    </font>
    <font>
      <b/>
      <sz val="11"/>
      <color rgb="FF006100"/>
      <name val="Carlito"/>
    </font>
    <font>
      <b/>
      <sz val="11"/>
      <color rgb="FF9C0006"/>
      <name val="Carlito"/>
    </font>
    <font>
      <sz val="11"/>
      <color rgb="FF006100"/>
      <name val="Carlito"/>
    </font>
    <font>
      <b/>
      <sz val="11"/>
      <color rgb="FF006100"/>
      <name val="Carlito"/>
    </font>
    <font>
      <sz val="11"/>
      <color rgb="FF006100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164" fontId="7" fillId="0" borderId="2" xfId="0" applyNumberFormat="1" applyFont="1" applyBorder="1" applyAlignment="1">
      <alignment horizontal="center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7" borderId="2" xfId="0" applyFont="1" applyFill="1" applyBorder="1" applyAlignment="1">
      <alignment horizontal="center" vertical="top" wrapText="1"/>
    </xf>
    <xf numFmtId="0" fontId="7" fillId="4" borderId="2" xfId="0" applyFont="1" applyFill="1" applyBorder="1" applyAlignment="1">
      <alignment horizontal="center" vertical="top" wrapText="1"/>
    </xf>
    <xf numFmtId="0" fontId="7" fillId="5" borderId="2" xfId="0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center" vertical="top" wrapText="1"/>
    </xf>
    <xf numFmtId="0" fontId="0" fillId="0" borderId="3" xfId="0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9" fontId="8" fillId="2" borderId="3" xfId="0" applyNumberFormat="1" applyFont="1" applyFill="1" applyBorder="1" applyAlignment="1">
      <alignment vertical="center"/>
    </xf>
    <xf numFmtId="0" fontId="11" fillId="9" borderId="3" xfId="0" applyFont="1" applyFill="1" applyBorder="1" applyAlignment="1">
      <alignment horizontal="center" vertical="center"/>
    </xf>
    <xf numFmtId="9" fontId="5" fillId="2" borderId="1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top" wrapText="1"/>
    </xf>
    <xf numFmtId="0" fontId="12" fillId="10" borderId="4" xfId="0" applyFont="1" applyFill="1" applyBorder="1" applyAlignment="1">
      <alignment vertical="top" wrapText="1"/>
    </xf>
    <xf numFmtId="164" fontId="12" fillId="10" borderId="4" xfId="0" applyNumberFormat="1" applyFont="1" applyFill="1" applyBorder="1" applyAlignment="1">
      <alignment horizontal="center" vertical="top" wrapText="1"/>
    </xf>
    <xf numFmtId="0" fontId="12" fillId="12" borderId="4" xfId="0" applyFont="1" applyFill="1" applyBorder="1" applyAlignment="1">
      <alignment horizontal="center" vertical="top" wrapText="1"/>
    </xf>
    <xf numFmtId="0" fontId="12" fillId="12" borderId="4" xfId="0" applyFont="1" applyFill="1" applyBorder="1" applyAlignment="1">
      <alignment vertical="top" wrapText="1"/>
    </xf>
    <xf numFmtId="164" fontId="12" fillId="12" borderId="4" xfId="0" applyNumberFormat="1" applyFont="1" applyFill="1" applyBorder="1" applyAlignment="1">
      <alignment horizontal="center" vertical="top" wrapText="1"/>
    </xf>
    <xf numFmtId="0" fontId="13" fillId="10" borderId="3" xfId="0" applyFont="1" applyFill="1" applyBorder="1" applyAlignment="1">
      <alignment horizontal="left" vertical="center"/>
    </xf>
    <xf numFmtId="0" fontId="13" fillId="10" borderId="4" xfId="0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9" fontId="13" fillId="10" borderId="4" xfId="0" applyNumberFormat="1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 vertical="center"/>
    </xf>
    <xf numFmtId="0" fontId="14" fillId="11" borderId="3" xfId="0" applyFont="1" applyFill="1" applyBorder="1" applyAlignment="1">
      <alignment horizontal="left" vertical="center"/>
    </xf>
    <xf numFmtId="0" fontId="14" fillId="11" borderId="3" xfId="0" applyFont="1" applyFill="1" applyBorder="1" applyAlignment="1">
      <alignment horizontal="center" vertical="center"/>
    </xf>
    <xf numFmtId="9" fontId="14" fillId="11" borderId="4" xfId="0" applyNumberFormat="1" applyFont="1" applyFill="1" applyBorder="1" applyAlignment="1">
      <alignment horizontal="center" vertical="center"/>
    </xf>
    <xf numFmtId="0" fontId="13" fillId="10" borderId="4" xfId="0" applyFont="1" applyFill="1" applyBorder="1" applyAlignment="1">
      <alignment horizontal="left" vertical="center"/>
    </xf>
    <xf numFmtId="9" fontId="5" fillId="2" borderId="3" xfId="0" applyNumberFormat="1" applyFont="1" applyFill="1" applyBorder="1" applyAlignment="1">
      <alignment vertical="center"/>
    </xf>
    <xf numFmtId="1" fontId="5" fillId="2" borderId="3" xfId="0" applyNumberFormat="1" applyFont="1" applyFill="1" applyBorder="1" applyAlignment="1">
      <alignment vertical="center"/>
    </xf>
    <xf numFmtId="9" fontId="13" fillId="10" borderId="3" xfId="0" applyNumberFormat="1" applyFont="1" applyFill="1" applyBorder="1" applyAlignment="1">
      <alignment horizontal="center" vertical="center"/>
    </xf>
    <xf numFmtId="0" fontId="15" fillId="13" borderId="2" xfId="0" applyFont="1" applyFill="1" applyBorder="1" applyAlignment="1">
      <alignment horizontal="center" vertical="top" wrapText="1"/>
    </xf>
    <xf numFmtId="0" fontId="15" fillId="13" borderId="2" xfId="0" applyFont="1" applyFill="1" applyBorder="1" applyAlignment="1">
      <alignment vertical="top" wrapText="1"/>
    </xf>
    <xf numFmtId="164" fontId="15" fillId="13" borderId="2" xfId="0" applyNumberFormat="1" applyFont="1" applyFill="1" applyBorder="1" applyAlignment="1">
      <alignment horizontal="center" vertical="top" wrapText="1"/>
    </xf>
    <xf numFmtId="0" fontId="13" fillId="13" borderId="3" xfId="0" applyFont="1" applyFill="1" applyBorder="1" applyAlignment="1">
      <alignment horizontal="left" vertical="center"/>
    </xf>
    <xf numFmtId="0" fontId="13" fillId="13" borderId="3" xfId="0" applyFont="1" applyFill="1" applyBorder="1" applyAlignment="1">
      <alignment horizontal="center" vertical="center"/>
    </xf>
    <xf numFmtId="9" fontId="13" fillId="13" borderId="4" xfId="0" applyNumberFormat="1" applyFont="1" applyFill="1" applyBorder="1" applyAlignment="1">
      <alignment horizontal="center" vertical="center"/>
    </xf>
    <xf numFmtId="0" fontId="13" fillId="13" borderId="4" xfId="0" applyFont="1" applyFill="1" applyBorder="1" applyAlignment="1">
      <alignment horizontal="center" vertical="center"/>
    </xf>
    <xf numFmtId="0" fontId="16" fillId="14" borderId="3" xfId="0" applyFont="1" applyFill="1" applyBorder="1" applyAlignment="1">
      <alignment horizontal="left" vertical="center"/>
    </xf>
    <xf numFmtId="0" fontId="16" fillId="14" borderId="3" xfId="0" applyFont="1" applyFill="1" applyBorder="1" applyAlignment="1">
      <alignment horizontal="center" vertical="center"/>
    </xf>
    <xf numFmtId="9" fontId="16" fillId="14" borderId="4" xfId="0" applyNumberFormat="1" applyFont="1" applyFill="1" applyBorder="1" applyAlignment="1">
      <alignment horizontal="center" vertical="center"/>
    </xf>
    <xf numFmtId="0" fontId="16" fillId="14" borderId="4" xfId="0" applyFont="1" applyFill="1" applyBorder="1" applyAlignment="1">
      <alignment horizontal="center" vertical="center"/>
    </xf>
    <xf numFmtId="0" fontId="14" fillId="15" borderId="3" xfId="0" applyFont="1" applyFill="1" applyBorder="1" applyAlignment="1">
      <alignment horizontal="left" vertical="center"/>
    </xf>
    <xf numFmtId="0" fontId="14" fillId="15" borderId="3" xfId="0" applyFont="1" applyFill="1" applyBorder="1" applyAlignment="1">
      <alignment horizontal="center" vertical="center"/>
    </xf>
    <xf numFmtId="9" fontId="14" fillId="15" borderId="4" xfId="0" applyNumberFormat="1" applyFont="1" applyFill="1" applyBorder="1" applyAlignment="1">
      <alignment horizontal="center" vertical="center"/>
    </xf>
    <xf numFmtId="0" fontId="17" fillId="15" borderId="4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top" wrapText="1"/>
    </xf>
    <xf numFmtId="0" fontId="7" fillId="15" borderId="2" xfId="0" applyFont="1" applyFill="1" applyBorder="1" applyAlignment="1">
      <alignment vertical="top" wrapText="1"/>
    </xf>
    <xf numFmtId="0" fontId="17" fillId="15" borderId="2" xfId="0" applyFont="1" applyFill="1" applyBorder="1" applyAlignment="1">
      <alignment horizontal="center" vertical="top" wrapText="1"/>
    </xf>
    <xf numFmtId="164" fontId="7" fillId="15" borderId="2" xfId="0" applyNumberFormat="1" applyFont="1" applyFill="1" applyBorder="1" applyAlignment="1">
      <alignment horizontal="center" vertical="top" wrapText="1"/>
    </xf>
    <xf numFmtId="0" fontId="9" fillId="0" borderId="3" xfId="0" applyFont="1" applyBorder="1" applyAlignment="1">
      <alignment vertical="center"/>
    </xf>
    <xf numFmtId="0" fontId="0" fillId="0" borderId="3" xfId="0" applyBorder="1"/>
    <xf numFmtId="0" fontId="10" fillId="0" borderId="3" xfId="0" applyFont="1" applyBorder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/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:Relationships xmlns:rel="http://schemas.openxmlformats.org/package/2006/relationships"><rel:Relationship Id="rId26" Type="http://schemas.openxmlformats.org/officeDocument/2006/relationships/worksheet" Target="worksheets/sheet26.xml" /><rel:Relationship Id="rId21" Type="http://schemas.openxmlformats.org/officeDocument/2006/relationships/worksheet" Target="worksheets/sheet21.xml" /><rel:Relationship Id="rId42" Type="http://schemas.openxmlformats.org/officeDocument/2006/relationships/worksheet" Target="worksheets/sheet42.xml" /><rel:Relationship Id="rId47" Type="http://schemas.openxmlformats.org/officeDocument/2006/relationships/worksheet" Target="worksheets/sheet47.xml" /><rel:Relationship Id="rId63" Type="http://schemas.openxmlformats.org/officeDocument/2006/relationships/worksheet" Target="worksheets/sheet63.xml" /><rel:Relationship Id="rId68" Type="http://schemas.openxmlformats.org/officeDocument/2006/relationships/styles" Target="styles.xml" /><rel:Relationship Id="rId7" Type="http://schemas.openxmlformats.org/officeDocument/2006/relationships/worksheet" Target="worksheets/sheet7.xml" /><rel:Relationship Id="rId2" Type="http://schemas.openxmlformats.org/officeDocument/2006/relationships/worksheet" Target="worksheets/sheet2.xml" /><rel:Relationship Id="rId16" Type="http://schemas.openxmlformats.org/officeDocument/2006/relationships/worksheet" Target="worksheets/sheet16.xml" /><rel:Relationship Id="rId29" Type="http://schemas.openxmlformats.org/officeDocument/2006/relationships/worksheet" Target="worksheets/sheet29.xml" /><rel:Relationship Id="rId11" Type="http://schemas.openxmlformats.org/officeDocument/2006/relationships/worksheet" Target="worksheets/sheet11.xml" /><rel:Relationship Id="rId24" Type="http://schemas.openxmlformats.org/officeDocument/2006/relationships/worksheet" Target="worksheets/sheet24.xml" /><rel:Relationship Id="rId32" Type="http://schemas.openxmlformats.org/officeDocument/2006/relationships/worksheet" Target="worksheets/sheet32.xml" /><rel:Relationship Id="rId37" Type="http://schemas.openxmlformats.org/officeDocument/2006/relationships/worksheet" Target="worksheets/sheet37.xml" /><rel:Relationship Id="rId40" Type="http://schemas.openxmlformats.org/officeDocument/2006/relationships/worksheet" Target="worksheets/sheet40.xml" /><rel:Relationship Id="rId45" Type="http://schemas.openxmlformats.org/officeDocument/2006/relationships/worksheet" Target="worksheets/sheet45.xml" /><rel:Relationship Id="rId53" Type="http://schemas.openxmlformats.org/officeDocument/2006/relationships/worksheet" Target="worksheets/sheet53.xml" /><rel:Relationship Id="rId58" Type="http://schemas.openxmlformats.org/officeDocument/2006/relationships/worksheet" Target="worksheets/sheet58.xml" /><rel:Relationship Id="rId66" Type="http://schemas.openxmlformats.org/officeDocument/2006/relationships/worksheet" Target="worksheets/sheet66.xml" /><rel:Relationship Id="rId5" Type="http://schemas.openxmlformats.org/officeDocument/2006/relationships/worksheet" Target="worksheets/sheet5.xml" /><rel:Relationship Id="rId61" Type="http://schemas.openxmlformats.org/officeDocument/2006/relationships/worksheet" Target="worksheets/sheet61.xml" /><rel:Relationship Id="rId19" Type="http://schemas.openxmlformats.org/officeDocument/2006/relationships/worksheet" Target="worksheets/sheet19.xml" /><rel:Relationship Id="rId14" Type="http://schemas.openxmlformats.org/officeDocument/2006/relationships/worksheet" Target="worksheets/sheet14.xml" /><rel:Relationship Id="rId22" Type="http://schemas.openxmlformats.org/officeDocument/2006/relationships/worksheet" Target="worksheets/sheet22.xml" /><rel:Relationship Id="rId27" Type="http://schemas.openxmlformats.org/officeDocument/2006/relationships/worksheet" Target="worksheets/sheet27.xml" /><rel:Relationship Id="rId30" Type="http://schemas.openxmlformats.org/officeDocument/2006/relationships/worksheet" Target="worksheets/sheet30.xml" /><rel:Relationship Id="rId35" Type="http://schemas.openxmlformats.org/officeDocument/2006/relationships/worksheet" Target="worksheets/sheet35.xml" /><rel:Relationship Id="rId43" Type="http://schemas.openxmlformats.org/officeDocument/2006/relationships/worksheet" Target="worksheets/sheet43.xml" /><rel:Relationship Id="rId48" Type="http://schemas.openxmlformats.org/officeDocument/2006/relationships/worksheet" Target="worksheets/sheet48.xml" /><rel:Relationship Id="rId56" Type="http://schemas.openxmlformats.org/officeDocument/2006/relationships/worksheet" Target="worksheets/sheet56.xml" /><rel:Relationship Id="rId64" Type="http://schemas.openxmlformats.org/officeDocument/2006/relationships/worksheet" Target="worksheets/sheet64.xml" /><rel:Relationship Id="rId69" Type="http://schemas.openxmlformats.org/officeDocument/2006/relationships/sharedStrings" Target="sharedStrings.xml" /><rel:Relationship Id="rId8" Type="http://schemas.openxmlformats.org/officeDocument/2006/relationships/worksheet" Target="worksheets/sheet8.xml" /><rel:Relationship Id="rId51" Type="http://schemas.openxmlformats.org/officeDocument/2006/relationships/worksheet" Target="worksheets/sheet51.xml" /><rel:Relationship Id="rId3" Type="http://schemas.openxmlformats.org/officeDocument/2006/relationships/worksheet" Target="worksheets/sheet3.xml" /><rel:Relationship Id="rId12" Type="http://schemas.openxmlformats.org/officeDocument/2006/relationships/worksheet" Target="worksheets/sheet12.xml" /><rel:Relationship Id="rId17" Type="http://schemas.openxmlformats.org/officeDocument/2006/relationships/worksheet" Target="worksheets/sheet17.xml" /><rel:Relationship Id="rId25" Type="http://schemas.openxmlformats.org/officeDocument/2006/relationships/worksheet" Target="worksheets/sheet25.xml" /><rel:Relationship Id="rId33" Type="http://schemas.openxmlformats.org/officeDocument/2006/relationships/worksheet" Target="worksheets/sheet33.xml" /><rel:Relationship Id="rId38" Type="http://schemas.openxmlformats.org/officeDocument/2006/relationships/worksheet" Target="worksheets/sheet38.xml" /><rel:Relationship Id="rId46" Type="http://schemas.openxmlformats.org/officeDocument/2006/relationships/worksheet" Target="worksheets/sheet46.xml" /><rel:Relationship Id="rId59" Type="http://schemas.openxmlformats.org/officeDocument/2006/relationships/worksheet" Target="worksheets/sheet59.xml" /><rel:Relationship Id="rId67" Type="http://schemas.openxmlformats.org/officeDocument/2006/relationships/theme" Target="theme/theme1.xml" /><rel:Relationship Id="rId20" Type="http://schemas.openxmlformats.org/officeDocument/2006/relationships/worksheet" Target="worksheets/sheet20.xml" /><rel:Relationship Id="rId41" Type="http://schemas.openxmlformats.org/officeDocument/2006/relationships/worksheet" Target="worksheets/sheet41.xml" /><rel:Relationship Id="rId54" Type="http://schemas.openxmlformats.org/officeDocument/2006/relationships/worksheet" Target="worksheets/sheet54.xml" /><rel:Relationship Id="rId62" Type="http://schemas.openxmlformats.org/officeDocument/2006/relationships/worksheet" Target="worksheets/sheet62.xml" /><rel:Relationship Id="rId1" Type="http://schemas.openxmlformats.org/officeDocument/2006/relationships/worksheet" Target="worksheets/sheet1.xml" /><rel:Relationship Id="rId6" Type="http://schemas.openxmlformats.org/officeDocument/2006/relationships/worksheet" Target="worksheets/sheet6.xml" /><rel:Relationship Id="rId15" Type="http://schemas.openxmlformats.org/officeDocument/2006/relationships/worksheet" Target="worksheets/sheet15.xml" /><rel:Relationship Id="rId23" Type="http://schemas.openxmlformats.org/officeDocument/2006/relationships/worksheet" Target="worksheets/sheet23.xml" /><rel:Relationship Id="rId28" Type="http://schemas.openxmlformats.org/officeDocument/2006/relationships/worksheet" Target="worksheets/sheet28.xml" /><rel:Relationship Id="rId36" Type="http://schemas.openxmlformats.org/officeDocument/2006/relationships/worksheet" Target="worksheets/sheet36.xml" /><rel:Relationship Id="rId49" Type="http://schemas.openxmlformats.org/officeDocument/2006/relationships/worksheet" Target="worksheets/sheet49.xml" /><rel:Relationship Id="rId57" Type="http://schemas.openxmlformats.org/officeDocument/2006/relationships/worksheet" Target="worksheets/sheet57.xml" /><rel:Relationship Id="rId10" Type="http://schemas.openxmlformats.org/officeDocument/2006/relationships/worksheet" Target="worksheets/sheet10.xml" /><rel:Relationship Id="rId31" Type="http://schemas.openxmlformats.org/officeDocument/2006/relationships/worksheet" Target="worksheets/sheet31.xml" /><rel:Relationship Id="rId44" Type="http://schemas.openxmlformats.org/officeDocument/2006/relationships/worksheet" Target="worksheets/sheet44.xml" /><rel:Relationship Id="rId52" Type="http://schemas.openxmlformats.org/officeDocument/2006/relationships/worksheet" Target="worksheets/sheet52.xml" /><rel:Relationship Id="rId60" Type="http://schemas.openxmlformats.org/officeDocument/2006/relationships/worksheet" Target="worksheets/sheet60.xml" /><rel:Relationship Id="rId65" Type="http://schemas.openxmlformats.org/officeDocument/2006/relationships/worksheet" Target="worksheets/sheet65.xml" /><rel:Relationship Id="rId4" Type="http://schemas.openxmlformats.org/officeDocument/2006/relationships/worksheet" Target="worksheets/sheet4.xml" /><rel:Relationship Id="rId9" Type="http://schemas.openxmlformats.org/officeDocument/2006/relationships/worksheet" Target="worksheets/sheet9.xml" /><rel:Relationship Id="rId13" Type="http://schemas.openxmlformats.org/officeDocument/2006/relationships/worksheet" Target="worksheets/sheet13.xml" /><rel:Relationship Id="rId18" Type="http://schemas.openxmlformats.org/officeDocument/2006/relationships/worksheet" Target="worksheets/sheet18.xml" /><rel:Relationship Id="rId39" Type="http://schemas.openxmlformats.org/officeDocument/2006/relationships/worksheet" Target="worksheets/sheet39.xml" /><rel:Relationship Id="rId34" Type="http://schemas.openxmlformats.org/officeDocument/2006/relationships/worksheet" Target="worksheets/sheet34.xml" /><rel:Relationship Id="rId50" Type="http://schemas.openxmlformats.org/officeDocument/2006/relationships/worksheet" Target="worksheets/sheet50.xml" /><rel:Relationship Id="rId55" Type="http://schemas.openxmlformats.org/officeDocument/2006/relationships/worksheet" Target="worksheets/sheet55.xml" /></rel: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min="1" max="1" width="24" customWidth="1"/>
    <col min="2" max="2" width="12" customWidth="1"/>
    <col min="3" max="6" width="10" customWidth="1"/>
    <col min="7" max="7" width="12" customWidth="1"/>
    <col min="8" max="8" width="14" customWidth="1"/>
    <col min="9" max="9" width="10" customWidth="1"/>
  </cols>
  <sheetData>
    <row r="1" spans="1:9" ht="23" customHeight="1">
      <c r="A1" s="56" t="s">
        <v>0</v>
      </c>
      <c r="B1" s="57"/>
      <c r="C1" s="57"/>
      <c r="D1" s="57"/>
      <c r="E1" s="57"/>
      <c r="F1" s="57"/>
      <c r="G1" s="57"/>
      <c r="H1" s="57"/>
      <c r="I1" s="57"/>
    </row>
    <row r="2" spans="1:9">
      <c r="A2" s="58" t="s">
        <v>1</v>
      </c>
      <c r="B2" s="57"/>
      <c r="C2" s="57"/>
      <c r="D2" s="57"/>
      <c r="E2" s="57"/>
      <c r="F2" s="57"/>
      <c r="G2" s="57"/>
      <c r="H2" s="57"/>
      <c r="I2" s="57"/>
    </row>
    <row r="3" spans="1:9">
      <c r="A3" s="13"/>
      <c r="B3" s="13"/>
      <c r="C3" s="13"/>
      <c r="D3" s="13"/>
      <c r="E3" s="13"/>
      <c r="F3" s="13"/>
      <c r="G3" s="13"/>
      <c r="H3" s="13"/>
      <c r="I3" s="13"/>
    </row>
    <row r="4" spans="1:9" ht="15" customHeight="1">
      <c r="A4" s="14" t="s">
        <v>2</v>
      </c>
      <c r="B4" s="15">
        <f>COUNTA(A7:A500)</f>
        <v>65</v>
      </c>
      <c r="C4" s="14" t="s">
        <v>3</v>
      </c>
      <c r="D4" s="34">
        <f>IFERROR(SUMPRODUCT(B7:B500,G7:G500)/SUM(B7:B500),0)</f>
        <v>0.61734181452962844</v>
      </c>
      <c r="E4" s="14" t="s">
        <v>4</v>
      </c>
      <c r="F4" s="15">
        <f>COUNTIF(H7:H500,"Done")</f>
        <v>45</v>
      </c>
      <c r="G4" s="16" t="s">
        <v>5</v>
      </c>
      <c r="H4" s="35">
        <f>MAX(0,B4-F4)</f>
        <v>20</v>
      </c>
      <c r="I4" s="13"/>
    </row>
    <row r="5" spans="1:9">
      <c r="A5" s="13"/>
      <c r="B5" s="13"/>
      <c r="C5" s="13"/>
      <c r="D5" s="13"/>
      <c r="E5" s="13"/>
      <c r="F5" s="13"/>
      <c r="G5" s="13"/>
      <c r="H5" s="13"/>
      <c r="I5" s="13"/>
    </row>
    <row r="6" spans="1:9" ht="15" customHeight="1">
      <c r="A6" s="17" t="s">
        <v>6</v>
      </c>
      <c r="B6" s="17" t="s">
        <v>7</v>
      </c>
      <c r="C6" s="17" t="s">
        <v>8</v>
      </c>
      <c r="D6" s="17" t="s">
        <v>9</v>
      </c>
      <c r="E6" s="17" t="s">
        <v>10</v>
      </c>
      <c r="F6" s="17" t="s">
        <v>11</v>
      </c>
      <c r="G6" s="17" t="s">
        <v>12</v>
      </c>
      <c r="H6" s="17" t="s">
        <v>13</v>
      </c>
      <c r="I6" s="17" t="s">
        <v>5</v>
      </c>
    </row>
    <row r="7" spans="1:9" ht="15" customHeight="1">
      <c r="A7" s="30" t="s">
        <v>14</v>
      </c>
      <c r="B7" s="31">
        <f>COUNT(Accordion!A9:A500)</f>
        <v>107</v>
      </c>
      <c r="C7" s="31">
        <f>COUNTIF(Accordion!H9:H500,"covered")</f>
        <v>0</v>
      </c>
      <c r="D7" s="31">
        <f>COUNTIF(Accordion!H9:H500,"partial")</f>
        <v>0</v>
      </c>
      <c r="E7" s="31">
        <f>COUNTIF(Accordion!H9:H500,"missing")</f>
        <v>5</v>
      </c>
      <c r="F7" s="31">
        <f>COUNTIF(Accordion!H9:H500,"untested")</f>
        <v>102</v>
      </c>
      <c r="G7" s="32">
        <f t="shared" ref="G7:G38" si="0">IFERROR(C7/B7,0)</f>
        <v>0</v>
      </c>
      <c r="H7" s="29" t="str">
        <f t="shared" ref="H7:H38" si="1">IF(AND(B7&gt;0,I7=0,G7=1),"Done","Open")</f>
        <v>Open</v>
      </c>
      <c r="I7" s="29">
        <f t="shared" ref="I7:I38" si="2">MAX(0,B7-C7)</f>
        <v>107</v>
      </c>
    </row>
    <row r="8" spans="1:9" ht="15" customHeight="1">
      <c r="A8" s="30" t="s">
        <v>15</v>
      </c>
      <c r="B8" s="31">
        <f>COUNT(AlertDialog!A9:A500)</f>
        <v>134</v>
      </c>
      <c r="C8" s="31">
        <f>COUNTIF(AlertDialog!H9:H500,"covered")</f>
        <v>134</v>
      </c>
      <c r="D8" s="31">
        <f>COUNTIF(AlertDialog!H9:H500,"partial")</f>
        <v>0</v>
      </c>
      <c r="E8" s="31">
        <f>COUNTIF(AlertDialog!H9:H500,"missing")</f>
        <v>0</v>
      </c>
      <c r="F8" s="31">
        <f>COUNTIF(AlertDialog!H9:H500,"untested")</f>
        <v>0</v>
      </c>
      <c r="G8" s="32">
        <f t="shared" si="0"/>
        <v>1</v>
      </c>
      <c r="H8" s="29" t="str">
        <f t="shared" si="1"/>
        <v>Done</v>
      </c>
      <c r="I8" s="29">
        <f t="shared" si="2"/>
        <v>0</v>
      </c>
    </row>
    <row r="9" spans="1:9" ht="15" customHeight="1">
      <c r="A9" s="30" t="s">
        <v>16</v>
      </c>
      <c r="B9" s="31">
        <f>COUNT(AppBar!A9:A500)</f>
        <v>87</v>
      </c>
      <c r="C9" s="31">
        <f>COUNTIF(AppBar!H9:H500,"covered")</f>
        <v>0</v>
      </c>
      <c r="D9" s="31">
        <f>COUNTIF(AppBar!H9:H500,"partial")</f>
        <v>0</v>
      </c>
      <c r="E9" s="31">
        <f>COUNTIF(AppBar!H9:H500,"missing")</f>
        <v>2</v>
      </c>
      <c r="F9" s="31">
        <f>COUNTIF(AppBar!H9:H500,"untested")</f>
        <v>85</v>
      </c>
      <c r="G9" s="32">
        <f t="shared" si="0"/>
        <v>0</v>
      </c>
      <c r="H9" s="29" t="str">
        <f t="shared" si="1"/>
        <v>Open</v>
      </c>
      <c r="I9" s="29">
        <f t="shared" si="2"/>
        <v>87</v>
      </c>
    </row>
    <row r="10" spans="1:9" ht="15" customHeight="1">
      <c r="A10" s="33" t="s">
        <v>17</v>
      </c>
      <c r="B10" s="26">
        <f>COUNT(AspectRatio!A9:A500)</f>
        <v>28</v>
      </c>
      <c r="C10" s="26">
        <f>COUNTIF(AspectRatio!H9:H500,"covered")</f>
        <v>28</v>
      </c>
      <c r="D10" s="26">
        <f>COUNTIF(AspectRatio!H9:H500,"partial")</f>
        <v>0</v>
      </c>
      <c r="E10" s="26">
        <f>COUNTIF(AspectRatio!H9:H500,"missing")</f>
        <v>0</v>
      </c>
      <c r="F10" s="26">
        <f>COUNTIF(AspectRatio!H9:H500,"untested")</f>
        <v>0</v>
      </c>
      <c r="G10" s="28">
        <f t="shared" si="0"/>
        <v>1</v>
      </c>
      <c r="H10" s="26" t="str">
        <f t="shared" si="1"/>
        <v>Done</v>
      </c>
      <c r="I10" s="26">
        <f t="shared" si="2"/>
        <v>0</v>
      </c>
    </row>
    <row r="11" spans="1:9" ht="15" customHeight="1">
      <c r="A11" s="25" t="s">
        <v>18</v>
      </c>
      <c r="B11" s="27">
        <f>COUNT(Avatar!A9:A500)</f>
        <v>58</v>
      </c>
      <c r="C11" s="27">
        <f>COUNTIF(Avatar!H9:H500,"covered")</f>
        <v>58</v>
      </c>
      <c r="D11" s="27">
        <f>COUNTIF(Avatar!H9:H500,"partial")</f>
        <v>0</v>
      </c>
      <c r="E11" s="27">
        <f>COUNTIF(Avatar!H9:H500,"missing")</f>
        <v>0</v>
      </c>
      <c r="F11" s="27">
        <f>COUNTIF(Avatar!H9:H500,"untested")</f>
        <v>0</v>
      </c>
      <c r="G11" s="28">
        <f t="shared" si="0"/>
        <v>1</v>
      </c>
      <c r="H11" s="26" t="str">
        <f t="shared" si="1"/>
        <v>Done</v>
      </c>
      <c r="I11" s="26">
        <f t="shared" si="2"/>
        <v>0</v>
      </c>
    </row>
    <row r="12" spans="1:9" ht="15" customHeight="1">
      <c r="A12" s="25" t="s">
        <v>19</v>
      </c>
      <c r="B12" s="27">
        <f>COUNT(Badge!A9:A500)</f>
        <v>25</v>
      </c>
      <c r="C12" s="27">
        <f>COUNTIF(Badge!H9:H500,"covered")</f>
        <v>25</v>
      </c>
      <c r="D12" s="27">
        <f>COUNTIF(Badge!H9:H500,"partial")</f>
        <v>0</v>
      </c>
      <c r="E12" s="27">
        <f>COUNTIF(Badge!H9:H500,"missing")</f>
        <v>0</v>
      </c>
      <c r="F12" s="27">
        <f>COUNTIF(Badge!H9:H500,"untested")</f>
        <v>0</v>
      </c>
      <c r="G12" s="28">
        <f t="shared" si="0"/>
        <v>1</v>
      </c>
      <c r="H12" s="26" t="str">
        <f t="shared" si="1"/>
        <v>Done</v>
      </c>
      <c r="I12" s="26">
        <f t="shared" si="2"/>
        <v>0</v>
      </c>
    </row>
    <row r="13" spans="1:9" ht="15" customHeight="1">
      <c r="A13" s="30" t="s">
        <v>20</v>
      </c>
      <c r="B13" s="31">
        <f>COUNT(BottomNavigation!A9:A500)</f>
        <v>72</v>
      </c>
      <c r="C13" s="31">
        <f>COUNTIF(BottomNavigation!H9:H500,"covered")</f>
        <v>0</v>
      </c>
      <c r="D13" s="31">
        <f>COUNTIF(BottomNavigation!H9:H500,"partial")</f>
        <v>0</v>
      </c>
      <c r="E13" s="31">
        <f>COUNTIF(BottomNavigation!H9:H500,"missing")</f>
        <v>2</v>
      </c>
      <c r="F13" s="31">
        <f>COUNTIF(BottomNavigation!H9:H500,"untested")</f>
        <v>70</v>
      </c>
      <c r="G13" s="32">
        <f t="shared" si="0"/>
        <v>0</v>
      </c>
      <c r="H13" s="29" t="str">
        <f t="shared" si="1"/>
        <v>Open</v>
      </c>
      <c r="I13" s="29">
        <f t="shared" si="2"/>
        <v>72</v>
      </c>
    </row>
    <row r="14" spans="1:9" ht="15" customHeight="1">
      <c r="A14" s="30" t="s">
        <v>21</v>
      </c>
      <c r="B14" s="31">
        <f>COUNT(Breadcrumb!A9:A500)</f>
        <v>89</v>
      </c>
      <c r="C14" s="31">
        <f>COUNTIF(Breadcrumb!H9:H500,"covered")</f>
        <v>0</v>
      </c>
      <c r="D14" s="31">
        <f>COUNTIF(Breadcrumb!H9:H500,"partial")</f>
        <v>0</v>
      </c>
      <c r="E14" s="31">
        <f>COUNTIF(Breadcrumb!H9:H500,"missing")</f>
        <v>2</v>
      </c>
      <c r="F14" s="31">
        <f>COUNTIF(Breadcrumb!H9:H500,"untested")</f>
        <v>87</v>
      </c>
      <c r="G14" s="32">
        <f t="shared" si="0"/>
        <v>0</v>
      </c>
      <c r="H14" s="29" t="str">
        <f t="shared" si="1"/>
        <v>Open</v>
      </c>
      <c r="I14" s="29">
        <f t="shared" si="2"/>
        <v>89</v>
      </c>
    </row>
    <row r="15" spans="1:9" ht="15" customHeight="1">
      <c r="A15" s="40" t="s">
        <v>22</v>
      </c>
      <c r="B15" s="41">
        <f>COUNT(Button!A9:A500)</f>
        <v>46</v>
      </c>
      <c r="C15" s="41">
        <f>COUNTIF(Button!H9:H500,"covered")</f>
        <v>46</v>
      </c>
      <c r="D15" s="41">
        <f>COUNTIF(Button!H9:H500,"partial")</f>
        <v>0</v>
      </c>
      <c r="E15" s="41">
        <f>COUNTIF(Button!H9:H500,"missing")</f>
        <v>0</v>
      </c>
      <c r="F15" s="41">
        <f>COUNTIF(Button!H9:H500,"untested")</f>
        <v>0</v>
      </c>
      <c r="G15" s="42">
        <f t="shared" si="0"/>
        <v>1</v>
      </c>
      <c r="H15" s="43" t="str">
        <f t="shared" si="1"/>
        <v>Done</v>
      </c>
      <c r="I15" s="43">
        <f t="shared" si="2"/>
        <v>0</v>
      </c>
    </row>
    <row r="16" spans="1:9" ht="15" customHeight="1">
      <c r="A16" s="44" t="s">
        <v>23</v>
      </c>
      <c r="B16" s="45">
        <f>COUNT(Checkbox!A9:A500)</f>
        <v>74</v>
      </c>
      <c r="C16" s="45">
        <f>COUNTIF(Checkbox!H9:H500,"covered")</f>
        <v>74</v>
      </c>
      <c r="D16" s="45">
        <f>COUNTIF(Checkbox!H9:H500,"partial")</f>
        <v>0</v>
      </c>
      <c r="E16" s="45">
        <f>COUNTIF(Checkbox!H9:H500,"missing")</f>
        <v>0</v>
      </c>
      <c r="F16" s="45">
        <f>COUNTIF(Checkbox!H9:H500,"untested")</f>
        <v>0</v>
      </c>
      <c r="G16" s="46">
        <f t="shared" si="0"/>
        <v>1</v>
      </c>
      <c r="H16" s="47" t="str">
        <f t="shared" si="1"/>
        <v>Done</v>
      </c>
      <c r="I16" s="47">
        <f t="shared" si="2"/>
        <v>0</v>
      </c>
    </row>
    <row r="17" spans="1:9" ht="15" customHeight="1">
      <c r="A17" s="30" t="s">
        <v>24</v>
      </c>
      <c r="B17" s="31">
        <f>COUNT(CheckboxGroup!A9:A500)</f>
        <v>98</v>
      </c>
      <c r="C17" s="31">
        <f>COUNTIF(CheckboxGroup!H9:H500,"covered")</f>
        <v>98</v>
      </c>
      <c r="D17" s="31">
        <f>COUNTIF(CheckboxGroup!H9:H500,"partial")</f>
        <v>0</v>
      </c>
      <c r="E17" s="31">
        <f>COUNTIF(CheckboxGroup!H9:H500,"missing")</f>
        <v>0</v>
      </c>
      <c r="F17" s="31">
        <f>COUNTIF(CheckboxGroup!H9:H500,"untested")</f>
        <v>0</v>
      </c>
      <c r="G17" s="32">
        <f t="shared" si="0"/>
        <v>1</v>
      </c>
      <c r="H17" s="29" t="str">
        <f t="shared" si="1"/>
        <v>Done</v>
      </c>
      <c r="I17" s="29">
        <f t="shared" si="2"/>
        <v>0</v>
      </c>
    </row>
    <row r="18" spans="1:9" ht="15" customHeight="1">
      <c r="A18" s="30" t="s">
        <v>25</v>
      </c>
      <c r="B18" s="31">
        <f>COUNT(Collapsible!A9:A500)</f>
        <v>69</v>
      </c>
      <c r="C18" s="31">
        <f>COUNTIF(Collapsible!H9:H500,"covered")</f>
        <v>69</v>
      </c>
      <c r="D18" s="31">
        <f>COUNTIF(Collapsible!H9:H500,"partial")</f>
        <v>0</v>
      </c>
      <c r="E18" s="31">
        <f>COUNTIF(Collapsible!H9:H500,"missing")</f>
        <v>0</v>
      </c>
      <c r="F18" s="31">
        <f>COUNTIF(Collapsible!H9:H500,"untested")</f>
        <v>0</v>
      </c>
      <c r="G18" s="32">
        <f t="shared" si="0"/>
        <v>1</v>
      </c>
      <c r="H18" s="29" t="str">
        <f t="shared" si="1"/>
        <v>Done</v>
      </c>
      <c r="I18" s="29">
        <f t="shared" si="2"/>
        <v>0</v>
      </c>
    </row>
    <row r="19" spans="1:9" ht="15" customHeight="1">
      <c r="A19" s="33" t="s">
        <v>26</v>
      </c>
      <c r="B19" s="26">
        <f>COUNT(Collection!A9:A500)</f>
        <v>23</v>
      </c>
      <c r="C19" s="26">
        <f>COUNTIF(Collection!H9:H500,"covered")</f>
        <v>23</v>
      </c>
      <c r="D19" s="26">
        <f>COUNTIF(Collection!H9:H500,"partial")</f>
        <v>0</v>
      </c>
      <c r="E19" s="26">
        <f>COUNTIF(Collection!H9:H500,"missing")</f>
        <v>0</v>
      </c>
      <c r="F19" s="26">
        <f>COUNTIF(Collection!H9:H500,"untested")</f>
        <v>0</v>
      </c>
      <c r="G19" s="28">
        <f t="shared" si="0"/>
        <v>1</v>
      </c>
      <c r="H19" s="26" t="str">
        <f t="shared" si="1"/>
        <v>Done</v>
      </c>
      <c r="I19" s="26">
        <f t="shared" si="2"/>
        <v>0</v>
      </c>
    </row>
    <row r="20" spans="1:9" ht="15" customHeight="1">
      <c r="A20" s="25" t="s">
        <v>27</v>
      </c>
      <c r="B20" s="27">
        <f>COUNT(Combobox!A9:A500)</f>
        <v>178</v>
      </c>
      <c r="C20" s="27">
        <f>COUNTIF(Combobox!H9:H500,"covered")</f>
        <v>178</v>
      </c>
      <c r="D20" s="27">
        <f>COUNTIF(Combobox!H9:H500,"partial")</f>
        <v>0</v>
      </c>
      <c r="E20" s="27">
        <f>COUNTIF(Combobox!H9:H500,"missing")</f>
        <v>0</v>
      </c>
      <c r="F20" s="27">
        <f>COUNTIF(Combobox!H9:H500,"untested")</f>
        <v>0</v>
      </c>
      <c r="G20" s="28">
        <f t="shared" si="0"/>
        <v>1</v>
      </c>
      <c r="H20" s="26" t="str">
        <f t="shared" si="1"/>
        <v>Done</v>
      </c>
      <c r="I20" s="26">
        <f t="shared" si="2"/>
        <v>0</v>
      </c>
    </row>
    <row r="21" spans="1:9" ht="15" customHeight="1">
      <c r="A21" s="30" t="s">
        <v>28</v>
      </c>
      <c r="B21" s="31">
        <f>COUNT(ContextMenu!A9:A500)</f>
        <v>189</v>
      </c>
      <c r="C21" s="31">
        <f>COUNTIF(ContextMenu!H9:H500,"covered")</f>
        <v>186</v>
      </c>
      <c r="D21" s="31">
        <f>COUNTIF(ContextMenu!H9:H500,"partial")</f>
        <v>1</v>
      </c>
      <c r="E21" s="31">
        <f>COUNTIF(ContextMenu!H9:H500,"missing")</f>
        <v>2</v>
      </c>
      <c r="F21" s="31">
        <f>COUNTIF(ContextMenu!H9:H500,"untested")</f>
        <v>0</v>
      </c>
      <c r="G21" s="32">
        <f t="shared" si="0"/>
        <v>0.98412698412698407</v>
      </c>
      <c r="H21" s="29" t="str">
        <f t="shared" si="1"/>
        <v>Open</v>
      </c>
      <c r="I21" s="29">
        <f t="shared" si="2"/>
        <v>3</v>
      </c>
    </row>
    <row r="22" spans="1:9" ht="15" customHeight="1">
      <c r="A22" s="30" t="s">
        <v>29</v>
      </c>
      <c r="B22" s="31">
        <f>COUNT(DataGrid!A9:A500)</f>
        <v>185</v>
      </c>
      <c r="C22" s="31">
        <f>COUNTIF(DataGrid!H9:H500,"covered")</f>
        <v>0</v>
      </c>
      <c r="D22" s="31">
        <f>COUNTIF(DataGrid!H9:H500,"partial")</f>
        <v>0</v>
      </c>
      <c r="E22" s="31">
        <f>COUNTIF(DataGrid!H9:H500,"missing")</f>
        <v>6</v>
      </c>
      <c r="F22" s="31">
        <f>COUNTIF(DataGrid!H9:H500,"untested")</f>
        <v>179</v>
      </c>
      <c r="G22" s="32">
        <f t="shared" si="0"/>
        <v>0</v>
      </c>
      <c r="H22" s="29" t="str">
        <f t="shared" si="1"/>
        <v>Open</v>
      </c>
      <c r="I22" s="29">
        <f t="shared" si="2"/>
        <v>185</v>
      </c>
    </row>
    <row r="23" spans="1:9" ht="15" customHeight="1">
      <c r="A23" s="44" t="s">
        <v>30</v>
      </c>
      <c r="B23" s="45">
        <f>COUNT(Dialog!A9:A500)</f>
        <v>95</v>
      </c>
      <c r="C23" s="45">
        <f>COUNTIF(Dialog!H9:H500,"covered")</f>
        <v>95</v>
      </c>
      <c r="D23" s="45">
        <f>COUNTIF(Dialog!H9:H500,"partial")</f>
        <v>0</v>
      </c>
      <c r="E23" s="45">
        <f>COUNTIF(Dialog!H9:H500,"missing")</f>
        <v>0</v>
      </c>
      <c r="F23" s="45">
        <f>COUNTIF(Dialog!H9:H500,"untested")</f>
        <v>0</v>
      </c>
      <c r="G23" s="46">
        <f t="shared" si="0"/>
        <v>1</v>
      </c>
      <c r="H23" s="47" t="str">
        <f t="shared" si="1"/>
        <v>Done</v>
      </c>
      <c r="I23" s="47">
        <f t="shared" si="2"/>
        <v>0</v>
      </c>
    </row>
    <row r="24" spans="1:9" ht="15" customHeight="1">
      <c r="A24" s="33" t="s">
        <v>31</v>
      </c>
      <c r="B24" s="26">
        <f>COUNT(Direction!A9:A500)</f>
        <v>26</v>
      </c>
      <c r="C24" s="26">
        <f>COUNTIF(Direction!H9:H500,"covered")</f>
        <v>26</v>
      </c>
      <c r="D24" s="26">
        <f>COUNTIF(Direction!H9:H500,"partial")</f>
        <v>0</v>
      </c>
      <c r="E24" s="26">
        <f>COUNTIF(Direction!H9:H500,"missing")</f>
        <v>0</v>
      </c>
      <c r="F24" s="26">
        <f>COUNTIF(Direction!H9:H500,"untested")</f>
        <v>0</v>
      </c>
      <c r="G24" s="28">
        <f t="shared" si="0"/>
        <v>1</v>
      </c>
      <c r="H24" s="26" t="str">
        <f t="shared" si="1"/>
        <v>Done</v>
      </c>
      <c r="I24" s="26">
        <f t="shared" si="2"/>
        <v>0</v>
      </c>
    </row>
    <row r="25" spans="1:9" ht="15" customHeight="1">
      <c r="A25" s="33" t="s">
        <v>32</v>
      </c>
      <c r="B25" s="26">
        <f>COUNT(Divider!A9:A500)</f>
        <v>27</v>
      </c>
      <c r="C25" s="26">
        <f>COUNTIF(Divider!H9:H500,"covered")</f>
        <v>27</v>
      </c>
      <c r="D25" s="26">
        <f>COUNTIF(Divider!H9:H500,"partial")</f>
        <v>0</v>
      </c>
      <c r="E25" s="26">
        <f>COUNTIF(Divider!H9:H500,"missing")</f>
        <v>0</v>
      </c>
      <c r="F25" s="26">
        <f>COUNTIF(Divider!H9:H500,"untested")</f>
        <v>0</v>
      </c>
      <c r="G25" s="28">
        <f t="shared" si="0"/>
        <v>1</v>
      </c>
      <c r="H25" s="26" t="str">
        <f t="shared" si="1"/>
        <v>Done</v>
      </c>
      <c r="I25" s="26">
        <f t="shared" si="2"/>
        <v>0</v>
      </c>
    </row>
    <row r="26" spans="1:9" ht="15" customHeight="1">
      <c r="A26" s="30" t="s">
        <v>33</v>
      </c>
      <c r="B26" s="31">
        <f>COUNT(Drawer!A9:A500)</f>
        <v>119</v>
      </c>
      <c r="C26" s="31">
        <f>COUNTIF(Drawer!H9:H500,"covered")</f>
        <v>0</v>
      </c>
      <c r="D26" s="31">
        <f>COUNTIF(Drawer!H9:H500,"partial")</f>
        <v>0</v>
      </c>
      <c r="E26" s="31">
        <f>COUNTIF(Drawer!H9:H500,"missing")</f>
        <v>2</v>
      </c>
      <c r="F26" s="31">
        <f>COUNTIF(Drawer!H9:H500,"untested")</f>
        <v>117</v>
      </c>
      <c r="G26" s="32">
        <f t="shared" si="0"/>
        <v>0</v>
      </c>
      <c r="H26" s="29" t="str">
        <f t="shared" si="1"/>
        <v>Open</v>
      </c>
      <c r="I26" s="29">
        <f t="shared" si="2"/>
        <v>119</v>
      </c>
    </row>
    <row r="27" spans="1:9" ht="15" customHeight="1">
      <c r="A27" s="40" t="s">
        <v>34</v>
      </c>
      <c r="B27" s="41">
        <f>COUNT(DropdownMenu!A9:A500)</f>
        <v>230</v>
      </c>
      <c r="C27" s="41">
        <f>COUNTIF(DropdownMenu!H9:H500,"covered")</f>
        <v>230</v>
      </c>
      <c r="D27" s="41">
        <f>COUNTIF(DropdownMenu!H9:H500,"partial")</f>
        <v>0</v>
      </c>
      <c r="E27" s="41">
        <f>COUNTIF(DropdownMenu!H9:H500,"missing")</f>
        <v>0</v>
      </c>
      <c r="F27" s="41">
        <f>COUNTIF(DropdownMenu!H9:H500,"untested")</f>
        <v>0</v>
      </c>
      <c r="G27" s="42">
        <f t="shared" si="0"/>
        <v>1</v>
      </c>
      <c r="H27" s="43" t="str">
        <f t="shared" si="1"/>
        <v>Done</v>
      </c>
      <c r="I27" s="43">
        <f t="shared" si="2"/>
        <v>0</v>
      </c>
    </row>
    <row r="28" spans="1:9" ht="15" customHeight="1">
      <c r="A28" s="30" t="s">
        <v>35</v>
      </c>
      <c r="B28" s="31">
        <f>COUNT(Feed!A9:A500)</f>
        <v>53</v>
      </c>
      <c r="C28" s="31">
        <f>COUNTIF(Feed!H9:H500,"covered")</f>
        <v>53</v>
      </c>
      <c r="D28" s="31">
        <f>COUNTIF(Feed!H9:H500,"partial")</f>
        <v>0</v>
      </c>
      <c r="E28" s="31">
        <f>COUNTIF(Feed!H9:H500,"missing")</f>
        <v>0</v>
      </c>
      <c r="F28" s="31">
        <f>COUNTIF(Feed!H9:H500,"untested")</f>
        <v>0</v>
      </c>
      <c r="G28" s="32">
        <f t="shared" si="0"/>
        <v>1</v>
      </c>
      <c r="H28" s="29" t="str">
        <f t="shared" si="1"/>
        <v>Done</v>
      </c>
      <c r="I28" s="29">
        <f t="shared" si="2"/>
        <v>0</v>
      </c>
    </row>
    <row r="29" spans="1:9" ht="15" customHeight="1">
      <c r="A29" s="25" t="s">
        <v>36</v>
      </c>
      <c r="B29" s="27">
        <f>COUNT(Field!A9:A500)</f>
        <v>100</v>
      </c>
      <c r="C29" s="27">
        <f>COUNTIF(Field!H9:H500,"covered")</f>
        <v>100</v>
      </c>
      <c r="D29" s="27">
        <f>COUNTIF(Field!H9:H500,"partial")</f>
        <v>0</v>
      </c>
      <c r="E29" s="27">
        <f>COUNTIF(Field!H9:H500,"missing")</f>
        <v>0</v>
      </c>
      <c r="F29" s="27">
        <f>COUNTIF(Field!H9:H500,"untested")</f>
        <v>0</v>
      </c>
      <c r="G29" s="28">
        <f t="shared" si="0"/>
        <v>1</v>
      </c>
      <c r="H29" s="26" t="str">
        <f t="shared" si="1"/>
        <v>Done</v>
      </c>
      <c r="I29" s="26">
        <f t="shared" si="2"/>
        <v>0</v>
      </c>
    </row>
    <row r="30" spans="1:9" ht="15" customHeight="1">
      <c r="A30" s="25" t="s">
        <v>37</v>
      </c>
      <c r="B30" s="27">
        <f>COUNT(Fieldset!A9:A500)</f>
        <v>73</v>
      </c>
      <c r="C30" s="27">
        <f>COUNTIF(Fieldset!H9:H500,"covered")</f>
        <v>73</v>
      </c>
      <c r="D30" s="27">
        <f>COUNTIF(Fieldset!H9:H500,"partial")</f>
        <v>0</v>
      </c>
      <c r="E30" s="27">
        <f>COUNTIF(Fieldset!H9:H500,"missing")</f>
        <v>0</v>
      </c>
      <c r="F30" s="27">
        <f>COUNTIF(Fieldset!H9:H500,"untested")</f>
        <v>0</v>
      </c>
      <c r="G30" s="28">
        <f t="shared" si="0"/>
        <v>1</v>
      </c>
      <c r="H30" s="26" t="str">
        <f t="shared" si="1"/>
        <v>Done</v>
      </c>
      <c r="I30" s="26">
        <f t="shared" si="2"/>
        <v>0</v>
      </c>
    </row>
    <row r="31" spans="1:9" ht="15" customHeight="1">
      <c r="A31" s="25" t="s">
        <v>38</v>
      </c>
      <c r="B31" s="27">
        <f>COUNT(FileUpload!A9:A500)</f>
        <v>176</v>
      </c>
      <c r="C31" s="27">
        <f>COUNTIF(FileUpload!H9:H500,"covered")</f>
        <v>176</v>
      </c>
      <c r="D31" s="27">
        <f>COUNTIF(FileUpload!H9:H500,"partial")</f>
        <v>0</v>
      </c>
      <c r="E31" s="27">
        <f>COUNTIF(FileUpload!H9:H500,"missing")</f>
        <v>0</v>
      </c>
      <c r="F31" s="27">
        <f>COUNTIF(FileUpload!H9:H500,"untested")</f>
        <v>0</v>
      </c>
      <c r="G31" s="28">
        <f t="shared" si="0"/>
        <v>1</v>
      </c>
      <c r="H31" s="26" t="str">
        <f t="shared" si="1"/>
        <v>Done</v>
      </c>
      <c r="I31" s="26">
        <f t="shared" si="2"/>
        <v>0</v>
      </c>
    </row>
    <row r="32" spans="1:9" ht="15" customHeight="1">
      <c r="A32" s="25" t="s">
        <v>39</v>
      </c>
      <c r="B32" s="27">
        <f>COUNT(Form!A9:A500)</f>
        <v>41</v>
      </c>
      <c r="C32" s="27">
        <f>COUNTIF(Form!H9:H500,"covered")</f>
        <v>41</v>
      </c>
      <c r="D32" s="27">
        <f>COUNTIF(Form!H9:H500,"partial")</f>
        <v>0</v>
      </c>
      <c r="E32" s="27">
        <f>COUNTIF(Form!H9:H500,"missing")</f>
        <v>0</v>
      </c>
      <c r="F32" s="27">
        <f>COUNTIF(Form!H9:H500,"untested")</f>
        <v>0</v>
      </c>
      <c r="G32" s="28">
        <f t="shared" si="0"/>
        <v>1</v>
      </c>
      <c r="H32" s="26" t="str">
        <f t="shared" si="1"/>
        <v>Done</v>
      </c>
      <c r="I32" s="26">
        <f t="shared" si="2"/>
        <v>0</v>
      </c>
    </row>
    <row r="33" spans="1:9" ht="15" customHeight="1">
      <c r="A33" s="30" t="s">
        <v>40</v>
      </c>
      <c r="B33" s="31">
        <f>COUNT(HoverCard!A9:A500)</f>
        <v>117</v>
      </c>
      <c r="C33" s="31">
        <f>COUNTIF(HoverCard!H9:H500,"covered")</f>
        <v>0</v>
      </c>
      <c r="D33" s="31">
        <f>COUNTIF(HoverCard!H9:H500,"partial")</f>
        <v>0</v>
      </c>
      <c r="E33" s="31">
        <f>COUNTIF(HoverCard!H9:H500,"missing")</f>
        <v>0</v>
      </c>
      <c r="F33" s="31">
        <f>COUNTIF(HoverCard!H9:H500,"untested")</f>
        <v>115</v>
      </c>
      <c r="G33" s="32">
        <f t="shared" si="0"/>
        <v>0</v>
      </c>
      <c r="H33" s="29" t="str">
        <f t="shared" si="1"/>
        <v>Open</v>
      </c>
      <c r="I33" s="29">
        <f t="shared" si="2"/>
        <v>117</v>
      </c>
    </row>
    <row r="34" spans="1:9" ht="15" customHeight="1">
      <c r="A34" s="25" t="s">
        <v>41</v>
      </c>
      <c r="B34" s="27">
        <f>COUNT(Input!A9:A500)</f>
        <v>67</v>
      </c>
      <c r="C34" s="27">
        <f>COUNTIF(Input!H9:H500,"covered")</f>
        <v>67</v>
      </c>
      <c r="D34" s="27">
        <f>COUNTIF(Input!H9:H500,"partial")</f>
        <v>0</v>
      </c>
      <c r="E34" s="27">
        <f>COUNTIF(Input!H9:H500,"missing")</f>
        <v>0</v>
      </c>
      <c r="F34" s="27">
        <f>COUNTIF(Input!H9:H500,"untested")</f>
        <v>0</v>
      </c>
      <c r="G34" s="28">
        <f t="shared" si="0"/>
        <v>1</v>
      </c>
      <c r="H34" s="26" t="str">
        <f t="shared" si="1"/>
        <v>Done</v>
      </c>
      <c r="I34" s="26">
        <f t="shared" si="2"/>
        <v>0</v>
      </c>
    </row>
    <row r="35" spans="1:9" ht="15" customHeight="1">
      <c r="A35" s="25" t="s">
        <v>42</v>
      </c>
      <c r="B35" s="27">
        <f>COUNT(Label!A9:A500)</f>
        <v>31</v>
      </c>
      <c r="C35" s="27">
        <f>COUNTIF(Label!H9:H500,"covered")</f>
        <v>31</v>
      </c>
      <c r="D35" s="27">
        <f>COUNTIF(Label!H9:H500,"partial")</f>
        <v>0</v>
      </c>
      <c r="E35" s="27">
        <f>COUNTIF(Label!H9:H500,"missing")</f>
        <v>0</v>
      </c>
      <c r="F35" s="27">
        <f>COUNTIF(Label!H9:H500,"untested")</f>
        <v>0</v>
      </c>
      <c r="G35" s="28">
        <f t="shared" si="0"/>
        <v>1</v>
      </c>
      <c r="H35" s="26" t="str">
        <f t="shared" si="1"/>
        <v>Done</v>
      </c>
      <c r="I35" s="26">
        <f t="shared" si="2"/>
        <v>0</v>
      </c>
    </row>
    <row r="36" spans="1:9" ht="15" customHeight="1">
      <c r="A36" s="25" t="s">
        <v>43</v>
      </c>
      <c r="B36" s="27">
        <f>COUNT(List!A9:A500)</f>
        <v>42</v>
      </c>
      <c r="C36" s="27">
        <f>COUNTIF(List!H9:H500,"covered")</f>
        <v>42</v>
      </c>
      <c r="D36" s="27">
        <f>COUNTIF(List!H9:H500,"partial")</f>
        <v>0</v>
      </c>
      <c r="E36" s="27">
        <f>COUNTIF(List!H9:H500,"missing")</f>
        <v>0</v>
      </c>
      <c r="F36" s="27">
        <f>COUNTIF(List!H9:H500,"untested")</f>
        <v>0</v>
      </c>
      <c r="G36" s="28">
        <f t="shared" si="0"/>
        <v>1</v>
      </c>
      <c r="H36" s="26" t="str">
        <f t="shared" si="1"/>
        <v>Done</v>
      </c>
      <c r="I36" s="26">
        <f t="shared" si="2"/>
        <v>0</v>
      </c>
    </row>
    <row r="37" spans="1:9" ht="15" customHeight="1">
      <c r="A37" s="25" t="s">
        <v>44</v>
      </c>
      <c r="B37" s="27">
        <f>COUNT(Listbox!A9:A500)</f>
        <v>120</v>
      </c>
      <c r="C37" s="27">
        <f>COUNTIF(Listbox!H9:H500,"covered")</f>
        <v>120</v>
      </c>
      <c r="D37" s="27">
        <f>COUNTIF(Listbox!H9:H500,"partial")</f>
        <v>0</v>
      </c>
      <c r="E37" s="27">
        <f>COUNTIF(Listbox!H9:H500,"missing")</f>
        <v>0</v>
      </c>
      <c r="F37" s="27">
        <f>COUNTIF(Listbox!H9:H500,"untested")</f>
        <v>0</v>
      </c>
      <c r="G37" s="28">
        <f t="shared" si="0"/>
        <v>1</v>
      </c>
      <c r="H37" s="26" t="str">
        <f t="shared" si="1"/>
        <v>Done</v>
      </c>
      <c r="I37" s="26">
        <f t="shared" si="2"/>
        <v>0</v>
      </c>
    </row>
    <row r="38" spans="1:9" ht="15" customHeight="1">
      <c r="A38" s="40" t="s">
        <v>45</v>
      </c>
      <c r="B38" s="41">
        <f>COUNT(Menu!A9:A500)</f>
        <v>173</v>
      </c>
      <c r="C38" s="41">
        <f>COUNTIF(Menu!H9:H500,"covered")</f>
        <v>173</v>
      </c>
      <c r="D38" s="41">
        <f>COUNTIF(Menu!H9:H500,"partial")</f>
        <v>0</v>
      </c>
      <c r="E38" s="41">
        <f>COUNTIF(Menu!H9:H500,"missing")</f>
        <v>0</v>
      </c>
      <c r="F38" s="41">
        <f>COUNTIF(Menu!H9:H500,"untested")</f>
        <v>0</v>
      </c>
      <c r="G38" s="42">
        <f t="shared" si="0"/>
        <v>1</v>
      </c>
      <c r="H38" s="43" t="str">
        <f t="shared" si="1"/>
        <v>Done</v>
      </c>
      <c r="I38" s="43">
        <f t="shared" si="2"/>
        <v>0</v>
      </c>
    </row>
    <row r="39" spans="1:9" ht="15" customHeight="1">
      <c r="A39" s="30" t="s">
        <v>46</v>
      </c>
      <c r="B39" s="31">
        <f>COUNT(Menubar!A9:A500)</f>
        <v>138</v>
      </c>
      <c r="C39" s="31">
        <f>COUNTIF(Menubar!H9:H500,"covered")</f>
        <v>0</v>
      </c>
      <c r="D39" s="31">
        <f>COUNTIF(Menubar!H9:H500,"partial")</f>
        <v>0</v>
      </c>
      <c r="E39" s="31">
        <f>COUNTIF(Menubar!H9:H500,"missing")</f>
        <v>6</v>
      </c>
      <c r="F39" s="31">
        <f>COUNTIF(Menubar!H9:H500,"untested")</f>
        <v>132</v>
      </c>
      <c r="G39" s="32">
        <f t="shared" ref="G39:G71" si="3">IFERROR(C39/B39,0)</f>
        <v>0</v>
      </c>
      <c r="H39" s="29" t="str">
        <f t="shared" ref="H39:H70" si="4">IF(AND(B39&gt;0,I39=0,G39=1),"Done","Open")</f>
        <v>Open</v>
      </c>
      <c r="I39" s="29">
        <f t="shared" ref="I39:I71" si="5">MAX(0,B39-C39)</f>
        <v>138</v>
      </c>
    </row>
    <row r="40" spans="1:9" ht="15" customHeight="1">
      <c r="A40" s="30" t="s">
        <v>47</v>
      </c>
      <c r="B40" s="31">
        <f>COUNT(Modal!A9:A500)</f>
        <v>104</v>
      </c>
      <c r="C40" s="31">
        <f>COUNTIF(Modal!H9:H500,"covered")</f>
        <v>104</v>
      </c>
      <c r="D40" s="31">
        <f>COUNTIF(Modal!H9:H500,"partial")</f>
        <v>0</v>
      </c>
      <c r="E40" s="31">
        <f>COUNTIF(Modal!H9:H500,"missing")</f>
        <v>0</v>
      </c>
      <c r="F40" s="31">
        <f>COUNTIF(Modal!H9:H500,"untested")</f>
        <v>0</v>
      </c>
      <c r="G40" s="32">
        <f t="shared" si="3"/>
        <v>1</v>
      </c>
      <c r="H40" s="29" t="str">
        <f t="shared" si="4"/>
        <v>Done</v>
      </c>
      <c r="I40" s="29">
        <f t="shared" si="5"/>
        <v>0</v>
      </c>
    </row>
    <row r="41" spans="1:9" ht="15" customHeight="1">
      <c r="A41" s="30" t="s">
        <v>48</v>
      </c>
      <c r="B41" s="31">
        <f>COUNT(NavigationMenu!A9:A500)</f>
        <v>198</v>
      </c>
      <c r="C41" s="31">
        <f>COUNTIF(NavigationMenu!H9:H500,"covered")</f>
        <v>0</v>
      </c>
      <c r="D41" s="31">
        <f>COUNTIF(NavigationMenu!H9:H500,"partial")</f>
        <v>0</v>
      </c>
      <c r="E41" s="31">
        <f>COUNTIF(NavigationMenu!H9:H500,"missing")</f>
        <v>4</v>
      </c>
      <c r="F41" s="31">
        <f>COUNTIF(NavigationMenu!H9:H500,"untested")</f>
        <v>194</v>
      </c>
      <c r="G41" s="32">
        <f t="shared" si="3"/>
        <v>0</v>
      </c>
      <c r="H41" s="29" t="str">
        <f t="shared" si="4"/>
        <v>Open</v>
      </c>
      <c r="I41" s="29">
        <f t="shared" si="5"/>
        <v>198</v>
      </c>
    </row>
    <row r="42" spans="1:9" ht="15" customHeight="1">
      <c r="A42" s="30" t="s">
        <v>49</v>
      </c>
      <c r="B42" s="31">
        <f>COUNT(NavList!A9:A500)</f>
        <v>147</v>
      </c>
      <c r="C42" s="31">
        <f>COUNTIF(NavList!H9:H500,"covered")</f>
        <v>0</v>
      </c>
      <c r="D42" s="31">
        <f>COUNTIF(NavList!H9:H500,"partial")</f>
        <v>0</v>
      </c>
      <c r="E42" s="31">
        <f>COUNTIF(NavList!H9:H500,"missing")</f>
        <v>2</v>
      </c>
      <c r="F42" s="31">
        <f>COUNTIF(NavList!H9:H500,"untested")</f>
        <v>145</v>
      </c>
      <c r="G42" s="32">
        <f t="shared" si="3"/>
        <v>0</v>
      </c>
      <c r="H42" s="29" t="str">
        <f t="shared" si="4"/>
        <v>Open</v>
      </c>
      <c r="I42" s="29">
        <f t="shared" si="5"/>
        <v>147</v>
      </c>
    </row>
    <row r="43" spans="1:9" ht="15" customHeight="1">
      <c r="A43" s="25" t="s">
        <v>50</v>
      </c>
      <c r="B43" s="27">
        <f>COUNT(NumberInput!A9:A500)</f>
        <v>64</v>
      </c>
      <c r="C43" s="27">
        <f>COUNTIF(NumberInput!H9:H500,"covered")</f>
        <v>64</v>
      </c>
      <c r="D43" s="27">
        <f>COUNTIF(NumberInput!H9:H500,"partial")</f>
        <v>0</v>
      </c>
      <c r="E43" s="27">
        <f>COUNTIF(NumberInput!H9:H500,"missing")</f>
        <v>0</v>
      </c>
      <c r="F43" s="27">
        <f>COUNTIF(NumberInput!H9:H500,"untested")</f>
        <v>0</v>
      </c>
      <c r="G43" s="28">
        <f t="shared" si="3"/>
        <v>1</v>
      </c>
      <c r="H43" s="26" t="str">
        <f t="shared" si="4"/>
        <v>Done</v>
      </c>
      <c r="I43" s="26">
        <f t="shared" si="5"/>
        <v>0</v>
      </c>
    </row>
    <row r="44" spans="1:9" ht="15" customHeight="1">
      <c r="A44" s="25" t="s">
        <v>51</v>
      </c>
      <c r="B44" s="27">
        <f>COUNT(OTPField!A9:A500)</f>
        <v>91</v>
      </c>
      <c r="C44" s="27">
        <f>COUNTIF(OTPField!H9:H500,"covered")</f>
        <v>91</v>
      </c>
      <c r="D44" s="27">
        <f>COUNTIF(OTPField!H9:H500,"partial")</f>
        <v>0</v>
      </c>
      <c r="E44" s="27">
        <f>COUNTIF(OTPField!H9:H500,"missing")</f>
        <v>0</v>
      </c>
      <c r="F44" s="27">
        <f>COUNTIF(OTPField!H9:H500,"untested")</f>
        <v>0</v>
      </c>
      <c r="G44" s="36">
        <f t="shared" si="3"/>
        <v>1</v>
      </c>
      <c r="H44" s="27" t="str">
        <f t="shared" si="4"/>
        <v>Done</v>
      </c>
      <c r="I44" s="27">
        <f t="shared" si="5"/>
        <v>0</v>
      </c>
    </row>
    <row r="45" spans="1:9" ht="15" customHeight="1">
      <c r="A45" s="30" t="s">
        <v>52</v>
      </c>
      <c r="B45" s="31">
        <f>COUNT(Pagination!A9:A500)</f>
        <v>112</v>
      </c>
      <c r="C45" s="31">
        <f>COUNTIF(Pagination!H9:H500,"covered")</f>
        <v>0</v>
      </c>
      <c r="D45" s="31">
        <f>COUNTIF(Pagination!H9:H500,"partial")</f>
        <v>0</v>
      </c>
      <c r="E45" s="31">
        <f>COUNTIF(Pagination!H9:H500,"missing")</f>
        <v>2</v>
      </c>
      <c r="F45" s="31">
        <f>COUNTIF(Pagination!H9:H500,"untested")</f>
        <v>110</v>
      </c>
      <c r="G45" s="32">
        <f t="shared" si="3"/>
        <v>0</v>
      </c>
      <c r="H45" s="29" t="str">
        <f t="shared" si="4"/>
        <v>Open</v>
      </c>
      <c r="I45" s="29">
        <f t="shared" si="5"/>
        <v>112</v>
      </c>
    </row>
    <row r="46" spans="1:9" ht="15" customHeight="1">
      <c r="A46" s="25" t="s">
        <v>53</v>
      </c>
      <c r="B46" s="27">
        <f>COUNT(PasswordToggleField!A9:A500)</f>
        <v>80</v>
      </c>
      <c r="C46" s="27">
        <f>COUNTIF(PasswordToggleField!H9:H500,"covered")</f>
        <v>80</v>
      </c>
      <c r="D46" s="27">
        <f>COUNTIF(PasswordToggleField!H9:H500,"partial")</f>
        <v>0</v>
      </c>
      <c r="E46" s="27">
        <f>COUNTIF(PasswordToggleField!H9:H500,"missing")</f>
        <v>0</v>
      </c>
      <c r="F46" s="27">
        <f>COUNTIF(PasswordToggleField!H9:H500,"untested")</f>
        <v>0</v>
      </c>
      <c r="G46" s="28">
        <f t="shared" si="3"/>
        <v>1</v>
      </c>
      <c r="H46" s="26" t="str">
        <f t="shared" si="4"/>
        <v>Done</v>
      </c>
      <c r="I46" s="26">
        <f t="shared" si="5"/>
        <v>0</v>
      </c>
    </row>
    <row r="47" spans="1:9" ht="15" customHeight="1">
      <c r="A47" s="30" t="s">
        <v>54</v>
      </c>
      <c r="B47" s="31">
        <f>COUNT(Popover!A9:A500)</f>
        <v>131</v>
      </c>
      <c r="C47" s="31">
        <f>COUNTIF(Popover!H9:H500,"covered")</f>
        <v>131</v>
      </c>
      <c r="D47" s="31">
        <f>COUNTIF(Popover!H9:H500,"partial")</f>
        <v>0</v>
      </c>
      <c r="E47" s="31">
        <f>COUNTIF(Popover!H9:H500,"missing")</f>
        <v>0</v>
      </c>
      <c r="F47" s="31">
        <f>COUNTIF(Popover!H9:H500,"untested")</f>
        <v>0</v>
      </c>
      <c r="G47" s="32">
        <f t="shared" si="3"/>
        <v>1</v>
      </c>
      <c r="H47" s="29" t="str">
        <f t="shared" si="4"/>
        <v>Done</v>
      </c>
      <c r="I47" s="29">
        <f t="shared" si="5"/>
        <v>0</v>
      </c>
    </row>
    <row r="48" spans="1:9" ht="15" customHeight="1">
      <c r="A48" s="33" t="s">
        <v>55</v>
      </c>
      <c r="B48" s="26">
        <f>COUNT(Portal!A9:A500)</f>
        <v>23</v>
      </c>
      <c r="C48" s="26">
        <f>COUNTIF(Portal!H9:H500,"covered")</f>
        <v>23</v>
      </c>
      <c r="D48" s="26">
        <f>COUNTIF(Portal!H9:H500,"partial")</f>
        <v>0</v>
      </c>
      <c r="E48" s="26">
        <f>COUNTIF(Portal!H9:H500,"missing")</f>
        <v>0</v>
      </c>
      <c r="F48" s="26">
        <f>COUNTIF(Portal!H9:H500,"untested")</f>
        <v>0</v>
      </c>
      <c r="G48" s="28">
        <f t="shared" si="3"/>
        <v>1</v>
      </c>
      <c r="H48" s="26" t="str">
        <f t="shared" si="4"/>
        <v>Done</v>
      </c>
      <c r="I48" s="26">
        <f t="shared" si="5"/>
        <v>0</v>
      </c>
    </row>
    <row r="49" spans="1:9" ht="15" customHeight="1">
      <c r="A49" s="40" t="s">
        <v>56</v>
      </c>
      <c r="B49" s="41">
        <f>COUNT(Pressable!A9:A500)</f>
        <v>42</v>
      </c>
      <c r="C49" s="41">
        <f>COUNTIF(Pressable!H9:H500,"covered")</f>
        <v>42</v>
      </c>
      <c r="D49" s="41">
        <f>COUNTIF(Pressable!H9:H500,"partial")</f>
        <v>0</v>
      </c>
      <c r="E49" s="41">
        <f>COUNTIF(Pressable!H9:H500,"missing")</f>
        <v>0</v>
      </c>
      <c r="F49" s="41">
        <f>COUNTIF(Pressable!H9:H500,"untested")</f>
        <v>0</v>
      </c>
      <c r="G49" s="42">
        <f t="shared" si="3"/>
        <v>1</v>
      </c>
      <c r="H49" s="43" t="str">
        <f t="shared" si="4"/>
        <v>Done</v>
      </c>
      <c r="I49" s="43">
        <f t="shared" si="5"/>
        <v>0</v>
      </c>
    </row>
    <row r="50" spans="1:9" ht="15" customHeight="1">
      <c r="A50" s="25" t="s">
        <v>57</v>
      </c>
      <c r="B50" s="27">
        <f>COUNT(Progress!A9:A500)</f>
        <v>59</v>
      </c>
      <c r="C50" s="27">
        <f>COUNTIF(Progress!H9:H500,"covered")</f>
        <v>59</v>
      </c>
      <c r="D50" s="27">
        <f>COUNTIF(Progress!H9:H500,"partial")</f>
        <v>0</v>
      </c>
      <c r="E50" s="27">
        <f>COUNTIF(Progress!H9:H500,"missing")</f>
        <v>0</v>
      </c>
      <c r="F50" s="27">
        <f>COUNTIF(Progress!H9:H500,"untested")</f>
        <v>0</v>
      </c>
      <c r="G50" s="28">
        <f t="shared" si="3"/>
        <v>1</v>
      </c>
      <c r="H50" s="26" t="str">
        <f t="shared" si="4"/>
        <v>Done</v>
      </c>
      <c r="I50" s="26">
        <f t="shared" si="5"/>
        <v>0</v>
      </c>
    </row>
    <row r="51" spans="1:9" ht="15" customHeight="1">
      <c r="A51" s="30" t="s">
        <v>58</v>
      </c>
      <c r="B51" s="31">
        <f>COUNT(RadioGroup!A9:A500)</f>
        <v>86</v>
      </c>
      <c r="C51" s="31">
        <f>COUNTIF(RadioGroup!H9:H500,"covered")</f>
        <v>86</v>
      </c>
      <c r="D51" s="31">
        <f>COUNTIF(RadioGroup!H9:H500,"partial")</f>
        <v>0</v>
      </c>
      <c r="E51" s="31">
        <f>COUNTIF(RadioGroup!H9:H500,"missing")</f>
        <v>0</v>
      </c>
      <c r="F51" s="31">
        <f>COUNTIF(RadioGroup!H9:H500,"untested")</f>
        <v>0</v>
      </c>
      <c r="G51" s="32">
        <f t="shared" si="3"/>
        <v>1</v>
      </c>
      <c r="H51" s="29" t="str">
        <f t="shared" si="4"/>
        <v>Done</v>
      </c>
      <c r="I51" s="29">
        <f t="shared" si="5"/>
        <v>0</v>
      </c>
    </row>
    <row r="52" spans="1:9" ht="15" customHeight="1">
      <c r="A52" s="30" t="s">
        <v>59</v>
      </c>
      <c r="B52" s="31">
        <v>99</v>
      </c>
      <c r="C52" s="31">
        <v>99</v>
      </c>
      <c r="D52" s="31">
        <v>0</v>
      </c>
      <c r="E52" s="31">
        <v>0</v>
      </c>
      <c r="F52" s="31">
        <v>0</v>
      </c>
      <c r="G52" s="32">
        <f t="shared" si="3"/>
        <v>1</v>
      </c>
      <c r="H52" s="29" t="str">
        <f t="shared" si="4"/>
        <v>Done</v>
      </c>
      <c r="I52" s="29">
        <f t="shared" si="5"/>
        <v>0</v>
      </c>
    </row>
    <row r="53" spans="1:9" ht="15" customHeight="1">
      <c r="A53" s="33" t="s">
        <v>60</v>
      </c>
      <c r="B53" s="26">
        <f>COUNT(ScrollArea!A9:A500)</f>
        <v>46</v>
      </c>
      <c r="C53" s="26">
        <f>COUNTIF(ScrollArea!H9:H500,"covered")</f>
        <v>46</v>
      </c>
      <c r="D53" s="26">
        <f>COUNTIF(ScrollArea!H9:H500,"partial")</f>
        <v>0</v>
      </c>
      <c r="E53" s="26">
        <f>COUNTIF(ScrollArea!H9:H500,"missing")</f>
        <v>0</v>
      </c>
      <c r="F53" s="26">
        <f>COUNTIF(ScrollArea!H9:H500,"untested")</f>
        <v>0</v>
      </c>
      <c r="G53" s="28">
        <f t="shared" si="3"/>
        <v>1</v>
      </c>
      <c r="H53" s="26" t="str">
        <f t="shared" si="4"/>
        <v>Done</v>
      </c>
      <c r="I53" s="26">
        <f t="shared" si="5"/>
        <v>0</v>
      </c>
    </row>
    <row r="54" spans="1:9" ht="15" customHeight="1">
      <c r="A54" s="40" t="s">
        <v>61</v>
      </c>
      <c r="B54" s="41">
        <f>COUNT(Select!A9:A500)</f>
        <v>163</v>
      </c>
      <c r="C54" s="41">
        <f>COUNTIF(Select!H9:H500,"covered")</f>
        <v>163</v>
      </c>
      <c r="D54" s="41">
        <f>COUNTIF(Select!H9:H500,"partial")</f>
        <v>0</v>
      </c>
      <c r="E54" s="41">
        <f>COUNTIF(Select!H9:H500,"missing")</f>
        <v>0</v>
      </c>
      <c r="F54" s="41">
        <f>COUNTIF(Select!H9:H500,"untested")</f>
        <v>0</v>
      </c>
      <c r="G54" s="42">
        <f t="shared" si="3"/>
        <v>1</v>
      </c>
      <c r="H54" s="43" t="str">
        <f t="shared" si="4"/>
        <v>Done</v>
      </c>
      <c r="I54" s="43">
        <f t="shared" si="5"/>
        <v>0</v>
      </c>
    </row>
    <row r="55" spans="1:9" ht="15" customHeight="1">
      <c r="A55" s="30" t="s">
        <v>62</v>
      </c>
      <c r="B55" s="31">
        <f>COUNT(Sidebar!A9:A500)</f>
        <v>90</v>
      </c>
      <c r="C55" s="31">
        <f>COUNTIF(Sidebar!H9:H500,"covered")</f>
        <v>0</v>
      </c>
      <c r="D55" s="31">
        <f>COUNTIF(Sidebar!H9:H500,"partial")</f>
        <v>0</v>
      </c>
      <c r="E55" s="31">
        <f>COUNTIF(Sidebar!H9:H500,"missing")</f>
        <v>2</v>
      </c>
      <c r="F55" s="31">
        <f>COUNTIF(Sidebar!H9:H500,"untested")</f>
        <v>88</v>
      </c>
      <c r="G55" s="32">
        <f t="shared" si="3"/>
        <v>0</v>
      </c>
      <c r="H55" s="29" t="str">
        <f t="shared" si="4"/>
        <v>Open</v>
      </c>
      <c r="I55" s="29">
        <f t="shared" si="5"/>
        <v>90</v>
      </c>
    </row>
    <row r="56" spans="1:9" ht="15" customHeight="1">
      <c r="A56" s="33" t="s">
        <v>63</v>
      </c>
      <c r="B56" s="26">
        <f>COUNT(SkipLink!A9:A500)</f>
        <v>42</v>
      </c>
      <c r="C56" s="26">
        <f>COUNTIF(SkipLink!H9:H500,"covered")</f>
        <v>42</v>
      </c>
      <c r="D56" s="26">
        <f>COUNTIF(SkipLink!H9:H500,"partial")</f>
        <v>0</v>
      </c>
      <c r="E56" s="26">
        <f>COUNTIF(SkipLink!H9:H500,"missing")</f>
        <v>0</v>
      </c>
      <c r="F56" s="26">
        <f>COUNTIF(SkipLink!H9:H500,"untested")</f>
        <v>0</v>
      </c>
      <c r="G56" s="28">
        <f t="shared" si="3"/>
        <v>1</v>
      </c>
      <c r="H56" s="26" t="str">
        <f t="shared" si="4"/>
        <v>Done</v>
      </c>
      <c r="I56" s="26">
        <f t="shared" si="5"/>
        <v>0</v>
      </c>
    </row>
    <row r="57" spans="1:9" ht="15" customHeight="1">
      <c r="A57" s="30" t="s">
        <v>64</v>
      </c>
      <c r="B57" s="31">
        <f>COUNT(Slider!A9:A500)</f>
        <v>104</v>
      </c>
      <c r="C57" s="31">
        <f>COUNTIF(Slider!H9:H500,"covered")</f>
        <v>104</v>
      </c>
      <c r="D57" s="31">
        <f>COUNTIF(Slider!H9:H500,"partial")</f>
        <v>0</v>
      </c>
      <c r="E57" s="31">
        <f>COUNTIF(Slider!H9:H500,"missing")</f>
        <v>0</v>
      </c>
      <c r="F57" s="31">
        <f>COUNTIF(Slider!H9:H500,"untested")</f>
        <v>0</v>
      </c>
      <c r="G57" s="32">
        <f t="shared" si="3"/>
        <v>1</v>
      </c>
      <c r="H57" s="29" t="str">
        <f t="shared" si="4"/>
        <v>Done</v>
      </c>
      <c r="I57" s="29">
        <f t="shared" si="5"/>
        <v>0</v>
      </c>
    </row>
    <row r="58" spans="1:9" ht="15" customHeight="1">
      <c r="A58" s="48" t="s">
        <v>65</v>
      </c>
      <c r="B58" s="49">
        <f>COUNT(SwipeableItem!A9:A500)</f>
        <v>90</v>
      </c>
      <c r="C58" s="49">
        <f>COUNTIF(SwipeableItem!H9:H500,"covered")</f>
        <v>90</v>
      </c>
      <c r="D58" s="49">
        <f>COUNTIF(SwipeableItem!H9:H500,"partial")</f>
        <v>0</v>
      </c>
      <c r="E58" s="49">
        <f>COUNTIF(SwipeableItem!H9:H500,"missing")</f>
        <v>0</v>
      </c>
      <c r="F58" s="49">
        <f>COUNTIF(SwipeableItem!H9:H500,"untested")</f>
        <v>0</v>
      </c>
      <c r="G58" s="50">
        <f t="shared" si="3"/>
        <v>1</v>
      </c>
      <c r="H58" s="51" t="str">
        <f t="shared" si="4"/>
        <v>Done</v>
      </c>
      <c r="I58" s="51">
        <f t="shared" si="5"/>
        <v>0</v>
      </c>
    </row>
    <row r="59" spans="1:9" ht="15" customHeight="1">
      <c r="A59" s="30" t="s">
        <v>66</v>
      </c>
      <c r="B59" s="31">
        <f>COUNT(Switch!A9:A500)</f>
        <v>77</v>
      </c>
      <c r="C59" s="31">
        <f>COUNTIF(Switch!H9:H500,"covered")</f>
        <v>77</v>
      </c>
      <c r="D59" s="31">
        <f>COUNTIF(Switch!H9:H500,"partial")</f>
        <v>0</v>
      </c>
      <c r="E59" s="31">
        <f>COUNTIF(Switch!H9:H500,"missing")</f>
        <v>0</v>
      </c>
      <c r="F59" s="31">
        <f>COUNTIF(Switch!H9:H500,"untested")</f>
        <v>0</v>
      </c>
      <c r="G59" s="32">
        <f t="shared" si="3"/>
        <v>1</v>
      </c>
      <c r="H59" s="29" t="str">
        <f t="shared" si="4"/>
        <v>Done</v>
      </c>
      <c r="I59" s="29">
        <f t="shared" si="5"/>
        <v>0</v>
      </c>
    </row>
    <row r="60" spans="1:9" ht="15" customHeight="1">
      <c r="A60" s="30" t="s">
        <v>67</v>
      </c>
      <c r="B60" s="31">
        <f>COUNT(Table!A9:A500)</f>
        <v>78</v>
      </c>
      <c r="C60" s="31">
        <f>COUNTIF(Table!H9:H500,"covered")</f>
        <v>0</v>
      </c>
      <c r="D60" s="31">
        <f>COUNTIF(Table!H9:H500,"partial")</f>
        <v>0</v>
      </c>
      <c r="E60" s="31">
        <f>COUNTIF(Table!H9:H500,"missing")</f>
        <v>2</v>
      </c>
      <c r="F60" s="31">
        <f>COUNTIF(Table!H9:H500,"untested")</f>
        <v>76</v>
      </c>
      <c r="G60" s="32">
        <f t="shared" si="3"/>
        <v>0</v>
      </c>
      <c r="H60" s="29" t="str">
        <f t="shared" si="4"/>
        <v>Open</v>
      </c>
      <c r="I60" s="29">
        <f t="shared" si="5"/>
        <v>78</v>
      </c>
    </row>
    <row r="61" spans="1:9" ht="15" customHeight="1">
      <c r="A61" s="30" t="s">
        <v>68</v>
      </c>
      <c r="B61" s="31">
        <f>COUNT(Tabs!A9:A500)</f>
        <v>102</v>
      </c>
      <c r="C61" s="31">
        <f>COUNTIF(Tabs!H9:H500,"covered")</f>
        <v>0</v>
      </c>
      <c r="D61" s="31">
        <f>COUNTIF(Tabs!H9:H500,"partial")</f>
        <v>0</v>
      </c>
      <c r="E61" s="31">
        <f>COUNTIF(Tabs!H9:H500,"missing")</f>
        <v>5</v>
      </c>
      <c r="F61" s="31">
        <f>COUNTIF(Tabs!H9:H500,"untested")</f>
        <v>97</v>
      </c>
      <c r="G61" s="32">
        <f t="shared" si="3"/>
        <v>0</v>
      </c>
      <c r="H61" s="29" t="str">
        <f t="shared" si="4"/>
        <v>Open</v>
      </c>
      <c r="I61" s="29">
        <f t="shared" si="5"/>
        <v>102</v>
      </c>
    </row>
    <row r="62" spans="1:9" ht="15" customHeight="1">
      <c r="A62" s="25" t="s">
        <v>69</v>
      </c>
      <c r="B62" s="27">
        <f>COUNT(Textarea!A9:A500)</f>
        <v>71</v>
      </c>
      <c r="C62" s="27">
        <f>COUNTIF(Textarea!H9:H500,"covered")</f>
        <v>71</v>
      </c>
      <c r="D62" s="27">
        <f>COUNTIF(Textarea!H9:H500,"partial")</f>
        <v>0</v>
      </c>
      <c r="E62" s="27">
        <f>COUNTIF(Textarea!H9:H500,"missing")</f>
        <v>0</v>
      </c>
      <c r="F62" s="27">
        <f>COUNTIF(Textarea!H9:H500,"untested")</f>
        <v>0</v>
      </c>
      <c r="G62" s="28">
        <f t="shared" si="3"/>
        <v>1</v>
      </c>
      <c r="H62" s="26" t="str">
        <f t="shared" si="4"/>
        <v>Done</v>
      </c>
      <c r="I62" s="26">
        <f t="shared" si="5"/>
        <v>0</v>
      </c>
    </row>
    <row r="63" spans="1:9" ht="15" customHeight="1">
      <c r="A63" s="30" t="s">
        <v>70</v>
      </c>
      <c r="B63" s="31">
        <f>COUNT(Toast!A9:A500)</f>
        <v>136</v>
      </c>
      <c r="C63" s="31">
        <f>COUNTIF(Toast!H9:H500,"covered")</f>
        <v>0</v>
      </c>
      <c r="D63" s="31">
        <f>COUNTIF(Toast!H9:H500,"partial")</f>
        <v>0</v>
      </c>
      <c r="E63" s="31">
        <f>COUNTIF(Toast!H9:H500,"missing")</f>
        <v>2</v>
      </c>
      <c r="F63" s="31">
        <f>COUNTIF(Toast!H9:H500,"untested")</f>
        <v>134</v>
      </c>
      <c r="G63" s="32">
        <f t="shared" si="3"/>
        <v>0</v>
      </c>
      <c r="H63" s="29" t="str">
        <f t="shared" si="4"/>
        <v>Open</v>
      </c>
      <c r="I63" s="29">
        <f t="shared" si="5"/>
        <v>136</v>
      </c>
    </row>
    <row r="64" spans="1:9" ht="15" customHeight="1">
      <c r="A64" s="40" t="s">
        <v>71</v>
      </c>
      <c r="B64" s="41">
        <f>COUNT(Toggle!A9:A500)</f>
        <v>37</v>
      </c>
      <c r="C64" s="41">
        <f>COUNTIF(Toggle!H9:H500,"covered")</f>
        <v>37</v>
      </c>
      <c r="D64" s="41">
        <f>COUNTIF(Toggle!H9:H500,"partial")</f>
        <v>0</v>
      </c>
      <c r="E64" s="41">
        <f>COUNTIF(Toggle!H9:H500,"missing")</f>
        <v>0</v>
      </c>
      <c r="F64" s="41">
        <f>COUNTIF(Toggle!H9:H500,"untested")</f>
        <v>0</v>
      </c>
      <c r="G64" s="42">
        <f t="shared" si="3"/>
        <v>1</v>
      </c>
      <c r="H64" s="43" t="str">
        <f t="shared" si="4"/>
        <v>Done</v>
      </c>
      <c r="I64" s="43">
        <f t="shared" si="5"/>
        <v>0</v>
      </c>
    </row>
    <row r="65" spans="1:9" ht="15" customHeight="1">
      <c r="A65" s="40" t="s">
        <v>72</v>
      </c>
      <c r="B65" s="41">
        <f>COUNT(ToggleGroup!A9:A500)</f>
        <v>54</v>
      </c>
      <c r="C65" s="41">
        <f>COUNTIF(ToggleGroup!H9:H500,"covered")</f>
        <v>54</v>
      </c>
      <c r="D65" s="41">
        <f>COUNTIF(ToggleGroup!H9:H500,"partial")</f>
        <v>0</v>
      </c>
      <c r="E65" s="41">
        <f>COUNTIF(ToggleGroup!H9:H500,"missing")</f>
        <v>0</v>
      </c>
      <c r="F65" s="41">
        <f>COUNTIF(ToggleGroup!H9:H500,"untested")</f>
        <v>0</v>
      </c>
      <c r="G65" s="42">
        <f t="shared" si="3"/>
        <v>1</v>
      </c>
      <c r="H65" s="43" t="str">
        <f t="shared" si="4"/>
        <v>Done</v>
      </c>
      <c r="I65" s="43">
        <f t="shared" si="5"/>
        <v>0</v>
      </c>
    </row>
    <row r="66" spans="1:9" ht="15" customHeight="1">
      <c r="A66" s="30" t="s">
        <v>73</v>
      </c>
      <c r="B66" s="31">
        <f>COUNT(Toolbar!A9:A500)</f>
        <v>110</v>
      </c>
      <c r="C66" s="31">
        <f>COUNTIF(Toolbar!H9:H500,"covered")</f>
        <v>0</v>
      </c>
      <c r="D66" s="31">
        <f>COUNTIF(Toolbar!H9:H500,"partial")</f>
        <v>0</v>
      </c>
      <c r="E66" s="31">
        <f>COUNTIF(Toolbar!H9:H500,"missing")</f>
        <v>4</v>
      </c>
      <c r="F66" s="31">
        <f>COUNTIF(Toolbar!H9:H500,"untested")</f>
        <v>106</v>
      </c>
      <c r="G66" s="32">
        <f t="shared" si="3"/>
        <v>0</v>
      </c>
      <c r="H66" s="29" t="str">
        <f t="shared" si="4"/>
        <v>Open</v>
      </c>
      <c r="I66" s="29">
        <f t="shared" si="5"/>
        <v>110</v>
      </c>
    </row>
    <row r="67" spans="1:9" ht="15" customHeight="1">
      <c r="A67" s="30" t="s">
        <v>74</v>
      </c>
      <c r="B67" s="31">
        <f>COUNT(Tooltip!A9:A500)</f>
        <v>107</v>
      </c>
      <c r="C67" s="31">
        <f>COUNTIF(Tooltip!H9:H500,"covered")</f>
        <v>0</v>
      </c>
      <c r="D67" s="31">
        <f>COUNTIF(Tooltip!H9:H500,"partial")</f>
        <v>0</v>
      </c>
      <c r="E67" s="31">
        <f>COUNTIF(Tooltip!H9:H500,"missing")</f>
        <v>0</v>
      </c>
      <c r="F67" s="31">
        <f>COUNTIF(Tooltip!H9:H500,"untested")</f>
        <v>105</v>
      </c>
      <c r="G67" s="32">
        <f t="shared" si="3"/>
        <v>0</v>
      </c>
      <c r="H67" s="29" t="str">
        <f t="shared" si="4"/>
        <v>Open</v>
      </c>
      <c r="I67" s="29">
        <f t="shared" si="5"/>
        <v>107</v>
      </c>
    </row>
    <row r="68" spans="1:9" ht="15" customHeight="1">
      <c r="A68" s="30" t="s">
        <v>75</v>
      </c>
      <c r="B68" s="31">
        <f>COUNT(Tree!A9:A500)</f>
        <v>103</v>
      </c>
      <c r="C68" s="31">
        <f>COUNTIF(Tree!H9:H500,"covered")</f>
        <v>0</v>
      </c>
      <c r="D68" s="31">
        <f>COUNTIF(Tree!H9:H500,"partial")</f>
        <v>0</v>
      </c>
      <c r="E68" s="31">
        <f>COUNTIF(Tree!H9:H500,"missing")</f>
        <v>5</v>
      </c>
      <c r="F68" s="31">
        <f>COUNTIF(Tree!H9:H500,"untested")</f>
        <v>98</v>
      </c>
      <c r="G68" s="32">
        <f t="shared" si="3"/>
        <v>0</v>
      </c>
      <c r="H68" s="29" t="str">
        <f t="shared" si="4"/>
        <v>Open</v>
      </c>
      <c r="I68" s="29">
        <f t="shared" si="5"/>
        <v>103</v>
      </c>
    </row>
    <row r="69" spans="1:9" ht="15" customHeight="1">
      <c r="A69" s="30" t="s">
        <v>76</v>
      </c>
      <c r="B69" s="31">
        <f>COUNT(TreeGrid!A9:A500)</f>
        <v>186</v>
      </c>
      <c r="C69" s="31">
        <f>COUNTIF(TreeGrid!H9:H500,"covered")</f>
        <v>0</v>
      </c>
      <c r="D69" s="31">
        <f>COUNTIF(TreeGrid!H9:H500,"partial")</f>
        <v>0</v>
      </c>
      <c r="E69" s="31">
        <f>COUNTIF(TreeGrid!H9:H500,"missing")</f>
        <v>6</v>
      </c>
      <c r="F69" s="31">
        <f>COUNTIF(TreeGrid!H9:H500,"untested")</f>
        <v>180</v>
      </c>
      <c r="G69" s="32">
        <f t="shared" si="3"/>
        <v>0</v>
      </c>
      <c r="H69" s="29" t="str">
        <f t="shared" si="4"/>
        <v>Open</v>
      </c>
      <c r="I69" s="29">
        <f t="shared" si="5"/>
        <v>186</v>
      </c>
    </row>
    <row r="70" spans="1:9" ht="15" customHeight="1">
      <c r="A70" s="33" t="s">
        <v>77</v>
      </c>
      <c r="B70" s="26">
        <f>COUNT(Virtualizer!A9:A500)</f>
        <v>25</v>
      </c>
      <c r="C70" s="26">
        <f>COUNTIF(Virtualizer!H9:H500,"covered")</f>
        <v>25</v>
      </c>
      <c r="D70" s="26">
        <f>COUNTIF(Virtualizer!H9:H500,"partial")</f>
        <v>0</v>
      </c>
      <c r="E70" s="26">
        <f>COUNTIF(Virtualizer!H9:H500,"missing")</f>
        <v>0</v>
      </c>
      <c r="F70" s="26">
        <f>COUNTIF(Virtualizer!H9:H500,"untested")</f>
        <v>0</v>
      </c>
      <c r="G70" s="28">
        <f t="shared" si="3"/>
        <v>1</v>
      </c>
      <c r="H70" s="26" t="str">
        <f t="shared" si="4"/>
        <v>Done</v>
      </c>
      <c r="I70" s="26">
        <f t="shared" si="5"/>
        <v>0</v>
      </c>
    </row>
    <row r="71" spans="1:9" ht="15" customHeight="1">
      <c r="A71" s="33" t="s">
        <v>78</v>
      </c>
      <c r="B71" s="26">
        <f>COUNT(VisuallyHidden!A9:A500)</f>
        <v>27</v>
      </c>
      <c r="C71" s="26">
        <f>COUNTIF(VisuallyHidden!H9:H500,"covered")</f>
        <v>27</v>
      </c>
      <c r="D71" s="26">
        <f>COUNTIF(VisuallyHidden!H9:H500,"partial")</f>
        <v>0</v>
      </c>
      <c r="E71" s="26">
        <f>COUNTIF(VisuallyHidden!H9:H500,"missing")</f>
        <v>0</v>
      </c>
      <c r="F71" s="26">
        <f>COUNTIF(VisuallyHidden!H9:H500,"untested")</f>
        <v>0</v>
      </c>
      <c r="G71" s="28">
        <f t="shared" si="3"/>
        <v>1</v>
      </c>
      <c r="H71" s="26" t="str">
        <f t="shared" ref="H71:H102" si="6">IF(AND(B71&gt;0,I71=0,G71=1),"Done","Open")</f>
        <v>Done</v>
      </c>
      <c r="I71" s="26">
        <f t="shared" si="5"/>
        <v>0</v>
      </c>
    </row>
  </sheetData>
  <mergeCells count="2">
    <mergeCell ref="A1:I1"/>
    <mergeCell ref="A2:I2"/>
  </mergeCells>
  <conditionalFormatting sqref="A7:I71">
    <cfRule type="expression" dxfId="7" priority="7">
      <formula>$H7="Done"</formula>
    </cfRule>
    <cfRule type="expression" dxfId="6" priority="8">
      <formula>$H7="Open"</formula>
    </cfRule>
  </conditionalFormatting>
  <conditionalFormatting sqref="H7:H71">
    <cfRule type="expression" dxfId="5" priority="9">
      <formula>$H7="Done"</formula>
    </cfRule>
    <cfRule type="expression" dxfId="4" priority="10">
      <formula>$H7="Needs work"</formula>
    </cfRule>
    <cfRule type="expression" dxfId="3" priority="11">
      <formula>$H7="In progress"</formula>
    </cfRule>
    <cfRule type="expression" dxfId="2" priority="12">
      <formula>$H7="No tests"</formula>
    </cfRule>
  </conditionalFormatting>
  <conditionalFormatting sqref="I7:I71">
    <cfRule type="cellIs" dxfId="1" priority="13" operator="equal">
      <formula>0</formula>
    </cfRule>
    <cfRule type="cellIs" dxfId="0" priority="1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79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5</v>
      </c>
      <c r="I4" s="1" t="s">
        <v>11</v>
      </c>
      <c r="J4" s="2">
        <f>COUNTIFS(A9:A1000,"&lt;&gt;",E9:E1000,"yes",F9:F1000,"&lt;&gt;yes")+COUNTIFS(A9:A1000,"&lt;&gt;",E9:E1000,"yes",F9:F1000,"yes",H9:H1000,"untested")</f>
        <v>102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14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108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14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108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14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108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14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108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14</v>
      </c>
      <c r="D15" s="5" t="s">
        <v>114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108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14</v>
      </c>
      <c r="D16" s="5" t="s">
        <v>115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108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14</v>
      </c>
      <c r="D17" s="5" t="s">
        <v>116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108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14</v>
      </c>
      <c r="D18" s="5" t="s">
        <v>117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108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14</v>
      </c>
      <c r="D19" s="5" t="s">
        <v>118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108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14</v>
      </c>
      <c r="D20" s="5" t="s">
        <v>119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108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108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108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108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108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108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108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130</v>
      </c>
      <c r="C27" s="5" t="s">
        <v>121</v>
      </c>
      <c r="D27" s="5" t="s">
        <v>131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108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130</v>
      </c>
      <c r="C28" s="5" t="s">
        <v>121</v>
      </c>
      <c r="D28" s="5" t="s">
        <v>132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108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134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108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136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108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137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108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138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108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139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108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140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108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141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108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142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108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143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108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135</v>
      </c>
      <c r="C38" s="5" t="s">
        <v>121</v>
      </c>
      <c r="D38" s="5" t="s">
        <v>144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108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120</v>
      </c>
      <c r="C39" s="5" t="s">
        <v>145</v>
      </c>
      <c r="D39" s="5" t="s">
        <v>122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108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120</v>
      </c>
      <c r="C40" s="5" t="s">
        <v>145</v>
      </c>
      <c r="D40" s="5" t="s">
        <v>123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108</v>
      </c>
      <c r="J40" s="5" t="s">
        <v>109</v>
      </c>
      <c r="K40" s="6">
        <f t="shared" si="0"/>
        <v>0</v>
      </c>
    </row>
    <row r="41" spans="1:11" ht="30" customHeight="1">
      <c r="A41" s="4">
        <v>33</v>
      </c>
      <c r="B41" s="5" t="s">
        <v>124</v>
      </c>
      <c r="C41" s="5" t="s">
        <v>145</v>
      </c>
      <c r="D41" s="5" t="s">
        <v>125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108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124</v>
      </c>
      <c r="C42" s="5" t="s">
        <v>145</v>
      </c>
      <c r="D42" s="5" t="s">
        <v>126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108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95</v>
      </c>
      <c r="C43" s="5" t="s">
        <v>145</v>
      </c>
      <c r="D43" s="5" t="s">
        <v>127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108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128</v>
      </c>
      <c r="C44" s="5" t="s">
        <v>145</v>
      </c>
      <c r="D44" s="5" t="s">
        <v>129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108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130</v>
      </c>
      <c r="C45" s="5" t="s">
        <v>145</v>
      </c>
      <c r="D45" s="5" t="s">
        <v>131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108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130</v>
      </c>
      <c r="C46" s="5" t="s">
        <v>145</v>
      </c>
      <c r="D46" s="5" t="s">
        <v>132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108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133</v>
      </c>
      <c r="C47" s="5" t="s">
        <v>145</v>
      </c>
      <c r="D47" s="5" t="s">
        <v>142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108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133</v>
      </c>
      <c r="C48" s="5" t="s">
        <v>145</v>
      </c>
      <c r="D48" s="5" t="s">
        <v>146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108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135</v>
      </c>
      <c r="C49" s="5" t="s">
        <v>145</v>
      </c>
      <c r="D49" s="5" t="s">
        <v>144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108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120</v>
      </c>
      <c r="C50" s="5" t="s">
        <v>147</v>
      </c>
      <c r="D50" s="5" t="s">
        <v>122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108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120</v>
      </c>
      <c r="C51" s="5" t="s">
        <v>147</v>
      </c>
      <c r="D51" s="5" t="s">
        <v>123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108</v>
      </c>
      <c r="J51" s="5" t="s">
        <v>109</v>
      </c>
      <c r="K51" s="6">
        <f t="shared" si="1"/>
        <v>0</v>
      </c>
    </row>
    <row r="52" spans="1:11" ht="30" customHeight="1">
      <c r="A52" s="4">
        <v>44</v>
      </c>
      <c r="B52" s="5" t="s">
        <v>124</v>
      </c>
      <c r="C52" s="5" t="s">
        <v>147</v>
      </c>
      <c r="D52" s="5" t="s">
        <v>125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108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124</v>
      </c>
      <c r="C53" s="5" t="s">
        <v>147</v>
      </c>
      <c r="D53" s="5" t="s">
        <v>126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108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95</v>
      </c>
      <c r="C54" s="5" t="s">
        <v>147</v>
      </c>
      <c r="D54" s="5" t="s">
        <v>127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108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128</v>
      </c>
      <c r="C55" s="5" t="s">
        <v>147</v>
      </c>
      <c r="D55" s="5" t="s">
        <v>129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108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130</v>
      </c>
      <c r="C56" s="5" t="s">
        <v>147</v>
      </c>
      <c r="D56" s="5" t="s">
        <v>131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108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130</v>
      </c>
      <c r="C57" s="5" t="s">
        <v>147</v>
      </c>
      <c r="D57" s="5" t="s">
        <v>132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108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133</v>
      </c>
      <c r="C58" s="5" t="s">
        <v>147</v>
      </c>
      <c r="D58" s="5" t="s">
        <v>148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108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133</v>
      </c>
      <c r="C59" s="5" t="s">
        <v>147</v>
      </c>
      <c r="D59" s="5" t="s">
        <v>142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108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133</v>
      </c>
      <c r="C60" s="5" t="s">
        <v>147</v>
      </c>
      <c r="D60" s="5" t="s">
        <v>146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108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133</v>
      </c>
      <c r="C61" s="5" t="s">
        <v>147</v>
      </c>
      <c r="D61" s="5" t="s">
        <v>149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108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120</v>
      </c>
      <c r="C62" s="5" t="s">
        <v>150</v>
      </c>
      <c r="D62" s="5" t="s">
        <v>122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108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120</v>
      </c>
      <c r="C63" s="5" t="s">
        <v>150</v>
      </c>
      <c r="D63" s="5" t="s">
        <v>123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108</v>
      </c>
      <c r="J63" s="5" t="s">
        <v>109</v>
      </c>
      <c r="K63" s="6">
        <f t="shared" si="1"/>
        <v>0</v>
      </c>
    </row>
    <row r="64" spans="1:11" ht="30" customHeight="1">
      <c r="A64" s="4">
        <v>56</v>
      </c>
      <c r="B64" s="5" t="s">
        <v>124</v>
      </c>
      <c r="C64" s="5" t="s">
        <v>150</v>
      </c>
      <c r="D64" s="5" t="s">
        <v>125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108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124</v>
      </c>
      <c r="C65" s="5" t="s">
        <v>150</v>
      </c>
      <c r="D65" s="5" t="s">
        <v>126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108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95</v>
      </c>
      <c r="C66" s="5" t="s">
        <v>150</v>
      </c>
      <c r="D66" s="5" t="s">
        <v>127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108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128</v>
      </c>
      <c r="C67" s="5" t="s">
        <v>150</v>
      </c>
      <c r="D67" s="5" t="s">
        <v>129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108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130</v>
      </c>
      <c r="C68" s="5" t="s">
        <v>150</v>
      </c>
      <c r="D68" s="5" t="s">
        <v>131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108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130</v>
      </c>
      <c r="C69" s="5" t="s">
        <v>150</v>
      </c>
      <c r="D69" s="5" t="s">
        <v>132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108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135</v>
      </c>
      <c r="C70" s="5" t="s">
        <v>150</v>
      </c>
      <c r="D70" s="5" t="s">
        <v>136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108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135</v>
      </c>
      <c r="C71" s="5" t="s">
        <v>150</v>
      </c>
      <c r="D71" s="5" t="s">
        <v>140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108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133</v>
      </c>
      <c r="C72" s="5" t="s">
        <v>150</v>
      </c>
      <c r="D72" s="5" t="s">
        <v>142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108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133</v>
      </c>
      <c r="C73" s="5" t="s">
        <v>150</v>
      </c>
      <c r="D73" s="5" t="s">
        <v>146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108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135</v>
      </c>
      <c r="C74" s="5" t="s">
        <v>150</v>
      </c>
      <c r="D74" s="5" t="s">
        <v>144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108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120</v>
      </c>
      <c r="C75" s="5" t="s">
        <v>151</v>
      </c>
      <c r="D75" s="5" t="s">
        <v>122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108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120</v>
      </c>
      <c r="C76" s="5" t="s">
        <v>151</v>
      </c>
      <c r="D76" s="5" t="s">
        <v>123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108</v>
      </c>
      <c r="J76" s="5" t="s">
        <v>109</v>
      </c>
      <c r="K76" s="6">
        <f t="shared" si="2"/>
        <v>0</v>
      </c>
    </row>
    <row r="77" spans="1:11" ht="30" customHeight="1">
      <c r="A77" s="4">
        <v>69</v>
      </c>
      <c r="B77" s="5" t="s">
        <v>124</v>
      </c>
      <c r="C77" s="5" t="s">
        <v>151</v>
      </c>
      <c r="D77" s="5" t="s">
        <v>125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108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124</v>
      </c>
      <c r="C78" s="5" t="s">
        <v>151</v>
      </c>
      <c r="D78" s="5" t="s">
        <v>126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108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95</v>
      </c>
      <c r="C79" s="5" t="s">
        <v>151</v>
      </c>
      <c r="D79" s="5" t="s">
        <v>127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108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128</v>
      </c>
      <c r="C80" s="5" t="s">
        <v>151</v>
      </c>
      <c r="D80" s="5" t="s">
        <v>129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108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130</v>
      </c>
      <c r="C81" s="5" t="s">
        <v>151</v>
      </c>
      <c r="D81" s="5" t="s">
        <v>131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108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130</v>
      </c>
      <c r="C82" s="5" t="s">
        <v>151</v>
      </c>
      <c r="D82" s="5" t="s">
        <v>132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108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133</v>
      </c>
      <c r="C83" s="5" t="s">
        <v>151</v>
      </c>
      <c r="D83" s="5" t="s">
        <v>152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108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133</v>
      </c>
      <c r="C84" s="5" t="s">
        <v>151</v>
      </c>
      <c r="D84" s="5" t="s">
        <v>142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108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153</v>
      </c>
      <c r="C85" s="5" t="s">
        <v>154</v>
      </c>
      <c r="D85" s="5" t="s">
        <v>155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108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153</v>
      </c>
      <c r="C86" s="5" t="s">
        <v>154</v>
      </c>
      <c r="D86" s="5" t="s">
        <v>156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108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153</v>
      </c>
      <c r="C87" s="5" t="s">
        <v>154</v>
      </c>
      <c r="D87" s="5" t="s">
        <v>157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108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153</v>
      </c>
      <c r="C88" s="5" t="s">
        <v>154</v>
      </c>
      <c r="D88" s="5" t="s">
        <v>158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108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159</v>
      </c>
      <c r="C89" s="5" t="s">
        <v>154</v>
      </c>
      <c r="D89" s="5" t="s">
        <v>160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108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159</v>
      </c>
      <c r="C90" s="5" t="s">
        <v>154</v>
      </c>
      <c r="D90" s="5" t="s">
        <v>161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108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159</v>
      </c>
      <c r="C91" s="5" t="s">
        <v>154</v>
      </c>
      <c r="D91" s="5" t="s">
        <v>162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108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159</v>
      </c>
      <c r="C92" s="5" t="s">
        <v>154</v>
      </c>
      <c r="D92" s="5" t="s">
        <v>163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108</v>
      </c>
      <c r="J92" s="5" t="s">
        <v>109</v>
      </c>
      <c r="K92" s="6">
        <f t="shared" si="2"/>
        <v>0</v>
      </c>
    </row>
    <row r="93" spans="1:11" ht="30" customHeight="1">
      <c r="A93" s="4">
        <v>85</v>
      </c>
      <c r="B93" s="5" t="s">
        <v>130</v>
      </c>
      <c r="C93" s="5" t="s">
        <v>14</v>
      </c>
      <c r="D93" s="5" t="s">
        <v>164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108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130</v>
      </c>
      <c r="C94" s="5" t="s">
        <v>14</v>
      </c>
      <c r="D94" s="5" t="s">
        <v>165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108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130</v>
      </c>
      <c r="C95" s="5" t="s">
        <v>14</v>
      </c>
      <c r="D95" s="5" t="s">
        <v>166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108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130</v>
      </c>
      <c r="C96" s="5" t="s">
        <v>14</v>
      </c>
      <c r="D96" s="5" t="s">
        <v>167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108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130</v>
      </c>
      <c r="C97" s="5" t="s">
        <v>14</v>
      </c>
      <c r="D97" s="5" t="s">
        <v>168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108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135</v>
      </c>
      <c r="C98" s="5" t="s">
        <v>121</v>
      </c>
      <c r="D98" s="5" t="s">
        <v>169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108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135</v>
      </c>
      <c r="C99" s="5" t="s">
        <v>121</v>
      </c>
      <c r="D99" s="5" t="s">
        <v>170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108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135</v>
      </c>
      <c r="C100" s="5" t="s">
        <v>121</v>
      </c>
      <c r="D100" s="5" t="s">
        <v>171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108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172</v>
      </c>
      <c r="C101" s="5" t="s">
        <v>145</v>
      </c>
      <c r="D101" s="5" t="s">
        <v>173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108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172</v>
      </c>
      <c r="C102" s="5" t="s">
        <v>145</v>
      </c>
      <c r="D102" s="5" t="s">
        <v>174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108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172</v>
      </c>
      <c r="C103" s="5" t="s">
        <v>145</v>
      </c>
      <c r="D103" s="5" t="s">
        <v>175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108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172</v>
      </c>
      <c r="C104" s="5" t="s">
        <v>145</v>
      </c>
      <c r="D104" s="5" t="s">
        <v>176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108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177</v>
      </c>
      <c r="C105" s="5" t="s">
        <v>145</v>
      </c>
      <c r="D105" s="5" t="s">
        <v>178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108</v>
      </c>
      <c r="J105" s="5" t="s">
        <v>109</v>
      </c>
      <c r="K105" s="6">
        <f t="shared" ref="K105:K115" si="3">IF(AND(E105="yes",F105="yes",H105="covered"),1,IF(H105="partial",0.5,0))</f>
        <v>0</v>
      </c>
    </row>
    <row r="106" spans="1:11" ht="15" customHeight="1">
      <c r="A106" s="4">
        <v>98</v>
      </c>
      <c r="B106" s="5" t="s">
        <v>179</v>
      </c>
      <c r="C106" s="5" t="s">
        <v>14</v>
      </c>
      <c r="D106" s="5" t="s">
        <v>180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108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179</v>
      </c>
      <c r="C107" s="5" t="s">
        <v>14</v>
      </c>
      <c r="D107" s="5" t="s">
        <v>181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108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179</v>
      </c>
      <c r="C108" s="5" t="s">
        <v>14</v>
      </c>
      <c r="D108" s="5" t="s">
        <v>182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108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179</v>
      </c>
      <c r="C109" s="5" t="s">
        <v>14</v>
      </c>
      <c r="D109" s="5" t="s">
        <v>183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108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179</v>
      </c>
      <c r="C110" s="5" t="s">
        <v>14</v>
      </c>
      <c r="D110" s="5" t="s">
        <v>184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108</v>
      </c>
      <c r="J110" s="5" t="s">
        <v>109</v>
      </c>
      <c r="K110" s="6">
        <f t="shared" si="3"/>
        <v>0</v>
      </c>
    </row>
    <row r="111" spans="1:11" ht="30" customHeight="1">
      <c r="A111" s="4">
        <v>103</v>
      </c>
      <c r="B111" s="5" t="s">
        <v>179</v>
      </c>
      <c r="C111" s="5" t="s">
        <v>14</v>
      </c>
      <c r="D111" s="5" t="s">
        <v>185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108</v>
      </c>
      <c r="J111" s="5" t="s">
        <v>109</v>
      </c>
      <c r="K111" s="6">
        <f t="shared" si="3"/>
        <v>0</v>
      </c>
    </row>
    <row r="112" spans="1:11" ht="30" customHeight="1">
      <c r="A112" s="4">
        <v>104</v>
      </c>
      <c r="B112" s="5" t="s">
        <v>177</v>
      </c>
      <c r="C112" s="5" t="s">
        <v>14</v>
      </c>
      <c r="D112" s="5" t="s">
        <v>186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108</v>
      </c>
      <c r="J112" s="5" t="s">
        <v>109</v>
      </c>
      <c r="K112" s="6">
        <f t="shared" si="3"/>
        <v>0</v>
      </c>
    </row>
    <row r="113" spans="1:11" ht="30" customHeight="1">
      <c r="A113" s="4">
        <v>105</v>
      </c>
      <c r="B113" s="5" t="s">
        <v>31</v>
      </c>
      <c r="C113" s="5" t="s">
        <v>121</v>
      </c>
      <c r="D113" s="5" t="s">
        <v>187</v>
      </c>
      <c r="E113" s="10" t="s">
        <v>97</v>
      </c>
      <c r="F113" s="8" t="s">
        <v>97</v>
      </c>
      <c r="G113" s="4" t="s">
        <v>99</v>
      </c>
      <c r="H113" s="10" t="s">
        <v>99</v>
      </c>
      <c r="I113" s="5"/>
      <c r="J113" s="5" t="s">
        <v>188</v>
      </c>
      <c r="K113" s="6">
        <f t="shared" si="3"/>
        <v>0</v>
      </c>
    </row>
    <row r="114" spans="1:11" ht="30" customHeight="1">
      <c r="A114" s="4">
        <v>106</v>
      </c>
      <c r="B114" s="5" t="s">
        <v>31</v>
      </c>
      <c r="C114" s="5" t="s">
        <v>121</v>
      </c>
      <c r="D114" s="5" t="s">
        <v>189</v>
      </c>
      <c r="E114" s="10" t="s">
        <v>97</v>
      </c>
      <c r="F114" s="8" t="s">
        <v>97</v>
      </c>
      <c r="G114" s="4" t="s">
        <v>99</v>
      </c>
      <c r="H114" s="10" t="s">
        <v>99</v>
      </c>
      <c r="I114" s="5"/>
      <c r="J114" s="5" t="s">
        <v>190</v>
      </c>
      <c r="K114" s="6">
        <f t="shared" si="3"/>
        <v>0</v>
      </c>
    </row>
    <row r="115" spans="1:11" ht="30" customHeight="1">
      <c r="A115" s="4">
        <v>107</v>
      </c>
      <c r="B115" s="5" t="s">
        <v>94</v>
      </c>
      <c r="C115" s="5" t="s">
        <v>191</v>
      </c>
      <c r="D115" s="5" t="s">
        <v>192</v>
      </c>
      <c r="E115" s="10" t="s">
        <v>97</v>
      </c>
      <c r="F115" s="8" t="s">
        <v>97</v>
      </c>
      <c r="G115" s="4" t="s">
        <v>99</v>
      </c>
      <c r="H115" s="10" t="s">
        <v>99</v>
      </c>
      <c r="I115" s="5"/>
      <c r="J115" s="5" t="s">
        <v>193</v>
      </c>
      <c r="K115" s="6">
        <f t="shared" si="3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2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194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134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15</v>
      </c>
      <c r="D9" s="5" t="s">
        <v>104</v>
      </c>
      <c r="E9" s="7" t="s">
        <v>105</v>
      </c>
      <c r="F9" s="8" t="s">
        <v>105</v>
      </c>
      <c r="G9" s="4" t="s">
        <v>195</v>
      </c>
      <c r="H9" s="9" t="s">
        <v>196</v>
      </c>
      <c r="I9" s="5" t="s">
        <v>197</v>
      </c>
      <c r="J9" s="5" t="s">
        <v>198</v>
      </c>
      <c r="K9" s="6">
        <f t="shared" ref="K9:K40" si="0">IF(AND(E9="yes",F9="yes",H9="covered"),1,IF(H9="partial",0.5,0))</f>
        <v>1</v>
      </c>
    </row>
    <row r="10" spans="1:11" ht="30" customHeight="1">
      <c r="A10" s="4">
        <v>2</v>
      </c>
      <c r="B10" s="5" t="s">
        <v>94</v>
      </c>
      <c r="C10" s="5" t="s">
        <v>15</v>
      </c>
      <c r="D10" s="5" t="s">
        <v>199</v>
      </c>
      <c r="E10" s="7" t="s">
        <v>105</v>
      </c>
      <c r="F10" s="8" t="s">
        <v>105</v>
      </c>
      <c r="G10" s="4" t="s">
        <v>195</v>
      </c>
      <c r="H10" s="9" t="s">
        <v>196</v>
      </c>
      <c r="I10" s="5" t="s">
        <v>197</v>
      </c>
      <c r="J10" s="5" t="s">
        <v>198</v>
      </c>
      <c r="K10" s="6">
        <f t="shared" si="0"/>
        <v>1</v>
      </c>
    </row>
    <row r="11" spans="1:11" ht="30" customHeight="1">
      <c r="A11" s="4">
        <v>3</v>
      </c>
      <c r="B11" s="5" t="s">
        <v>94</v>
      </c>
      <c r="C11" s="5" t="s">
        <v>15</v>
      </c>
      <c r="D11" s="5" t="s">
        <v>200</v>
      </c>
      <c r="E11" s="7" t="s">
        <v>105</v>
      </c>
      <c r="F11" s="8" t="s">
        <v>105</v>
      </c>
      <c r="G11" s="4" t="s">
        <v>195</v>
      </c>
      <c r="H11" s="9" t="s">
        <v>196</v>
      </c>
      <c r="I11" s="5" t="s">
        <v>197</v>
      </c>
      <c r="J11" s="5" t="s">
        <v>198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95</v>
      </c>
      <c r="D12" s="5" t="s">
        <v>201</v>
      </c>
      <c r="E12" s="7" t="s">
        <v>105</v>
      </c>
      <c r="F12" s="8" t="s">
        <v>105</v>
      </c>
      <c r="G12" s="4" t="s">
        <v>195</v>
      </c>
      <c r="H12" s="9" t="s">
        <v>196</v>
      </c>
      <c r="I12" s="5" t="s">
        <v>197</v>
      </c>
      <c r="J12" s="5" t="s">
        <v>198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95</v>
      </c>
      <c r="D13" s="5" t="s">
        <v>202</v>
      </c>
      <c r="E13" s="7" t="s">
        <v>105</v>
      </c>
      <c r="F13" s="8" t="s">
        <v>105</v>
      </c>
      <c r="G13" s="4" t="s">
        <v>195</v>
      </c>
      <c r="H13" s="9" t="s">
        <v>196</v>
      </c>
      <c r="I13" s="5" t="s">
        <v>197</v>
      </c>
      <c r="J13" s="5" t="s">
        <v>198</v>
      </c>
      <c r="K13" s="6">
        <f t="shared" si="0"/>
        <v>1</v>
      </c>
    </row>
    <row r="14" spans="1:11" ht="30" customHeight="1">
      <c r="A14" s="4">
        <v>6</v>
      </c>
      <c r="B14" s="5" t="s">
        <v>94</v>
      </c>
      <c r="C14" s="5" t="s">
        <v>15</v>
      </c>
      <c r="D14" s="5" t="s">
        <v>203</v>
      </c>
      <c r="E14" s="7" t="s">
        <v>105</v>
      </c>
      <c r="F14" s="8" t="s">
        <v>105</v>
      </c>
      <c r="G14" s="4" t="s">
        <v>195</v>
      </c>
      <c r="H14" s="9" t="s">
        <v>196</v>
      </c>
      <c r="I14" s="5" t="s">
        <v>197</v>
      </c>
      <c r="J14" s="5" t="s">
        <v>198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15</v>
      </c>
      <c r="D15" s="5" t="s">
        <v>204</v>
      </c>
      <c r="E15" s="7" t="s">
        <v>105</v>
      </c>
      <c r="F15" s="8" t="s">
        <v>105</v>
      </c>
      <c r="G15" s="4" t="s">
        <v>195</v>
      </c>
      <c r="H15" s="9" t="s">
        <v>196</v>
      </c>
      <c r="I15" s="5" t="s">
        <v>205</v>
      </c>
      <c r="J15" s="5" t="s">
        <v>198</v>
      </c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15</v>
      </c>
      <c r="D16" s="5" t="s">
        <v>206</v>
      </c>
      <c r="E16" s="7" t="s">
        <v>105</v>
      </c>
      <c r="F16" s="8" t="s">
        <v>105</v>
      </c>
      <c r="G16" s="4" t="s">
        <v>195</v>
      </c>
      <c r="H16" s="9" t="s">
        <v>196</v>
      </c>
      <c r="I16" s="5" t="s">
        <v>207</v>
      </c>
      <c r="J16" s="5" t="s">
        <v>198</v>
      </c>
      <c r="K16" s="6">
        <f t="shared" si="0"/>
        <v>1</v>
      </c>
    </row>
    <row r="17" spans="1:11" ht="30" customHeight="1">
      <c r="A17" s="4">
        <v>9</v>
      </c>
      <c r="B17" s="5" t="s">
        <v>113</v>
      </c>
      <c r="C17" s="5" t="s">
        <v>15</v>
      </c>
      <c r="D17" s="5" t="s">
        <v>208</v>
      </c>
      <c r="E17" s="7" t="s">
        <v>105</v>
      </c>
      <c r="F17" s="8" t="s">
        <v>105</v>
      </c>
      <c r="G17" s="4" t="s">
        <v>195</v>
      </c>
      <c r="H17" s="9" t="s">
        <v>196</v>
      </c>
      <c r="I17" s="5" t="s">
        <v>209</v>
      </c>
      <c r="J17" s="5" t="s">
        <v>198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15</v>
      </c>
      <c r="D18" s="5" t="s">
        <v>210</v>
      </c>
      <c r="E18" s="7" t="s">
        <v>105</v>
      </c>
      <c r="F18" s="8" t="s">
        <v>105</v>
      </c>
      <c r="G18" s="4" t="s">
        <v>195</v>
      </c>
      <c r="H18" s="9" t="s">
        <v>196</v>
      </c>
      <c r="I18" s="5" t="s">
        <v>211</v>
      </c>
      <c r="J18" s="5" t="s">
        <v>198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15</v>
      </c>
      <c r="D19" s="5" t="s">
        <v>212</v>
      </c>
      <c r="E19" s="7" t="s">
        <v>105</v>
      </c>
      <c r="F19" s="8" t="s">
        <v>105</v>
      </c>
      <c r="G19" s="4" t="s">
        <v>195</v>
      </c>
      <c r="H19" s="9" t="s">
        <v>196</v>
      </c>
      <c r="I19" s="5" t="s">
        <v>213</v>
      </c>
      <c r="J19" s="5" t="s">
        <v>198</v>
      </c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15</v>
      </c>
      <c r="D20" s="5" t="s">
        <v>214</v>
      </c>
      <c r="E20" s="7" t="s">
        <v>105</v>
      </c>
      <c r="F20" s="8" t="s">
        <v>105</v>
      </c>
      <c r="G20" s="4" t="s">
        <v>195</v>
      </c>
      <c r="H20" s="9" t="s">
        <v>196</v>
      </c>
      <c r="I20" s="5" t="s">
        <v>215</v>
      </c>
      <c r="J20" s="5" t="s">
        <v>198</v>
      </c>
      <c r="K20" s="6">
        <f t="shared" si="0"/>
        <v>1</v>
      </c>
    </row>
    <row r="21" spans="1:11" ht="30" customHeight="1">
      <c r="A21" s="4">
        <v>13</v>
      </c>
      <c r="B21" s="5" t="s">
        <v>113</v>
      </c>
      <c r="C21" s="5" t="s">
        <v>15</v>
      </c>
      <c r="D21" s="5" t="s">
        <v>216</v>
      </c>
      <c r="E21" s="7" t="s">
        <v>105</v>
      </c>
      <c r="F21" s="8" t="s">
        <v>105</v>
      </c>
      <c r="G21" s="4" t="s">
        <v>195</v>
      </c>
      <c r="H21" s="9" t="s">
        <v>196</v>
      </c>
      <c r="I21" s="5" t="s">
        <v>217</v>
      </c>
      <c r="J21" s="5" t="s">
        <v>198</v>
      </c>
      <c r="K21" s="6">
        <f t="shared" si="0"/>
        <v>1</v>
      </c>
    </row>
    <row r="22" spans="1:11" ht="30" customHeight="1">
      <c r="A22" s="4">
        <v>14</v>
      </c>
      <c r="B22" s="5" t="s">
        <v>113</v>
      </c>
      <c r="C22" s="5" t="s">
        <v>15</v>
      </c>
      <c r="D22" s="5" t="s">
        <v>218</v>
      </c>
      <c r="E22" s="7" t="s">
        <v>105</v>
      </c>
      <c r="F22" s="8" t="s">
        <v>105</v>
      </c>
      <c r="G22" s="4" t="s">
        <v>195</v>
      </c>
      <c r="H22" s="9" t="s">
        <v>196</v>
      </c>
      <c r="I22" s="5" t="s">
        <v>219</v>
      </c>
      <c r="J22" s="5" t="s">
        <v>198</v>
      </c>
      <c r="K22" s="6">
        <f t="shared" si="0"/>
        <v>1</v>
      </c>
    </row>
    <row r="23" spans="1:11" ht="30" customHeight="1">
      <c r="A23" s="4">
        <v>15</v>
      </c>
      <c r="B23" s="5" t="s">
        <v>135</v>
      </c>
      <c r="C23" s="5" t="s">
        <v>121</v>
      </c>
      <c r="D23" s="5" t="s">
        <v>220</v>
      </c>
      <c r="E23" s="7" t="s">
        <v>105</v>
      </c>
      <c r="F23" s="8" t="s">
        <v>105</v>
      </c>
      <c r="G23" s="4" t="s">
        <v>195</v>
      </c>
      <c r="H23" s="9" t="s">
        <v>196</v>
      </c>
      <c r="I23" s="5" t="s">
        <v>221</v>
      </c>
      <c r="J23" s="5" t="s">
        <v>198</v>
      </c>
      <c r="K23" s="6">
        <f t="shared" si="0"/>
        <v>1</v>
      </c>
    </row>
    <row r="24" spans="1:11" ht="15" customHeight="1">
      <c r="A24" s="4">
        <v>16</v>
      </c>
      <c r="B24" s="5" t="s">
        <v>135</v>
      </c>
      <c r="C24" s="5" t="s">
        <v>121</v>
      </c>
      <c r="D24" s="5" t="s">
        <v>222</v>
      </c>
      <c r="E24" s="7" t="s">
        <v>105</v>
      </c>
      <c r="F24" s="8" t="s">
        <v>105</v>
      </c>
      <c r="G24" s="4" t="s">
        <v>195</v>
      </c>
      <c r="H24" s="9" t="s">
        <v>196</v>
      </c>
      <c r="I24" s="5" t="s">
        <v>223</v>
      </c>
      <c r="J24" s="5" t="s">
        <v>198</v>
      </c>
      <c r="K24" s="6">
        <f t="shared" si="0"/>
        <v>1</v>
      </c>
    </row>
    <row r="25" spans="1:11" ht="15" customHeight="1">
      <c r="A25" s="4">
        <v>17</v>
      </c>
      <c r="B25" s="5" t="s">
        <v>135</v>
      </c>
      <c r="C25" s="5" t="s">
        <v>121</v>
      </c>
      <c r="D25" s="5" t="s">
        <v>224</v>
      </c>
      <c r="E25" s="7" t="s">
        <v>105</v>
      </c>
      <c r="F25" s="8" t="s">
        <v>105</v>
      </c>
      <c r="G25" s="4" t="s">
        <v>195</v>
      </c>
      <c r="H25" s="9" t="s">
        <v>196</v>
      </c>
      <c r="I25" s="5" t="s">
        <v>225</v>
      </c>
      <c r="J25" s="5" t="s">
        <v>198</v>
      </c>
      <c r="K25" s="6">
        <f t="shared" si="0"/>
        <v>1</v>
      </c>
    </row>
    <row r="26" spans="1:11" ht="30" customHeight="1">
      <c r="A26" s="4">
        <v>18</v>
      </c>
      <c r="B26" s="5" t="s">
        <v>135</v>
      </c>
      <c r="C26" s="5" t="s">
        <v>121</v>
      </c>
      <c r="D26" s="5" t="s">
        <v>226</v>
      </c>
      <c r="E26" s="7" t="s">
        <v>105</v>
      </c>
      <c r="F26" s="8" t="s">
        <v>105</v>
      </c>
      <c r="G26" s="4" t="s">
        <v>195</v>
      </c>
      <c r="H26" s="9" t="s">
        <v>196</v>
      </c>
      <c r="I26" s="5" t="s">
        <v>227</v>
      </c>
      <c r="J26" s="5" t="s">
        <v>198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228</v>
      </c>
      <c r="E27" s="7" t="s">
        <v>105</v>
      </c>
      <c r="F27" s="8" t="s">
        <v>105</v>
      </c>
      <c r="G27" s="4" t="s">
        <v>195</v>
      </c>
      <c r="H27" s="9" t="s">
        <v>196</v>
      </c>
      <c r="I27" s="5" t="s">
        <v>229</v>
      </c>
      <c r="J27" s="5" t="s">
        <v>198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230</v>
      </c>
      <c r="E28" s="7" t="s">
        <v>105</v>
      </c>
      <c r="F28" s="8" t="s">
        <v>105</v>
      </c>
      <c r="G28" s="4" t="s">
        <v>195</v>
      </c>
      <c r="H28" s="9" t="s">
        <v>196</v>
      </c>
      <c r="I28" s="5" t="s">
        <v>231</v>
      </c>
      <c r="J28" s="5" t="s">
        <v>198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232</v>
      </c>
      <c r="E29" s="7" t="s">
        <v>105</v>
      </c>
      <c r="F29" s="8" t="s">
        <v>105</v>
      </c>
      <c r="G29" s="4" t="s">
        <v>195</v>
      </c>
      <c r="H29" s="9" t="s">
        <v>196</v>
      </c>
      <c r="I29" s="5" t="s">
        <v>233</v>
      </c>
      <c r="J29" s="5" t="s">
        <v>198</v>
      </c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234</v>
      </c>
      <c r="E30" s="7" t="s">
        <v>105</v>
      </c>
      <c r="F30" s="8" t="s">
        <v>105</v>
      </c>
      <c r="G30" s="4" t="s">
        <v>195</v>
      </c>
      <c r="H30" s="9" t="s">
        <v>196</v>
      </c>
      <c r="I30" s="5" t="s">
        <v>235</v>
      </c>
      <c r="J30" s="5" t="s">
        <v>198</v>
      </c>
      <c r="K30" s="6">
        <f t="shared" si="0"/>
        <v>1</v>
      </c>
    </row>
    <row r="31" spans="1:11" ht="15" customHeight="1">
      <c r="A31" s="4">
        <v>23</v>
      </c>
      <c r="B31" s="5" t="s">
        <v>120</v>
      </c>
      <c r="C31" s="5" t="s">
        <v>145</v>
      </c>
      <c r="D31" s="5" t="s">
        <v>236</v>
      </c>
      <c r="E31" s="7" t="s">
        <v>105</v>
      </c>
      <c r="F31" s="8" t="s">
        <v>105</v>
      </c>
      <c r="G31" s="4" t="s">
        <v>195</v>
      </c>
      <c r="H31" s="9" t="s">
        <v>196</v>
      </c>
      <c r="I31" s="5" t="s">
        <v>197</v>
      </c>
      <c r="J31" s="5" t="s">
        <v>198</v>
      </c>
      <c r="K31" s="6">
        <f t="shared" si="0"/>
        <v>1</v>
      </c>
    </row>
    <row r="32" spans="1:11" ht="15" customHeight="1">
      <c r="A32" s="4">
        <v>24</v>
      </c>
      <c r="B32" s="5" t="s">
        <v>124</v>
      </c>
      <c r="C32" s="5" t="s">
        <v>145</v>
      </c>
      <c r="D32" s="5" t="s">
        <v>237</v>
      </c>
      <c r="E32" s="7" t="s">
        <v>105</v>
      </c>
      <c r="F32" s="8" t="s">
        <v>105</v>
      </c>
      <c r="G32" s="4" t="s">
        <v>195</v>
      </c>
      <c r="H32" s="9" t="s">
        <v>196</v>
      </c>
      <c r="I32" s="5" t="s">
        <v>238</v>
      </c>
      <c r="J32" s="5" t="s">
        <v>198</v>
      </c>
      <c r="K32" s="6">
        <f t="shared" si="0"/>
        <v>1</v>
      </c>
    </row>
    <row r="33" spans="1:11" ht="15" customHeight="1">
      <c r="A33" s="4">
        <v>25</v>
      </c>
      <c r="B33" s="5" t="s">
        <v>124</v>
      </c>
      <c r="C33" s="5" t="s">
        <v>145</v>
      </c>
      <c r="D33" s="5" t="s">
        <v>239</v>
      </c>
      <c r="E33" s="7" t="s">
        <v>105</v>
      </c>
      <c r="F33" s="8" t="s">
        <v>105</v>
      </c>
      <c r="G33" s="4" t="s">
        <v>195</v>
      </c>
      <c r="H33" s="9" t="s">
        <v>196</v>
      </c>
      <c r="I33" s="5" t="s">
        <v>240</v>
      </c>
      <c r="J33" s="5" t="s">
        <v>198</v>
      </c>
      <c r="K33" s="6">
        <f t="shared" si="0"/>
        <v>1</v>
      </c>
    </row>
    <row r="34" spans="1:11" ht="15" customHeight="1">
      <c r="A34" s="4">
        <v>26</v>
      </c>
      <c r="B34" s="5" t="s">
        <v>159</v>
      </c>
      <c r="C34" s="5" t="s">
        <v>145</v>
      </c>
      <c r="D34" s="5" t="s">
        <v>241</v>
      </c>
      <c r="E34" s="7" t="s">
        <v>105</v>
      </c>
      <c r="F34" s="8" t="s">
        <v>105</v>
      </c>
      <c r="G34" s="4" t="s">
        <v>195</v>
      </c>
      <c r="H34" s="9" t="s">
        <v>196</v>
      </c>
      <c r="I34" s="5" t="s">
        <v>242</v>
      </c>
      <c r="J34" s="5" t="s">
        <v>198</v>
      </c>
      <c r="K34" s="6">
        <f t="shared" si="0"/>
        <v>1</v>
      </c>
    </row>
    <row r="35" spans="1:11" ht="15" customHeight="1">
      <c r="A35" s="4">
        <v>27</v>
      </c>
      <c r="B35" s="5" t="s">
        <v>159</v>
      </c>
      <c r="C35" s="5" t="s">
        <v>145</v>
      </c>
      <c r="D35" s="5" t="s">
        <v>243</v>
      </c>
      <c r="E35" s="7" t="s">
        <v>105</v>
      </c>
      <c r="F35" s="8" t="s">
        <v>105</v>
      </c>
      <c r="G35" s="4" t="s">
        <v>195</v>
      </c>
      <c r="H35" s="9" t="s">
        <v>196</v>
      </c>
      <c r="I35" s="5" t="s">
        <v>244</v>
      </c>
      <c r="J35" s="5" t="s">
        <v>198</v>
      </c>
      <c r="K35" s="6">
        <f t="shared" si="0"/>
        <v>1</v>
      </c>
    </row>
    <row r="36" spans="1:11" ht="15" customHeight="1">
      <c r="A36" s="4">
        <v>28</v>
      </c>
      <c r="B36" s="5" t="s">
        <v>159</v>
      </c>
      <c r="C36" s="5" t="s">
        <v>145</v>
      </c>
      <c r="D36" s="5" t="s">
        <v>245</v>
      </c>
      <c r="E36" s="7" t="s">
        <v>105</v>
      </c>
      <c r="F36" s="8" t="s">
        <v>105</v>
      </c>
      <c r="G36" s="4" t="s">
        <v>195</v>
      </c>
      <c r="H36" s="9" t="s">
        <v>196</v>
      </c>
      <c r="I36" s="5" t="s">
        <v>246</v>
      </c>
      <c r="J36" s="5" t="s">
        <v>198</v>
      </c>
      <c r="K36" s="6">
        <f t="shared" si="0"/>
        <v>1</v>
      </c>
    </row>
    <row r="37" spans="1:11" ht="15" customHeight="1">
      <c r="A37" s="4">
        <v>29</v>
      </c>
      <c r="B37" s="5" t="s">
        <v>153</v>
      </c>
      <c r="C37" s="5" t="s">
        <v>145</v>
      </c>
      <c r="D37" s="5" t="s">
        <v>247</v>
      </c>
      <c r="E37" s="7" t="s">
        <v>105</v>
      </c>
      <c r="F37" s="8" t="s">
        <v>105</v>
      </c>
      <c r="G37" s="4" t="s">
        <v>195</v>
      </c>
      <c r="H37" s="9" t="s">
        <v>196</v>
      </c>
      <c r="I37" s="5" t="s">
        <v>248</v>
      </c>
      <c r="J37" s="5" t="s">
        <v>198</v>
      </c>
      <c r="K37" s="6">
        <f t="shared" si="0"/>
        <v>1</v>
      </c>
    </row>
    <row r="38" spans="1:11" ht="15" customHeight="1">
      <c r="A38" s="4">
        <v>30</v>
      </c>
      <c r="B38" s="5" t="s">
        <v>153</v>
      </c>
      <c r="C38" s="5" t="s">
        <v>145</v>
      </c>
      <c r="D38" s="5" t="s">
        <v>249</v>
      </c>
      <c r="E38" s="7" t="s">
        <v>105</v>
      </c>
      <c r="F38" s="8" t="s">
        <v>105</v>
      </c>
      <c r="G38" s="4" t="s">
        <v>195</v>
      </c>
      <c r="H38" s="9" t="s">
        <v>196</v>
      </c>
      <c r="I38" s="5" t="s">
        <v>250</v>
      </c>
      <c r="J38" s="5" t="s">
        <v>198</v>
      </c>
      <c r="K38" s="6">
        <f t="shared" si="0"/>
        <v>1</v>
      </c>
    </row>
    <row r="39" spans="1:11" ht="15" customHeight="1">
      <c r="A39" s="4">
        <v>31</v>
      </c>
      <c r="B39" s="5" t="s">
        <v>153</v>
      </c>
      <c r="C39" s="5" t="s">
        <v>145</v>
      </c>
      <c r="D39" s="5" t="s">
        <v>251</v>
      </c>
      <c r="E39" s="7" t="s">
        <v>105</v>
      </c>
      <c r="F39" s="8" t="s">
        <v>105</v>
      </c>
      <c r="G39" s="4" t="s">
        <v>195</v>
      </c>
      <c r="H39" s="9" t="s">
        <v>196</v>
      </c>
      <c r="I39" s="5" t="s">
        <v>252</v>
      </c>
      <c r="J39" s="5" t="s">
        <v>198</v>
      </c>
      <c r="K39" s="6">
        <f t="shared" si="0"/>
        <v>1</v>
      </c>
    </row>
    <row r="40" spans="1:11" ht="15" customHeight="1">
      <c r="A40" s="4">
        <v>32</v>
      </c>
      <c r="B40" s="5" t="s">
        <v>135</v>
      </c>
      <c r="C40" s="5" t="s">
        <v>145</v>
      </c>
      <c r="D40" s="5" t="s">
        <v>253</v>
      </c>
      <c r="E40" s="7" t="s">
        <v>105</v>
      </c>
      <c r="F40" s="8" t="s">
        <v>105</v>
      </c>
      <c r="G40" s="4" t="s">
        <v>195</v>
      </c>
      <c r="H40" s="9" t="s">
        <v>196</v>
      </c>
      <c r="I40" s="5" t="s">
        <v>254</v>
      </c>
      <c r="J40" s="5" t="s">
        <v>198</v>
      </c>
      <c r="K40" s="6">
        <f t="shared" si="0"/>
        <v>1</v>
      </c>
    </row>
    <row r="41" spans="1:11" ht="15" customHeight="1">
      <c r="A41" s="4">
        <v>33</v>
      </c>
      <c r="B41" s="5" t="s">
        <v>95</v>
      </c>
      <c r="C41" s="5" t="s">
        <v>145</v>
      </c>
      <c r="D41" s="5" t="s">
        <v>255</v>
      </c>
      <c r="E41" s="7" t="s">
        <v>105</v>
      </c>
      <c r="F41" s="8" t="s">
        <v>105</v>
      </c>
      <c r="G41" s="4" t="s">
        <v>195</v>
      </c>
      <c r="H41" s="9" t="s">
        <v>196</v>
      </c>
      <c r="I41" s="5" t="s">
        <v>256</v>
      </c>
      <c r="J41" s="5" t="s">
        <v>198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257</v>
      </c>
      <c r="C42" s="5" t="s">
        <v>145</v>
      </c>
      <c r="D42" s="5" t="s">
        <v>258</v>
      </c>
      <c r="E42" s="7" t="s">
        <v>105</v>
      </c>
      <c r="F42" s="8" t="s">
        <v>105</v>
      </c>
      <c r="G42" s="4" t="s">
        <v>195</v>
      </c>
      <c r="H42" s="9" t="s">
        <v>196</v>
      </c>
      <c r="I42" s="5" t="s">
        <v>259</v>
      </c>
      <c r="J42" s="5" t="s">
        <v>198</v>
      </c>
      <c r="K42" s="6">
        <f t="shared" si="1"/>
        <v>1</v>
      </c>
    </row>
    <row r="43" spans="1:11" ht="30" customHeight="1">
      <c r="A43" s="4">
        <v>35</v>
      </c>
      <c r="B43" s="5" t="s">
        <v>130</v>
      </c>
      <c r="C43" s="5" t="s">
        <v>145</v>
      </c>
      <c r="D43" s="5" t="s">
        <v>260</v>
      </c>
      <c r="E43" s="7" t="s">
        <v>105</v>
      </c>
      <c r="F43" s="8" t="s">
        <v>105</v>
      </c>
      <c r="G43" s="4" t="s">
        <v>195</v>
      </c>
      <c r="H43" s="9" t="s">
        <v>196</v>
      </c>
      <c r="I43" s="5" t="s">
        <v>197</v>
      </c>
      <c r="J43" s="5" t="s">
        <v>198</v>
      </c>
      <c r="K43" s="6">
        <f t="shared" si="1"/>
        <v>1</v>
      </c>
    </row>
    <row r="44" spans="1:11" ht="30" customHeight="1">
      <c r="A44" s="4">
        <v>36</v>
      </c>
      <c r="B44" s="5" t="s">
        <v>130</v>
      </c>
      <c r="C44" s="5" t="s">
        <v>145</v>
      </c>
      <c r="D44" s="5" t="s">
        <v>261</v>
      </c>
      <c r="E44" s="7" t="s">
        <v>105</v>
      </c>
      <c r="F44" s="8" t="s">
        <v>105</v>
      </c>
      <c r="G44" s="4" t="s">
        <v>195</v>
      </c>
      <c r="H44" s="9" t="s">
        <v>196</v>
      </c>
      <c r="I44" s="5" t="s">
        <v>197</v>
      </c>
      <c r="J44" s="5" t="s">
        <v>198</v>
      </c>
      <c r="K44" s="6">
        <f t="shared" si="1"/>
        <v>1</v>
      </c>
    </row>
    <row r="45" spans="1:11" ht="30" customHeight="1">
      <c r="A45" s="4">
        <v>37</v>
      </c>
      <c r="B45" s="5" t="s">
        <v>130</v>
      </c>
      <c r="C45" s="5" t="s">
        <v>145</v>
      </c>
      <c r="D45" s="5" t="s">
        <v>262</v>
      </c>
      <c r="E45" s="7" t="s">
        <v>105</v>
      </c>
      <c r="F45" s="8" t="s">
        <v>105</v>
      </c>
      <c r="G45" s="4" t="s">
        <v>195</v>
      </c>
      <c r="H45" s="9" t="s">
        <v>196</v>
      </c>
      <c r="I45" s="5" t="s">
        <v>197</v>
      </c>
      <c r="J45" s="5" t="s">
        <v>198</v>
      </c>
      <c r="K45" s="6">
        <f t="shared" si="1"/>
        <v>1</v>
      </c>
    </row>
    <row r="46" spans="1:11" ht="30" customHeight="1">
      <c r="A46" s="4">
        <v>38</v>
      </c>
      <c r="B46" s="5" t="s">
        <v>172</v>
      </c>
      <c r="C46" s="5" t="s">
        <v>145</v>
      </c>
      <c r="D46" s="5" t="s">
        <v>263</v>
      </c>
      <c r="E46" s="7" t="s">
        <v>105</v>
      </c>
      <c r="F46" s="8" t="s">
        <v>105</v>
      </c>
      <c r="G46" s="4" t="s">
        <v>195</v>
      </c>
      <c r="H46" s="9" t="s">
        <v>196</v>
      </c>
      <c r="I46" s="5" t="s">
        <v>264</v>
      </c>
      <c r="J46" s="5" t="s">
        <v>198</v>
      </c>
      <c r="K46" s="6">
        <f t="shared" si="1"/>
        <v>1</v>
      </c>
    </row>
    <row r="47" spans="1:11" ht="15" customHeight="1">
      <c r="A47" s="4">
        <v>39</v>
      </c>
      <c r="B47" s="5" t="s">
        <v>177</v>
      </c>
      <c r="C47" s="5" t="s">
        <v>145</v>
      </c>
      <c r="D47" s="5" t="s">
        <v>265</v>
      </c>
      <c r="E47" s="7" t="s">
        <v>105</v>
      </c>
      <c r="F47" s="8" t="s">
        <v>105</v>
      </c>
      <c r="G47" s="4" t="s">
        <v>195</v>
      </c>
      <c r="H47" s="9" t="s">
        <v>196</v>
      </c>
      <c r="I47" s="5" t="s">
        <v>266</v>
      </c>
      <c r="J47" s="5" t="s">
        <v>198</v>
      </c>
      <c r="K47" s="6">
        <f t="shared" si="1"/>
        <v>1</v>
      </c>
    </row>
    <row r="48" spans="1:11" ht="15" customHeight="1">
      <c r="A48" s="4">
        <v>40</v>
      </c>
      <c r="B48" s="5" t="s">
        <v>120</v>
      </c>
      <c r="C48" s="5" t="s">
        <v>55</v>
      </c>
      <c r="D48" s="5" t="s">
        <v>267</v>
      </c>
      <c r="E48" s="7" t="s">
        <v>105</v>
      </c>
      <c r="F48" s="8" t="s">
        <v>105</v>
      </c>
      <c r="G48" s="4" t="s">
        <v>195</v>
      </c>
      <c r="H48" s="9" t="s">
        <v>196</v>
      </c>
      <c r="I48" s="5" t="s">
        <v>197</v>
      </c>
      <c r="J48" s="5" t="s">
        <v>198</v>
      </c>
      <c r="K48" s="6">
        <f t="shared" si="1"/>
        <v>1</v>
      </c>
    </row>
    <row r="49" spans="1:11" ht="30" customHeight="1">
      <c r="A49" s="4">
        <v>41</v>
      </c>
      <c r="B49" s="5" t="s">
        <v>55</v>
      </c>
      <c r="C49" s="5" t="s">
        <v>55</v>
      </c>
      <c r="D49" s="5" t="s">
        <v>220</v>
      </c>
      <c r="E49" s="7" t="s">
        <v>105</v>
      </c>
      <c r="F49" s="8" t="s">
        <v>105</v>
      </c>
      <c r="G49" s="4" t="s">
        <v>195</v>
      </c>
      <c r="H49" s="9" t="s">
        <v>196</v>
      </c>
      <c r="I49" s="5" t="s">
        <v>268</v>
      </c>
      <c r="J49" s="5" t="s">
        <v>198</v>
      </c>
      <c r="K49" s="6">
        <f t="shared" si="1"/>
        <v>1</v>
      </c>
    </row>
    <row r="50" spans="1:11" ht="15" customHeight="1">
      <c r="A50" s="4">
        <v>42</v>
      </c>
      <c r="B50" s="5" t="s">
        <v>55</v>
      </c>
      <c r="C50" s="5" t="s">
        <v>55</v>
      </c>
      <c r="D50" s="5" t="s">
        <v>269</v>
      </c>
      <c r="E50" s="7" t="s">
        <v>105</v>
      </c>
      <c r="F50" s="8" t="s">
        <v>105</v>
      </c>
      <c r="G50" s="4" t="s">
        <v>195</v>
      </c>
      <c r="H50" s="9" t="s">
        <v>196</v>
      </c>
      <c r="I50" s="5" t="s">
        <v>270</v>
      </c>
      <c r="J50" s="5" t="s">
        <v>198</v>
      </c>
      <c r="K50" s="6">
        <f t="shared" si="1"/>
        <v>1</v>
      </c>
    </row>
    <row r="51" spans="1:11" ht="15" customHeight="1">
      <c r="A51" s="4">
        <v>43</v>
      </c>
      <c r="B51" s="5" t="s">
        <v>55</v>
      </c>
      <c r="C51" s="5" t="s">
        <v>55</v>
      </c>
      <c r="D51" s="5" t="s">
        <v>271</v>
      </c>
      <c r="E51" s="7" t="s">
        <v>105</v>
      </c>
      <c r="F51" s="8" t="s">
        <v>105</v>
      </c>
      <c r="G51" s="4" t="s">
        <v>195</v>
      </c>
      <c r="H51" s="9" t="s">
        <v>196</v>
      </c>
      <c r="I51" s="5" t="s">
        <v>272</v>
      </c>
      <c r="J51" s="5" t="s">
        <v>198</v>
      </c>
      <c r="K51" s="6">
        <f t="shared" si="1"/>
        <v>1</v>
      </c>
    </row>
    <row r="52" spans="1:11" ht="15" customHeight="1">
      <c r="A52" s="4">
        <v>44</v>
      </c>
      <c r="B52" s="5" t="s">
        <v>120</v>
      </c>
      <c r="C52" s="5" t="s">
        <v>273</v>
      </c>
      <c r="D52" s="5" t="s">
        <v>274</v>
      </c>
      <c r="E52" s="7" t="s">
        <v>105</v>
      </c>
      <c r="F52" s="8" t="s">
        <v>105</v>
      </c>
      <c r="G52" s="4" t="s">
        <v>195</v>
      </c>
      <c r="H52" s="9" t="s">
        <v>196</v>
      </c>
      <c r="I52" s="5" t="s">
        <v>197</v>
      </c>
      <c r="J52" s="5" t="s">
        <v>198</v>
      </c>
      <c r="K52" s="6">
        <f t="shared" si="1"/>
        <v>1</v>
      </c>
    </row>
    <row r="53" spans="1:11" ht="15" customHeight="1">
      <c r="A53" s="4">
        <v>45</v>
      </c>
      <c r="B53" s="5" t="s">
        <v>124</v>
      </c>
      <c r="C53" s="5" t="s">
        <v>273</v>
      </c>
      <c r="D53" s="5" t="s">
        <v>275</v>
      </c>
      <c r="E53" s="7" t="s">
        <v>105</v>
      </c>
      <c r="F53" s="8" t="s">
        <v>105</v>
      </c>
      <c r="G53" s="4" t="s">
        <v>195</v>
      </c>
      <c r="H53" s="9" t="s">
        <v>196</v>
      </c>
      <c r="I53" s="5" t="s">
        <v>276</v>
      </c>
      <c r="J53" s="5" t="s">
        <v>198</v>
      </c>
      <c r="K53" s="6">
        <f t="shared" si="1"/>
        <v>1</v>
      </c>
    </row>
    <row r="54" spans="1:11" ht="15" customHeight="1">
      <c r="A54" s="4">
        <v>46</v>
      </c>
      <c r="B54" s="5" t="s">
        <v>124</v>
      </c>
      <c r="C54" s="5" t="s">
        <v>273</v>
      </c>
      <c r="D54" s="5" t="s">
        <v>277</v>
      </c>
      <c r="E54" s="7" t="s">
        <v>105</v>
      </c>
      <c r="F54" s="8" t="s">
        <v>105</v>
      </c>
      <c r="G54" s="4" t="s">
        <v>195</v>
      </c>
      <c r="H54" s="9" t="s">
        <v>196</v>
      </c>
      <c r="I54" s="5" t="s">
        <v>278</v>
      </c>
      <c r="J54" s="5" t="s">
        <v>198</v>
      </c>
      <c r="K54" s="6">
        <f t="shared" si="1"/>
        <v>1</v>
      </c>
    </row>
    <row r="55" spans="1:11" ht="15" customHeight="1">
      <c r="A55" s="4">
        <v>47</v>
      </c>
      <c r="B55" s="5" t="s">
        <v>159</v>
      </c>
      <c r="C55" s="5" t="s">
        <v>273</v>
      </c>
      <c r="D55" s="5" t="s">
        <v>279</v>
      </c>
      <c r="E55" s="7" t="s">
        <v>105</v>
      </c>
      <c r="F55" s="8" t="s">
        <v>105</v>
      </c>
      <c r="G55" s="4" t="s">
        <v>195</v>
      </c>
      <c r="H55" s="9" t="s">
        <v>196</v>
      </c>
      <c r="I55" s="5" t="s">
        <v>280</v>
      </c>
      <c r="J55" s="5" t="s">
        <v>198</v>
      </c>
      <c r="K55" s="6">
        <f t="shared" si="1"/>
        <v>1</v>
      </c>
    </row>
    <row r="56" spans="1:11" ht="15" customHeight="1">
      <c r="A56" s="4">
        <v>48</v>
      </c>
      <c r="B56" s="5" t="s">
        <v>159</v>
      </c>
      <c r="C56" s="5" t="s">
        <v>273</v>
      </c>
      <c r="D56" s="5" t="s">
        <v>281</v>
      </c>
      <c r="E56" s="7" t="s">
        <v>105</v>
      </c>
      <c r="F56" s="8" t="s">
        <v>105</v>
      </c>
      <c r="G56" s="4" t="s">
        <v>195</v>
      </c>
      <c r="H56" s="9" t="s">
        <v>196</v>
      </c>
      <c r="I56" s="5" t="s">
        <v>282</v>
      </c>
      <c r="J56" s="5" t="s">
        <v>198</v>
      </c>
      <c r="K56" s="6">
        <f t="shared" si="1"/>
        <v>1</v>
      </c>
    </row>
    <row r="57" spans="1:11" ht="15" customHeight="1">
      <c r="A57" s="4">
        <v>49</v>
      </c>
      <c r="B57" s="5" t="s">
        <v>159</v>
      </c>
      <c r="C57" s="5" t="s">
        <v>273</v>
      </c>
      <c r="D57" s="5" t="s">
        <v>283</v>
      </c>
      <c r="E57" s="7" t="s">
        <v>105</v>
      </c>
      <c r="F57" s="8" t="s">
        <v>105</v>
      </c>
      <c r="G57" s="4" t="s">
        <v>195</v>
      </c>
      <c r="H57" s="9" t="s">
        <v>196</v>
      </c>
      <c r="I57" s="5" t="s">
        <v>284</v>
      </c>
      <c r="J57" s="5" t="s">
        <v>198</v>
      </c>
      <c r="K57" s="6">
        <f t="shared" si="1"/>
        <v>1</v>
      </c>
    </row>
    <row r="58" spans="1:11" ht="15" customHeight="1">
      <c r="A58" s="4">
        <v>50</v>
      </c>
      <c r="B58" s="5" t="s">
        <v>159</v>
      </c>
      <c r="C58" s="5" t="s">
        <v>273</v>
      </c>
      <c r="D58" s="5" t="s">
        <v>285</v>
      </c>
      <c r="E58" s="7" t="s">
        <v>105</v>
      </c>
      <c r="F58" s="8" t="s">
        <v>105</v>
      </c>
      <c r="G58" s="4" t="s">
        <v>195</v>
      </c>
      <c r="H58" s="9" t="s">
        <v>196</v>
      </c>
      <c r="I58" s="5" t="s">
        <v>286</v>
      </c>
      <c r="J58" s="5" t="s">
        <v>198</v>
      </c>
      <c r="K58" s="6">
        <f t="shared" si="1"/>
        <v>1</v>
      </c>
    </row>
    <row r="59" spans="1:11" ht="15" customHeight="1">
      <c r="A59" s="4">
        <v>51</v>
      </c>
      <c r="B59" s="5" t="s">
        <v>153</v>
      </c>
      <c r="C59" s="5" t="s">
        <v>273</v>
      </c>
      <c r="D59" s="5" t="s">
        <v>287</v>
      </c>
      <c r="E59" s="7" t="s">
        <v>105</v>
      </c>
      <c r="F59" s="8" t="s">
        <v>105</v>
      </c>
      <c r="G59" s="4" t="s">
        <v>195</v>
      </c>
      <c r="H59" s="9" t="s">
        <v>196</v>
      </c>
      <c r="I59" s="5" t="s">
        <v>288</v>
      </c>
      <c r="J59" s="5" t="s">
        <v>198</v>
      </c>
      <c r="K59" s="6">
        <f t="shared" si="1"/>
        <v>1</v>
      </c>
    </row>
    <row r="60" spans="1:11" ht="15" customHeight="1">
      <c r="A60" s="4">
        <v>52</v>
      </c>
      <c r="B60" s="5" t="s">
        <v>95</v>
      </c>
      <c r="C60" s="5" t="s">
        <v>273</v>
      </c>
      <c r="D60" s="5" t="s">
        <v>289</v>
      </c>
      <c r="E60" s="7" t="s">
        <v>105</v>
      </c>
      <c r="F60" s="8" t="s">
        <v>105</v>
      </c>
      <c r="G60" s="4" t="s">
        <v>195</v>
      </c>
      <c r="H60" s="9" t="s">
        <v>196</v>
      </c>
      <c r="I60" s="5" t="s">
        <v>290</v>
      </c>
      <c r="J60" s="5" t="s">
        <v>198</v>
      </c>
      <c r="K60" s="6">
        <f t="shared" si="1"/>
        <v>1</v>
      </c>
    </row>
    <row r="61" spans="1:11" ht="30" customHeight="1">
      <c r="A61" s="4">
        <v>53</v>
      </c>
      <c r="B61" s="5" t="s">
        <v>95</v>
      </c>
      <c r="C61" s="5" t="s">
        <v>273</v>
      </c>
      <c r="D61" s="5" t="s">
        <v>291</v>
      </c>
      <c r="E61" s="7" t="s">
        <v>105</v>
      </c>
      <c r="F61" s="8" t="s">
        <v>105</v>
      </c>
      <c r="G61" s="4" t="s">
        <v>195</v>
      </c>
      <c r="H61" s="9" t="s">
        <v>196</v>
      </c>
      <c r="I61" s="5" t="s">
        <v>292</v>
      </c>
      <c r="J61" s="5" t="s">
        <v>198</v>
      </c>
      <c r="K61" s="6">
        <f t="shared" si="1"/>
        <v>1</v>
      </c>
    </row>
    <row r="62" spans="1:11" ht="15" customHeight="1">
      <c r="A62" s="4">
        <v>54</v>
      </c>
      <c r="B62" s="5" t="s">
        <v>257</v>
      </c>
      <c r="C62" s="5" t="s">
        <v>273</v>
      </c>
      <c r="D62" s="5" t="s">
        <v>293</v>
      </c>
      <c r="E62" s="7" t="s">
        <v>105</v>
      </c>
      <c r="F62" s="8" t="s">
        <v>105</v>
      </c>
      <c r="G62" s="4" t="s">
        <v>195</v>
      </c>
      <c r="H62" s="9" t="s">
        <v>196</v>
      </c>
      <c r="I62" s="5" t="s">
        <v>294</v>
      </c>
      <c r="J62" s="5" t="s">
        <v>198</v>
      </c>
      <c r="K62" s="6">
        <f t="shared" si="1"/>
        <v>1</v>
      </c>
    </row>
    <row r="63" spans="1:11" ht="15" customHeight="1">
      <c r="A63" s="4">
        <v>55</v>
      </c>
      <c r="B63" s="5" t="s">
        <v>172</v>
      </c>
      <c r="C63" s="5" t="s">
        <v>273</v>
      </c>
      <c r="D63" s="5" t="s">
        <v>295</v>
      </c>
      <c r="E63" s="7" t="s">
        <v>105</v>
      </c>
      <c r="F63" s="8" t="s">
        <v>105</v>
      </c>
      <c r="G63" s="4" t="s">
        <v>195</v>
      </c>
      <c r="H63" s="9" t="s">
        <v>196</v>
      </c>
      <c r="I63" s="5" t="s">
        <v>296</v>
      </c>
      <c r="J63" s="5" t="s">
        <v>198</v>
      </c>
      <c r="K63" s="6">
        <f t="shared" si="1"/>
        <v>1</v>
      </c>
    </row>
    <row r="64" spans="1:11" ht="15" customHeight="1">
      <c r="A64" s="4">
        <v>56</v>
      </c>
      <c r="B64" s="5" t="s">
        <v>120</v>
      </c>
      <c r="C64" s="5" t="s">
        <v>147</v>
      </c>
      <c r="D64" s="5" t="s">
        <v>297</v>
      </c>
      <c r="E64" s="7" t="s">
        <v>105</v>
      </c>
      <c r="F64" s="8" t="s">
        <v>105</v>
      </c>
      <c r="G64" s="4" t="s">
        <v>195</v>
      </c>
      <c r="H64" s="9" t="s">
        <v>196</v>
      </c>
      <c r="I64" s="5" t="s">
        <v>197</v>
      </c>
      <c r="J64" s="5" t="s">
        <v>198</v>
      </c>
      <c r="K64" s="6">
        <f t="shared" si="1"/>
        <v>1</v>
      </c>
    </row>
    <row r="65" spans="1:11" ht="15" customHeight="1">
      <c r="A65" s="4">
        <v>57</v>
      </c>
      <c r="B65" s="5" t="s">
        <v>124</v>
      </c>
      <c r="C65" s="5" t="s">
        <v>147</v>
      </c>
      <c r="D65" s="5" t="s">
        <v>275</v>
      </c>
      <c r="E65" s="7" t="s">
        <v>105</v>
      </c>
      <c r="F65" s="8" t="s">
        <v>105</v>
      </c>
      <c r="G65" s="4" t="s">
        <v>195</v>
      </c>
      <c r="H65" s="9" t="s">
        <v>196</v>
      </c>
      <c r="I65" s="5" t="s">
        <v>298</v>
      </c>
      <c r="J65" s="5" t="s">
        <v>198</v>
      </c>
      <c r="K65" s="6">
        <f t="shared" si="1"/>
        <v>1</v>
      </c>
    </row>
    <row r="66" spans="1:11" ht="15" customHeight="1">
      <c r="A66" s="4">
        <v>58</v>
      </c>
      <c r="B66" s="5" t="s">
        <v>124</v>
      </c>
      <c r="C66" s="5" t="s">
        <v>147</v>
      </c>
      <c r="D66" s="5" t="s">
        <v>277</v>
      </c>
      <c r="E66" s="7" t="s">
        <v>105</v>
      </c>
      <c r="F66" s="8" t="s">
        <v>105</v>
      </c>
      <c r="G66" s="4" t="s">
        <v>195</v>
      </c>
      <c r="H66" s="9" t="s">
        <v>196</v>
      </c>
      <c r="I66" s="5" t="s">
        <v>299</v>
      </c>
      <c r="J66" s="5" t="s">
        <v>198</v>
      </c>
      <c r="K66" s="6">
        <f t="shared" si="1"/>
        <v>1</v>
      </c>
    </row>
    <row r="67" spans="1:11" ht="15" customHeight="1">
      <c r="A67" s="4">
        <v>59</v>
      </c>
      <c r="B67" s="5" t="s">
        <v>124</v>
      </c>
      <c r="C67" s="5" t="s">
        <v>147</v>
      </c>
      <c r="D67" s="5" t="s">
        <v>300</v>
      </c>
      <c r="E67" s="7" t="s">
        <v>105</v>
      </c>
      <c r="F67" s="8" t="s">
        <v>105</v>
      </c>
      <c r="G67" s="4" t="s">
        <v>195</v>
      </c>
      <c r="H67" s="9" t="s">
        <v>196</v>
      </c>
      <c r="I67" s="5" t="s">
        <v>301</v>
      </c>
      <c r="J67" s="5" t="s">
        <v>198</v>
      </c>
      <c r="K67" s="6">
        <f t="shared" si="1"/>
        <v>1</v>
      </c>
    </row>
    <row r="68" spans="1:11" ht="15" customHeight="1">
      <c r="A68" s="4">
        <v>60</v>
      </c>
      <c r="B68" s="5" t="s">
        <v>159</v>
      </c>
      <c r="C68" s="5" t="s">
        <v>147</v>
      </c>
      <c r="D68" s="5" t="s">
        <v>302</v>
      </c>
      <c r="E68" s="7" t="s">
        <v>105</v>
      </c>
      <c r="F68" s="8" t="s">
        <v>105</v>
      </c>
      <c r="G68" s="4" t="s">
        <v>195</v>
      </c>
      <c r="H68" s="9" t="s">
        <v>196</v>
      </c>
      <c r="I68" s="5" t="s">
        <v>303</v>
      </c>
      <c r="J68" s="5" t="s">
        <v>198</v>
      </c>
      <c r="K68" s="6">
        <f t="shared" si="1"/>
        <v>1</v>
      </c>
    </row>
    <row r="69" spans="1:11" ht="15" customHeight="1">
      <c r="A69" s="4">
        <v>61</v>
      </c>
      <c r="B69" s="5" t="s">
        <v>159</v>
      </c>
      <c r="C69" s="5" t="s">
        <v>147</v>
      </c>
      <c r="D69" s="5" t="s">
        <v>281</v>
      </c>
      <c r="E69" s="7" t="s">
        <v>105</v>
      </c>
      <c r="F69" s="8" t="s">
        <v>105</v>
      </c>
      <c r="G69" s="4" t="s">
        <v>195</v>
      </c>
      <c r="H69" s="9" t="s">
        <v>196</v>
      </c>
      <c r="I69" s="5" t="s">
        <v>304</v>
      </c>
      <c r="J69" s="5" t="s">
        <v>198</v>
      </c>
      <c r="K69" s="6">
        <f t="shared" si="1"/>
        <v>1</v>
      </c>
    </row>
    <row r="70" spans="1:11" ht="15" customHeight="1">
      <c r="A70" s="4">
        <v>62</v>
      </c>
      <c r="B70" s="5" t="s">
        <v>159</v>
      </c>
      <c r="C70" s="5" t="s">
        <v>147</v>
      </c>
      <c r="D70" s="5" t="s">
        <v>283</v>
      </c>
      <c r="E70" s="7" t="s">
        <v>105</v>
      </c>
      <c r="F70" s="8" t="s">
        <v>105</v>
      </c>
      <c r="G70" s="4" t="s">
        <v>195</v>
      </c>
      <c r="H70" s="9" t="s">
        <v>196</v>
      </c>
      <c r="I70" s="5" t="s">
        <v>305</v>
      </c>
      <c r="J70" s="5" t="s">
        <v>198</v>
      </c>
      <c r="K70" s="6">
        <f t="shared" si="1"/>
        <v>1</v>
      </c>
    </row>
    <row r="71" spans="1:11" ht="15" customHeight="1">
      <c r="A71" s="4">
        <v>63</v>
      </c>
      <c r="B71" s="5" t="s">
        <v>159</v>
      </c>
      <c r="C71" s="5" t="s">
        <v>147</v>
      </c>
      <c r="D71" s="5" t="s">
        <v>285</v>
      </c>
      <c r="E71" s="7" t="s">
        <v>105</v>
      </c>
      <c r="F71" s="8" t="s">
        <v>105</v>
      </c>
      <c r="G71" s="4" t="s">
        <v>195</v>
      </c>
      <c r="H71" s="9" t="s">
        <v>196</v>
      </c>
      <c r="I71" s="5" t="s">
        <v>306</v>
      </c>
      <c r="J71" s="5" t="s">
        <v>198</v>
      </c>
      <c r="K71" s="6">
        <f t="shared" si="1"/>
        <v>1</v>
      </c>
    </row>
    <row r="72" spans="1:11" ht="15" customHeight="1">
      <c r="A72" s="4">
        <v>64</v>
      </c>
      <c r="B72" s="5" t="s">
        <v>153</v>
      </c>
      <c r="C72" s="5" t="s">
        <v>147</v>
      </c>
      <c r="D72" s="5" t="s">
        <v>307</v>
      </c>
      <c r="E72" s="7" t="s">
        <v>105</v>
      </c>
      <c r="F72" s="8" t="s">
        <v>105</v>
      </c>
      <c r="G72" s="4" t="s">
        <v>195</v>
      </c>
      <c r="H72" s="9" t="s">
        <v>196</v>
      </c>
      <c r="I72" s="5" t="s">
        <v>205</v>
      </c>
      <c r="J72" s="5" t="s">
        <v>198</v>
      </c>
      <c r="K72" s="6">
        <f t="shared" si="1"/>
        <v>1</v>
      </c>
    </row>
    <row r="73" spans="1:11" ht="15" customHeight="1">
      <c r="A73" s="4">
        <v>65</v>
      </c>
      <c r="B73" s="5" t="s">
        <v>153</v>
      </c>
      <c r="C73" s="5" t="s">
        <v>147</v>
      </c>
      <c r="D73" s="5" t="s">
        <v>308</v>
      </c>
      <c r="E73" s="7" t="s">
        <v>105</v>
      </c>
      <c r="F73" s="8" t="s">
        <v>105</v>
      </c>
      <c r="G73" s="4" t="s">
        <v>195</v>
      </c>
      <c r="H73" s="9" t="s">
        <v>196</v>
      </c>
      <c r="I73" s="5" t="s">
        <v>309</v>
      </c>
      <c r="J73" s="5" t="s">
        <v>198</v>
      </c>
      <c r="K73" s="6">
        <f t="shared" ref="K73:K104" si="2">IF(AND(E73="yes",F73="yes",H73="covered"),1,IF(H73="partial",0.5,0))</f>
        <v>1</v>
      </c>
    </row>
    <row r="74" spans="1:11" ht="15" customHeight="1">
      <c r="A74" s="4">
        <v>66</v>
      </c>
      <c r="B74" s="5" t="s">
        <v>153</v>
      </c>
      <c r="C74" s="5" t="s">
        <v>147</v>
      </c>
      <c r="D74" s="5" t="s">
        <v>310</v>
      </c>
      <c r="E74" s="7" t="s">
        <v>105</v>
      </c>
      <c r="F74" s="8" t="s">
        <v>105</v>
      </c>
      <c r="G74" s="4" t="s">
        <v>195</v>
      </c>
      <c r="H74" s="9" t="s">
        <v>196</v>
      </c>
      <c r="I74" s="5" t="s">
        <v>311</v>
      </c>
      <c r="J74" s="5" t="s">
        <v>198</v>
      </c>
      <c r="K74" s="6">
        <f t="shared" si="2"/>
        <v>1</v>
      </c>
    </row>
    <row r="75" spans="1:11" ht="15" customHeight="1">
      <c r="A75" s="4">
        <v>67</v>
      </c>
      <c r="B75" s="5" t="s">
        <v>153</v>
      </c>
      <c r="C75" s="5" t="s">
        <v>147</v>
      </c>
      <c r="D75" s="5" t="s">
        <v>312</v>
      </c>
      <c r="E75" s="7" t="s">
        <v>105</v>
      </c>
      <c r="F75" s="8" t="s">
        <v>105</v>
      </c>
      <c r="G75" s="4" t="s">
        <v>195</v>
      </c>
      <c r="H75" s="9" t="s">
        <v>196</v>
      </c>
      <c r="I75" s="5" t="s">
        <v>313</v>
      </c>
      <c r="J75" s="5" t="s">
        <v>198</v>
      </c>
      <c r="K75" s="6">
        <f t="shared" si="2"/>
        <v>1</v>
      </c>
    </row>
    <row r="76" spans="1:11" ht="30" customHeight="1">
      <c r="A76" s="4">
        <v>68</v>
      </c>
      <c r="B76" s="5" t="s">
        <v>153</v>
      </c>
      <c r="C76" s="5" t="s">
        <v>147</v>
      </c>
      <c r="D76" s="5" t="s">
        <v>314</v>
      </c>
      <c r="E76" s="7" t="s">
        <v>105</v>
      </c>
      <c r="F76" s="8" t="s">
        <v>105</v>
      </c>
      <c r="G76" s="4" t="s">
        <v>195</v>
      </c>
      <c r="H76" s="9" t="s">
        <v>196</v>
      </c>
      <c r="I76" s="5" t="s">
        <v>315</v>
      </c>
      <c r="J76" s="5" t="s">
        <v>198</v>
      </c>
      <c r="K76" s="6">
        <f t="shared" si="2"/>
        <v>1</v>
      </c>
    </row>
    <row r="77" spans="1:11" ht="15" customHeight="1">
      <c r="A77" s="4">
        <v>69</v>
      </c>
      <c r="B77" s="5" t="s">
        <v>95</v>
      </c>
      <c r="C77" s="5" t="s">
        <v>147</v>
      </c>
      <c r="D77" s="5" t="s">
        <v>316</v>
      </c>
      <c r="E77" s="7" t="s">
        <v>105</v>
      </c>
      <c r="F77" s="8" t="s">
        <v>105</v>
      </c>
      <c r="G77" s="4" t="s">
        <v>195</v>
      </c>
      <c r="H77" s="9" t="s">
        <v>196</v>
      </c>
      <c r="I77" s="5" t="s">
        <v>317</v>
      </c>
      <c r="J77" s="5" t="s">
        <v>198</v>
      </c>
      <c r="K77" s="6">
        <f t="shared" si="2"/>
        <v>1</v>
      </c>
    </row>
    <row r="78" spans="1:11" ht="15" customHeight="1">
      <c r="A78" s="4">
        <v>70</v>
      </c>
      <c r="B78" s="5" t="s">
        <v>257</v>
      </c>
      <c r="C78" s="5" t="s">
        <v>147</v>
      </c>
      <c r="D78" s="5" t="s">
        <v>318</v>
      </c>
      <c r="E78" s="7" t="s">
        <v>105</v>
      </c>
      <c r="F78" s="8" t="s">
        <v>105</v>
      </c>
      <c r="G78" s="4" t="s">
        <v>195</v>
      </c>
      <c r="H78" s="9" t="s">
        <v>196</v>
      </c>
      <c r="I78" s="5" t="s">
        <v>319</v>
      </c>
      <c r="J78" s="5" t="s">
        <v>198</v>
      </c>
      <c r="K78" s="6">
        <f t="shared" si="2"/>
        <v>1</v>
      </c>
    </row>
    <row r="79" spans="1:11" ht="15" customHeight="1">
      <c r="A79" s="4">
        <v>71</v>
      </c>
      <c r="B79" s="5" t="s">
        <v>177</v>
      </c>
      <c r="C79" s="5" t="s">
        <v>147</v>
      </c>
      <c r="D79" s="5" t="s">
        <v>320</v>
      </c>
      <c r="E79" s="7" t="s">
        <v>105</v>
      </c>
      <c r="F79" s="8" t="s">
        <v>105</v>
      </c>
      <c r="G79" s="4" t="s">
        <v>195</v>
      </c>
      <c r="H79" s="9" t="s">
        <v>196</v>
      </c>
      <c r="I79" s="5" t="s">
        <v>321</v>
      </c>
      <c r="J79" s="5" t="s">
        <v>198</v>
      </c>
      <c r="K79" s="6">
        <f t="shared" si="2"/>
        <v>1</v>
      </c>
    </row>
    <row r="80" spans="1:11" ht="15" customHeight="1">
      <c r="A80" s="4">
        <v>72</v>
      </c>
      <c r="B80" s="5" t="s">
        <v>120</v>
      </c>
      <c r="C80" s="5" t="s">
        <v>322</v>
      </c>
      <c r="D80" s="5" t="s">
        <v>323</v>
      </c>
      <c r="E80" s="7" t="s">
        <v>105</v>
      </c>
      <c r="F80" s="8" t="s">
        <v>105</v>
      </c>
      <c r="G80" s="4" t="s">
        <v>195</v>
      </c>
      <c r="H80" s="9" t="s">
        <v>196</v>
      </c>
      <c r="I80" s="5" t="s">
        <v>197</v>
      </c>
      <c r="J80" s="5" t="s">
        <v>198</v>
      </c>
      <c r="K80" s="6">
        <f t="shared" si="2"/>
        <v>1</v>
      </c>
    </row>
    <row r="81" spans="1:11" ht="15" customHeight="1">
      <c r="A81" s="4">
        <v>73</v>
      </c>
      <c r="B81" s="5" t="s">
        <v>124</v>
      </c>
      <c r="C81" s="5" t="s">
        <v>322</v>
      </c>
      <c r="D81" s="5" t="s">
        <v>324</v>
      </c>
      <c r="E81" s="7" t="s">
        <v>105</v>
      </c>
      <c r="F81" s="8" t="s">
        <v>105</v>
      </c>
      <c r="G81" s="4" t="s">
        <v>195</v>
      </c>
      <c r="H81" s="9" t="s">
        <v>196</v>
      </c>
      <c r="I81" s="5" t="s">
        <v>325</v>
      </c>
      <c r="J81" s="5" t="s">
        <v>198</v>
      </c>
      <c r="K81" s="6">
        <f t="shared" si="2"/>
        <v>1</v>
      </c>
    </row>
    <row r="82" spans="1:11" ht="15" customHeight="1">
      <c r="A82" s="4">
        <v>74</v>
      </c>
      <c r="B82" s="5" t="s">
        <v>124</v>
      </c>
      <c r="C82" s="5" t="s">
        <v>322</v>
      </c>
      <c r="D82" s="5" t="s">
        <v>326</v>
      </c>
      <c r="E82" s="7" t="s">
        <v>105</v>
      </c>
      <c r="F82" s="8" t="s">
        <v>105</v>
      </c>
      <c r="G82" s="4" t="s">
        <v>195</v>
      </c>
      <c r="H82" s="9" t="s">
        <v>196</v>
      </c>
      <c r="I82" s="5" t="s">
        <v>327</v>
      </c>
      <c r="J82" s="5" t="s">
        <v>198</v>
      </c>
      <c r="K82" s="6">
        <f t="shared" si="2"/>
        <v>1</v>
      </c>
    </row>
    <row r="83" spans="1:11" ht="30" customHeight="1">
      <c r="A83" s="4">
        <v>75</v>
      </c>
      <c r="B83" s="5" t="s">
        <v>124</v>
      </c>
      <c r="C83" s="5" t="s">
        <v>322</v>
      </c>
      <c r="D83" s="5" t="s">
        <v>328</v>
      </c>
      <c r="E83" s="7" t="s">
        <v>105</v>
      </c>
      <c r="F83" s="8" t="s">
        <v>105</v>
      </c>
      <c r="G83" s="4" t="s">
        <v>195</v>
      </c>
      <c r="H83" s="9" t="s">
        <v>196</v>
      </c>
      <c r="I83" s="5" t="s">
        <v>329</v>
      </c>
      <c r="J83" s="5" t="s">
        <v>198</v>
      </c>
      <c r="K83" s="6">
        <f t="shared" si="2"/>
        <v>1</v>
      </c>
    </row>
    <row r="84" spans="1:11" ht="15" customHeight="1">
      <c r="A84" s="4">
        <v>76</v>
      </c>
      <c r="B84" s="5" t="s">
        <v>124</v>
      </c>
      <c r="C84" s="5" t="s">
        <v>322</v>
      </c>
      <c r="D84" s="5" t="s">
        <v>300</v>
      </c>
      <c r="E84" s="7" t="s">
        <v>105</v>
      </c>
      <c r="F84" s="8" t="s">
        <v>105</v>
      </c>
      <c r="G84" s="4" t="s">
        <v>195</v>
      </c>
      <c r="H84" s="9" t="s">
        <v>196</v>
      </c>
      <c r="I84" s="5" t="s">
        <v>330</v>
      </c>
      <c r="J84" s="5" t="s">
        <v>198</v>
      </c>
      <c r="K84" s="6">
        <f t="shared" si="2"/>
        <v>1</v>
      </c>
    </row>
    <row r="85" spans="1:11" ht="15" customHeight="1">
      <c r="A85" s="4">
        <v>77</v>
      </c>
      <c r="B85" s="5" t="s">
        <v>159</v>
      </c>
      <c r="C85" s="5" t="s">
        <v>322</v>
      </c>
      <c r="D85" s="5" t="s">
        <v>331</v>
      </c>
      <c r="E85" s="7" t="s">
        <v>105</v>
      </c>
      <c r="F85" s="8" t="s">
        <v>105</v>
      </c>
      <c r="G85" s="4" t="s">
        <v>195</v>
      </c>
      <c r="H85" s="9" t="s">
        <v>196</v>
      </c>
      <c r="I85" s="5" t="s">
        <v>332</v>
      </c>
      <c r="J85" s="5" t="s">
        <v>198</v>
      </c>
      <c r="K85" s="6">
        <f t="shared" si="2"/>
        <v>1</v>
      </c>
    </row>
    <row r="86" spans="1:11" ht="15" customHeight="1">
      <c r="A86" s="4">
        <v>78</v>
      </c>
      <c r="B86" s="5" t="s">
        <v>153</v>
      </c>
      <c r="C86" s="5" t="s">
        <v>322</v>
      </c>
      <c r="D86" s="5" t="s">
        <v>333</v>
      </c>
      <c r="E86" s="7" t="s">
        <v>105</v>
      </c>
      <c r="F86" s="8" t="s">
        <v>105</v>
      </c>
      <c r="G86" s="4" t="s">
        <v>195</v>
      </c>
      <c r="H86" s="9" t="s">
        <v>196</v>
      </c>
      <c r="I86" s="5" t="s">
        <v>311</v>
      </c>
      <c r="J86" s="5" t="s">
        <v>198</v>
      </c>
      <c r="K86" s="6">
        <f t="shared" si="2"/>
        <v>1</v>
      </c>
    </row>
    <row r="87" spans="1:11" ht="15" customHeight="1">
      <c r="A87" s="4">
        <v>79</v>
      </c>
      <c r="B87" s="5" t="s">
        <v>153</v>
      </c>
      <c r="C87" s="5" t="s">
        <v>322</v>
      </c>
      <c r="D87" s="5" t="s">
        <v>334</v>
      </c>
      <c r="E87" s="7" t="s">
        <v>105</v>
      </c>
      <c r="F87" s="8" t="s">
        <v>105</v>
      </c>
      <c r="G87" s="4" t="s">
        <v>195</v>
      </c>
      <c r="H87" s="9" t="s">
        <v>196</v>
      </c>
      <c r="I87" s="5" t="s">
        <v>335</v>
      </c>
      <c r="J87" s="5" t="s">
        <v>198</v>
      </c>
      <c r="K87" s="6">
        <f t="shared" si="2"/>
        <v>1</v>
      </c>
    </row>
    <row r="88" spans="1:11" ht="30" customHeight="1">
      <c r="A88" s="4">
        <v>80</v>
      </c>
      <c r="B88" s="5" t="s">
        <v>95</v>
      </c>
      <c r="C88" s="5" t="s">
        <v>322</v>
      </c>
      <c r="D88" s="5" t="s">
        <v>336</v>
      </c>
      <c r="E88" s="7" t="s">
        <v>105</v>
      </c>
      <c r="F88" s="8" t="s">
        <v>105</v>
      </c>
      <c r="G88" s="4" t="s">
        <v>195</v>
      </c>
      <c r="H88" s="9" t="s">
        <v>196</v>
      </c>
      <c r="I88" s="5" t="s">
        <v>337</v>
      </c>
      <c r="J88" s="5" t="s">
        <v>198</v>
      </c>
      <c r="K88" s="6">
        <f t="shared" si="2"/>
        <v>1</v>
      </c>
    </row>
    <row r="89" spans="1:11" ht="30" customHeight="1">
      <c r="A89" s="4">
        <v>81</v>
      </c>
      <c r="B89" s="5" t="s">
        <v>257</v>
      </c>
      <c r="C89" s="5" t="s">
        <v>322</v>
      </c>
      <c r="D89" s="5" t="s">
        <v>338</v>
      </c>
      <c r="E89" s="7" t="s">
        <v>105</v>
      </c>
      <c r="F89" s="8" t="s">
        <v>105</v>
      </c>
      <c r="G89" s="4" t="s">
        <v>195</v>
      </c>
      <c r="H89" s="9" t="s">
        <v>196</v>
      </c>
      <c r="I89" s="5" t="s">
        <v>339</v>
      </c>
      <c r="J89" s="5" t="s">
        <v>198</v>
      </c>
      <c r="K89" s="6">
        <f t="shared" si="2"/>
        <v>1</v>
      </c>
    </row>
    <row r="90" spans="1:11" ht="15" customHeight="1">
      <c r="A90" s="4">
        <v>82</v>
      </c>
      <c r="B90" s="5" t="s">
        <v>120</v>
      </c>
      <c r="C90" s="5" t="s">
        <v>340</v>
      </c>
      <c r="D90" s="5" t="s">
        <v>341</v>
      </c>
      <c r="E90" s="7" t="s">
        <v>105</v>
      </c>
      <c r="F90" s="8" t="s">
        <v>105</v>
      </c>
      <c r="G90" s="4" t="s">
        <v>195</v>
      </c>
      <c r="H90" s="9" t="s">
        <v>196</v>
      </c>
      <c r="I90" s="5" t="s">
        <v>197</v>
      </c>
      <c r="J90" s="5" t="s">
        <v>198</v>
      </c>
      <c r="K90" s="6">
        <f t="shared" si="2"/>
        <v>1</v>
      </c>
    </row>
    <row r="91" spans="1:11" ht="15" customHeight="1">
      <c r="A91" s="4">
        <v>83</v>
      </c>
      <c r="B91" s="5" t="s">
        <v>124</v>
      </c>
      <c r="C91" s="5" t="s">
        <v>340</v>
      </c>
      <c r="D91" s="5" t="s">
        <v>342</v>
      </c>
      <c r="E91" s="7" t="s">
        <v>105</v>
      </c>
      <c r="F91" s="8" t="s">
        <v>105</v>
      </c>
      <c r="G91" s="4" t="s">
        <v>195</v>
      </c>
      <c r="H91" s="9" t="s">
        <v>196</v>
      </c>
      <c r="I91" s="5" t="s">
        <v>343</v>
      </c>
      <c r="J91" s="5" t="s">
        <v>198</v>
      </c>
      <c r="K91" s="6">
        <f t="shared" si="2"/>
        <v>1</v>
      </c>
    </row>
    <row r="92" spans="1:11" ht="15" customHeight="1">
      <c r="A92" s="4">
        <v>84</v>
      </c>
      <c r="B92" s="5" t="s">
        <v>124</v>
      </c>
      <c r="C92" s="5" t="s">
        <v>340</v>
      </c>
      <c r="D92" s="5" t="s">
        <v>344</v>
      </c>
      <c r="E92" s="7" t="s">
        <v>105</v>
      </c>
      <c r="F92" s="8" t="s">
        <v>105</v>
      </c>
      <c r="G92" s="4" t="s">
        <v>195</v>
      </c>
      <c r="H92" s="9" t="s">
        <v>196</v>
      </c>
      <c r="I92" s="5" t="s">
        <v>345</v>
      </c>
      <c r="J92" s="5" t="s">
        <v>198</v>
      </c>
      <c r="K92" s="6">
        <f t="shared" si="2"/>
        <v>1</v>
      </c>
    </row>
    <row r="93" spans="1:11" ht="15" customHeight="1">
      <c r="A93" s="4">
        <v>85</v>
      </c>
      <c r="B93" s="5" t="s">
        <v>124</v>
      </c>
      <c r="C93" s="5" t="s">
        <v>340</v>
      </c>
      <c r="D93" s="5" t="s">
        <v>300</v>
      </c>
      <c r="E93" s="7" t="s">
        <v>105</v>
      </c>
      <c r="F93" s="8" t="s">
        <v>105</v>
      </c>
      <c r="G93" s="4" t="s">
        <v>195</v>
      </c>
      <c r="H93" s="9" t="s">
        <v>196</v>
      </c>
      <c r="I93" s="5" t="s">
        <v>346</v>
      </c>
      <c r="J93" s="5" t="s">
        <v>198</v>
      </c>
      <c r="K93" s="6">
        <f t="shared" si="2"/>
        <v>1</v>
      </c>
    </row>
    <row r="94" spans="1:11" ht="15" customHeight="1">
      <c r="A94" s="4">
        <v>86</v>
      </c>
      <c r="B94" s="5" t="s">
        <v>159</v>
      </c>
      <c r="C94" s="5" t="s">
        <v>340</v>
      </c>
      <c r="D94" s="5" t="s">
        <v>347</v>
      </c>
      <c r="E94" s="7" t="s">
        <v>105</v>
      </c>
      <c r="F94" s="8" t="s">
        <v>105</v>
      </c>
      <c r="G94" s="4" t="s">
        <v>195</v>
      </c>
      <c r="H94" s="9" t="s">
        <v>196</v>
      </c>
      <c r="I94" s="5" t="s">
        <v>348</v>
      </c>
      <c r="J94" s="5" t="s">
        <v>198</v>
      </c>
      <c r="K94" s="6">
        <f t="shared" si="2"/>
        <v>1</v>
      </c>
    </row>
    <row r="95" spans="1:11" ht="15" customHeight="1">
      <c r="A95" s="4">
        <v>87</v>
      </c>
      <c r="B95" s="5" t="s">
        <v>153</v>
      </c>
      <c r="C95" s="5" t="s">
        <v>340</v>
      </c>
      <c r="D95" s="5" t="s">
        <v>349</v>
      </c>
      <c r="E95" s="7" t="s">
        <v>105</v>
      </c>
      <c r="F95" s="8" t="s">
        <v>105</v>
      </c>
      <c r="G95" s="4" t="s">
        <v>195</v>
      </c>
      <c r="H95" s="9" t="s">
        <v>196</v>
      </c>
      <c r="I95" s="5" t="s">
        <v>313</v>
      </c>
      <c r="J95" s="5" t="s">
        <v>198</v>
      </c>
      <c r="K95" s="6">
        <f t="shared" si="2"/>
        <v>1</v>
      </c>
    </row>
    <row r="96" spans="1:11" ht="15" customHeight="1">
      <c r="A96" s="4">
        <v>88</v>
      </c>
      <c r="B96" s="5" t="s">
        <v>95</v>
      </c>
      <c r="C96" s="5" t="s">
        <v>340</v>
      </c>
      <c r="D96" s="5" t="s">
        <v>350</v>
      </c>
      <c r="E96" s="7" t="s">
        <v>105</v>
      </c>
      <c r="F96" s="8" t="s">
        <v>105</v>
      </c>
      <c r="G96" s="4" t="s">
        <v>195</v>
      </c>
      <c r="H96" s="9" t="s">
        <v>196</v>
      </c>
      <c r="I96" s="5" t="s">
        <v>351</v>
      </c>
      <c r="J96" s="5" t="s">
        <v>198</v>
      </c>
      <c r="K96" s="6">
        <f t="shared" si="2"/>
        <v>1</v>
      </c>
    </row>
    <row r="97" spans="1:11" ht="30" customHeight="1">
      <c r="A97" s="4">
        <v>89</v>
      </c>
      <c r="B97" s="5" t="s">
        <v>257</v>
      </c>
      <c r="C97" s="5" t="s">
        <v>340</v>
      </c>
      <c r="D97" s="5" t="s">
        <v>352</v>
      </c>
      <c r="E97" s="7" t="s">
        <v>105</v>
      </c>
      <c r="F97" s="8" t="s">
        <v>105</v>
      </c>
      <c r="G97" s="4" t="s">
        <v>195</v>
      </c>
      <c r="H97" s="9" t="s">
        <v>196</v>
      </c>
      <c r="I97" s="5" t="s">
        <v>353</v>
      </c>
      <c r="J97" s="5" t="s">
        <v>198</v>
      </c>
      <c r="K97" s="6">
        <f t="shared" si="2"/>
        <v>1</v>
      </c>
    </row>
    <row r="98" spans="1:11" ht="15" customHeight="1">
      <c r="A98" s="4">
        <v>90</v>
      </c>
      <c r="B98" s="5" t="s">
        <v>120</v>
      </c>
      <c r="C98" s="5" t="s">
        <v>354</v>
      </c>
      <c r="D98" s="5" t="s">
        <v>355</v>
      </c>
      <c r="E98" s="7" t="s">
        <v>105</v>
      </c>
      <c r="F98" s="8" t="s">
        <v>105</v>
      </c>
      <c r="G98" s="4" t="s">
        <v>195</v>
      </c>
      <c r="H98" s="9" t="s">
        <v>196</v>
      </c>
      <c r="I98" s="5" t="s">
        <v>197</v>
      </c>
      <c r="J98" s="5" t="s">
        <v>198</v>
      </c>
      <c r="K98" s="6">
        <f t="shared" si="2"/>
        <v>1</v>
      </c>
    </row>
    <row r="99" spans="1:11" ht="15" customHeight="1">
      <c r="A99" s="4">
        <v>91</v>
      </c>
      <c r="B99" s="5" t="s">
        <v>124</v>
      </c>
      <c r="C99" s="5" t="s">
        <v>354</v>
      </c>
      <c r="D99" s="5" t="s">
        <v>237</v>
      </c>
      <c r="E99" s="7" t="s">
        <v>105</v>
      </c>
      <c r="F99" s="8" t="s">
        <v>105</v>
      </c>
      <c r="G99" s="4" t="s">
        <v>195</v>
      </c>
      <c r="H99" s="9" t="s">
        <v>196</v>
      </c>
      <c r="I99" s="5" t="s">
        <v>356</v>
      </c>
      <c r="J99" s="5" t="s">
        <v>198</v>
      </c>
      <c r="K99" s="6">
        <f t="shared" si="2"/>
        <v>1</v>
      </c>
    </row>
    <row r="100" spans="1:11" ht="15" customHeight="1">
      <c r="A100" s="4">
        <v>92</v>
      </c>
      <c r="B100" s="5" t="s">
        <v>124</v>
      </c>
      <c r="C100" s="5" t="s">
        <v>354</v>
      </c>
      <c r="D100" s="5" t="s">
        <v>357</v>
      </c>
      <c r="E100" s="7" t="s">
        <v>105</v>
      </c>
      <c r="F100" s="8" t="s">
        <v>105</v>
      </c>
      <c r="G100" s="4" t="s">
        <v>195</v>
      </c>
      <c r="H100" s="9" t="s">
        <v>196</v>
      </c>
      <c r="I100" s="5" t="s">
        <v>358</v>
      </c>
      <c r="J100" s="5" t="s">
        <v>198</v>
      </c>
      <c r="K100" s="6">
        <f t="shared" si="2"/>
        <v>1</v>
      </c>
    </row>
    <row r="101" spans="1:11" ht="15" customHeight="1">
      <c r="A101" s="4">
        <v>93</v>
      </c>
      <c r="B101" s="5" t="s">
        <v>124</v>
      </c>
      <c r="C101" s="5" t="s">
        <v>354</v>
      </c>
      <c r="D101" s="5" t="s">
        <v>239</v>
      </c>
      <c r="E101" s="7" t="s">
        <v>105</v>
      </c>
      <c r="F101" s="8" t="s">
        <v>105</v>
      </c>
      <c r="G101" s="4" t="s">
        <v>195</v>
      </c>
      <c r="H101" s="9" t="s">
        <v>196</v>
      </c>
      <c r="I101" s="5" t="s">
        <v>359</v>
      </c>
      <c r="J101" s="5" t="s">
        <v>198</v>
      </c>
      <c r="K101" s="6">
        <f t="shared" si="2"/>
        <v>1</v>
      </c>
    </row>
    <row r="102" spans="1:11" ht="15" customHeight="1">
      <c r="A102" s="4">
        <v>94</v>
      </c>
      <c r="B102" s="5" t="s">
        <v>159</v>
      </c>
      <c r="C102" s="5" t="s">
        <v>354</v>
      </c>
      <c r="D102" s="5" t="s">
        <v>360</v>
      </c>
      <c r="E102" s="7" t="s">
        <v>105</v>
      </c>
      <c r="F102" s="8" t="s">
        <v>105</v>
      </c>
      <c r="G102" s="4" t="s">
        <v>195</v>
      </c>
      <c r="H102" s="9" t="s">
        <v>196</v>
      </c>
      <c r="I102" s="5" t="s">
        <v>361</v>
      </c>
      <c r="J102" s="5" t="s">
        <v>198</v>
      </c>
      <c r="K102" s="6">
        <f t="shared" si="2"/>
        <v>1</v>
      </c>
    </row>
    <row r="103" spans="1:11" ht="15" customHeight="1">
      <c r="A103" s="4">
        <v>95</v>
      </c>
      <c r="B103" s="5" t="s">
        <v>95</v>
      </c>
      <c r="C103" s="5" t="s">
        <v>354</v>
      </c>
      <c r="D103" s="5" t="s">
        <v>362</v>
      </c>
      <c r="E103" s="7" t="s">
        <v>105</v>
      </c>
      <c r="F103" s="8" t="s">
        <v>105</v>
      </c>
      <c r="G103" s="4" t="s">
        <v>195</v>
      </c>
      <c r="H103" s="9" t="s">
        <v>196</v>
      </c>
      <c r="I103" s="5" t="s">
        <v>363</v>
      </c>
      <c r="J103" s="5" t="s">
        <v>198</v>
      </c>
      <c r="K103" s="6">
        <f t="shared" si="2"/>
        <v>1</v>
      </c>
    </row>
    <row r="104" spans="1:11" ht="15" customHeight="1">
      <c r="A104" s="4">
        <v>96</v>
      </c>
      <c r="B104" s="5" t="s">
        <v>257</v>
      </c>
      <c r="C104" s="5" t="s">
        <v>354</v>
      </c>
      <c r="D104" s="5" t="s">
        <v>364</v>
      </c>
      <c r="E104" s="7" t="s">
        <v>105</v>
      </c>
      <c r="F104" s="8" t="s">
        <v>105</v>
      </c>
      <c r="G104" s="4" t="s">
        <v>195</v>
      </c>
      <c r="H104" s="9" t="s">
        <v>196</v>
      </c>
      <c r="I104" s="5" t="s">
        <v>365</v>
      </c>
      <c r="J104" s="5" t="s">
        <v>198</v>
      </c>
      <c r="K104" s="6">
        <f t="shared" si="2"/>
        <v>1</v>
      </c>
    </row>
    <row r="105" spans="1:11" ht="15" customHeight="1">
      <c r="A105" s="4">
        <v>97</v>
      </c>
      <c r="B105" s="5" t="s">
        <v>130</v>
      </c>
      <c r="C105" s="5" t="s">
        <v>354</v>
      </c>
      <c r="D105" s="5" t="s">
        <v>366</v>
      </c>
      <c r="E105" s="7" t="s">
        <v>105</v>
      </c>
      <c r="F105" s="8" t="s">
        <v>105</v>
      </c>
      <c r="G105" s="4" t="s">
        <v>195</v>
      </c>
      <c r="H105" s="9" t="s">
        <v>196</v>
      </c>
      <c r="I105" s="5" t="s">
        <v>197</v>
      </c>
      <c r="J105" s="5" t="s">
        <v>198</v>
      </c>
      <c r="K105" s="6">
        <f t="shared" ref="K105:K136" si="3">IF(AND(E105="yes",F105="yes",H105="covered"),1,IF(H105="partial",0.5,0))</f>
        <v>1</v>
      </c>
    </row>
    <row r="106" spans="1:11" ht="30" customHeight="1">
      <c r="A106" s="4">
        <v>98</v>
      </c>
      <c r="B106" s="5" t="s">
        <v>130</v>
      </c>
      <c r="C106" s="5" t="s">
        <v>354</v>
      </c>
      <c r="D106" s="5" t="s">
        <v>367</v>
      </c>
      <c r="E106" s="7" t="s">
        <v>105</v>
      </c>
      <c r="F106" s="8" t="s">
        <v>105</v>
      </c>
      <c r="G106" s="4" t="s">
        <v>195</v>
      </c>
      <c r="H106" s="9" t="s">
        <v>196</v>
      </c>
      <c r="I106" s="5" t="s">
        <v>197</v>
      </c>
      <c r="J106" s="5" t="s">
        <v>198</v>
      </c>
      <c r="K106" s="6">
        <f t="shared" si="3"/>
        <v>1</v>
      </c>
    </row>
    <row r="107" spans="1:11" ht="30" customHeight="1">
      <c r="A107" s="4">
        <v>99</v>
      </c>
      <c r="B107" s="5" t="s">
        <v>130</v>
      </c>
      <c r="C107" s="5" t="s">
        <v>354</v>
      </c>
      <c r="D107" s="5" t="s">
        <v>368</v>
      </c>
      <c r="E107" s="7" t="s">
        <v>105</v>
      </c>
      <c r="F107" s="8" t="s">
        <v>105</v>
      </c>
      <c r="G107" s="4" t="s">
        <v>195</v>
      </c>
      <c r="H107" s="9" t="s">
        <v>196</v>
      </c>
      <c r="I107" s="5" t="s">
        <v>197</v>
      </c>
      <c r="J107" s="5" t="s">
        <v>198</v>
      </c>
      <c r="K107" s="6">
        <f t="shared" si="3"/>
        <v>1</v>
      </c>
    </row>
    <row r="108" spans="1:11" ht="15" customHeight="1">
      <c r="A108" s="4">
        <v>100</v>
      </c>
      <c r="B108" s="5" t="s">
        <v>177</v>
      </c>
      <c r="C108" s="5" t="s">
        <v>354</v>
      </c>
      <c r="D108" s="5" t="s">
        <v>369</v>
      </c>
      <c r="E108" s="7" t="s">
        <v>105</v>
      </c>
      <c r="F108" s="8" t="s">
        <v>105</v>
      </c>
      <c r="G108" s="4" t="s">
        <v>195</v>
      </c>
      <c r="H108" s="9" t="s">
        <v>196</v>
      </c>
      <c r="I108" s="5" t="s">
        <v>370</v>
      </c>
      <c r="J108" s="5" t="s">
        <v>198</v>
      </c>
      <c r="K108" s="6">
        <f t="shared" si="3"/>
        <v>1</v>
      </c>
    </row>
    <row r="109" spans="1:11" ht="15" customHeight="1">
      <c r="A109" s="4">
        <v>101</v>
      </c>
      <c r="B109" s="5" t="s">
        <v>172</v>
      </c>
      <c r="C109" s="5" t="s">
        <v>354</v>
      </c>
      <c r="D109" s="5" t="s">
        <v>371</v>
      </c>
      <c r="E109" s="7" t="s">
        <v>105</v>
      </c>
      <c r="F109" s="8" t="s">
        <v>105</v>
      </c>
      <c r="G109" s="4" t="s">
        <v>195</v>
      </c>
      <c r="H109" s="9" t="s">
        <v>196</v>
      </c>
      <c r="I109" s="5" t="s">
        <v>372</v>
      </c>
      <c r="J109" s="5" t="s">
        <v>198</v>
      </c>
      <c r="K109" s="6">
        <f t="shared" si="3"/>
        <v>1</v>
      </c>
    </row>
    <row r="110" spans="1:11" ht="30" customHeight="1">
      <c r="A110" s="4">
        <v>102</v>
      </c>
      <c r="B110" s="5" t="s">
        <v>172</v>
      </c>
      <c r="C110" s="5" t="s">
        <v>354</v>
      </c>
      <c r="D110" s="5" t="s">
        <v>373</v>
      </c>
      <c r="E110" s="7" t="s">
        <v>105</v>
      </c>
      <c r="F110" s="8" t="s">
        <v>105</v>
      </c>
      <c r="G110" s="4" t="s">
        <v>195</v>
      </c>
      <c r="H110" s="9" t="s">
        <v>196</v>
      </c>
      <c r="I110" s="5" t="s">
        <v>374</v>
      </c>
      <c r="J110" s="5" t="s">
        <v>198</v>
      </c>
      <c r="K110" s="6">
        <f t="shared" si="3"/>
        <v>1</v>
      </c>
    </row>
    <row r="111" spans="1:11" ht="15" customHeight="1">
      <c r="A111" s="4">
        <v>103</v>
      </c>
      <c r="B111" s="5" t="s">
        <v>120</v>
      </c>
      <c r="C111" s="5" t="s">
        <v>375</v>
      </c>
      <c r="D111" s="5" t="s">
        <v>376</v>
      </c>
      <c r="E111" s="7" t="s">
        <v>105</v>
      </c>
      <c r="F111" s="8" t="s">
        <v>105</v>
      </c>
      <c r="G111" s="4" t="s">
        <v>195</v>
      </c>
      <c r="H111" s="9" t="s">
        <v>196</v>
      </c>
      <c r="I111" s="5" t="s">
        <v>197</v>
      </c>
      <c r="J111" s="5" t="s">
        <v>198</v>
      </c>
      <c r="K111" s="6">
        <f t="shared" si="3"/>
        <v>1</v>
      </c>
    </row>
    <row r="112" spans="1:11" ht="15" customHeight="1">
      <c r="A112" s="4">
        <v>104</v>
      </c>
      <c r="B112" s="5" t="s">
        <v>124</v>
      </c>
      <c r="C112" s="5" t="s">
        <v>375</v>
      </c>
      <c r="D112" s="5" t="s">
        <v>237</v>
      </c>
      <c r="E112" s="7" t="s">
        <v>105</v>
      </c>
      <c r="F112" s="8" t="s">
        <v>105</v>
      </c>
      <c r="G112" s="4" t="s">
        <v>195</v>
      </c>
      <c r="H112" s="9" t="s">
        <v>196</v>
      </c>
      <c r="I112" s="5" t="s">
        <v>377</v>
      </c>
      <c r="J112" s="5" t="s">
        <v>198</v>
      </c>
      <c r="K112" s="6">
        <f t="shared" si="3"/>
        <v>1</v>
      </c>
    </row>
    <row r="113" spans="1:11" ht="15" customHeight="1">
      <c r="A113" s="4">
        <v>105</v>
      </c>
      <c r="B113" s="5" t="s">
        <v>124</v>
      </c>
      <c r="C113" s="5" t="s">
        <v>375</v>
      </c>
      <c r="D113" s="5" t="s">
        <v>357</v>
      </c>
      <c r="E113" s="7" t="s">
        <v>105</v>
      </c>
      <c r="F113" s="8" t="s">
        <v>105</v>
      </c>
      <c r="G113" s="4" t="s">
        <v>195</v>
      </c>
      <c r="H113" s="9" t="s">
        <v>196</v>
      </c>
      <c r="I113" s="5" t="s">
        <v>378</v>
      </c>
      <c r="J113" s="5" t="s">
        <v>198</v>
      </c>
      <c r="K113" s="6">
        <f t="shared" si="3"/>
        <v>1</v>
      </c>
    </row>
    <row r="114" spans="1:11" ht="15" customHeight="1">
      <c r="A114" s="4">
        <v>106</v>
      </c>
      <c r="B114" s="5" t="s">
        <v>124</v>
      </c>
      <c r="C114" s="5" t="s">
        <v>375</v>
      </c>
      <c r="D114" s="5" t="s">
        <v>239</v>
      </c>
      <c r="E114" s="7" t="s">
        <v>105</v>
      </c>
      <c r="F114" s="8" t="s">
        <v>105</v>
      </c>
      <c r="G114" s="4" t="s">
        <v>195</v>
      </c>
      <c r="H114" s="9" t="s">
        <v>196</v>
      </c>
      <c r="I114" s="5" t="s">
        <v>379</v>
      </c>
      <c r="J114" s="5" t="s">
        <v>198</v>
      </c>
      <c r="K114" s="6">
        <f t="shared" si="3"/>
        <v>1</v>
      </c>
    </row>
    <row r="115" spans="1:11" ht="15" customHeight="1">
      <c r="A115" s="4">
        <v>107</v>
      </c>
      <c r="B115" s="5" t="s">
        <v>159</v>
      </c>
      <c r="C115" s="5" t="s">
        <v>375</v>
      </c>
      <c r="D115" s="5" t="s">
        <v>380</v>
      </c>
      <c r="E115" s="7" t="s">
        <v>105</v>
      </c>
      <c r="F115" s="8" t="s">
        <v>105</v>
      </c>
      <c r="G115" s="4" t="s">
        <v>195</v>
      </c>
      <c r="H115" s="9" t="s">
        <v>196</v>
      </c>
      <c r="I115" s="5" t="s">
        <v>381</v>
      </c>
      <c r="J115" s="5" t="s">
        <v>198</v>
      </c>
      <c r="K115" s="6">
        <f t="shared" si="3"/>
        <v>1</v>
      </c>
    </row>
    <row r="116" spans="1:11" ht="15" customHeight="1">
      <c r="A116" s="4">
        <v>108</v>
      </c>
      <c r="B116" s="5" t="s">
        <v>95</v>
      </c>
      <c r="C116" s="5" t="s">
        <v>375</v>
      </c>
      <c r="D116" s="5" t="s">
        <v>382</v>
      </c>
      <c r="E116" s="7" t="s">
        <v>105</v>
      </c>
      <c r="F116" s="8" t="s">
        <v>105</v>
      </c>
      <c r="G116" s="4" t="s">
        <v>195</v>
      </c>
      <c r="H116" s="9" t="s">
        <v>196</v>
      </c>
      <c r="I116" s="5" t="s">
        <v>383</v>
      </c>
      <c r="J116" s="5" t="s">
        <v>198</v>
      </c>
      <c r="K116" s="6">
        <f t="shared" si="3"/>
        <v>1</v>
      </c>
    </row>
    <row r="117" spans="1:11" ht="15" customHeight="1">
      <c r="A117" s="4">
        <v>109</v>
      </c>
      <c r="B117" s="5" t="s">
        <v>257</v>
      </c>
      <c r="C117" s="5" t="s">
        <v>375</v>
      </c>
      <c r="D117" s="5" t="s">
        <v>384</v>
      </c>
      <c r="E117" s="7" t="s">
        <v>105</v>
      </c>
      <c r="F117" s="8" t="s">
        <v>105</v>
      </c>
      <c r="G117" s="4" t="s">
        <v>195</v>
      </c>
      <c r="H117" s="9" t="s">
        <v>196</v>
      </c>
      <c r="I117" s="5" t="s">
        <v>385</v>
      </c>
      <c r="J117" s="5" t="s">
        <v>198</v>
      </c>
      <c r="K117" s="6">
        <f t="shared" si="3"/>
        <v>1</v>
      </c>
    </row>
    <row r="118" spans="1:11" ht="15" customHeight="1">
      <c r="A118" s="4">
        <v>110</v>
      </c>
      <c r="B118" s="5" t="s">
        <v>130</v>
      </c>
      <c r="C118" s="5" t="s">
        <v>375</v>
      </c>
      <c r="D118" s="5" t="s">
        <v>386</v>
      </c>
      <c r="E118" s="7" t="s">
        <v>105</v>
      </c>
      <c r="F118" s="8" t="s">
        <v>105</v>
      </c>
      <c r="G118" s="4" t="s">
        <v>195</v>
      </c>
      <c r="H118" s="9" t="s">
        <v>196</v>
      </c>
      <c r="I118" s="5" t="s">
        <v>197</v>
      </c>
      <c r="J118" s="5" t="s">
        <v>198</v>
      </c>
      <c r="K118" s="6">
        <f t="shared" si="3"/>
        <v>1</v>
      </c>
    </row>
    <row r="119" spans="1:11" ht="30" customHeight="1">
      <c r="A119" s="4">
        <v>111</v>
      </c>
      <c r="B119" s="5" t="s">
        <v>130</v>
      </c>
      <c r="C119" s="5" t="s">
        <v>375</v>
      </c>
      <c r="D119" s="5" t="s">
        <v>387</v>
      </c>
      <c r="E119" s="7" t="s">
        <v>105</v>
      </c>
      <c r="F119" s="8" t="s">
        <v>105</v>
      </c>
      <c r="G119" s="4" t="s">
        <v>195</v>
      </c>
      <c r="H119" s="9" t="s">
        <v>196</v>
      </c>
      <c r="I119" s="5" t="s">
        <v>197</v>
      </c>
      <c r="J119" s="5" t="s">
        <v>198</v>
      </c>
      <c r="K119" s="6">
        <f t="shared" si="3"/>
        <v>1</v>
      </c>
    </row>
    <row r="120" spans="1:11" ht="30" customHeight="1">
      <c r="A120" s="4">
        <v>112</v>
      </c>
      <c r="B120" s="5" t="s">
        <v>130</v>
      </c>
      <c r="C120" s="5" t="s">
        <v>375</v>
      </c>
      <c r="D120" s="5" t="s">
        <v>368</v>
      </c>
      <c r="E120" s="7" t="s">
        <v>105</v>
      </c>
      <c r="F120" s="8" t="s">
        <v>105</v>
      </c>
      <c r="G120" s="4" t="s">
        <v>195</v>
      </c>
      <c r="H120" s="9" t="s">
        <v>196</v>
      </c>
      <c r="I120" s="5" t="s">
        <v>197</v>
      </c>
      <c r="J120" s="5" t="s">
        <v>198</v>
      </c>
      <c r="K120" s="6">
        <f t="shared" si="3"/>
        <v>1</v>
      </c>
    </row>
    <row r="121" spans="1:11" ht="15" customHeight="1">
      <c r="A121" s="4">
        <v>113</v>
      </c>
      <c r="B121" s="5" t="s">
        <v>172</v>
      </c>
      <c r="C121" s="5" t="s">
        <v>375</v>
      </c>
      <c r="D121" s="5" t="s">
        <v>388</v>
      </c>
      <c r="E121" s="7" t="s">
        <v>105</v>
      </c>
      <c r="F121" s="8" t="s">
        <v>105</v>
      </c>
      <c r="G121" s="4" t="s">
        <v>195</v>
      </c>
      <c r="H121" s="9" t="s">
        <v>196</v>
      </c>
      <c r="I121" s="5" t="s">
        <v>389</v>
      </c>
      <c r="J121" s="5" t="s">
        <v>198</v>
      </c>
      <c r="K121" s="6">
        <f t="shared" si="3"/>
        <v>1</v>
      </c>
    </row>
    <row r="122" spans="1:11" ht="30" customHeight="1">
      <c r="A122" s="4">
        <v>114</v>
      </c>
      <c r="B122" s="5" t="s">
        <v>172</v>
      </c>
      <c r="C122" s="5" t="s">
        <v>375</v>
      </c>
      <c r="D122" s="5" t="s">
        <v>390</v>
      </c>
      <c r="E122" s="7" t="s">
        <v>105</v>
      </c>
      <c r="F122" s="8" t="s">
        <v>105</v>
      </c>
      <c r="G122" s="4" t="s">
        <v>195</v>
      </c>
      <c r="H122" s="9" t="s">
        <v>196</v>
      </c>
      <c r="I122" s="5" t="s">
        <v>391</v>
      </c>
      <c r="J122" s="5" t="s">
        <v>198</v>
      </c>
      <c r="K122" s="6">
        <f t="shared" si="3"/>
        <v>1</v>
      </c>
    </row>
    <row r="123" spans="1:11" ht="30" customHeight="1">
      <c r="A123" s="4">
        <v>115</v>
      </c>
      <c r="B123" s="5" t="s">
        <v>392</v>
      </c>
      <c r="C123" s="5" t="s">
        <v>15</v>
      </c>
      <c r="D123" s="5" t="s">
        <v>393</v>
      </c>
      <c r="E123" s="7" t="s">
        <v>105</v>
      </c>
      <c r="F123" s="8" t="s">
        <v>105</v>
      </c>
      <c r="G123" s="4" t="s">
        <v>195</v>
      </c>
      <c r="H123" s="9" t="s">
        <v>196</v>
      </c>
      <c r="I123" s="5" t="s">
        <v>394</v>
      </c>
      <c r="J123" s="5" t="s">
        <v>198</v>
      </c>
      <c r="K123" s="6">
        <f t="shared" si="3"/>
        <v>1</v>
      </c>
    </row>
    <row r="124" spans="1:11" ht="15" customHeight="1">
      <c r="A124" s="4">
        <v>116</v>
      </c>
      <c r="B124" s="5" t="s">
        <v>392</v>
      </c>
      <c r="C124" s="5" t="s">
        <v>121</v>
      </c>
      <c r="D124" s="5" t="s">
        <v>395</v>
      </c>
      <c r="E124" s="7" t="s">
        <v>105</v>
      </c>
      <c r="F124" s="8" t="s">
        <v>105</v>
      </c>
      <c r="G124" s="4" t="s">
        <v>195</v>
      </c>
      <c r="H124" s="9" t="s">
        <v>196</v>
      </c>
      <c r="I124" s="5" t="s">
        <v>396</v>
      </c>
      <c r="J124" s="5" t="s">
        <v>198</v>
      </c>
      <c r="K124" s="6">
        <f t="shared" si="3"/>
        <v>1</v>
      </c>
    </row>
    <row r="125" spans="1:11" ht="30" customHeight="1">
      <c r="A125" s="4">
        <v>117</v>
      </c>
      <c r="B125" s="5" t="s">
        <v>392</v>
      </c>
      <c r="C125" s="5" t="s">
        <v>121</v>
      </c>
      <c r="D125" s="5" t="s">
        <v>397</v>
      </c>
      <c r="E125" s="7" t="s">
        <v>105</v>
      </c>
      <c r="F125" s="8" t="s">
        <v>105</v>
      </c>
      <c r="G125" s="4" t="s">
        <v>195</v>
      </c>
      <c r="H125" s="9" t="s">
        <v>196</v>
      </c>
      <c r="I125" s="5" t="s">
        <v>197</v>
      </c>
      <c r="J125" s="5" t="s">
        <v>198</v>
      </c>
      <c r="K125" s="6">
        <f t="shared" si="3"/>
        <v>1</v>
      </c>
    </row>
    <row r="126" spans="1:11" ht="15" customHeight="1">
      <c r="A126" s="4">
        <v>118</v>
      </c>
      <c r="B126" s="5" t="s">
        <v>392</v>
      </c>
      <c r="C126" s="5" t="s">
        <v>55</v>
      </c>
      <c r="D126" s="5" t="s">
        <v>398</v>
      </c>
      <c r="E126" s="7" t="s">
        <v>105</v>
      </c>
      <c r="F126" s="8" t="s">
        <v>105</v>
      </c>
      <c r="G126" s="4" t="s">
        <v>195</v>
      </c>
      <c r="H126" s="9" t="s">
        <v>196</v>
      </c>
      <c r="I126" s="5" t="s">
        <v>197</v>
      </c>
      <c r="J126" s="5" t="s">
        <v>198</v>
      </c>
      <c r="K126" s="6">
        <f t="shared" si="3"/>
        <v>1</v>
      </c>
    </row>
    <row r="127" spans="1:11" ht="30" customHeight="1">
      <c r="A127" s="4">
        <v>119</v>
      </c>
      <c r="B127" s="5" t="s">
        <v>392</v>
      </c>
      <c r="C127" s="5" t="s">
        <v>273</v>
      </c>
      <c r="D127" s="5" t="s">
        <v>399</v>
      </c>
      <c r="E127" s="7" t="s">
        <v>105</v>
      </c>
      <c r="F127" s="8" t="s">
        <v>105</v>
      </c>
      <c r="G127" s="4" t="s">
        <v>195</v>
      </c>
      <c r="H127" s="9" t="s">
        <v>196</v>
      </c>
      <c r="I127" s="5" t="s">
        <v>197</v>
      </c>
      <c r="J127" s="5" t="s">
        <v>198</v>
      </c>
      <c r="K127" s="6">
        <f t="shared" si="3"/>
        <v>1</v>
      </c>
    </row>
    <row r="128" spans="1:11" ht="30" customHeight="1">
      <c r="A128" s="4">
        <v>120</v>
      </c>
      <c r="B128" s="5" t="s">
        <v>392</v>
      </c>
      <c r="C128" s="5" t="s">
        <v>147</v>
      </c>
      <c r="D128" s="5" t="s">
        <v>400</v>
      </c>
      <c r="E128" s="7" t="s">
        <v>105</v>
      </c>
      <c r="F128" s="8" t="s">
        <v>105</v>
      </c>
      <c r="G128" s="4" t="s">
        <v>195</v>
      </c>
      <c r="H128" s="9" t="s">
        <v>196</v>
      </c>
      <c r="I128" s="5" t="s">
        <v>197</v>
      </c>
      <c r="J128" s="5" t="s">
        <v>198</v>
      </c>
      <c r="K128" s="6">
        <f t="shared" si="3"/>
        <v>1</v>
      </c>
    </row>
    <row r="129" spans="1:11" ht="15" customHeight="1">
      <c r="A129" s="4">
        <v>121</v>
      </c>
      <c r="B129" s="5" t="s">
        <v>392</v>
      </c>
      <c r="C129" s="5" t="s">
        <v>322</v>
      </c>
      <c r="D129" s="5" t="s">
        <v>401</v>
      </c>
      <c r="E129" s="7" t="s">
        <v>105</v>
      </c>
      <c r="F129" s="8" t="s">
        <v>105</v>
      </c>
      <c r="G129" s="4" t="s">
        <v>195</v>
      </c>
      <c r="H129" s="9" t="s">
        <v>196</v>
      </c>
      <c r="I129" s="5" t="s">
        <v>197</v>
      </c>
      <c r="J129" s="5" t="s">
        <v>198</v>
      </c>
      <c r="K129" s="6">
        <f t="shared" si="3"/>
        <v>1</v>
      </c>
    </row>
    <row r="130" spans="1:11" ht="30" customHeight="1">
      <c r="A130" s="4">
        <v>122</v>
      </c>
      <c r="B130" s="5" t="s">
        <v>392</v>
      </c>
      <c r="C130" s="5" t="s">
        <v>95</v>
      </c>
      <c r="D130" s="5" t="s">
        <v>402</v>
      </c>
      <c r="E130" s="7" t="s">
        <v>105</v>
      </c>
      <c r="F130" s="8" t="s">
        <v>105</v>
      </c>
      <c r="G130" s="4" t="s">
        <v>195</v>
      </c>
      <c r="H130" s="9" t="s">
        <v>196</v>
      </c>
      <c r="I130" s="5" t="s">
        <v>197</v>
      </c>
      <c r="J130" s="5" t="s">
        <v>198</v>
      </c>
      <c r="K130" s="6">
        <f t="shared" si="3"/>
        <v>1</v>
      </c>
    </row>
    <row r="131" spans="1:11" ht="30" customHeight="1">
      <c r="A131" s="4">
        <v>123</v>
      </c>
      <c r="B131" s="5" t="s">
        <v>392</v>
      </c>
      <c r="C131" s="5" t="s">
        <v>257</v>
      </c>
      <c r="D131" s="5" t="s">
        <v>403</v>
      </c>
      <c r="E131" s="7" t="s">
        <v>105</v>
      </c>
      <c r="F131" s="8" t="s">
        <v>105</v>
      </c>
      <c r="G131" s="4" t="s">
        <v>195</v>
      </c>
      <c r="H131" s="9" t="s">
        <v>196</v>
      </c>
      <c r="I131" s="5" t="s">
        <v>197</v>
      </c>
      <c r="J131" s="5" t="s">
        <v>198</v>
      </c>
      <c r="K131" s="6">
        <f t="shared" si="3"/>
        <v>1</v>
      </c>
    </row>
    <row r="132" spans="1:11" ht="30" customHeight="1">
      <c r="A132" s="4">
        <v>124</v>
      </c>
      <c r="B132" s="5" t="s">
        <v>392</v>
      </c>
      <c r="C132" s="5" t="s">
        <v>130</v>
      </c>
      <c r="D132" s="5" t="s">
        <v>404</v>
      </c>
      <c r="E132" s="7" t="s">
        <v>105</v>
      </c>
      <c r="F132" s="8" t="s">
        <v>105</v>
      </c>
      <c r="G132" s="4" t="s">
        <v>195</v>
      </c>
      <c r="H132" s="9" t="s">
        <v>196</v>
      </c>
      <c r="I132" s="5" t="s">
        <v>197</v>
      </c>
      <c r="J132" s="5" t="s">
        <v>198</v>
      </c>
      <c r="K132" s="6">
        <f t="shared" si="3"/>
        <v>1</v>
      </c>
    </row>
    <row r="133" spans="1:11" ht="30" customHeight="1">
      <c r="A133" s="4">
        <v>125</v>
      </c>
      <c r="B133" s="5" t="s">
        <v>392</v>
      </c>
      <c r="C133" s="5" t="s">
        <v>405</v>
      </c>
      <c r="D133" s="5" t="s">
        <v>406</v>
      </c>
      <c r="E133" s="7" t="s">
        <v>105</v>
      </c>
      <c r="F133" s="8" t="s">
        <v>105</v>
      </c>
      <c r="G133" s="4" t="s">
        <v>195</v>
      </c>
      <c r="H133" s="9" t="s">
        <v>196</v>
      </c>
      <c r="I133" s="5" t="s">
        <v>197</v>
      </c>
      <c r="J133" s="5" t="s">
        <v>198</v>
      </c>
      <c r="K133" s="6">
        <f t="shared" si="3"/>
        <v>1</v>
      </c>
    </row>
    <row r="134" spans="1:11" ht="30" customHeight="1">
      <c r="A134" s="4">
        <v>126</v>
      </c>
      <c r="B134" s="5" t="s">
        <v>392</v>
      </c>
      <c r="C134" s="5" t="s">
        <v>407</v>
      </c>
      <c r="D134" s="5" t="s">
        <v>408</v>
      </c>
      <c r="E134" s="7" t="s">
        <v>105</v>
      </c>
      <c r="F134" s="8" t="s">
        <v>105</v>
      </c>
      <c r="G134" s="4" t="s">
        <v>195</v>
      </c>
      <c r="H134" s="9" t="s">
        <v>196</v>
      </c>
      <c r="I134" s="5" t="s">
        <v>197</v>
      </c>
      <c r="J134" s="5" t="s">
        <v>198</v>
      </c>
      <c r="K134" s="6">
        <f t="shared" si="3"/>
        <v>1</v>
      </c>
    </row>
    <row r="135" spans="1:11" ht="30" customHeight="1">
      <c r="A135" s="4">
        <v>127</v>
      </c>
      <c r="B135" s="5" t="s">
        <v>409</v>
      </c>
      <c r="C135" s="5" t="s">
        <v>410</v>
      </c>
      <c r="D135" s="5" t="s">
        <v>411</v>
      </c>
      <c r="E135" s="7" t="s">
        <v>105</v>
      </c>
      <c r="F135" s="8" t="s">
        <v>105</v>
      </c>
      <c r="G135" s="4" t="s">
        <v>195</v>
      </c>
      <c r="H135" s="9" t="s">
        <v>196</v>
      </c>
      <c r="I135" s="5" t="s">
        <v>197</v>
      </c>
      <c r="J135" s="5" t="s">
        <v>198</v>
      </c>
      <c r="K135" s="6">
        <f t="shared" si="3"/>
        <v>1</v>
      </c>
    </row>
    <row r="136" spans="1:11" ht="30" customHeight="1">
      <c r="A136" s="4">
        <v>128</v>
      </c>
      <c r="B136" s="5" t="s">
        <v>409</v>
      </c>
      <c r="C136" s="5" t="s">
        <v>412</v>
      </c>
      <c r="D136" s="5" t="s">
        <v>413</v>
      </c>
      <c r="E136" s="7" t="s">
        <v>105</v>
      </c>
      <c r="F136" s="8" t="s">
        <v>105</v>
      </c>
      <c r="G136" s="4" t="s">
        <v>195</v>
      </c>
      <c r="H136" s="9" t="s">
        <v>196</v>
      </c>
      <c r="I136" s="5" t="s">
        <v>197</v>
      </c>
      <c r="J136" s="5" t="s">
        <v>198</v>
      </c>
      <c r="K136" s="6">
        <f t="shared" si="3"/>
        <v>1</v>
      </c>
    </row>
    <row r="137" spans="1:11" ht="30" customHeight="1">
      <c r="A137" s="4">
        <v>129</v>
      </c>
      <c r="B137" s="5" t="s">
        <v>414</v>
      </c>
      <c r="C137" s="5" t="s">
        <v>15</v>
      </c>
      <c r="D137" s="5" t="s">
        <v>415</v>
      </c>
      <c r="E137" s="7" t="s">
        <v>105</v>
      </c>
      <c r="F137" s="8" t="s">
        <v>105</v>
      </c>
      <c r="G137" s="4" t="s">
        <v>195</v>
      </c>
      <c r="H137" s="9" t="s">
        <v>196</v>
      </c>
      <c r="I137" s="5" t="s">
        <v>197</v>
      </c>
      <c r="J137" s="5" t="s">
        <v>198</v>
      </c>
      <c r="K137" s="6">
        <f t="shared" ref="K137:K142" si="4">IF(AND(E137="yes",F137="yes",H137="covered"),1,IF(H137="partial",0.5,0))</f>
        <v>1</v>
      </c>
    </row>
    <row r="138" spans="1:11" ht="15" customHeight="1">
      <c r="A138" s="4">
        <v>130</v>
      </c>
      <c r="B138" s="5" t="s">
        <v>414</v>
      </c>
      <c r="C138" s="5" t="s">
        <v>15</v>
      </c>
      <c r="D138" s="5" t="s">
        <v>416</v>
      </c>
      <c r="E138" s="7" t="s">
        <v>105</v>
      </c>
      <c r="F138" s="8" t="s">
        <v>105</v>
      </c>
      <c r="G138" s="4" t="s">
        <v>195</v>
      </c>
      <c r="H138" s="9" t="s">
        <v>196</v>
      </c>
      <c r="I138" s="5" t="s">
        <v>197</v>
      </c>
      <c r="J138" s="5" t="s">
        <v>198</v>
      </c>
      <c r="K138" s="6">
        <f t="shared" si="4"/>
        <v>1</v>
      </c>
    </row>
    <row r="139" spans="1:11" ht="15" customHeight="1">
      <c r="A139" s="4">
        <v>131</v>
      </c>
      <c r="B139" s="5" t="s">
        <v>414</v>
      </c>
      <c r="C139" s="5" t="s">
        <v>15</v>
      </c>
      <c r="D139" s="5" t="s">
        <v>417</v>
      </c>
      <c r="E139" s="7" t="s">
        <v>105</v>
      </c>
      <c r="F139" s="8" t="s">
        <v>105</v>
      </c>
      <c r="G139" s="4" t="s">
        <v>195</v>
      </c>
      <c r="H139" s="9" t="s">
        <v>196</v>
      </c>
      <c r="I139" s="5" t="s">
        <v>197</v>
      </c>
      <c r="J139" s="5" t="s">
        <v>198</v>
      </c>
      <c r="K139" s="6">
        <f t="shared" si="4"/>
        <v>1</v>
      </c>
    </row>
    <row r="140" spans="1:11" ht="30" customHeight="1">
      <c r="A140" s="4">
        <v>132</v>
      </c>
      <c r="B140" s="5" t="s">
        <v>55</v>
      </c>
      <c r="C140" s="5" t="s">
        <v>15</v>
      </c>
      <c r="D140" s="5" t="s">
        <v>418</v>
      </c>
      <c r="E140" s="7" t="s">
        <v>105</v>
      </c>
      <c r="F140" s="8" t="s">
        <v>105</v>
      </c>
      <c r="G140" s="4" t="s">
        <v>195</v>
      </c>
      <c r="H140" s="9" t="s">
        <v>196</v>
      </c>
      <c r="I140" s="5" t="s">
        <v>197</v>
      </c>
      <c r="J140" s="5" t="s">
        <v>198</v>
      </c>
      <c r="K140" s="6">
        <f t="shared" si="4"/>
        <v>1</v>
      </c>
    </row>
    <row r="141" spans="1:11" ht="15" customHeight="1">
      <c r="A141" s="4">
        <v>133</v>
      </c>
      <c r="B141" s="5" t="s">
        <v>419</v>
      </c>
      <c r="C141" s="5" t="s">
        <v>15</v>
      </c>
      <c r="D141" s="5" t="s">
        <v>420</v>
      </c>
      <c r="E141" s="7" t="s">
        <v>105</v>
      </c>
      <c r="F141" s="8" t="s">
        <v>105</v>
      </c>
      <c r="G141" s="4" t="s">
        <v>195</v>
      </c>
      <c r="H141" s="9" t="s">
        <v>196</v>
      </c>
      <c r="I141" s="5" t="s">
        <v>197</v>
      </c>
      <c r="J141" s="5" t="s">
        <v>198</v>
      </c>
      <c r="K141" s="6">
        <f t="shared" si="4"/>
        <v>1</v>
      </c>
    </row>
    <row r="142" spans="1:11" ht="15" customHeight="1">
      <c r="A142" s="4">
        <v>134</v>
      </c>
      <c r="B142" s="5" t="s">
        <v>405</v>
      </c>
      <c r="C142" s="5" t="s">
        <v>15</v>
      </c>
      <c r="D142" s="5" t="s">
        <v>421</v>
      </c>
      <c r="E142" s="7" t="s">
        <v>105</v>
      </c>
      <c r="F142" s="8" t="s">
        <v>105</v>
      </c>
      <c r="G142" s="4" t="s">
        <v>195</v>
      </c>
      <c r="H142" s="9" t="s">
        <v>196</v>
      </c>
      <c r="I142" s="5" t="s">
        <v>197</v>
      </c>
      <c r="J142" s="5" t="s">
        <v>198</v>
      </c>
      <c r="K142" s="6">
        <f t="shared" si="4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422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85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16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423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16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423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16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423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16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423</v>
      </c>
      <c r="J14" s="5" t="s">
        <v>109</v>
      </c>
      <c r="K14" s="6">
        <f t="shared" si="0"/>
        <v>0</v>
      </c>
    </row>
    <row r="15" spans="1:11" ht="30" customHeight="1">
      <c r="A15" s="4">
        <v>7</v>
      </c>
      <c r="B15" s="5" t="s">
        <v>113</v>
      </c>
      <c r="C15" s="5" t="s">
        <v>16</v>
      </c>
      <c r="D15" s="5" t="s">
        <v>424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423</v>
      </c>
      <c r="J15" s="5" t="s">
        <v>109</v>
      </c>
      <c r="K15" s="6">
        <f t="shared" si="0"/>
        <v>0</v>
      </c>
    </row>
    <row r="16" spans="1:11" ht="30" customHeight="1">
      <c r="A16" s="4">
        <v>8</v>
      </c>
      <c r="B16" s="5" t="s">
        <v>113</v>
      </c>
      <c r="C16" s="5" t="s">
        <v>16</v>
      </c>
      <c r="D16" s="5" t="s">
        <v>425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423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16</v>
      </c>
      <c r="D17" s="5" t="s">
        <v>426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423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16</v>
      </c>
      <c r="D18" s="5" t="s">
        <v>427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423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16</v>
      </c>
      <c r="D19" s="5" t="s">
        <v>119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423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423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423</v>
      </c>
      <c r="J21" s="5" t="s">
        <v>109</v>
      </c>
      <c r="K21" s="6">
        <f t="shared" si="0"/>
        <v>0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423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423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423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423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130</v>
      </c>
      <c r="C26" s="5" t="s">
        <v>121</v>
      </c>
      <c r="D26" s="5" t="s">
        <v>131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423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130</v>
      </c>
      <c r="C27" s="5" t="s">
        <v>121</v>
      </c>
      <c r="D27" s="5" t="s">
        <v>132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423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133</v>
      </c>
      <c r="C28" s="5" t="s">
        <v>121</v>
      </c>
      <c r="D28" s="5" t="s">
        <v>428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423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142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423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429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423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120</v>
      </c>
      <c r="C31" s="5" t="s">
        <v>430</v>
      </c>
      <c r="D31" s="5" t="s">
        <v>122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423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120</v>
      </c>
      <c r="C32" s="5" t="s">
        <v>430</v>
      </c>
      <c r="D32" s="5" t="s">
        <v>123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423</v>
      </c>
      <c r="J32" s="5" t="s">
        <v>109</v>
      </c>
      <c r="K32" s="6">
        <f t="shared" si="0"/>
        <v>0</v>
      </c>
    </row>
    <row r="33" spans="1:11" ht="30" customHeight="1">
      <c r="A33" s="4">
        <v>25</v>
      </c>
      <c r="B33" s="5" t="s">
        <v>124</v>
      </c>
      <c r="C33" s="5" t="s">
        <v>430</v>
      </c>
      <c r="D33" s="5" t="s">
        <v>125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423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124</v>
      </c>
      <c r="C34" s="5" t="s">
        <v>430</v>
      </c>
      <c r="D34" s="5" t="s">
        <v>126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423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95</v>
      </c>
      <c r="C35" s="5" t="s">
        <v>430</v>
      </c>
      <c r="D35" s="5" t="s">
        <v>127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423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128</v>
      </c>
      <c r="C36" s="5" t="s">
        <v>430</v>
      </c>
      <c r="D36" s="5" t="s">
        <v>129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423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120</v>
      </c>
      <c r="C37" s="5" t="s">
        <v>431</v>
      </c>
      <c r="D37" s="5" t="s">
        <v>122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423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120</v>
      </c>
      <c r="C38" s="5" t="s">
        <v>431</v>
      </c>
      <c r="D38" s="5" t="s">
        <v>123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423</v>
      </c>
      <c r="J38" s="5" t="s">
        <v>109</v>
      </c>
      <c r="K38" s="6">
        <f t="shared" si="0"/>
        <v>0</v>
      </c>
    </row>
    <row r="39" spans="1:11" ht="30" customHeight="1">
      <c r="A39" s="4">
        <v>31</v>
      </c>
      <c r="B39" s="5" t="s">
        <v>124</v>
      </c>
      <c r="C39" s="5" t="s">
        <v>431</v>
      </c>
      <c r="D39" s="5" t="s">
        <v>125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423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124</v>
      </c>
      <c r="C40" s="5" t="s">
        <v>431</v>
      </c>
      <c r="D40" s="5" t="s">
        <v>126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423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95</v>
      </c>
      <c r="C41" s="5" t="s">
        <v>431</v>
      </c>
      <c r="D41" s="5" t="s">
        <v>127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423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128</v>
      </c>
      <c r="C42" s="5" t="s">
        <v>431</v>
      </c>
      <c r="D42" s="5" t="s">
        <v>129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423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120</v>
      </c>
      <c r="C43" s="5" t="s">
        <v>432</v>
      </c>
      <c r="D43" s="5" t="s">
        <v>122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423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120</v>
      </c>
      <c r="C44" s="5" t="s">
        <v>432</v>
      </c>
      <c r="D44" s="5" t="s">
        <v>123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423</v>
      </c>
      <c r="J44" s="5" t="s">
        <v>109</v>
      </c>
      <c r="K44" s="6">
        <f t="shared" si="1"/>
        <v>0</v>
      </c>
    </row>
    <row r="45" spans="1:11" ht="30" customHeight="1">
      <c r="A45" s="4">
        <v>37</v>
      </c>
      <c r="B45" s="5" t="s">
        <v>124</v>
      </c>
      <c r="C45" s="5" t="s">
        <v>432</v>
      </c>
      <c r="D45" s="5" t="s">
        <v>125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423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124</v>
      </c>
      <c r="C46" s="5" t="s">
        <v>432</v>
      </c>
      <c r="D46" s="5" t="s">
        <v>126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423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95</v>
      </c>
      <c r="C47" s="5" t="s">
        <v>432</v>
      </c>
      <c r="D47" s="5" t="s">
        <v>127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423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128</v>
      </c>
      <c r="C48" s="5" t="s">
        <v>432</v>
      </c>
      <c r="D48" s="5" t="s">
        <v>129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423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130</v>
      </c>
      <c r="C49" s="5" t="s">
        <v>432</v>
      </c>
      <c r="D49" s="5" t="s">
        <v>131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423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130</v>
      </c>
      <c r="C50" s="5" t="s">
        <v>432</v>
      </c>
      <c r="D50" s="5" t="s">
        <v>132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423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133</v>
      </c>
      <c r="C51" s="5" t="s">
        <v>432</v>
      </c>
      <c r="D51" s="5" t="s">
        <v>142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423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120</v>
      </c>
      <c r="C52" s="5" t="s">
        <v>433</v>
      </c>
      <c r="D52" s="5" t="s">
        <v>122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423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120</v>
      </c>
      <c r="C53" s="5" t="s">
        <v>433</v>
      </c>
      <c r="D53" s="5" t="s">
        <v>123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423</v>
      </c>
      <c r="J53" s="5" t="s">
        <v>109</v>
      </c>
      <c r="K53" s="6">
        <f t="shared" si="1"/>
        <v>0</v>
      </c>
    </row>
    <row r="54" spans="1:11" ht="30" customHeight="1">
      <c r="A54" s="4">
        <v>46</v>
      </c>
      <c r="B54" s="5" t="s">
        <v>124</v>
      </c>
      <c r="C54" s="5" t="s">
        <v>433</v>
      </c>
      <c r="D54" s="5" t="s">
        <v>125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423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124</v>
      </c>
      <c r="C55" s="5" t="s">
        <v>433</v>
      </c>
      <c r="D55" s="5" t="s">
        <v>126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423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95</v>
      </c>
      <c r="C56" s="5" t="s">
        <v>433</v>
      </c>
      <c r="D56" s="5" t="s">
        <v>127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423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128</v>
      </c>
      <c r="C57" s="5" t="s">
        <v>433</v>
      </c>
      <c r="D57" s="5" t="s">
        <v>129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423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130</v>
      </c>
      <c r="C58" s="5" t="s">
        <v>433</v>
      </c>
      <c r="D58" s="5" t="s">
        <v>131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423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130</v>
      </c>
      <c r="C59" s="5" t="s">
        <v>433</v>
      </c>
      <c r="D59" s="5" t="s">
        <v>132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423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133</v>
      </c>
      <c r="C60" s="5" t="s">
        <v>433</v>
      </c>
      <c r="D60" s="5" t="s">
        <v>142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423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120</v>
      </c>
      <c r="C61" s="5" t="s">
        <v>434</v>
      </c>
      <c r="D61" s="5" t="s">
        <v>122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423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120</v>
      </c>
      <c r="C62" s="5" t="s">
        <v>434</v>
      </c>
      <c r="D62" s="5" t="s">
        <v>123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423</v>
      </c>
      <c r="J62" s="5" t="s">
        <v>109</v>
      </c>
      <c r="K62" s="6">
        <f t="shared" si="1"/>
        <v>0</v>
      </c>
    </row>
    <row r="63" spans="1:11" ht="30" customHeight="1">
      <c r="A63" s="4">
        <v>55</v>
      </c>
      <c r="B63" s="5" t="s">
        <v>124</v>
      </c>
      <c r="C63" s="5" t="s">
        <v>434</v>
      </c>
      <c r="D63" s="5" t="s">
        <v>125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423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124</v>
      </c>
      <c r="C64" s="5" t="s">
        <v>434</v>
      </c>
      <c r="D64" s="5" t="s">
        <v>126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423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95</v>
      </c>
      <c r="C65" s="5" t="s">
        <v>434</v>
      </c>
      <c r="D65" s="5" t="s">
        <v>127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423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128</v>
      </c>
      <c r="C66" s="5" t="s">
        <v>434</v>
      </c>
      <c r="D66" s="5" t="s">
        <v>129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423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120</v>
      </c>
      <c r="C67" s="5" t="s">
        <v>435</v>
      </c>
      <c r="D67" s="5" t="s">
        <v>122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423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120</v>
      </c>
      <c r="C68" s="5" t="s">
        <v>435</v>
      </c>
      <c r="D68" s="5" t="s">
        <v>123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423</v>
      </c>
      <c r="J68" s="5" t="s">
        <v>109</v>
      </c>
      <c r="K68" s="6">
        <f t="shared" si="1"/>
        <v>0</v>
      </c>
    </row>
    <row r="69" spans="1:11" ht="30" customHeight="1">
      <c r="A69" s="4">
        <v>61</v>
      </c>
      <c r="B69" s="5" t="s">
        <v>124</v>
      </c>
      <c r="C69" s="5" t="s">
        <v>435</v>
      </c>
      <c r="D69" s="5" t="s">
        <v>125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423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124</v>
      </c>
      <c r="C70" s="5" t="s">
        <v>435</v>
      </c>
      <c r="D70" s="5" t="s">
        <v>126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423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95</v>
      </c>
      <c r="C71" s="5" t="s">
        <v>435</v>
      </c>
      <c r="D71" s="5" t="s">
        <v>127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423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128</v>
      </c>
      <c r="C72" s="5" t="s">
        <v>435</v>
      </c>
      <c r="D72" s="5" t="s">
        <v>129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423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130</v>
      </c>
      <c r="C73" s="5" t="s">
        <v>435</v>
      </c>
      <c r="D73" s="5" t="s">
        <v>131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423</v>
      </c>
      <c r="J73" s="5" t="s">
        <v>109</v>
      </c>
      <c r="K73" s="6">
        <f t="shared" ref="K73:K95" si="2">IF(AND(E73="yes",F73="yes",H73="covered"),1,IF(H73="partial",0.5,0))</f>
        <v>0</v>
      </c>
    </row>
    <row r="74" spans="1:11" ht="15" customHeight="1">
      <c r="A74" s="4">
        <v>66</v>
      </c>
      <c r="B74" s="5" t="s">
        <v>130</v>
      </c>
      <c r="C74" s="5" t="s">
        <v>435</v>
      </c>
      <c r="D74" s="5" t="s">
        <v>132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423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133</v>
      </c>
      <c r="C75" s="5" t="s">
        <v>435</v>
      </c>
      <c r="D75" s="5" t="s">
        <v>142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423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120</v>
      </c>
      <c r="C76" s="5" t="s">
        <v>73</v>
      </c>
      <c r="D76" s="5" t="s">
        <v>122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423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120</v>
      </c>
      <c r="C77" s="5" t="s">
        <v>73</v>
      </c>
      <c r="D77" s="5" t="s">
        <v>123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423</v>
      </c>
      <c r="J77" s="5" t="s">
        <v>109</v>
      </c>
      <c r="K77" s="6">
        <f t="shared" si="2"/>
        <v>0</v>
      </c>
    </row>
    <row r="78" spans="1:11" ht="30" customHeight="1">
      <c r="A78" s="4">
        <v>70</v>
      </c>
      <c r="B78" s="5" t="s">
        <v>124</v>
      </c>
      <c r="C78" s="5" t="s">
        <v>73</v>
      </c>
      <c r="D78" s="5" t="s">
        <v>125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423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124</v>
      </c>
      <c r="C79" s="5" t="s">
        <v>73</v>
      </c>
      <c r="D79" s="5" t="s">
        <v>126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423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95</v>
      </c>
      <c r="C80" s="5" t="s">
        <v>73</v>
      </c>
      <c r="D80" s="5" t="s">
        <v>127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423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128</v>
      </c>
      <c r="C81" s="5" t="s">
        <v>73</v>
      </c>
      <c r="D81" s="5" t="s">
        <v>129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423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130</v>
      </c>
      <c r="C82" s="5" t="s">
        <v>73</v>
      </c>
      <c r="D82" s="5" t="s">
        <v>131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423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130</v>
      </c>
      <c r="C83" s="5" t="s">
        <v>73</v>
      </c>
      <c r="D83" s="5" t="s">
        <v>132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423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133</v>
      </c>
      <c r="C84" s="5" t="s">
        <v>73</v>
      </c>
      <c r="D84" s="5" t="s">
        <v>436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423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133</v>
      </c>
      <c r="C85" s="5" t="s">
        <v>73</v>
      </c>
      <c r="D85" s="5" t="s">
        <v>142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423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133</v>
      </c>
      <c r="C86" s="5" t="s">
        <v>73</v>
      </c>
      <c r="D86" s="5" t="s">
        <v>437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423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153</v>
      </c>
      <c r="C87" s="5" t="s">
        <v>154</v>
      </c>
      <c r="D87" s="5" t="s">
        <v>438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423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159</v>
      </c>
      <c r="C88" s="5" t="s">
        <v>154</v>
      </c>
      <c r="D88" s="5" t="s">
        <v>439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423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159</v>
      </c>
      <c r="C89" s="5" t="s">
        <v>154</v>
      </c>
      <c r="D89" s="5" t="s">
        <v>440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423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159</v>
      </c>
      <c r="C90" s="5" t="s">
        <v>154</v>
      </c>
      <c r="D90" s="5" t="s">
        <v>162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423</v>
      </c>
      <c r="J90" s="5" t="s">
        <v>109</v>
      </c>
      <c r="K90" s="6">
        <f t="shared" si="2"/>
        <v>0</v>
      </c>
    </row>
    <row r="91" spans="1:11" ht="30" customHeight="1">
      <c r="A91" s="4">
        <v>83</v>
      </c>
      <c r="B91" s="5" t="s">
        <v>130</v>
      </c>
      <c r="C91" s="5" t="s">
        <v>16</v>
      </c>
      <c r="D91" s="5" t="s">
        <v>164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423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130</v>
      </c>
      <c r="C92" s="5" t="s">
        <v>16</v>
      </c>
      <c r="D92" s="5" t="s">
        <v>165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423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130</v>
      </c>
      <c r="C93" s="5" t="s">
        <v>16</v>
      </c>
      <c r="D93" s="5" t="s">
        <v>166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423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130</v>
      </c>
      <c r="C94" s="5" t="s">
        <v>16</v>
      </c>
      <c r="D94" s="5" t="s">
        <v>167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423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130</v>
      </c>
      <c r="C95" s="5" t="s">
        <v>16</v>
      </c>
      <c r="D95" s="5" t="s">
        <v>168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423</v>
      </c>
      <c r="J95" s="5" t="s">
        <v>109</v>
      </c>
      <c r="K95" s="6">
        <f t="shared" si="2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441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28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19">
        <v>1</v>
      </c>
      <c r="B9" s="20" t="s">
        <v>94</v>
      </c>
      <c r="C9" s="20" t="s">
        <v>95</v>
      </c>
      <c r="D9" s="20" t="s">
        <v>96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443</v>
      </c>
      <c r="J9" s="20" t="s">
        <v>444</v>
      </c>
      <c r="K9" s="21">
        <f t="shared" ref="K9:K36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95</v>
      </c>
      <c r="D10" s="20" t="s">
        <v>102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443</v>
      </c>
      <c r="J10" s="20" t="s">
        <v>444</v>
      </c>
      <c r="K10" s="21">
        <f t="shared" si="0"/>
        <v>1</v>
      </c>
    </row>
    <row r="11" spans="1:11" ht="15" customHeight="1">
      <c r="A11" s="19">
        <v>3</v>
      </c>
      <c r="B11" s="20" t="s">
        <v>94</v>
      </c>
      <c r="C11" s="20" t="s">
        <v>17</v>
      </c>
      <c r="D11" s="20" t="s">
        <v>104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445</v>
      </c>
      <c r="J11" s="20" t="s">
        <v>444</v>
      </c>
      <c r="K11" s="21">
        <f t="shared" si="0"/>
        <v>1</v>
      </c>
    </row>
    <row r="12" spans="1:11" ht="15" customHeight="1">
      <c r="A12" s="19">
        <v>4</v>
      </c>
      <c r="B12" s="20" t="s">
        <v>94</v>
      </c>
      <c r="C12" s="20" t="s">
        <v>17</v>
      </c>
      <c r="D12" s="20" t="s">
        <v>110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445</v>
      </c>
      <c r="J12" s="20" t="s">
        <v>444</v>
      </c>
      <c r="K12" s="21">
        <f t="shared" si="0"/>
        <v>1</v>
      </c>
    </row>
    <row r="13" spans="1:11" ht="15" customHeight="1">
      <c r="A13" s="19">
        <v>5</v>
      </c>
      <c r="B13" s="20" t="s">
        <v>94</v>
      </c>
      <c r="C13" s="20" t="s">
        <v>17</v>
      </c>
      <c r="D13" s="20" t="s">
        <v>111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445</v>
      </c>
      <c r="J13" s="20" t="s">
        <v>444</v>
      </c>
      <c r="K13" s="21">
        <f t="shared" si="0"/>
        <v>1</v>
      </c>
    </row>
    <row r="14" spans="1:11" ht="15" customHeight="1">
      <c r="A14" s="19">
        <v>6</v>
      </c>
      <c r="B14" s="20" t="s">
        <v>94</v>
      </c>
      <c r="C14" s="20" t="s">
        <v>17</v>
      </c>
      <c r="D14" s="20" t="s">
        <v>112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445</v>
      </c>
      <c r="J14" s="20" t="s">
        <v>444</v>
      </c>
      <c r="K14" s="21">
        <f t="shared" si="0"/>
        <v>1</v>
      </c>
    </row>
    <row r="15" spans="1:11" ht="30" customHeight="1">
      <c r="A15" s="19">
        <v>7</v>
      </c>
      <c r="B15" s="20" t="s">
        <v>113</v>
      </c>
      <c r="C15" s="20" t="s">
        <v>17</v>
      </c>
      <c r="D15" s="20" t="s">
        <v>446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445</v>
      </c>
      <c r="J15" s="20" t="s">
        <v>444</v>
      </c>
      <c r="K15" s="21">
        <f t="shared" si="0"/>
        <v>1</v>
      </c>
    </row>
    <row r="16" spans="1:11" ht="15" customHeight="1">
      <c r="A16" s="19">
        <v>8</v>
      </c>
      <c r="B16" s="20" t="s">
        <v>113</v>
      </c>
      <c r="C16" s="20" t="s">
        <v>17</v>
      </c>
      <c r="D16" s="20" t="s">
        <v>447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445</v>
      </c>
      <c r="J16" s="20" t="s">
        <v>444</v>
      </c>
      <c r="K16" s="21">
        <f t="shared" si="0"/>
        <v>1</v>
      </c>
    </row>
    <row r="17" spans="1:11" ht="15" customHeight="1">
      <c r="A17" s="19">
        <v>9</v>
      </c>
      <c r="B17" s="20" t="s">
        <v>113</v>
      </c>
      <c r="C17" s="20" t="s">
        <v>17</v>
      </c>
      <c r="D17" s="20" t="s">
        <v>448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445</v>
      </c>
      <c r="J17" s="20" t="s">
        <v>444</v>
      </c>
      <c r="K17" s="21">
        <f t="shared" si="0"/>
        <v>1</v>
      </c>
    </row>
    <row r="18" spans="1:11" ht="15" customHeight="1">
      <c r="A18" s="19">
        <v>10</v>
      </c>
      <c r="B18" s="20" t="s">
        <v>113</v>
      </c>
      <c r="C18" s="20" t="s">
        <v>17</v>
      </c>
      <c r="D18" s="20" t="s">
        <v>449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445</v>
      </c>
      <c r="J18" s="20" t="s">
        <v>444</v>
      </c>
      <c r="K18" s="21">
        <f t="shared" si="0"/>
        <v>1</v>
      </c>
    </row>
    <row r="19" spans="1:11" ht="15" customHeight="1">
      <c r="A19" s="19">
        <v>11</v>
      </c>
      <c r="B19" s="20" t="s">
        <v>120</v>
      </c>
      <c r="C19" s="20" t="s">
        <v>121</v>
      </c>
      <c r="D19" s="20" t="s">
        <v>122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445</v>
      </c>
      <c r="J19" s="20" t="s">
        <v>444</v>
      </c>
      <c r="K19" s="21">
        <f t="shared" si="0"/>
        <v>1</v>
      </c>
    </row>
    <row r="20" spans="1:11" ht="15" customHeight="1">
      <c r="A20" s="19">
        <v>12</v>
      </c>
      <c r="B20" s="20" t="s">
        <v>120</v>
      </c>
      <c r="C20" s="20" t="s">
        <v>121</v>
      </c>
      <c r="D20" s="20" t="s">
        <v>123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445</v>
      </c>
      <c r="J20" s="20" t="s">
        <v>444</v>
      </c>
      <c r="K20" s="21">
        <f t="shared" si="0"/>
        <v>1</v>
      </c>
    </row>
    <row r="21" spans="1:11" ht="30" customHeight="1">
      <c r="A21" s="19">
        <v>13</v>
      </c>
      <c r="B21" s="20" t="s">
        <v>124</v>
      </c>
      <c r="C21" s="20" t="s">
        <v>121</v>
      </c>
      <c r="D21" s="20" t="s">
        <v>125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445</v>
      </c>
      <c r="J21" s="20" t="s">
        <v>444</v>
      </c>
      <c r="K21" s="21">
        <f t="shared" si="0"/>
        <v>1</v>
      </c>
    </row>
    <row r="22" spans="1:11" ht="15" customHeight="1">
      <c r="A22" s="19">
        <v>14</v>
      </c>
      <c r="B22" s="20" t="s">
        <v>124</v>
      </c>
      <c r="C22" s="20" t="s">
        <v>121</v>
      </c>
      <c r="D22" s="20" t="s">
        <v>126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445</v>
      </c>
      <c r="J22" s="20" t="s">
        <v>444</v>
      </c>
      <c r="K22" s="21">
        <f t="shared" si="0"/>
        <v>1</v>
      </c>
    </row>
    <row r="23" spans="1:11" ht="15" customHeight="1">
      <c r="A23" s="19">
        <v>15</v>
      </c>
      <c r="B23" s="20" t="s">
        <v>95</v>
      </c>
      <c r="C23" s="20" t="s">
        <v>121</v>
      </c>
      <c r="D23" s="20" t="s">
        <v>127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445</v>
      </c>
      <c r="J23" s="20" t="s">
        <v>444</v>
      </c>
      <c r="K23" s="21">
        <f t="shared" si="0"/>
        <v>1</v>
      </c>
    </row>
    <row r="24" spans="1:11" ht="15" customHeight="1">
      <c r="A24" s="19">
        <v>16</v>
      </c>
      <c r="B24" s="20" t="s">
        <v>128</v>
      </c>
      <c r="C24" s="20" t="s">
        <v>121</v>
      </c>
      <c r="D24" s="20" t="s">
        <v>129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445</v>
      </c>
      <c r="J24" s="20" t="s">
        <v>444</v>
      </c>
      <c r="K24" s="21">
        <f t="shared" si="0"/>
        <v>1</v>
      </c>
    </row>
    <row r="25" spans="1:11" ht="15" customHeight="1">
      <c r="A25" s="19">
        <v>17</v>
      </c>
      <c r="B25" s="20" t="s">
        <v>130</v>
      </c>
      <c r="C25" s="20" t="s">
        <v>121</v>
      </c>
      <c r="D25" s="20" t="s">
        <v>131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445</v>
      </c>
      <c r="J25" s="20" t="s">
        <v>444</v>
      </c>
      <c r="K25" s="21">
        <f t="shared" si="0"/>
        <v>1</v>
      </c>
    </row>
    <row r="26" spans="1:11" ht="15" customHeight="1">
      <c r="A26" s="19">
        <v>18</v>
      </c>
      <c r="B26" s="20" t="s">
        <v>130</v>
      </c>
      <c r="C26" s="20" t="s">
        <v>121</v>
      </c>
      <c r="D26" s="20" t="s">
        <v>132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445</v>
      </c>
      <c r="J26" s="20" t="s">
        <v>444</v>
      </c>
      <c r="K26" s="21">
        <f t="shared" si="0"/>
        <v>1</v>
      </c>
    </row>
    <row r="27" spans="1:11" ht="15" customHeight="1">
      <c r="A27" s="19">
        <v>19</v>
      </c>
      <c r="B27" s="20" t="s">
        <v>133</v>
      </c>
      <c r="C27" s="20" t="s">
        <v>121</v>
      </c>
      <c r="D27" s="20" t="s">
        <v>450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445</v>
      </c>
      <c r="J27" s="20" t="s">
        <v>444</v>
      </c>
      <c r="K27" s="21">
        <f t="shared" si="0"/>
        <v>1</v>
      </c>
    </row>
    <row r="28" spans="1:11" ht="15" customHeight="1">
      <c r="A28" s="19">
        <v>20</v>
      </c>
      <c r="B28" s="20" t="s">
        <v>133</v>
      </c>
      <c r="C28" s="20" t="s">
        <v>121</v>
      </c>
      <c r="D28" s="20" t="s">
        <v>142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445</v>
      </c>
      <c r="J28" s="20" t="s">
        <v>444</v>
      </c>
      <c r="K28" s="21">
        <f t="shared" si="0"/>
        <v>1</v>
      </c>
    </row>
    <row r="29" spans="1:11" ht="15" customHeight="1">
      <c r="A29" s="19">
        <v>21</v>
      </c>
      <c r="B29" s="20" t="s">
        <v>159</v>
      </c>
      <c r="C29" s="20" t="s">
        <v>154</v>
      </c>
      <c r="D29" s="20" t="s">
        <v>162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445</v>
      </c>
      <c r="J29" s="20" t="s">
        <v>444</v>
      </c>
      <c r="K29" s="21">
        <f t="shared" si="0"/>
        <v>1</v>
      </c>
    </row>
    <row r="30" spans="1:11" ht="30" customHeight="1">
      <c r="A30" s="19">
        <v>22</v>
      </c>
      <c r="B30" s="20" t="s">
        <v>130</v>
      </c>
      <c r="C30" s="20" t="s">
        <v>17</v>
      </c>
      <c r="D30" s="20" t="s">
        <v>164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445</v>
      </c>
      <c r="J30" s="20" t="s">
        <v>444</v>
      </c>
      <c r="K30" s="21">
        <f t="shared" si="0"/>
        <v>1</v>
      </c>
    </row>
    <row r="31" spans="1:11" ht="15" customHeight="1">
      <c r="A31" s="19">
        <v>23</v>
      </c>
      <c r="B31" s="20" t="s">
        <v>130</v>
      </c>
      <c r="C31" s="20" t="s">
        <v>17</v>
      </c>
      <c r="D31" s="20" t="s">
        <v>165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445</v>
      </c>
      <c r="J31" s="20" t="s">
        <v>444</v>
      </c>
      <c r="K31" s="21">
        <f t="shared" si="0"/>
        <v>1</v>
      </c>
    </row>
    <row r="32" spans="1:11" ht="15" customHeight="1">
      <c r="A32" s="19">
        <v>24</v>
      </c>
      <c r="B32" s="20" t="s">
        <v>130</v>
      </c>
      <c r="C32" s="20" t="s">
        <v>17</v>
      </c>
      <c r="D32" s="20" t="s">
        <v>166</v>
      </c>
      <c r="E32" s="19" t="s">
        <v>105</v>
      </c>
      <c r="F32" s="19" t="s">
        <v>105</v>
      </c>
      <c r="G32" s="19" t="s">
        <v>442</v>
      </c>
      <c r="H32" s="19" t="s">
        <v>196</v>
      </c>
      <c r="I32" s="20" t="s">
        <v>445</v>
      </c>
      <c r="J32" s="20" t="s">
        <v>444</v>
      </c>
      <c r="K32" s="21">
        <f t="shared" si="0"/>
        <v>1</v>
      </c>
    </row>
    <row r="33" spans="1:11" ht="15" customHeight="1">
      <c r="A33" s="19">
        <v>25</v>
      </c>
      <c r="B33" s="20" t="s">
        <v>130</v>
      </c>
      <c r="C33" s="20" t="s">
        <v>17</v>
      </c>
      <c r="D33" s="20" t="s">
        <v>167</v>
      </c>
      <c r="E33" s="19" t="s">
        <v>105</v>
      </c>
      <c r="F33" s="19" t="s">
        <v>105</v>
      </c>
      <c r="G33" s="19" t="s">
        <v>442</v>
      </c>
      <c r="H33" s="19" t="s">
        <v>196</v>
      </c>
      <c r="I33" s="20" t="s">
        <v>445</v>
      </c>
      <c r="J33" s="20" t="s">
        <v>444</v>
      </c>
      <c r="K33" s="21">
        <f t="shared" si="0"/>
        <v>1</v>
      </c>
    </row>
    <row r="34" spans="1:11" ht="15" customHeight="1">
      <c r="A34" s="19">
        <v>26</v>
      </c>
      <c r="B34" s="20" t="s">
        <v>130</v>
      </c>
      <c r="C34" s="20" t="s">
        <v>17</v>
      </c>
      <c r="D34" s="20" t="s">
        <v>168</v>
      </c>
      <c r="E34" s="19" t="s">
        <v>105</v>
      </c>
      <c r="F34" s="19" t="s">
        <v>105</v>
      </c>
      <c r="G34" s="19" t="s">
        <v>442</v>
      </c>
      <c r="H34" s="19" t="s">
        <v>196</v>
      </c>
      <c r="I34" s="20" t="s">
        <v>445</v>
      </c>
      <c r="J34" s="20" t="s">
        <v>444</v>
      </c>
      <c r="K34" s="21">
        <f t="shared" si="0"/>
        <v>1</v>
      </c>
    </row>
    <row r="35" spans="1:11" ht="15" customHeight="1">
      <c r="A35" s="19">
        <v>27</v>
      </c>
      <c r="B35" s="20" t="s">
        <v>451</v>
      </c>
      <c r="C35" s="20" t="s">
        <v>17</v>
      </c>
      <c r="D35" s="20" t="s">
        <v>452</v>
      </c>
      <c r="E35" s="19" t="s">
        <v>105</v>
      </c>
      <c r="F35" s="19" t="s">
        <v>105</v>
      </c>
      <c r="G35" s="19" t="s">
        <v>442</v>
      </c>
      <c r="H35" s="19" t="s">
        <v>196</v>
      </c>
      <c r="I35" s="20" t="s">
        <v>445</v>
      </c>
      <c r="J35" s="20" t="s">
        <v>444</v>
      </c>
      <c r="K35" s="21">
        <f t="shared" si="0"/>
        <v>1</v>
      </c>
    </row>
    <row r="36" spans="1:11" ht="15" customHeight="1">
      <c r="A36" s="19">
        <v>28</v>
      </c>
      <c r="B36" s="20" t="s">
        <v>451</v>
      </c>
      <c r="C36" s="20" t="s">
        <v>17</v>
      </c>
      <c r="D36" s="20" t="s">
        <v>453</v>
      </c>
      <c r="E36" s="19" t="s">
        <v>105</v>
      </c>
      <c r="F36" s="19" t="s">
        <v>105</v>
      </c>
      <c r="G36" s="19" t="s">
        <v>442</v>
      </c>
      <c r="H36" s="19" t="s">
        <v>196</v>
      </c>
      <c r="I36" s="20" t="s">
        <v>445</v>
      </c>
      <c r="J36" s="20" t="s">
        <v>444</v>
      </c>
      <c r="K36" s="21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454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IFERROR(SUM(K9:K66)/COUNTA(A9:A66),0)</f>
        <v>1</v>
      </c>
      <c r="C4" s="1" t="s">
        <v>8</v>
      </c>
      <c r="D4" s="2">
        <f>COUNTIF(H9:H66,"covered")</f>
        <v>58</v>
      </c>
      <c r="E4" s="1" t="s">
        <v>9</v>
      </c>
      <c r="F4" s="2">
        <f>COUNTIF(H9:H66,"partial")</f>
        <v>0</v>
      </c>
      <c r="G4" s="1" t="s">
        <v>10</v>
      </c>
      <c r="H4" s="2">
        <f>COUNTIF(H9:H66,"missing")</f>
        <v>0</v>
      </c>
      <c r="I4" s="1" t="s">
        <v>11</v>
      </c>
      <c r="J4" s="2">
        <f>COUNTIF(F9:F66,"no")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7" t="s">
        <v>105</v>
      </c>
      <c r="G9" s="4" t="s">
        <v>442</v>
      </c>
      <c r="H9" s="12" t="s">
        <v>196</v>
      </c>
      <c r="I9" s="5" t="s">
        <v>455</v>
      </c>
      <c r="J9" s="5"/>
      <c r="K9" s="6">
        <f t="shared" ref="K9:K40" si="0">IF(AND(E9="yes",F9="yes",H9="covered"),1,IF(AND(E9="yes",H9="partial"),0.5,0))</f>
        <v>1</v>
      </c>
    </row>
    <row r="10" spans="1:11" ht="30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7" t="s">
        <v>105</v>
      </c>
      <c r="G10" s="4" t="s">
        <v>442</v>
      </c>
      <c r="H10" s="12" t="s">
        <v>196</v>
      </c>
      <c r="I10" s="5" t="s">
        <v>455</v>
      </c>
      <c r="J10" s="5"/>
      <c r="K10" s="6">
        <f t="shared" si="0"/>
        <v>1</v>
      </c>
    </row>
    <row r="11" spans="1:11" ht="45" customHeight="1">
      <c r="A11" s="4">
        <v>3</v>
      </c>
      <c r="B11" s="5" t="s">
        <v>94</v>
      </c>
      <c r="C11" s="5" t="s">
        <v>18</v>
      </c>
      <c r="D11" s="5" t="s">
        <v>104</v>
      </c>
      <c r="E11" s="7" t="s">
        <v>105</v>
      </c>
      <c r="F11" s="7" t="s">
        <v>105</v>
      </c>
      <c r="G11" s="4" t="s">
        <v>442</v>
      </c>
      <c r="H11" s="11" t="s">
        <v>196</v>
      </c>
      <c r="I11" s="5" t="s">
        <v>456</v>
      </c>
      <c r="J11" s="5"/>
      <c r="K11" s="6">
        <f t="shared" si="0"/>
        <v>1</v>
      </c>
    </row>
    <row r="12" spans="1:11" ht="30" customHeight="1">
      <c r="A12" s="4">
        <v>4</v>
      </c>
      <c r="B12" s="5" t="s">
        <v>94</v>
      </c>
      <c r="C12" s="5" t="s">
        <v>18</v>
      </c>
      <c r="D12" s="5" t="s">
        <v>110</v>
      </c>
      <c r="E12" s="7" t="s">
        <v>105</v>
      </c>
      <c r="F12" s="7" t="s">
        <v>105</v>
      </c>
      <c r="G12" s="4" t="s">
        <v>442</v>
      </c>
      <c r="H12" s="11" t="s">
        <v>196</v>
      </c>
      <c r="I12" s="5" t="s">
        <v>457</v>
      </c>
      <c r="J12" s="5"/>
      <c r="K12" s="6">
        <f t="shared" si="0"/>
        <v>1</v>
      </c>
    </row>
    <row r="13" spans="1:11" ht="30" customHeight="1">
      <c r="A13" s="4">
        <v>5</v>
      </c>
      <c r="B13" s="5" t="s">
        <v>94</v>
      </c>
      <c r="C13" s="5" t="s">
        <v>18</v>
      </c>
      <c r="D13" s="5" t="s">
        <v>111</v>
      </c>
      <c r="E13" s="7" t="s">
        <v>105</v>
      </c>
      <c r="F13" s="7" t="s">
        <v>105</v>
      </c>
      <c r="G13" s="4" t="s">
        <v>442</v>
      </c>
      <c r="H13" s="11" t="s">
        <v>196</v>
      </c>
      <c r="I13" s="5" t="s">
        <v>458</v>
      </c>
      <c r="J13" s="5"/>
      <c r="K13" s="6">
        <f t="shared" si="0"/>
        <v>1</v>
      </c>
    </row>
    <row r="14" spans="1:11" ht="30" customHeight="1">
      <c r="A14" s="4">
        <v>6</v>
      </c>
      <c r="B14" s="5" t="s">
        <v>94</v>
      </c>
      <c r="C14" s="5" t="s">
        <v>18</v>
      </c>
      <c r="D14" s="5" t="s">
        <v>112</v>
      </c>
      <c r="E14" s="7" t="s">
        <v>105</v>
      </c>
      <c r="F14" s="7" t="s">
        <v>105</v>
      </c>
      <c r="G14" s="4" t="s">
        <v>442</v>
      </c>
      <c r="H14" s="11" t="s">
        <v>196</v>
      </c>
      <c r="I14" s="5" t="s">
        <v>459</v>
      </c>
      <c r="J14" s="5"/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18</v>
      </c>
      <c r="D15" s="5" t="s">
        <v>460</v>
      </c>
      <c r="E15" s="7" t="s">
        <v>105</v>
      </c>
      <c r="F15" s="7" t="s">
        <v>105</v>
      </c>
      <c r="G15" s="4" t="s">
        <v>442</v>
      </c>
      <c r="H15" s="11" t="s">
        <v>196</v>
      </c>
      <c r="I15" s="5" t="s">
        <v>461</v>
      </c>
      <c r="J15" s="5"/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18</v>
      </c>
      <c r="D16" s="5" t="s">
        <v>462</v>
      </c>
      <c r="E16" s="7" t="s">
        <v>105</v>
      </c>
      <c r="F16" s="7" t="s">
        <v>105</v>
      </c>
      <c r="G16" s="4" t="s">
        <v>442</v>
      </c>
      <c r="H16" s="11" t="s">
        <v>196</v>
      </c>
      <c r="I16" s="5" t="s">
        <v>463</v>
      </c>
      <c r="J16" s="5"/>
      <c r="K16" s="6">
        <f t="shared" si="0"/>
        <v>1</v>
      </c>
    </row>
    <row r="17" spans="1:11" ht="30" customHeight="1">
      <c r="A17" s="4">
        <v>9</v>
      </c>
      <c r="B17" s="5" t="s">
        <v>113</v>
      </c>
      <c r="C17" s="5" t="s">
        <v>18</v>
      </c>
      <c r="D17" s="5" t="s">
        <v>464</v>
      </c>
      <c r="E17" s="7" t="s">
        <v>105</v>
      </c>
      <c r="F17" s="7" t="s">
        <v>105</v>
      </c>
      <c r="G17" s="4" t="s">
        <v>442</v>
      </c>
      <c r="H17" s="11" t="s">
        <v>196</v>
      </c>
      <c r="I17" s="5" t="s">
        <v>465</v>
      </c>
      <c r="J17" s="5"/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18</v>
      </c>
      <c r="D18" s="5" t="s">
        <v>466</v>
      </c>
      <c r="E18" s="7" t="s">
        <v>105</v>
      </c>
      <c r="F18" s="7" t="s">
        <v>105</v>
      </c>
      <c r="G18" s="4" t="s">
        <v>442</v>
      </c>
      <c r="H18" s="11" t="s">
        <v>196</v>
      </c>
      <c r="I18" s="5" t="s">
        <v>467</v>
      </c>
      <c r="J18" s="5"/>
      <c r="K18" s="6">
        <f t="shared" si="0"/>
        <v>1</v>
      </c>
    </row>
    <row r="19" spans="1:11" ht="30" customHeight="1">
      <c r="A19" s="4">
        <v>11</v>
      </c>
      <c r="B19" s="5" t="s">
        <v>113</v>
      </c>
      <c r="C19" s="5" t="s">
        <v>18</v>
      </c>
      <c r="D19" s="5" t="s">
        <v>119</v>
      </c>
      <c r="E19" s="7" t="s">
        <v>105</v>
      </c>
      <c r="F19" s="7" t="s">
        <v>105</v>
      </c>
      <c r="G19" s="4" t="s">
        <v>442</v>
      </c>
      <c r="H19" s="11" t="s">
        <v>196</v>
      </c>
      <c r="I19" s="5" t="s">
        <v>468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7" t="s">
        <v>105</v>
      </c>
      <c r="G20" s="4" t="s">
        <v>442</v>
      </c>
      <c r="H20" s="11" t="s">
        <v>196</v>
      </c>
      <c r="I20" s="5" t="s">
        <v>469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7" t="s">
        <v>105</v>
      </c>
      <c r="G21" s="4" t="s">
        <v>442</v>
      </c>
      <c r="H21" s="11" t="s">
        <v>196</v>
      </c>
      <c r="I21" s="5" t="s">
        <v>470</v>
      </c>
      <c r="J21" s="5"/>
      <c r="K21" s="6">
        <f t="shared" si="0"/>
        <v>1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7" t="s">
        <v>105</v>
      </c>
      <c r="G22" s="4" t="s">
        <v>442</v>
      </c>
      <c r="H22" s="11" t="s">
        <v>196</v>
      </c>
      <c r="I22" s="5" t="s">
        <v>471</v>
      </c>
      <c r="J22" s="5"/>
      <c r="K22" s="6">
        <f t="shared" si="0"/>
        <v>1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7" t="s">
        <v>105</v>
      </c>
      <c r="G23" s="4" t="s">
        <v>442</v>
      </c>
      <c r="H23" s="11" t="s">
        <v>196</v>
      </c>
      <c r="I23" s="5" t="s">
        <v>472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7" t="s">
        <v>105</v>
      </c>
      <c r="G24" s="4" t="s">
        <v>442</v>
      </c>
      <c r="H24" s="11" t="s">
        <v>196</v>
      </c>
      <c r="I24" s="5" t="s">
        <v>473</v>
      </c>
      <c r="J24" s="5"/>
      <c r="K24" s="6">
        <f t="shared" si="0"/>
        <v>1</v>
      </c>
    </row>
    <row r="25" spans="1:11" ht="30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7" t="s">
        <v>105</v>
      </c>
      <c r="G25" s="4" t="s">
        <v>442</v>
      </c>
      <c r="H25" s="11" t="s">
        <v>196</v>
      </c>
      <c r="I25" s="5" t="s">
        <v>474</v>
      </c>
      <c r="J25" s="5"/>
      <c r="K25" s="6">
        <f t="shared" si="0"/>
        <v>1</v>
      </c>
    </row>
    <row r="26" spans="1:11" ht="30" customHeight="1">
      <c r="A26" s="4">
        <v>18</v>
      </c>
      <c r="B26" s="5" t="s">
        <v>130</v>
      </c>
      <c r="C26" s="5" t="s">
        <v>121</v>
      </c>
      <c r="D26" s="5" t="s">
        <v>131</v>
      </c>
      <c r="E26" s="7" t="s">
        <v>105</v>
      </c>
      <c r="F26" s="7" t="s">
        <v>105</v>
      </c>
      <c r="G26" s="4" t="s">
        <v>442</v>
      </c>
      <c r="H26" s="11" t="s">
        <v>196</v>
      </c>
      <c r="I26" s="5" t="s">
        <v>475</v>
      </c>
      <c r="J26" s="5"/>
      <c r="K26" s="6">
        <f t="shared" si="0"/>
        <v>1</v>
      </c>
    </row>
    <row r="27" spans="1:11" ht="30" customHeight="1">
      <c r="A27" s="4">
        <v>19</v>
      </c>
      <c r="B27" s="5" t="s">
        <v>130</v>
      </c>
      <c r="C27" s="5" t="s">
        <v>121</v>
      </c>
      <c r="D27" s="5" t="s">
        <v>132</v>
      </c>
      <c r="E27" s="7" t="s">
        <v>105</v>
      </c>
      <c r="F27" s="7" t="s">
        <v>105</v>
      </c>
      <c r="G27" s="4" t="s">
        <v>442</v>
      </c>
      <c r="H27" s="11" t="s">
        <v>196</v>
      </c>
      <c r="I27" s="5" t="s">
        <v>476</v>
      </c>
      <c r="J27" s="5"/>
      <c r="K27" s="6">
        <f t="shared" si="0"/>
        <v>1</v>
      </c>
    </row>
    <row r="28" spans="1:11" ht="30" customHeight="1">
      <c r="A28" s="4">
        <v>20</v>
      </c>
      <c r="B28" s="5" t="s">
        <v>133</v>
      </c>
      <c r="C28" s="5" t="s">
        <v>121</v>
      </c>
      <c r="D28" s="5" t="s">
        <v>477</v>
      </c>
      <c r="E28" s="7" t="s">
        <v>105</v>
      </c>
      <c r="F28" s="7" t="s">
        <v>105</v>
      </c>
      <c r="G28" s="4" t="s">
        <v>442</v>
      </c>
      <c r="H28" s="11" t="s">
        <v>196</v>
      </c>
      <c r="I28" s="5" t="s">
        <v>478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479</v>
      </c>
      <c r="E29" s="7" t="s">
        <v>105</v>
      </c>
      <c r="F29" s="7" t="s">
        <v>105</v>
      </c>
      <c r="G29" s="4" t="s">
        <v>442</v>
      </c>
      <c r="H29" s="11" t="s">
        <v>196</v>
      </c>
      <c r="I29" s="5" t="s">
        <v>480</v>
      </c>
      <c r="J29" s="5"/>
      <c r="K29" s="6">
        <f t="shared" si="0"/>
        <v>1</v>
      </c>
    </row>
    <row r="30" spans="1:11" ht="30" customHeight="1">
      <c r="A30" s="4">
        <v>22</v>
      </c>
      <c r="B30" s="5" t="s">
        <v>133</v>
      </c>
      <c r="C30" s="5" t="s">
        <v>121</v>
      </c>
      <c r="D30" s="5" t="s">
        <v>142</v>
      </c>
      <c r="E30" s="7" t="s">
        <v>105</v>
      </c>
      <c r="F30" s="7" t="s">
        <v>105</v>
      </c>
      <c r="G30" s="4" t="s">
        <v>442</v>
      </c>
      <c r="H30" s="11" t="s">
        <v>196</v>
      </c>
      <c r="I30" s="5" t="s">
        <v>481</v>
      </c>
      <c r="J30" s="5"/>
      <c r="K30" s="6">
        <f t="shared" si="0"/>
        <v>1</v>
      </c>
    </row>
    <row r="31" spans="1:11" ht="30" customHeight="1">
      <c r="A31" s="4">
        <v>23</v>
      </c>
      <c r="B31" s="5" t="s">
        <v>120</v>
      </c>
      <c r="C31" s="5" t="s">
        <v>482</v>
      </c>
      <c r="D31" s="5" t="s">
        <v>122</v>
      </c>
      <c r="E31" s="7" t="s">
        <v>105</v>
      </c>
      <c r="F31" s="7" t="s">
        <v>105</v>
      </c>
      <c r="G31" s="4" t="s">
        <v>442</v>
      </c>
      <c r="H31" s="11" t="s">
        <v>196</v>
      </c>
      <c r="I31" s="5" t="s">
        <v>483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120</v>
      </c>
      <c r="C32" s="5" t="s">
        <v>482</v>
      </c>
      <c r="D32" s="5" t="s">
        <v>123</v>
      </c>
      <c r="E32" s="7" t="s">
        <v>105</v>
      </c>
      <c r="F32" s="7" t="s">
        <v>105</v>
      </c>
      <c r="G32" s="4" t="s">
        <v>442</v>
      </c>
      <c r="H32" s="11" t="s">
        <v>196</v>
      </c>
      <c r="I32" s="5" t="s">
        <v>484</v>
      </c>
      <c r="J32" s="5"/>
      <c r="K32" s="6">
        <f t="shared" si="0"/>
        <v>1</v>
      </c>
    </row>
    <row r="33" spans="1:11" ht="30" customHeight="1">
      <c r="A33" s="4">
        <v>25</v>
      </c>
      <c r="B33" s="5" t="s">
        <v>124</v>
      </c>
      <c r="C33" s="5" t="s">
        <v>482</v>
      </c>
      <c r="D33" s="5" t="s">
        <v>125</v>
      </c>
      <c r="E33" s="7" t="s">
        <v>105</v>
      </c>
      <c r="F33" s="7" t="s">
        <v>105</v>
      </c>
      <c r="G33" s="4" t="s">
        <v>442</v>
      </c>
      <c r="H33" s="11" t="s">
        <v>196</v>
      </c>
      <c r="I33" s="5" t="s">
        <v>485</v>
      </c>
      <c r="J33" s="5"/>
      <c r="K33" s="6">
        <f t="shared" si="0"/>
        <v>1</v>
      </c>
    </row>
    <row r="34" spans="1:11" ht="15" customHeight="1">
      <c r="A34" s="4">
        <v>26</v>
      </c>
      <c r="B34" s="5" t="s">
        <v>124</v>
      </c>
      <c r="C34" s="5" t="s">
        <v>482</v>
      </c>
      <c r="D34" s="5" t="s">
        <v>126</v>
      </c>
      <c r="E34" s="7" t="s">
        <v>105</v>
      </c>
      <c r="F34" s="7" t="s">
        <v>105</v>
      </c>
      <c r="G34" s="4" t="s">
        <v>442</v>
      </c>
      <c r="H34" s="11" t="s">
        <v>196</v>
      </c>
      <c r="I34" s="5" t="s">
        <v>486</v>
      </c>
      <c r="J34" s="5"/>
      <c r="K34" s="6">
        <f t="shared" si="0"/>
        <v>1</v>
      </c>
    </row>
    <row r="35" spans="1:11" ht="15" customHeight="1">
      <c r="A35" s="4">
        <v>27</v>
      </c>
      <c r="B35" s="5" t="s">
        <v>95</v>
      </c>
      <c r="C35" s="5" t="s">
        <v>482</v>
      </c>
      <c r="D35" s="5" t="s">
        <v>127</v>
      </c>
      <c r="E35" s="7" t="s">
        <v>105</v>
      </c>
      <c r="F35" s="7" t="s">
        <v>105</v>
      </c>
      <c r="G35" s="4" t="s">
        <v>442</v>
      </c>
      <c r="H35" s="11" t="s">
        <v>196</v>
      </c>
      <c r="I35" s="5" t="s">
        <v>487</v>
      </c>
      <c r="J35" s="5"/>
      <c r="K35" s="6">
        <f t="shared" si="0"/>
        <v>1</v>
      </c>
    </row>
    <row r="36" spans="1:11" ht="30" customHeight="1">
      <c r="A36" s="4">
        <v>28</v>
      </c>
      <c r="B36" s="5" t="s">
        <v>128</v>
      </c>
      <c r="C36" s="5" t="s">
        <v>482</v>
      </c>
      <c r="D36" s="5" t="s">
        <v>129</v>
      </c>
      <c r="E36" s="7" t="s">
        <v>105</v>
      </c>
      <c r="F36" s="7" t="s">
        <v>105</v>
      </c>
      <c r="G36" s="4" t="s">
        <v>442</v>
      </c>
      <c r="H36" s="11" t="s">
        <v>196</v>
      </c>
      <c r="I36" s="5" t="s">
        <v>488</v>
      </c>
      <c r="J36" s="5"/>
      <c r="K36" s="6">
        <f t="shared" si="0"/>
        <v>1</v>
      </c>
    </row>
    <row r="37" spans="1:11" ht="30" customHeight="1">
      <c r="A37" s="4">
        <v>29</v>
      </c>
      <c r="B37" s="5" t="s">
        <v>130</v>
      </c>
      <c r="C37" s="5" t="s">
        <v>482</v>
      </c>
      <c r="D37" s="5" t="s">
        <v>131</v>
      </c>
      <c r="E37" s="7" t="s">
        <v>105</v>
      </c>
      <c r="F37" s="7" t="s">
        <v>105</v>
      </c>
      <c r="G37" s="4" t="s">
        <v>442</v>
      </c>
      <c r="H37" s="11" t="s">
        <v>196</v>
      </c>
      <c r="I37" s="5" t="s">
        <v>489</v>
      </c>
      <c r="J37" s="5"/>
      <c r="K37" s="6">
        <f t="shared" si="0"/>
        <v>1</v>
      </c>
    </row>
    <row r="38" spans="1:11" ht="30" customHeight="1">
      <c r="A38" s="4">
        <v>30</v>
      </c>
      <c r="B38" s="5" t="s">
        <v>130</v>
      </c>
      <c r="C38" s="5" t="s">
        <v>482</v>
      </c>
      <c r="D38" s="5" t="s">
        <v>132</v>
      </c>
      <c r="E38" s="7" t="s">
        <v>105</v>
      </c>
      <c r="F38" s="7" t="s">
        <v>105</v>
      </c>
      <c r="G38" s="4" t="s">
        <v>442</v>
      </c>
      <c r="H38" s="11" t="s">
        <v>196</v>
      </c>
      <c r="I38" s="5" t="s">
        <v>490</v>
      </c>
      <c r="J38" s="5"/>
      <c r="K38" s="6">
        <f t="shared" si="0"/>
        <v>1</v>
      </c>
    </row>
    <row r="39" spans="1:11" ht="30" customHeight="1">
      <c r="A39" s="4">
        <v>31</v>
      </c>
      <c r="B39" s="5" t="s">
        <v>133</v>
      </c>
      <c r="C39" s="5" t="s">
        <v>482</v>
      </c>
      <c r="D39" s="5" t="s">
        <v>142</v>
      </c>
      <c r="E39" s="7" t="s">
        <v>105</v>
      </c>
      <c r="F39" s="7" t="s">
        <v>105</v>
      </c>
      <c r="G39" s="4" t="s">
        <v>442</v>
      </c>
      <c r="H39" s="11" t="s">
        <v>196</v>
      </c>
      <c r="I39" s="5" t="s">
        <v>491</v>
      </c>
      <c r="J39" s="5"/>
      <c r="K39" s="6">
        <f t="shared" si="0"/>
        <v>1</v>
      </c>
    </row>
    <row r="40" spans="1:11" ht="30" customHeight="1">
      <c r="A40" s="4">
        <v>32</v>
      </c>
      <c r="B40" s="5" t="s">
        <v>120</v>
      </c>
      <c r="C40" s="5" t="s">
        <v>492</v>
      </c>
      <c r="D40" s="5" t="s">
        <v>122</v>
      </c>
      <c r="E40" s="7" t="s">
        <v>105</v>
      </c>
      <c r="F40" s="7" t="s">
        <v>105</v>
      </c>
      <c r="G40" s="4" t="s">
        <v>442</v>
      </c>
      <c r="H40" s="11" t="s">
        <v>196</v>
      </c>
      <c r="I40" s="5" t="s">
        <v>493</v>
      </c>
      <c r="J40" s="5"/>
      <c r="K40" s="6">
        <f t="shared" si="0"/>
        <v>1</v>
      </c>
    </row>
    <row r="41" spans="1:11" ht="30" customHeight="1">
      <c r="A41" s="4">
        <v>33</v>
      </c>
      <c r="B41" s="5" t="s">
        <v>120</v>
      </c>
      <c r="C41" s="5" t="s">
        <v>492</v>
      </c>
      <c r="D41" s="5" t="s">
        <v>123</v>
      </c>
      <c r="E41" s="7" t="s">
        <v>105</v>
      </c>
      <c r="F41" s="7" t="s">
        <v>105</v>
      </c>
      <c r="G41" s="4" t="s">
        <v>442</v>
      </c>
      <c r="H41" s="11" t="s">
        <v>196</v>
      </c>
      <c r="I41" s="5" t="s">
        <v>494</v>
      </c>
      <c r="J41" s="5"/>
      <c r="K41" s="6">
        <f t="shared" ref="K41:K66" si="1">IF(AND(E41="yes",F41="yes",H41="covered"),1,IF(AND(E41="yes",H41="partial"),0.5,0))</f>
        <v>1</v>
      </c>
    </row>
    <row r="42" spans="1:11" ht="30" customHeight="1">
      <c r="A42" s="4">
        <v>34</v>
      </c>
      <c r="B42" s="5" t="s">
        <v>124</v>
      </c>
      <c r="C42" s="5" t="s">
        <v>492</v>
      </c>
      <c r="D42" s="5" t="s">
        <v>125</v>
      </c>
      <c r="E42" s="7" t="s">
        <v>105</v>
      </c>
      <c r="F42" s="7" t="s">
        <v>105</v>
      </c>
      <c r="G42" s="4" t="s">
        <v>442</v>
      </c>
      <c r="H42" s="11" t="s">
        <v>196</v>
      </c>
      <c r="I42" s="5" t="s">
        <v>495</v>
      </c>
      <c r="J42" s="5"/>
      <c r="K42" s="6">
        <f t="shared" si="1"/>
        <v>1</v>
      </c>
    </row>
    <row r="43" spans="1:11" ht="15" customHeight="1">
      <c r="A43" s="4">
        <v>35</v>
      </c>
      <c r="B43" s="5" t="s">
        <v>124</v>
      </c>
      <c r="C43" s="5" t="s">
        <v>492</v>
      </c>
      <c r="D43" s="5" t="s">
        <v>126</v>
      </c>
      <c r="E43" s="7" t="s">
        <v>105</v>
      </c>
      <c r="F43" s="7" t="s">
        <v>105</v>
      </c>
      <c r="G43" s="4" t="s">
        <v>442</v>
      </c>
      <c r="H43" s="11" t="s">
        <v>196</v>
      </c>
      <c r="I43" s="5" t="s">
        <v>496</v>
      </c>
      <c r="J43" s="5"/>
      <c r="K43" s="6">
        <f t="shared" si="1"/>
        <v>1</v>
      </c>
    </row>
    <row r="44" spans="1:11" ht="15" customHeight="1">
      <c r="A44" s="4">
        <v>36</v>
      </c>
      <c r="B44" s="5" t="s">
        <v>95</v>
      </c>
      <c r="C44" s="5" t="s">
        <v>492</v>
      </c>
      <c r="D44" s="5" t="s">
        <v>127</v>
      </c>
      <c r="E44" s="7" t="s">
        <v>105</v>
      </c>
      <c r="F44" s="7" t="s">
        <v>105</v>
      </c>
      <c r="G44" s="4" t="s">
        <v>442</v>
      </c>
      <c r="H44" s="11" t="s">
        <v>196</v>
      </c>
      <c r="I44" s="5" t="s">
        <v>497</v>
      </c>
      <c r="J44" s="5"/>
      <c r="K44" s="6">
        <f t="shared" si="1"/>
        <v>1</v>
      </c>
    </row>
    <row r="45" spans="1:11" ht="15" customHeight="1">
      <c r="A45" s="4">
        <v>37</v>
      </c>
      <c r="B45" s="5" t="s">
        <v>128</v>
      </c>
      <c r="C45" s="5" t="s">
        <v>492</v>
      </c>
      <c r="D45" s="5" t="s">
        <v>129</v>
      </c>
      <c r="E45" s="7" t="s">
        <v>105</v>
      </c>
      <c r="F45" s="7" t="s">
        <v>105</v>
      </c>
      <c r="G45" s="4" t="s">
        <v>442</v>
      </c>
      <c r="H45" s="11" t="s">
        <v>196</v>
      </c>
      <c r="I45" s="5" t="s">
        <v>498</v>
      </c>
      <c r="J45" s="5"/>
      <c r="K45" s="6">
        <f t="shared" si="1"/>
        <v>1</v>
      </c>
    </row>
    <row r="46" spans="1:11" ht="30" customHeight="1">
      <c r="A46" s="4">
        <v>38</v>
      </c>
      <c r="B46" s="5" t="s">
        <v>130</v>
      </c>
      <c r="C46" s="5" t="s">
        <v>492</v>
      </c>
      <c r="D46" s="5" t="s">
        <v>131</v>
      </c>
      <c r="E46" s="7" t="s">
        <v>105</v>
      </c>
      <c r="F46" s="7" t="s">
        <v>105</v>
      </c>
      <c r="G46" s="4" t="s">
        <v>442</v>
      </c>
      <c r="H46" s="11" t="s">
        <v>196</v>
      </c>
      <c r="I46" s="5" t="s">
        <v>499</v>
      </c>
      <c r="J46" s="5"/>
      <c r="K46" s="6">
        <f t="shared" si="1"/>
        <v>1</v>
      </c>
    </row>
    <row r="47" spans="1:11" ht="30" customHeight="1">
      <c r="A47" s="4">
        <v>39</v>
      </c>
      <c r="B47" s="5" t="s">
        <v>130</v>
      </c>
      <c r="C47" s="5" t="s">
        <v>492</v>
      </c>
      <c r="D47" s="5" t="s">
        <v>132</v>
      </c>
      <c r="E47" s="7" t="s">
        <v>105</v>
      </c>
      <c r="F47" s="7" t="s">
        <v>105</v>
      </c>
      <c r="G47" s="4" t="s">
        <v>442</v>
      </c>
      <c r="H47" s="11" t="s">
        <v>196</v>
      </c>
      <c r="I47" s="5" t="s">
        <v>500</v>
      </c>
      <c r="J47" s="5"/>
      <c r="K47" s="6">
        <f t="shared" si="1"/>
        <v>1</v>
      </c>
    </row>
    <row r="48" spans="1:11" ht="30" customHeight="1">
      <c r="A48" s="4">
        <v>40</v>
      </c>
      <c r="B48" s="5" t="s">
        <v>133</v>
      </c>
      <c r="C48" s="5" t="s">
        <v>492</v>
      </c>
      <c r="D48" s="5" t="s">
        <v>501</v>
      </c>
      <c r="E48" s="7" t="s">
        <v>105</v>
      </c>
      <c r="F48" s="7" t="s">
        <v>105</v>
      </c>
      <c r="G48" s="4" t="s">
        <v>442</v>
      </c>
      <c r="H48" s="11" t="s">
        <v>196</v>
      </c>
      <c r="I48" s="5" t="s">
        <v>502</v>
      </c>
      <c r="J48" s="5"/>
      <c r="K48" s="6">
        <f t="shared" si="1"/>
        <v>1</v>
      </c>
    </row>
    <row r="49" spans="1:11" ht="30" customHeight="1">
      <c r="A49" s="4">
        <v>41</v>
      </c>
      <c r="B49" s="5" t="s">
        <v>133</v>
      </c>
      <c r="C49" s="5" t="s">
        <v>492</v>
      </c>
      <c r="D49" s="5" t="s">
        <v>142</v>
      </c>
      <c r="E49" s="7" t="s">
        <v>105</v>
      </c>
      <c r="F49" s="7" t="s">
        <v>105</v>
      </c>
      <c r="G49" s="4" t="s">
        <v>442</v>
      </c>
      <c r="H49" s="11" t="s">
        <v>196</v>
      </c>
      <c r="I49" s="5" t="s">
        <v>503</v>
      </c>
      <c r="J49" s="5"/>
      <c r="K49" s="6">
        <f t="shared" si="1"/>
        <v>1</v>
      </c>
    </row>
    <row r="50" spans="1:11" ht="15" customHeight="1">
      <c r="A50" s="4">
        <v>42</v>
      </c>
      <c r="B50" s="5" t="s">
        <v>120</v>
      </c>
      <c r="C50" s="5" t="s">
        <v>504</v>
      </c>
      <c r="D50" s="5" t="s">
        <v>122</v>
      </c>
      <c r="E50" s="7" t="s">
        <v>105</v>
      </c>
      <c r="F50" s="7" t="s">
        <v>105</v>
      </c>
      <c r="G50" s="4" t="s">
        <v>442</v>
      </c>
      <c r="H50" s="11" t="s">
        <v>196</v>
      </c>
      <c r="I50" s="5" t="s">
        <v>505</v>
      </c>
      <c r="J50" s="5"/>
      <c r="K50" s="6">
        <f t="shared" si="1"/>
        <v>1</v>
      </c>
    </row>
    <row r="51" spans="1:11" ht="30" customHeight="1">
      <c r="A51" s="4">
        <v>43</v>
      </c>
      <c r="B51" s="5" t="s">
        <v>120</v>
      </c>
      <c r="C51" s="5" t="s">
        <v>504</v>
      </c>
      <c r="D51" s="5" t="s">
        <v>123</v>
      </c>
      <c r="E51" s="7" t="s">
        <v>105</v>
      </c>
      <c r="F51" s="7" t="s">
        <v>105</v>
      </c>
      <c r="G51" s="4" t="s">
        <v>442</v>
      </c>
      <c r="H51" s="11" t="s">
        <v>196</v>
      </c>
      <c r="I51" s="5" t="s">
        <v>506</v>
      </c>
      <c r="J51" s="5"/>
      <c r="K51" s="6">
        <f t="shared" si="1"/>
        <v>1</v>
      </c>
    </row>
    <row r="52" spans="1:11" ht="30" customHeight="1">
      <c r="A52" s="4">
        <v>44</v>
      </c>
      <c r="B52" s="5" t="s">
        <v>124</v>
      </c>
      <c r="C52" s="5" t="s">
        <v>504</v>
      </c>
      <c r="D52" s="5" t="s">
        <v>125</v>
      </c>
      <c r="E52" s="7" t="s">
        <v>105</v>
      </c>
      <c r="F52" s="7" t="s">
        <v>105</v>
      </c>
      <c r="G52" s="4" t="s">
        <v>442</v>
      </c>
      <c r="H52" s="11" t="s">
        <v>196</v>
      </c>
      <c r="I52" s="5" t="s">
        <v>507</v>
      </c>
      <c r="J52" s="5"/>
      <c r="K52" s="6">
        <f t="shared" si="1"/>
        <v>1</v>
      </c>
    </row>
    <row r="53" spans="1:11" ht="15" customHeight="1">
      <c r="A53" s="4">
        <v>45</v>
      </c>
      <c r="B53" s="5" t="s">
        <v>124</v>
      </c>
      <c r="C53" s="5" t="s">
        <v>504</v>
      </c>
      <c r="D53" s="5" t="s">
        <v>126</v>
      </c>
      <c r="E53" s="7" t="s">
        <v>105</v>
      </c>
      <c r="F53" s="7" t="s">
        <v>105</v>
      </c>
      <c r="G53" s="4" t="s">
        <v>442</v>
      </c>
      <c r="H53" s="11" t="s">
        <v>196</v>
      </c>
      <c r="I53" s="5" t="s">
        <v>508</v>
      </c>
      <c r="J53" s="5"/>
      <c r="K53" s="6">
        <f t="shared" si="1"/>
        <v>1</v>
      </c>
    </row>
    <row r="54" spans="1:11" ht="30" customHeight="1">
      <c r="A54" s="4">
        <v>46</v>
      </c>
      <c r="B54" s="5" t="s">
        <v>95</v>
      </c>
      <c r="C54" s="5" t="s">
        <v>504</v>
      </c>
      <c r="D54" s="5" t="s">
        <v>127</v>
      </c>
      <c r="E54" s="7" t="s">
        <v>105</v>
      </c>
      <c r="F54" s="7" t="s">
        <v>105</v>
      </c>
      <c r="G54" s="4" t="s">
        <v>442</v>
      </c>
      <c r="H54" s="11" t="s">
        <v>196</v>
      </c>
      <c r="I54" s="5" t="s">
        <v>509</v>
      </c>
      <c r="J54" s="5"/>
      <c r="K54" s="6">
        <f t="shared" si="1"/>
        <v>1</v>
      </c>
    </row>
    <row r="55" spans="1:11" ht="30" customHeight="1">
      <c r="A55" s="4">
        <v>47</v>
      </c>
      <c r="B55" s="5" t="s">
        <v>128</v>
      </c>
      <c r="C55" s="5" t="s">
        <v>504</v>
      </c>
      <c r="D55" s="5" t="s">
        <v>129</v>
      </c>
      <c r="E55" s="7" t="s">
        <v>105</v>
      </c>
      <c r="F55" s="7" t="s">
        <v>105</v>
      </c>
      <c r="G55" s="4" t="s">
        <v>442</v>
      </c>
      <c r="H55" s="11" t="s">
        <v>196</v>
      </c>
      <c r="I55" s="5" t="s">
        <v>510</v>
      </c>
      <c r="J55" s="5"/>
      <c r="K55" s="6">
        <f t="shared" si="1"/>
        <v>1</v>
      </c>
    </row>
    <row r="56" spans="1:11" ht="30" customHeight="1">
      <c r="A56" s="4">
        <v>48</v>
      </c>
      <c r="B56" s="5" t="s">
        <v>130</v>
      </c>
      <c r="C56" s="5" t="s">
        <v>504</v>
      </c>
      <c r="D56" s="5" t="s">
        <v>131</v>
      </c>
      <c r="E56" s="7" t="s">
        <v>105</v>
      </c>
      <c r="F56" s="7" t="s">
        <v>105</v>
      </c>
      <c r="G56" s="4" t="s">
        <v>442</v>
      </c>
      <c r="H56" s="11" t="s">
        <v>196</v>
      </c>
      <c r="I56" s="5" t="s">
        <v>511</v>
      </c>
      <c r="J56" s="5"/>
      <c r="K56" s="6">
        <f t="shared" si="1"/>
        <v>1</v>
      </c>
    </row>
    <row r="57" spans="1:11" ht="30" customHeight="1">
      <c r="A57" s="4">
        <v>49</v>
      </c>
      <c r="B57" s="5" t="s">
        <v>130</v>
      </c>
      <c r="C57" s="5" t="s">
        <v>504</v>
      </c>
      <c r="D57" s="5" t="s">
        <v>132</v>
      </c>
      <c r="E57" s="7" t="s">
        <v>105</v>
      </c>
      <c r="F57" s="7" t="s">
        <v>105</v>
      </c>
      <c r="G57" s="4" t="s">
        <v>442</v>
      </c>
      <c r="H57" s="11" t="s">
        <v>196</v>
      </c>
      <c r="I57" s="5" t="s">
        <v>512</v>
      </c>
      <c r="J57" s="5"/>
      <c r="K57" s="6">
        <f t="shared" si="1"/>
        <v>1</v>
      </c>
    </row>
    <row r="58" spans="1:11" ht="30" customHeight="1">
      <c r="A58" s="4">
        <v>50</v>
      </c>
      <c r="B58" s="5" t="s">
        <v>133</v>
      </c>
      <c r="C58" s="5" t="s">
        <v>504</v>
      </c>
      <c r="D58" s="5" t="s">
        <v>477</v>
      </c>
      <c r="E58" s="7" t="s">
        <v>105</v>
      </c>
      <c r="F58" s="7" t="s">
        <v>105</v>
      </c>
      <c r="G58" s="4" t="s">
        <v>442</v>
      </c>
      <c r="H58" s="11" t="s">
        <v>196</v>
      </c>
      <c r="I58" s="5" t="s">
        <v>513</v>
      </c>
      <c r="J58" s="5"/>
      <c r="K58" s="6">
        <f t="shared" si="1"/>
        <v>1</v>
      </c>
    </row>
    <row r="59" spans="1:11" ht="30" customHeight="1">
      <c r="A59" s="4">
        <v>51</v>
      </c>
      <c r="B59" s="5" t="s">
        <v>133</v>
      </c>
      <c r="C59" s="5" t="s">
        <v>504</v>
      </c>
      <c r="D59" s="5" t="s">
        <v>514</v>
      </c>
      <c r="E59" s="7" t="s">
        <v>105</v>
      </c>
      <c r="F59" s="7" t="s">
        <v>105</v>
      </c>
      <c r="G59" s="4" t="s">
        <v>442</v>
      </c>
      <c r="H59" s="11" t="s">
        <v>196</v>
      </c>
      <c r="I59" s="5" t="s">
        <v>515</v>
      </c>
      <c r="J59" s="5"/>
      <c r="K59" s="6">
        <f t="shared" si="1"/>
        <v>1</v>
      </c>
    </row>
    <row r="60" spans="1:11" ht="30" customHeight="1">
      <c r="A60" s="4">
        <v>52</v>
      </c>
      <c r="B60" s="5" t="s">
        <v>133</v>
      </c>
      <c r="C60" s="5" t="s">
        <v>504</v>
      </c>
      <c r="D60" s="5" t="s">
        <v>142</v>
      </c>
      <c r="E60" s="7" t="s">
        <v>105</v>
      </c>
      <c r="F60" s="7" t="s">
        <v>105</v>
      </c>
      <c r="G60" s="4" t="s">
        <v>442</v>
      </c>
      <c r="H60" s="11" t="s">
        <v>196</v>
      </c>
      <c r="I60" s="5" t="s">
        <v>516</v>
      </c>
      <c r="J60" s="5"/>
      <c r="K60" s="6">
        <f t="shared" si="1"/>
        <v>1</v>
      </c>
    </row>
    <row r="61" spans="1:11" ht="30" customHeight="1">
      <c r="A61" s="4">
        <v>53</v>
      </c>
      <c r="B61" s="5" t="s">
        <v>159</v>
      </c>
      <c r="C61" s="5" t="s">
        <v>154</v>
      </c>
      <c r="D61" s="5" t="s">
        <v>162</v>
      </c>
      <c r="E61" s="7" t="s">
        <v>105</v>
      </c>
      <c r="F61" s="7" t="s">
        <v>105</v>
      </c>
      <c r="G61" s="4" t="s">
        <v>442</v>
      </c>
      <c r="H61" s="11" t="s">
        <v>196</v>
      </c>
      <c r="I61" s="5" t="s">
        <v>517</v>
      </c>
      <c r="J61" s="5"/>
      <c r="K61" s="6">
        <f t="shared" si="1"/>
        <v>1</v>
      </c>
    </row>
    <row r="62" spans="1:11" ht="30" customHeight="1">
      <c r="A62" s="4">
        <v>54</v>
      </c>
      <c r="B62" s="5" t="s">
        <v>130</v>
      </c>
      <c r="C62" s="5" t="s">
        <v>18</v>
      </c>
      <c r="D62" s="5" t="s">
        <v>164</v>
      </c>
      <c r="E62" s="7" t="s">
        <v>105</v>
      </c>
      <c r="F62" s="7" t="s">
        <v>105</v>
      </c>
      <c r="G62" s="4" t="s">
        <v>442</v>
      </c>
      <c r="H62" s="11" t="s">
        <v>196</v>
      </c>
      <c r="I62" s="5" t="s">
        <v>518</v>
      </c>
      <c r="J62" s="5"/>
      <c r="K62" s="6">
        <f t="shared" si="1"/>
        <v>1</v>
      </c>
    </row>
    <row r="63" spans="1:11" ht="30" customHeight="1">
      <c r="A63" s="4">
        <v>55</v>
      </c>
      <c r="B63" s="5" t="s">
        <v>130</v>
      </c>
      <c r="C63" s="5" t="s">
        <v>18</v>
      </c>
      <c r="D63" s="5" t="s">
        <v>165</v>
      </c>
      <c r="E63" s="7" t="s">
        <v>105</v>
      </c>
      <c r="F63" s="7" t="s">
        <v>105</v>
      </c>
      <c r="G63" s="4" t="s">
        <v>442</v>
      </c>
      <c r="H63" s="11" t="s">
        <v>196</v>
      </c>
      <c r="I63" s="5" t="s">
        <v>519</v>
      </c>
      <c r="J63" s="5"/>
      <c r="K63" s="6">
        <f t="shared" si="1"/>
        <v>1</v>
      </c>
    </row>
    <row r="64" spans="1:11" ht="30" customHeight="1">
      <c r="A64" s="4">
        <v>56</v>
      </c>
      <c r="B64" s="5" t="s">
        <v>130</v>
      </c>
      <c r="C64" s="5" t="s">
        <v>18</v>
      </c>
      <c r="D64" s="5" t="s">
        <v>167</v>
      </c>
      <c r="E64" s="7" t="s">
        <v>105</v>
      </c>
      <c r="F64" s="7" t="s">
        <v>105</v>
      </c>
      <c r="G64" s="4" t="s">
        <v>442</v>
      </c>
      <c r="H64" s="11" t="s">
        <v>196</v>
      </c>
      <c r="I64" s="5" t="s">
        <v>520</v>
      </c>
      <c r="J64" s="5"/>
      <c r="K64" s="6">
        <f t="shared" si="1"/>
        <v>1</v>
      </c>
    </row>
    <row r="65" spans="1:11" ht="30" customHeight="1">
      <c r="A65" s="4">
        <v>57</v>
      </c>
      <c r="B65" s="5" t="s">
        <v>130</v>
      </c>
      <c r="C65" s="5" t="s">
        <v>18</v>
      </c>
      <c r="D65" s="5" t="s">
        <v>168</v>
      </c>
      <c r="E65" s="7" t="s">
        <v>105</v>
      </c>
      <c r="F65" s="7" t="s">
        <v>105</v>
      </c>
      <c r="G65" s="4" t="s">
        <v>442</v>
      </c>
      <c r="H65" s="11" t="s">
        <v>196</v>
      </c>
      <c r="I65" s="5" t="s">
        <v>521</v>
      </c>
      <c r="J65" s="5"/>
      <c r="K65" s="6">
        <f t="shared" si="1"/>
        <v>1</v>
      </c>
    </row>
    <row r="66" spans="1:11" ht="30" customHeight="1">
      <c r="A66" s="4">
        <v>58</v>
      </c>
      <c r="B66" s="5" t="s">
        <v>135</v>
      </c>
      <c r="C66" s="5" t="s">
        <v>121</v>
      </c>
      <c r="D66" s="5" t="s">
        <v>171</v>
      </c>
      <c r="E66" s="7" t="s">
        <v>105</v>
      </c>
      <c r="F66" s="7" t="s">
        <v>105</v>
      </c>
      <c r="G66" s="4" t="s">
        <v>442</v>
      </c>
      <c r="H66" s="11" t="s">
        <v>196</v>
      </c>
      <c r="I66" s="5" t="s">
        <v>522</v>
      </c>
      <c r="J66" s="5"/>
      <c r="K66" s="6">
        <f t="shared" si="1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523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IFERROR(SUM(K9:K33)/COUNTA(A9:A33),0)</f>
        <v>1</v>
      </c>
      <c r="C4" s="1" t="s">
        <v>8</v>
      </c>
      <c r="D4" s="2">
        <f>COUNTIF(H9:H33,"covered")</f>
        <v>25</v>
      </c>
      <c r="E4" s="1" t="s">
        <v>9</v>
      </c>
      <c r="F4" s="2">
        <f>COUNTIF(H9:H33,"partial")</f>
        <v>0</v>
      </c>
      <c r="G4" s="1" t="s">
        <v>10</v>
      </c>
      <c r="H4" s="2">
        <f>COUNTIF(H9:H33,"missing")</f>
        <v>0</v>
      </c>
      <c r="I4" s="1" t="s">
        <v>11</v>
      </c>
      <c r="J4" s="2">
        <f>COUNTIF(F9:F33,"no")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7" t="s">
        <v>105</v>
      </c>
      <c r="G9" s="4" t="s">
        <v>442</v>
      </c>
      <c r="H9" s="12" t="s">
        <v>196</v>
      </c>
      <c r="I9" s="5" t="s">
        <v>524</v>
      </c>
      <c r="J9" s="5"/>
      <c r="K9" s="6">
        <f t="shared" ref="K9:K33" si="0">IF(AND(E9="yes",F9="yes",H9="covered"),1,IF(AND(E9="yes",H9="partial"),0.5,0))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7" t="s">
        <v>105</v>
      </c>
      <c r="G10" s="4" t="s">
        <v>442</v>
      </c>
      <c r="H10" s="12" t="s">
        <v>196</v>
      </c>
      <c r="I10" s="5" t="s">
        <v>524</v>
      </c>
      <c r="J10" s="5"/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19</v>
      </c>
      <c r="D11" s="5" t="s">
        <v>104</v>
      </c>
      <c r="E11" s="7" t="s">
        <v>105</v>
      </c>
      <c r="F11" s="7" t="s">
        <v>105</v>
      </c>
      <c r="G11" s="4" t="s">
        <v>442</v>
      </c>
      <c r="H11" s="11" t="s">
        <v>196</v>
      </c>
      <c r="I11" s="5" t="s">
        <v>525</v>
      </c>
      <c r="J11" s="5"/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19</v>
      </c>
      <c r="D12" s="5" t="s">
        <v>110</v>
      </c>
      <c r="E12" s="7" t="s">
        <v>105</v>
      </c>
      <c r="F12" s="7" t="s">
        <v>105</v>
      </c>
      <c r="G12" s="4" t="s">
        <v>442</v>
      </c>
      <c r="H12" s="11" t="s">
        <v>196</v>
      </c>
      <c r="I12" s="5" t="s">
        <v>525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19</v>
      </c>
      <c r="D13" s="5" t="s">
        <v>111</v>
      </c>
      <c r="E13" s="7" t="s">
        <v>105</v>
      </c>
      <c r="F13" s="7" t="s">
        <v>105</v>
      </c>
      <c r="G13" s="4" t="s">
        <v>442</v>
      </c>
      <c r="H13" s="11" t="s">
        <v>196</v>
      </c>
      <c r="I13" s="5" t="s">
        <v>525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19</v>
      </c>
      <c r="D14" s="5" t="s">
        <v>112</v>
      </c>
      <c r="E14" s="7" t="s">
        <v>105</v>
      </c>
      <c r="F14" s="7" t="s">
        <v>105</v>
      </c>
      <c r="G14" s="4" t="s">
        <v>442</v>
      </c>
      <c r="H14" s="11" t="s">
        <v>196</v>
      </c>
      <c r="I14" s="5" t="s">
        <v>525</v>
      </c>
      <c r="J14" s="5"/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19</v>
      </c>
      <c r="D15" s="5" t="s">
        <v>526</v>
      </c>
      <c r="E15" s="7" t="s">
        <v>105</v>
      </c>
      <c r="F15" s="7" t="s">
        <v>105</v>
      </c>
      <c r="G15" s="4" t="s">
        <v>442</v>
      </c>
      <c r="H15" s="11" t="s">
        <v>196</v>
      </c>
      <c r="I15" s="5" t="s">
        <v>525</v>
      </c>
      <c r="J15" s="5"/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19</v>
      </c>
      <c r="D16" s="5" t="s">
        <v>527</v>
      </c>
      <c r="E16" s="7" t="s">
        <v>105</v>
      </c>
      <c r="F16" s="7" t="s">
        <v>105</v>
      </c>
      <c r="G16" s="4" t="s">
        <v>442</v>
      </c>
      <c r="H16" s="11" t="s">
        <v>196</v>
      </c>
      <c r="I16" s="5" t="s">
        <v>525</v>
      </c>
      <c r="J16" s="5"/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19</v>
      </c>
      <c r="D17" s="5" t="s">
        <v>528</v>
      </c>
      <c r="E17" s="7" t="s">
        <v>105</v>
      </c>
      <c r="F17" s="7" t="s">
        <v>105</v>
      </c>
      <c r="G17" s="4" t="s">
        <v>442</v>
      </c>
      <c r="H17" s="11" t="s">
        <v>196</v>
      </c>
      <c r="I17" s="5" t="s">
        <v>525</v>
      </c>
      <c r="J17" s="5"/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19</v>
      </c>
      <c r="D18" s="5" t="s">
        <v>449</v>
      </c>
      <c r="E18" s="7" t="s">
        <v>105</v>
      </c>
      <c r="F18" s="7" t="s">
        <v>105</v>
      </c>
      <c r="G18" s="4" t="s">
        <v>442</v>
      </c>
      <c r="H18" s="11" t="s">
        <v>196</v>
      </c>
      <c r="I18" s="5" t="s">
        <v>525</v>
      </c>
      <c r="J18" s="5"/>
      <c r="K18" s="6">
        <f t="shared" si="0"/>
        <v>1</v>
      </c>
    </row>
    <row r="19" spans="1:11" ht="15" customHeight="1">
      <c r="A19" s="4">
        <v>11</v>
      </c>
      <c r="B19" s="5" t="s">
        <v>120</v>
      </c>
      <c r="C19" s="5" t="s">
        <v>121</v>
      </c>
      <c r="D19" s="5" t="s">
        <v>122</v>
      </c>
      <c r="E19" s="7" t="s">
        <v>105</v>
      </c>
      <c r="F19" s="7" t="s">
        <v>105</v>
      </c>
      <c r="G19" s="4" t="s">
        <v>442</v>
      </c>
      <c r="H19" s="11" t="s">
        <v>196</v>
      </c>
      <c r="I19" s="5" t="s">
        <v>525</v>
      </c>
      <c r="J19" s="5"/>
      <c r="K19" s="6">
        <f t="shared" si="0"/>
        <v>1</v>
      </c>
    </row>
    <row r="20" spans="1:11" ht="30" customHeight="1">
      <c r="A20" s="4">
        <v>12</v>
      </c>
      <c r="B20" s="5" t="s">
        <v>120</v>
      </c>
      <c r="C20" s="5" t="s">
        <v>121</v>
      </c>
      <c r="D20" s="5" t="s">
        <v>123</v>
      </c>
      <c r="E20" s="7" t="s">
        <v>105</v>
      </c>
      <c r="F20" s="7" t="s">
        <v>105</v>
      </c>
      <c r="G20" s="4" t="s">
        <v>442</v>
      </c>
      <c r="H20" s="11" t="s">
        <v>196</v>
      </c>
      <c r="I20" s="5" t="s">
        <v>525</v>
      </c>
      <c r="J20" s="5"/>
      <c r="K20" s="6">
        <f t="shared" si="0"/>
        <v>1</v>
      </c>
    </row>
    <row r="21" spans="1:11" ht="30" customHeight="1">
      <c r="A21" s="4">
        <v>13</v>
      </c>
      <c r="B21" s="5" t="s">
        <v>124</v>
      </c>
      <c r="C21" s="5" t="s">
        <v>121</v>
      </c>
      <c r="D21" s="5" t="s">
        <v>125</v>
      </c>
      <c r="E21" s="7" t="s">
        <v>105</v>
      </c>
      <c r="F21" s="7" t="s">
        <v>105</v>
      </c>
      <c r="G21" s="4" t="s">
        <v>442</v>
      </c>
      <c r="H21" s="11" t="s">
        <v>196</v>
      </c>
      <c r="I21" s="5" t="s">
        <v>525</v>
      </c>
      <c r="J21" s="5"/>
      <c r="K21" s="6">
        <f t="shared" si="0"/>
        <v>1</v>
      </c>
    </row>
    <row r="22" spans="1:11" ht="15" customHeight="1">
      <c r="A22" s="4">
        <v>14</v>
      </c>
      <c r="B22" s="5" t="s">
        <v>124</v>
      </c>
      <c r="C22" s="5" t="s">
        <v>121</v>
      </c>
      <c r="D22" s="5" t="s">
        <v>126</v>
      </c>
      <c r="E22" s="7" t="s">
        <v>105</v>
      </c>
      <c r="F22" s="7" t="s">
        <v>105</v>
      </c>
      <c r="G22" s="4" t="s">
        <v>442</v>
      </c>
      <c r="H22" s="11" t="s">
        <v>196</v>
      </c>
      <c r="I22" s="5" t="s">
        <v>529</v>
      </c>
      <c r="J22" s="5"/>
      <c r="K22" s="6">
        <f t="shared" si="0"/>
        <v>1</v>
      </c>
    </row>
    <row r="23" spans="1:11" ht="30" customHeight="1">
      <c r="A23" s="4">
        <v>15</v>
      </c>
      <c r="B23" s="5" t="s">
        <v>95</v>
      </c>
      <c r="C23" s="5" t="s">
        <v>121</v>
      </c>
      <c r="D23" s="5" t="s">
        <v>127</v>
      </c>
      <c r="E23" s="7" t="s">
        <v>105</v>
      </c>
      <c r="F23" s="7" t="s">
        <v>105</v>
      </c>
      <c r="G23" s="4" t="s">
        <v>442</v>
      </c>
      <c r="H23" s="11" t="s">
        <v>196</v>
      </c>
      <c r="I23" s="5" t="s">
        <v>525</v>
      </c>
      <c r="J23" s="5"/>
      <c r="K23" s="6">
        <f t="shared" si="0"/>
        <v>1</v>
      </c>
    </row>
    <row r="24" spans="1:11" ht="30" customHeight="1">
      <c r="A24" s="4">
        <v>16</v>
      </c>
      <c r="B24" s="5" t="s">
        <v>128</v>
      </c>
      <c r="C24" s="5" t="s">
        <v>121</v>
      </c>
      <c r="D24" s="5" t="s">
        <v>129</v>
      </c>
      <c r="E24" s="7" t="s">
        <v>105</v>
      </c>
      <c r="F24" s="7" t="s">
        <v>105</v>
      </c>
      <c r="G24" s="4" t="s">
        <v>442</v>
      </c>
      <c r="H24" s="11" t="s">
        <v>196</v>
      </c>
      <c r="I24" s="5" t="s">
        <v>525</v>
      </c>
      <c r="J24" s="5"/>
      <c r="K24" s="6">
        <f t="shared" si="0"/>
        <v>1</v>
      </c>
    </row>
    <row r="25" spans="1:11" ht="30" customHeight="1">
      <c r="A25" s="4">
        <v>17</v>
      </c>
      <c r="B25" s="5" t="s">
        <v>130</v>
      </c>
      <c r="C25" s="5" t="s">
        <v>121</v>
      </c>
      <c r="D25" s="5" t="s">
        <v>131</v>
      </c>
      <c r="E25" s="7" t="s">
        <v>105</v>
      </c>
      <c r="F25" s="7" t="s">
        <v>105</v>
      </c>
      <c r="G25" s="4" t="s">
        <v>442</v>
      </c>
      <c r="H25" s="11" t="s">
        <v>196</v>
      </c>
      <c r="I25" s="5" t="s">
        <v>530</v>
      </c>
      <c r="J25" s="5"/>
      <c r="K25" s="6">
        <f t="shared" si="0"/>
        <v>1</v>
      </c>
    </row>
    <row r="26" spans="1:11" ht="30" customHeight="1">
      <c r="A26" s="4">
        <v>18</v>
      </c>
      <c r="B26" s="5" t="s">
        <v>130</v>
      </c>
      <c r="C26" s="5" t="s">
        <v>121</v>
      </c>
      <c r="D26" s="5" t="s">
        <v>132</v>
      </c>
      <c r="E26" s="7" t="s">
        <v>105</v>
      </c>
      <c r="F26" s="7" t="s">
        <v>105</v>
      </c>
      <c r="G26" s="4" t="s">
        <v>442</v>
      </c>
      <c r="H26" s="11" t="s">
        <v>196</v>
      </c>
      <c r="I26" s="5" t="s">
        <v>530</v>
      </c>
      <c r="J26" s="5"/>
      <c r="K26" s="6">
        <f t="shared" si="0"/>
        <v>1</v>
      </c>
    </row>
    <row r="27" spans="1:11" ht="30" customHeight="1">
      <c r="A27" s="4">
        <v>19</v>
      </c>
      <c r="B27" s="5" t="s">
        <v>133</v>
      </c>
      <c r="C27" s="5" t="s">
        <v>121</v>
      </c>
      <c r="D27" s="5" t="s">
        <v>142</v>
      </c>
      <c r="E27" s="7" t="s">
        <v>105</v>
      </c>
      <c r="F27" s="7" t="s">
        <v>105</v>
      </c>
      <c r="G27" s="4" t="s">
        <v>442</v>
      </c>
      <c r="H27" s="11" t="s">
        <v>196</v>
      </c>
      <c r="I27" s="5" t="s">
        <v>529</v>
      </c>
      <c r="J27" s="5"/>
      <c r="K27" s="6">
        <f t="shared" si="0"/>
        <v>1</v>
      </c>
    </row>
    <row r="28" spans="1:11" ht="30" customHeight="1">
      <c r="A28" s="4">
        <v>20</v>
      </c>
      <c r="B28" s="5" t="s">
        <v>159</v>
      </c>
      <c r="C28" s="5" t="s">
        <v>154</v>
      </c>
      <c r="D28" s="5" t="s">
        <v>162</v>
      </c>
      <c r="E28" s="7" t="s">
        <v>105</v>
      </c>
      <c r="F28" s="7" t="s">
        <v>105</v>
      </c>
      <c r="G28" s="4" t="s">
        <v>442</v>
      </c>
      <c r="H28" s="11" t="s">
        <v>196</v>
      </c>
      <c r="I28" s="5" t="s">
        <v>529</v>
      </c>
      <c r="J28" s="5"/>
      <c r="K28" s="6">
        <f t="shared" si="0"/>
        <v>1</v>
      </c>
    </row>
    <row r="29" spans="1:11" ht="30" customHeight="1">
      <c r="A29" s="4">
        <v>21</v>
      </c>
      <c r="B29" s="5" t="s">
        <v>130</v>
      </c>
      <c r="C29" s="5" t="s">
        <v>19</v>
      </c>
      <c r="D29" s="5" t="s">
        <v>164</v>
      </c>
      <c r="E29" s="7" t="s">
        <v>105</v>
      </c>
      <c r="F29" s="7" t="s">
        <v>105</v>
      </c>
      <c r="G29" s="4" t="s">
        <v>442</v>
      </c>
      <c r="H29" s="11" t="s">
        <v>196</v>
      </c>
      <c r="I29" s="5" t="s">
        <v>530</v>
      </c>
      <c r="J29" s="5"/>
      <c r="K29" s="6">
        <f t="shared" si="0"/>
        <v>1</v>
      </c>
    </row>
    <row r="30" spans="1:11" ht="30" customHeight="1">
      <c r="A30" s="4">
        <v>22</v>
      </c>
      <c r="B30" s="5" t="s">
        <v>130</v>
      </c>
      <c r="C30" s="5" t="s">
        <v>19</v>
      </c>
      <c r="D30" s="5" t="s">
        <v>165</v>
      </c>
      <c r="E30" s="7" t="s">
        <v>105</v>
      </c>
      <c r="F30" s="7" t="s">
        <v>105</v>
      </c>
      <c r="G30" s="4" t="s">
        <v>442</v>
      </c>
      <c r="H30" s="11" t="s">
        <v>196</v>
      </c>
      <c r="I30" s="5" t="s">
        <v>530</v>
      </c>
      <c r="J30" s="5"/>
      <c r="K30" s="6">
        <f t="shared" si="0"/>
        <v>1</v>
      </c>
    </row>
    <row r="31" spans="1:11" ht="30" customHeight="1">
      <c r="A31" s="4">
        <v>23</v>
      </c>
      <c r="B31" s="5" t="s">
        <v>130</v>
      </c>
      <c r="C31" s="5" t="s">
        <v>19</v>
      </c>
      <c r="D31" s="5" t="s">
        <v>166</v>
      </c>
      <c r="E31" s="7" t="s">
        <v>105</v>
      </c>
      <c r="F31" s="7" t="s">
        <v>105</v>
      </c>
      <c r="G31" s="4" t="s">
        <v>442</v>
      </c>
      <c r="H31" s="11" t="s">
        <v>196</v>
      </c>
      <c r="I31" s="5" t="s">
        <v>525</v>
      </c>
      <c r="J31" s="5"/>
      <c r="K31" s="6">
        <f t="shared" si="0"/>
        <v>1</v>
      </c>
    </row>
    <row r="32" spans="1:11" ht="30" customHeight="1">
      <c r="A32" s="4">
        <v>24</v>
      </c>
      <c r="B32" s="5" t="s">
        <v>130</v>
      </c>
      <c r="C32" s="5" t="s">
        <v>19</v>
      </c>
      <c r="D32" s="5" t="s">
        <v>167</v>
      </c>
      <c r="E32" s="7" t="s">
        <v>105</v>
      </c>
      <c r="F32" s="7" t="s">
        <v>105</v>
      </c>
      <c r="G32" s="4" t="s">
        <v>442</v>
      </c>
      <c r="H32" s="11" t="s">
        <v>196</v>
      </c>
      <c r="I32" s="5" t="s">
        <v>530</v>
      </c>
      <c r="J32" s="5"/>
      <c r="K32" s="6">
        <f t="shared" si="0"/>
        <v>1</v>
      </c>
    </row>
    <row r="33" spans="1:11" ht="30" customHeight="1">
      <c r="A33" s="4">
        <v>25</v>
      </c>
      <c r="B33" s="5" t="s">
        <v>130</v>
      </c>
      <c r="C33" s="5" t="s">
        <v>19</v>
      </c>
      <c r="D33" s="5" t="s">
        <v>168</v>
      </c>
      <c r="E33" s="7" t="s">
        <v>105</v>
      </c>
      <c r="F33" s="7" t="s">
        <v>105</v>
      </c>
      <c r="G33" s="4" t="s">
        <v>442</v>
      </c>
      <c r="H33" s="11" t="s">
        <v>196</v>
      </c>
      <c r="I33" s="5" t="s">
        <v>530</v>
      </c>
      <c r="J33" s="5"/>
      <c r="K33" s="6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0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531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70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20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532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20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532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20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532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20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532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20</v>
      </c>
      <c r="D15" s="5" t="s">
        <v>533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532</v>
      </c>
      <c r="J15" s="5" t="s">
        <v>109</v>
      </c>
      <c r="K15" s="6">
        <f t="shared" si="0"/>
        <v>0</v>
      </c>
    </row>
    <row r="16" spans="1:11" ht="30" customHeight="1">
      <c r="A16" s="4">
        <v>8</v>
      </c>
      <c r="B16" s="5" t="s">
        <v>113</v>
      </c>
      <c r="C16" s="5" t="s">
        <v>20</v>
      </c>
      <c r="D16" s="5" t="s">
        <v>534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532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20</v>
      </c>
      <c r="D17" s="5" t="s">
        <v>535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532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20</v>
      </c>
      <c r="D18" s="5" t="s">
        <v>536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532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20</v>
      </c>
      <c r="D19" s="5" t="s">
        <v>119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532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532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532</v>
      </c>
      <c r="J21" s="5" t="s">
        <v>109</v>
      </c>
      <c r="K21" s="6">
        <f t="shared" si="0"/>
        <v>0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532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532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532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532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130</v>
      </c>
      <c r="C26" s="5" t="s">
        <v>121</v>
      </c>
      <c r="D26" s="5" t="s">
        <v>131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532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130</v>
      </c>
      <c r="C27" s="5" t="s">
        <v>121</v>
      </c>
      <c r="D27" s="5" t="s">
        <v>132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532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136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532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137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532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537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532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538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532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539</v>
      </c>
      <c r="C32" s="5" t="s">
        <v>121</v>
      </c>
      <c r="D32" s="5" t="s">
        <v>540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532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142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532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120</v>
      </c>
      <c r="C34" s="5" t="s">
        <v>150</v>
      </c>
      <c r="D34" s="5" t="s">
        <v>122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532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120</v>
      </c>
      <c r="C35" s="5" t="s">
        <v>150</v>
      </c>
      <c r="D35" s="5" t="s">
        <v>123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532</v>
      </c>
      <c r="J35" s="5" t="s">
        <v>109</v>
      </c>
      <c r="K35" s="6">
        <f t="shared" si="0"/>
        <v>0</v>
      </c>
    </row>
    <row r="36" spans="1:11" ht="30" customHeight="1">
      <c r="A36" s="4">
        <v>28</v>
      </c>
      <c r="B36" s="5" t="s">
        <v>124</v>
      </c>
      <c r="C36" s="5" t="s">
        <v>150</v>
      </c>
      <c r="D36" s="5" t="s">
        <v>125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532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124</v>
      </c>
      <c r="C37" s="5" t="s">
        <v>150</v>
      </c>
      <c r="D37" s="5" t="s">
        <v>126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532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95</v>
      </c>
      <c r="C38" s="5" t="s">
        <v>150</v>
      </c>
      <c r="D38" s="5" t="s">
        <v>127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532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128</v>
      </c>
      <c r="C39" s="5" t="s">
        <v>150</v>
      </c>
      <c r="D39" s="5" t="s">
        <v>129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532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130</v>
      </c>
      <c r="C40" s="5" t="s">
        <v>150</v>
      </c>
      <c r="D40" s="5" t="s">
        <v>131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532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130</v>
      </c>
      <c r="C41" s="5" t="s">
        <v>150</v>
      </c>
      <c r="D41" s="5" t="s">
        <v>132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532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135</v>
      </c>
      <c r="C42" s="5" t="s">
        <v>150</v>
      </c>
      <c r="D42" s="5" t="s">
        <v>136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532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133</v>
      </c>
      <c r="C43" s="5" t="s">
        <v>150</v>
      </c>
      <c r="D43" s="5" t="s">
        <v>541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532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133</v>
      </c>
      <c r="C44" s="5" t="s">
        <v>150</v>
      </c>
      <c r="D44" s="5" t="s">
        <v>542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532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133</v>
      </c>
      <c r="C45" s="5" t="s">
        <v>150</v>
      </c>
      <c r="D45" s="5" t="s">
        <v>543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532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135</v>
      </c>
      <c r="C46" s="5" t="s">
        <v>150</v>
      </c>
      <c r="D46" s="5" t="s">
        <v>140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532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133</v>
      </c>
      <c r="C47" s="5" t="s">
        <v>150</v>
      </c>
      <c r="D47" s="5" t="s">
        <v>142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532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133</v>
      </c>
      <c r="C48" s="5" t="s">
        <v>150</v>
      </c>
      <c r="D48" s="5" t="s">
        <v>146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532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135</v>
      </c>
      <c r="C49" s="5" t="s">
        <v>150</v>
      </c>
      <c r="D49" s="5" t="s">
        <v>544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532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133</v>
      </c>
      <c r="C50" s="5" t="s">
        <v>150</v>
      </c>
      <c r="D50" s="5" t="s">
        <v>545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532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135</v>
      </c>
      <c r="C51" s="5" t="s">
        <v>150</v>
      </c>
      <c r="D51" s="5" t="s">
        <v>144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532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133</v>
      </c>
      <c r="C52" s="5" t="s">
        <v>150</v>
      </c>
      <c r="D52" s="5" t="s">
        <v>546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532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120</v>
      </c>
      <c r="C53" s="5" t="s">
        <v>547</v>
      </c>
      <c r="D53" s="5" t="s">
        <v>122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532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120</v>
      </c>
      <c r="C54" s="5" t="s">
        <v>547</v>
      </c>
      <c r="D54" s="5" t="s">
        <v>123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532</v>
      </c>
      <c r="J54" s="5" t="s">
        <v>109</v>
      </c>
      <c r="K54" s="6">
        <f t="shared" si="1"/>
        <v>0</v>
      </c>
    </row>
    <row r="55" spans="1:11" ht="30" customHeight="1">
      <c r="A55" s="4">
        <v>47</v>
      </c>
      <c r="B55" s="5" t="s">
        <v>124</v>
      </c>
      <c r="C55" s="5" t="s">
        <v>547</v>
      </c>
      <c r="D55" s="5" t="s">
        <v>125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532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124</v>
      </c>
      <c r="C56" s="5" t="s">
        <v>547</v>
      </c>
      <c r="D56" s="5" t="s">
        <v>126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532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95</v>
      </c>
      <c r="C57" s="5" t="s">
        <v>547</v>
      </c>
      <c r="D57" s="5" t="s">
        <v>127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532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128</v>
      </c>
      <c r="C58" s="5" t="s">
        <v>547</v>
      </c>
      <c r="D58" s="5" t="s">
        <v>129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532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153</v>
      </c>
      <c r="C59" s="5" t="s">
        <v>154</v>
      </c>
      <c r="D59" s="5" t="s">
        <v>548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532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153</v>
      </c>
      <c r="C60" s="5" t="s">
        <v>154</v>
      </c>
      <c r="D60" s="5" t="s">
        <v>156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532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153</v>
      </c>
      <c r="C61" s="5" t="s">
        <v>154</v>
      </c>
      <c r="D61" s="5" t="s">
        <v>438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532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159</v>
      </c>
      <c r="C62" s="5" t="s">
        <v>154</v>
      </c>
      <c r="D62" s="5" t="s">
        <v>549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532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159</v>
      </c>
      <c r="C63" s="5" t="s">
        <v>154</v>
      </c>
      <c r="D63" s="5" t="s">
        <v>160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532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159</v>
      </c>
      <c r="C64" s="5" t="s">
        <v>154</v>
      </c>
      <c r="D64" s="5" t="s">
        <v>550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532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159</v>
      </c>
      <c r="C65" s="5" t="s">
        <v>154</v>
      </c>
      <c r="D65" s="5" t="s">
        <v>162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532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159</v>
      </c>
      <c r="C66" s="5" t="s">
        <v>154</v>
      </c>
      <c r="D66" s="5" t="s">
        <v>163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532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159</v>
      </c>
      <c r="C67" s="5" t="s">
        <v>154</v>
      </c>
      <c r="D67" s="5" t="s">
        <v>551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532</v>
      </c>
      <c r="J67" s="5" t="s">
        <v>109</v>
      </c>
      <c r="K67" s="6">
        <f t="shared" si="1"/>
        <v>0</v>
      </c>
    </row>
    <row r="68" spans="1:11" ht="30" customHeight="1">
      <c r="A68" s="4">
        <v>60</v>
      </c>
      <c r="B68" s="5" t="s">
        <v>130</v>
      </c>
      <c r="C68" s="5" t="s">
        <v>20</v>
      </c>
      <c r="D68" s="5" t="s">
        <v>164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532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130</v>
      </c>
      <c r="C69" s="5" t="s">
        <v>20</v>
      </c>
      <c r="D69" s="5" t="s">
        <v>165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532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130</v>
      </c>
      <c r="C70" s="5" t="s">
        <v>20</v>
      </c>
      <c r="D70" s="5" t="s">
        <v>166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532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130</v>
      </c>
      <c r="C71" s="5" t="s">
        <v>20</v>
      </c>
      <c r="D71" s="5" t="s">
        <v>167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532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130</v>
      </c>
      <c r="C72" s="5" t="s">
        <v>20</v>
      </c>
      <c r="D72" s="5" t="s">
        <v>168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532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135</v>
      </c>
      <c r="C73" s="5" t="s">
        <v>121</v>
      </c>
      <c r="D73" s="5" t="s">
        <v>169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532</v>
      </c>
      <c r="J73" s="5" t="s">
        <v>109</v>
      </c>
      <c r="K73" s="6">
        <f t="shared" ref="K73:K80" si="2">IF(AND(E73="yes",F73="yes",H73="covered"),1,IF(H73="partial",0.5,0))</f>
        <v>0</v>
      </c>
    </row>
    <row r="74" spans="1:11" ht="15" customHeight="1">
      <c r="A74" s="4">
        <v>66</v>
      </c>
      <c r="B74" s="5" t="s">
        <v>135</v>
      </c>
      <c r="C74" s="5" t="s">
        <v>121</v>
      </c>
      <c r="D74" s="5" t="s">
        <v>170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532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135</v>
      </c>
      <c r="C75" s="5" t="s">
        <v>121</v>
      </c>
      <c r="D75" s="5" t="s">
        <v>171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532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179</v>
      </c>
      <c r="C76" s="5" t="s">
        <v>20</v>
      </c>
      <c r="D76" s="5" t="s">
        <v>182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532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179</v>
      </c>
      <c r="C77" s="5" t="s">
        <v>20</v>
      </c>
      <c r="D77" s="5" t="s">
        <v>183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532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179</v>
      </c>
      <c r="C78" s="5" t="s">
        <v>20</v>
      </c>
      <c r="D78" s="5" t="s">
        <v>184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532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179</v>
      </c>
      <c r="C79" s="5" t="s">
        <v>20</v>
      </c>
      <c r="D79" s="5" t="s">
        <v>185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532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177</v>
      </c>
      <c r="C80" s="5" t="s">
        <v>20</v>
      </c>
      <c r="D80" s="5" t="s">
        <v>186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532</v>
      </c>
      <c r="J80" s="5" t="s">
        <v>109</v>
      </c>
      <c r="K80" s="6">
        <f t="shared" si="2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97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552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87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21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553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21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553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21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553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21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553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21</v>
      </c>
      <c r="D15" s="5" t="s">
        <v>554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553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21</v>
      </c>
      <c r="D16" s="5" t="s">
        <v>555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553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21</v>
      </c>
      <c r="D17" s="5" t="s">
        <v>556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553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21</v>
      </c>
      <c r="D18" s="5" t="s">
        <v>557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553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21</v>
      </c>
      <c r="D19" s="5" t="s">
        <v>119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553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553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553</v>
      </c>
      <c r="J21" s="5" t="s">
        <v>109</v>
      </c>
      <c r="K21" s="6">
        <f t="shared" si="0"/>
        <v>0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553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553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553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553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130</v>
      </c>
      <c r="C26" s="5" t="s">
        <v>121</v>
      </c>
      <c r="D26" s="5" t="s">
        <v>131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553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130</v>
      </c>
      <c r="C27" s="5" t="s">
        <v>121</v>
      </c>
      <c r="D27" s="5" t="s">
        <v>132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553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539</v>
      </c>
      <c r="C28" s="5" t="s">
        <v>121</v>
      </c>
      <c r="D28" s="5" t="s">
        <v>540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553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142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553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120</v>
      </c>
      <c r="C30" s="5" t="s">
        <v>43</v>
      </c>
      <c r="D30" s="5" t="s">
        <v>122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553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120</v>
      </c>
      <c r="C31" s="5" t="s">
        <v>43</v>
      </c>
      <c r="D31" s="5" t="s">
        <v>123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553</v>
      </c>
      <c r="J31" s="5" t="s">
        <v>109</v>
      </c>
      <c r="K31" s="6">
        <f t="shared" si="0"/>
        <v>0</v>
      </c>
    </row>
    <row r="32" spans="1:11" ht="30" customHeight="1">
      <c r="A32" s="4">
        <v>24</v>
      </c>
      <c r="B32" s="5" t="s">
        <v>124</v>
      </c>
      <c r="C32" s="5" t="s">
        <v>43</v>
      </c>
      <c r="D32" s="5" t="s">
        <v>125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553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124</v>
      </c>
      <c r="C33" s="5" t="s">
        <v>43</v>
      </c>
      <c r="D33" s="5" t="s">
        <v>126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553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95</v>
      </c>
      <c r="C34" s="5" t="s">
        <v>43</v>
      </c>
      <c r="D34" s="5" t="s">
        <v>127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553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128</v>
      </c>
      <c r="C35" s="5" t="s">
        <v>43</v>
      </c>
      <c r="D35" s="5" t="s">
        <v>129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553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130</v>
      </c>
      <c r="C36" s="5" t="s">
        <v>43</v>
      </c>
      <c r="D36" s="5" t="s">
        <v>131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553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130</v>
      </c>
      <c r="C37" s="5" t="s">
        <v>43</v>
      </c>
      <c r="D37" s="5" t="s">
        <v>132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553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133</v>
      </c>
      <c r="C38" s="5" t="s">
        <v>43</v>
      </c>
      <c r="D38" s="5" t="s">
        <v>142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553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120</v>
      </c>
      <c r="C39" s="5" t="s">
        <v>150</v>
      </c>
      <c r="D39" s="5" t="s">
        <v>122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553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120</v>
      </c>
      <c r="C40" s="5" t="s">
        <v>150</v>
      </c>
      <c r="D40" s="5" t="s">
        <v>123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553</v>
      </c>
      <c r="J40" s="5" t="s">
        <v>109</v>
      </c>
      <c r="K40" s="6">
        <f t="shared" si="0"/>
        <v>0</v>
      </c>
    </row>
    <row r="41" spans="1:11" ht="30" customHeight="1">
      <c r="A41" s="4">
        <v>33</v>
      </c>
      <c r="B41" s="5" t="s">
        <v>124</v>
      </c>
      <c r="C41" s="5" t="s">
        <v>150</v>
      </c>
      <c r="D41" s="5" t="s">
        <v>125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553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124</v>
      </c>
      <c r="C42" s="5" t="s">
        <v>150</v>
      </c>
      <c r="D42" s="5" t="s">
        <v>126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553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95</v>
      </c>
      <c r="C43" s="5" t="s">
        <v>150</v>
      </c>
      <c r="D43" s="5" t="s">
        <v>127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553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128</v>
      </c>
      <c r="C44" s="5" t="s">
        <v>150</v>
      </c>
      <c r="D44" s="5" t="s">
        <v>129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553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130</v>
      </c>
      <c r="C45" s="5" t="s">
        <v>150</v>
      </c>
      <c r="D45" s="5" t="s">
        <v>131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553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130</v>
      </c>
      <c r="C46" s="5" t="s">
        <v>150</v>
      </c>
      <c r="D46" s="5" t="s">
        <v>132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553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133</v>
      </c>
      <c r="C47" s="5" t="s">
        <v>150</v>
      </c>
      <c r="D47" s="5" t="s">
        <v>142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553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558</v>
      </c>
      <c r="D48" s="5" t="s">
        <v>122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553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120</v>
      </c>
      <c r="C49" s="5" t="s">
        <v>558</v>
      </c>
      <c r="D49" s="5" t="s">
        <v>123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553</v>
      </c>
      <c r="J49" s="5" t="s">
        <v>109</v>
      </c>
      <c r="K49" s="6">
        <f t="shared" si="1"/>
        <v>0</v>
      </c>
    </row>
    <row r="50" spans="1:11" ht="30" customHeight="1">
      <c r="A50" s="4">
        <v>42</v>
      </c>
      <c r="B50" s="5" t="s">
        <v>124</v>
      </c>
      <c r="C50" s="5" t="s">
        <v>558</v>
      </c>
      <c r="D50" s="5" t="s">
        <v>125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553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124</v>
      </c>
      <c r="C51" s="5" t="s">
        <v>558</v>
      </c>
      <c r="D51" s="5" t="s">
        <v>126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553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95</v>
      </c>
      <c r="C52" s="5" t="s">
        <v>558</v>
      </c>
      <c r="D52" s="5" t="s">
        <v>127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553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128</v>
      </c>
      <c r="C53" s="5" t="s">
        <v>558</v>
      </c>
      <c r="D53" s="5" t="s">
        <v>129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553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130</v>
      </c>
      <c r="C54" s="5" t="s">
        <v>558</v>
      </c>
      <c r="D54" s="5" t="s">
        <v>131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553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130</v>
      </c>
      <c r="C55" s="5" t="s">
        <v>558</v>
      </c>
      <c r="D55" s="5" t="s">
        <v>132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553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133</v>
      </c>
      <c r="C56" s="5" t="s">
        <v>558</v>
      </c>
      <c r="D56" s="5" t="s">
        <v>142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553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120</v>
      </c>
      <c r="C57" s="5" t="s">
        <v>559</v>
      </c>
      <c r="D57" s="5" t="s">
        <v>122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553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120</v>
      </c>
      <c r="C58" s="5" t="s">
        <v>559</v>
      </c>
      <c r="D58" s="5" t="s">
        <v>123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553</v>
      </c>
      <c r="J58" s="5" t="s">
        <v>109</v>
      </c>
      <c r="K58" s="6">
        <f t="shared" si="1"/>
        <v>0</v>
      </c>
    </row>
    <row r="59" spans="1:11" ht="30" customHeight="1">
      <c r="A59" s="4">
        <v>51</v>
      </c>
      <c r="B59" s="5" t="s">
        <v>124</v>
      </c>
      <c r="C59" s="5" t="s">
        <v>559</v>
      </c>
      <c r="D59" s="5" t="s">
        <v>125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553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124</v>
      </c>
      <c r="C60" s="5" t="s">
        <v>559</v>
      </c>
      <c r="D60" s="5" t="s">
        <v>126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553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95</v>
      </c>
      <c r="C61" s="5" t="s">
        <v>559</v>
      </c>
      <c r="D61" s="5" t="s">
        <v>127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553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128</v>
      </c>
      <c r="C62" s="5" t="s">
        <v>559</v>
      </c>
      <c r="D62" s="5" t="s">
        <v>129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553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130</v>
      </c>
      <c r="C63" s="5" t="s">
        <v>559</v>
      </c>
      <c r="D63" s="5" t="s">
        <v>131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553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130</v>
      </c>
      <c r="C64" s="5" t="s">
        <v>559</v>
      </c>
      <c r="D64" s="5" t="s">
        <v>132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553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133</v>
      </c>
      <c r="C65" s="5" t="s">
        <v>559</v>
      </c>
      <c r="D65" s="5" t="s">
        <v>142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553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120</v>
      </c>
      <c r="C66" s="5" t="s">
        <v>560</v>
      </c>
      <c r="D66" s="5" t="s">
        <v>122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553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120</v>
      </c>
      <c r="C67" s="5" t="s">
        <v>560</v>
      </c>
      <c r="D67" s="5" t="s">
        <v>123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553</v>
      </c>
      <c r="J67" s="5" t="s">
        <v>109</v>
      </c>
      <c r="K67" s="6">
        <f t="shared" si="1"/>
        <v>0</v>
      </c>
    </row>
    <row r="68" spans="1:11" ht="30" customHeight="1">
      <c r="A68" s="4">
        <v>60</v>
      </c>
      <c r="B68" s="5" t="s">
        <v>124</v>
      </c>
      <c r="C68" s="5" t="s">
        <v>560</v>
      </c>
      <c r="D68" s="5" t="s">
        <v>125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553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124</v>
      </c>
      <c r="C69" s="5" t="s">
        <v>560</v>
      </c>
      <c r="D69" s="5" t="s">
        <v>126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553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95</v>
      </c>
      <c r="C70" s="5" t="s">
        <v>560</v>
      </c>
      <c r="D70" s="5" t="s">
        <v>127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553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128</v>
      </c>
      <c r="C71" s="5" t="s">
        <v>560</v>
      </c>
      <c r="D71" s="5" t="s">
        <v>129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553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130</v>
      </c>
      <c r="C72" s="5" t="s">
        <v>560</v>
      </c>
      <c r="D72" s="5" t="s">
        <v>131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553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130</v>
      </c>
      <c r="C73" s="5" t="s">
        <v>560</v>
      </c>
      <c r="D73" s="5" t="s">
        <v>132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553</v>
      </c>
      <c r="J73" s="5" t="s">
        <v>109</v>
      </c>
      <c r="K73" s="6">
        <f t="shared" ref="K73:K97" si="2">IF(AND(E73="yes",F73="yes",H73="covered"),1,IF(H73="partial",0.5,0))</f>
        <v>0</v>
      </c>
    </row>
    <row r="74" spans="1:11" ht="15" customHeight="1">
      <c r="A74" s="4">
        <v>66</v>
      </c>
      <c r="B74" s="5" t="s">
        <v>133</v>
      </c>
      <c r="C74" s="5" t="s">
        <v>560</v>
      </c>
      <c r="D74" s="5" t="s">
        <v>142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553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120</v>
      </c>
      <c r="C75" s="5" t="s">
        <v>561</v>
      </c>
      <c r="D75" s="5" t="s">
        <v>122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553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120</v>
      </c>
      <c r="C76" s="5" t="s">
        <v>561</v>
      </c>
      <c r="D76" s="5" t="s">
        <v>123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553</v>
      </c>
      <c r="J76" s="5" t="s">
        <v>109</v>
      </c>
      <c r="K76" s="6">
        <f t="shared" si="2"/>
        <v>0</v>
      </c>
    </row>
    <row r="77" spans="1:11" ht="30" customHeight="1">
      <c r="A77" s="4">
        <v>69</v>
      </c>
      <c r="B77" s="5" t="s">
        <v>124</v>
      </c>
      <c r="C77" s="5" t="s">
        <v>561</v>
      </c>
      <c r="D77" s="5" t="s">
        <v>125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553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124</v>
      </c>
      <c r="C78" s="5" t="s">
        <v>561</v>
      </c>
      <c r="D78" s="5" t="s">
        <v>126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553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95</v>
      </c>
      <c r="C79" s="5" t="s">
        <v>561</v>
      </c>
      <c r="D79" s="5" t="s">
        <v>127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553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128</v>
      </c>
      <c r="C80" s="5" t="s">
        <v>561</v>
      </c>
      <c r="D80" s="5" t="s">
        <v>129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553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130</v>
      </c>
      <c r="C81" s="5" t="s">
        <v>561</v>
      </c>
      <c r="D81" s="5" t="s">
        <v>131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553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130</v>
      </c>
      <c r="C82" s="5" t="s">
        <v>561</v>
      </c>
      <c r="D82" s="5" t="s">
        <v>132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553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133</v>
      </c>
      <c r="C83" s="5" t="s">
        <v>561</v>
      </c>
      <c r="D83" s="5" t="s">
        <v>142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553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153</v>
      </c>
      <c r="C84" s="5" t="s">
        <v>154</v>
      </c>
      <c r="D84" s="5" t="s">
        <v>548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553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153</v>
      </c>
      <c r="C85" s="5" t="s">
        <v>154</v>
      </c>
      <c r="D85" s="5" t="s">
        <v>562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553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153</v>
      </c>
      <c r="C86" s="5" t="s">
        <v>154</v>
      </c>
      <c r="D86" s="5" t="s">
        <v>438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553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159</v>
      </c>
      <c r="C87" s="5" t="s">
        <v>154</v>
      </c>
      <c r="D87" s="5" t="s">
        <v>162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553</v>
      </c>
      <c r="J87" s="5" t="s">
        <v>109</v>
      </c>
      <c r="K87" s="6">
        <f t="shared" si="2"/>
        <v>0</v>
      </c>
    </row>
    <row r="88" spans="1:11" ht="30" customHeight="1">
      <c r="A88" s="4">
        <v>80</v>
      </c>
      <c r="B88" s="5" t="s">
        <v>130</v>
      </c>
      <c r="C88" s="5" t="s">
        <v>21</v>
      </c>
      <c r="D88" s="5" t="s">
        <v>164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553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130</v>
      </c>
      <c r="C89" s="5" t="s">
        <v>21</v>
      </c>
      <c r="D89" s="5" t="s">
        <v>165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553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130</v>
      </c>
      <c r="C90" s="5" t="s">
        <v>21</v>
      </c>
      <c r="D90" s="5" t="s">
        <v>166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553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130</v>
      </c>
      <c r="C91" s="5" t="s">
        <v>21</v>
      </c>
      <c r="D91" s="5" t="s">
        <v>167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553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130</v>
      </c>
      <c r="C92" s="5" t="s">
        <v>21</v>
      </c>
      <c r="D92" s="5" t="s">
        <v>168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553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179</v>
      </c>
      <c r="C93" s="5" t="s">
        <v>21</v>
      </c>
      <c r="D93" s="5" t="s">
        <v>182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553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179</v>
      </c>
      <c r="C94" s="5" t="s">
        <v>21</v>
      </c>
      <c r="D94" s="5" t="s">
        <v>183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553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179</v>
      </c>
      <c r="C95" s="5" t="s">
        <v>21</v>
      </c>
      <c r="D95" s="5" t="s">
        <v>184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553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179</v>
      </c>
      <c r="C96" s="5" t="s">
        <v>21</v>
      </c>
      <c r="D96" s="5" t="s">
        <v>185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553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177</v>
      </c>
      <c r="C97" s="5" t="s">
        <v>21</v>
      </c>
      <c r="D97" s="5" t="s">
        <v>186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553</v>
      </c>
      <c r="J97" s="5" t="s">
        <v>109</v>
      </c>
      <c r="K97" s="6">
        <f t="shared" si="2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57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563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46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37">
        <v>1</v>
      </c>
      <c r="B9" s="38" t="s">
        <v>94</v>
      </c>
      <c r="C9" s="38" t="s">
        <v>95</v>
      </c>
      <c r="D9" s="38" t="s">
        <v>96</v>
      </c>
      <c r="E9" s="37" t="s">
        <v>105</v>
      </c>
      <c r="F9" s="37" t="s">
        <v>105</v>
      </c>
      <c r="G9" s="37" t="s">
        <v>564</v>
      </c>
      <c r="H9" s="37" t="s">
        <v>196</v>
      </c>
      <c r="I9" s="38" t="s">
        <v>565</v>
      </c>
      <c r="J9" s="38" t="s">
        <v>566</v>
      </c>
      <c r="K9" s="39">
        <f t="shared" ref="K9:K54" si="0">IF(AND(E9="yes",F9="yes",H9="covered"),1,IF(H9="partial",0.5,0))</f>
        <v>1</v>
      </c>
    </row>
    <row r="10" spans="1:11" ht="45" customHeight="1">
      <c r="A10" s="37">
        <v>2</v>
      </c>
      <c r="B10" s="38" t="s">
        <v>94</v>
      </c>
      <c r="C10" s="38" t="s">
        <v>95</v>
      </c>
      <c r="D10" s="38" t="s">
        <v>102</v>
      </c>
      <c r="E10" s="37" t="s">
        <v>105</v>
      </c>
      <c r="F10" s="37" t="s">
        <v>105</v>
      </c>
      <c r="G10" s="37" t="s">
        <v>564</v>
      </c>
      <c r="H10" s="37" t="s">
        <v>196</v>
      </c>
      <c r="I10" s="38" t="s">
        <v>565</v>
      </c>
      <c r="J10" s="38" t="s">
        <v>566</v>
      </c>
      <c r="K10" s="39">
        <f t="shared" si="0"/>
        <v>1</v>
      </c>
    </row>
    <row r="11" spans="1:11" ht="15" customHeight="1">
      <c r="A11" s="37">
        <v>3</v>
      </c>
      <c r="B11" s="38" t="s">
        <v>94</v>
      </c>
      <c r="C11" s="38" t="s">
        <v>22</v>
      </c>
      <c r="D11" s="38" t="s">
        <v>104</v>
      </c>
      <c r="E11" s="37" t="s">
        <v>105</v>
      </c>
      <c r="F11" s="37" t="s">
        <v>105</v>
      </c>
      <c r="G11" s="37" t="s">
        <v>564</v>
      </c>
      <c r="H11" s="37" t="s">
        <v>196</v>
      </c>
      <c r="I11" s="38" t="s">
        <v>565</v>
      </c>
      <c r="J11" s="38" t="s">
        <v>566</v>
      </c>
      <c r="K11" s="39">
        <f t="shared" si="0"/>
        <v>1</v>
      </c>
    </row>
    <row r="12" spans="1:11" ht="15" customHeight="1">
      <c r="A12" s="37">
        <v>4</v>
      </c>
      <c r="B12" s="38" t="s">
        <v>94</v>
      </c>
      <c r="C12" s="38" t="s">
        <v>22</v>
      </c>
      <c r="D12" s="38" t="s">
        <v>110</v>
      </c>
      <c r="E12" s="37" t="s">
        <v>105</v>
      </c>
      <c r="F12" s="37" t="s">
        <v>105</v>
      </c>
      <c r="G12" s="37" t="s">
        <v>564</v>
      </c>
      <c r="H12" s="37" t="s">
        <v>196</v>
      </c>
      <c r="I12" s="38" t="s">
        <v>565</v>
      </c>
      <c r="J12" s="38" t="s">
        <v>566</v>
      </c>
      <c r="K12" s="39">
        <f t="shared" si="0"/>
        <v>1</v>
      </c>
    </row>
    <row r="13" spans="1:11" ht="15" customHeight="1">
      <c r="A13" s="37">
        <v>5</v>
      </c>
      <c r="B13" s="38" t="s">
        <v>94</v>
      </c>
      <c r="C13" s="38" t="s">
        <v>22</v>
      </c>
      <c r="D13" s="38" t="s">
        <v>111</v>
      </c>
      <c r="E13" s="37" t="s">
        <v>105</v>
      </c>
      <c r="F13" s="37" t="s">
        <v>105</v>
      </c>
      <c r="G13" s="37" t="s">
        <v>564</v>
      </c>
      <c r="H13" s="37" t="s">
        <v>196</v>
      </c>
      <c r="I13" s="38" t="s">
        <v>565</v>
      </c>
      <c r="J13" s="38" t="s">
        <v>566</v>
      </c>
      <c r="K13" s="39">
        <f t="shared" si="0"/>
        <v>1</v>
      </c>
    </row>
    <row r="14" spans="1:11" ht="30" customHeight="1">
      <c r="A14" s="37">
        <v>6</v>
      </c>
      <c r="B14" s="38" t="s">
        <v>94</v>
      </c>
      <c r="C14" s="38" t="s">
        <v>22</v>
      </c>
      <c r="D14" s="38" t="s">
        <v>112</v>
      </c>
      <c r="E14" s="37" t="s">
        <v>105</v>
      </c>
      <c r="F14" s="37" t="s">
        <v>105</v>
      </c>
      <c r="G14" s="37" t="s">
        <v>564</v>
      </c>
      <c r="H14" s="37" t="s">
        <v>196</v>
      </c>
      <c r="I14" s="38" t="s">
        <v>565</v>
      </c>
      <c r="J14" s="38" t="s">
        <v>566</v>
      </c>
      <c r="K14" s="39">
        <f t="shared" si="0"/>
        <v>1</v>
      </c>
    </row>
    <row r="15" spans="1:11" ht="30" customHeight="1">
      <c r="A15" s="37">
        <v>7</v>
      </c>
      <c r="B15" s="38" t="s">
        <v>113</v>
      </c>
      <c r="C15" s="38" t="s">
        <v>121</v>
      </c>
      <c r="D15" s="38" t="s">
        <v>567</v>
      </c>
      <c r="E15" s="37" t="s">
        <v>105</v>
      </c>
      <c r="F15" s="37" t="s">
        <v>105</v>
      </c>
      <c r="G15" s="37" t="s">
        <v>564</v>
      </c>
      <c r="H15" s="37" t="s">
        <v>196</v>
      </c>
      <c r="I15" s="38" t="s">
        <v>565</v>
      </c>
      <c r="J15" s="38" t="s">
        <v>566</v>
      </c>
      <c r="K15" s="39">
        <f t="shared" si="0"/>
        <v>1</v>
      </c>
    </row>
    <row r="16" spans="1:11" ht="15" customHeight="1">
      <c r="A16" s="37">
        <v>8</v>
      </c>
      <c r="B16" s="38" t="s">
        <v>113</v>
      </c>
      <c r="C16" s="38" t="s">
        <v>121</v>
      </c>
      <c r="D16" s="38" t="s">
        <v>568</v>
      </c>
      <c r="E16" s="37" t="s">
        <v>105</v>
      </c>
      <c r="F16" s="37" t="s">
        <v>105</v>
      </c>
      <c r="G16" s="37" t="s">
        <v>564</v>
      </c>
      <c r="H16" s="37" t="s">
        <v>196</v>
      </c>
      <c r="I16" s="38" t="s">
        <v>565</v>
      </c>
      <c r="J16" s="38" t="s">
        <v>566</v>
      </c>
      <c r="K16" s="39">
        <f t="shared" si="0"/>
        <v>1</v>
      </c>
    </row>
    <row r="17" spans="1:11" ht="30" customHeight="1">
      <c r="A17" s="37">
        <v>9</v>
      </c>
      <c r="B17" s="38" t="s">
        <v>113</v>
      </c>
      <c r="C17" s="38" t="s">
        <v>121</v>
      </c>
      <c r="D17" s="38" t="s">
        <v>569</v>
      </c>
      <c r="E17" s="37" t="s">
        <v>105</v>
      </c>
      <c r="F17" s="37" t="s">
        <v>105</v>
      </c>
      <c r="G17" s="37" t="s">
        <v>564</v>
      </c>
      <c r="H17" s="37" t="s">
        <v>196</v>
      </c>
      <c r="I17" s="38" t="s">
        <v>565</v>
      </c>
      <c r="J17" s="38" t="s">
        <v>566</v>
      </c>
      <c r="K17" s="39">
        <f t="shared" si="0"/>
        <v>1</v>
      </c>
    </row>
    <row r="18" spans="1:11" ht="30" customHeight="1">
      <c r="A18" s="37">
        <v>10</v>
      </c>
      <c r="B18" s="38" t="s">
        <v>113</v>
      </c>
      <c r="C18" s="38" t="s">
        <v>121</v>
      </c>
      <c r="D18" s="38" t="s">
        <v>570</v>
      </c>
      <c r="E18" s="37" t="s">
        <v>105</v>
      </c>
      <c r="F18" s="37" t="s">
        <v>105</v>
      </c>
      <c r="G18" s="37" t="s">
        <v>564</v>
      </c>
      <c r="H18" s="37" t="s">
        <v>196</v>
      </c>
      <c r="I18" s="38" t="s">
        <v>565</v>
      </c>
      <c r="J18" s="38" t="s">
        <v>566</v>
      </c>
      <c r="K18" s="39">
        <f t="shared" si="0"/>
        <v>1</v>
      </c>
    </row>
    <row r="19" spans="1:11" ht="15" customHeight="1">
      <c r="A19" s="37">
        <v>11</v>
      </c>
      <c r="B19" s="38" t="s">
        <v>113</v>
      </c>
      <c r="C19" s="38" t="s">
        <v>121</v>
      </c>
      <c r="D19" s="38" t="s">
        <v>571</v>
      </c>
      <c r="E19" s="37" t="s">
        <v>105</v>
      </c>
      <c r="F19" s="37" t="s">
        <v>105</v>
      </c>
      <c r="G19" s="37" t="s">
        <v>564</v>
      </c>
      <c r="H19" s="37" t="s">
        <v>196</v>
      </c>
      <c r="I19" s="38" t="s">
        <v>565</v>
      </c>
      <c r="J19" s="38" t="s">
        <v>566</v>
      </c>
      <c r="K19" s="39">
        <f t="shared" si="0"/>
        <v>1</v>
      </c>
    </row>
    <row r="20" spans="1:11" ht="15" customHeight="1">
      <c r="A20" s="37">
        <v>12</v>
      </c>
      <c r="B20" s="38" t="s">
        <v>113</v>
      </c>
      <c r="C20" s="38" t="s">
        <v>121</v>
      </c>
      <c r="D20" s="38" t="s">
        <v>572</v>
      </c>
      <c r="E20" s="37" t="s">
        <v>105</v>
      </c>
      <c r="F20" s="37" t="s">
        <v>105</v>
      </c>
      <c r="G20" s="37" t="s">
        <v>564</v>
      </c>
      <c r="H20" s="37" t="s">
        <v>196</v>
      </c>
      <c r="I20" s="38" t="s">
        <v>565</v>
      </c>
      <c r="J20" s="38" t="s">
        <v>566</v>
      </c>
      <c r="K20" s="39">
        <f t="shared" si="0"/>
        <v>1</v>
      </c>
    </row>
    <row r="21" spans="1:11" ht="15" customHeight="1">
      <c r="A21" s="37">
        <v>13</v>
      </c>
      <c r="B21" s="38" t="s">
        <v>113</v>
      </c>
      <c r="C21" s="38" t="s">
        <v>121</v>
      </c>
      <c r="D21" s="38" t="s">
        <v>573</v>
      </c>
      <c r="E21" s="37" t="s">
        <v>105</v>
      </c>
      <c r="F21" s="37" t="s">
        <v>105</v>
      </c>
      <c r="G21" s="37" t="s">
        <v>564</v>
      </c>
      <c r="H21" s="37" t="s">
        <v>196</v>
      </c>
      <c r="I21" s="38" t="s">
        <v>565</v>
      </c>
      <c r="J21" s="38" t="s">
        <v>566</v>
      </c>
      <c r="K21" s="39">
        <f t="shared" si="0"/>
        <v>1</v>
      </c>
    </row>
    <row r="22" spans="1:11" ht="15" customHeight="1">
      <c r="A22" s="37">
        <v>14</v>
      </c>
      <c r="B22" s="38" t="s">
        <v>113</v>
      </c>
      <c r="C22" s="38" t="s">
        <v>121</v>
      </c>
      <c r="D22" s="38" t="s">
        <v>574</v>
      </c>
      <c r="E22" s="37" t="s">
        <v>105</v>
      </c>
      <c r="F22" s="37" t="s">
        <v>105</v>
      </c>
      <c r="G22" s="37" t="s">
        <v>564</v>
      </c>
      <c r="H22" s="37" t="s">
        <v>196</v>
      </c>
      <c r="I22" s="38" t="s">
        <v>565</v>
      </c>
      <c r="J22" s="38" t="s">
        <v>566</v>
      </c>
      <c r="K22" s="39">
        <f t="shared" si="0"/>
        <v>1</v>
      </c>
    </row>
    <row r="23" spans="1:11" ht="30" customHeight="1">
      <c r="A23" s="37">
        <v>15</v>
      </c>
      <c r="B23" s="38" t="s">
        <v>120</v>
      </c>
      <c r="C23" s="38" t="s">
        <v>121</v>
      </c>
      <c r="D23" s="38" t="s">
        <v>122</v>
      </c>
      <c r="E23" s="37" t="s">
        <v>105</v>
      </c>
      <c r="F23" s="37" t="s">
        <v>105</v>
      </c>
      <c r="G23" s="37" t="s">
        <v>564</v>
      </c>
      <c r="H23" s="37" t="s">
        <v>196</v>
      </c>
      <c r="I23" s="38" t="s">
        <v>565</v>
      </c>
      <c r="J23" s="38" t="s">
        <v>566</v>
      </c>
      <c r="K23" s="39">
        <f t="shared" si="0"/>
        <v>1</v>
      </c>
    </row>
    <row r="24" spans="1:11" ht="45" customHeight="1">
      <c r="A24" s="37">
        <v>16</v>
      </c>
      <c r="B24" s="38" t="s">
        <v>120</v>
      </c>
      <c r="C24" s="38" t="s">
        <v>121</v>
      </c>
      <c r="D24" s="38" t="s">
        <v>575</v>
      </c>
      <c r="E24" s="37" t="s">
        <v>105</v>
      </c>
      <c r="F24" s="37" t="s">
        <v>105</v>
      </c>
      <c r="G24" s="37" t="s">
        <v>564</v>
      </c>
      <c r="H24" s="37" t="s">
        <v>196</v>
      </c>
      <c r="I24" s="38" t="s">
        <v>565</v>
      </c>
      <c r="J24" s="38" t="s">
        <v>566</v>
      </c>
      <c r="K24" s="39">
        <f t="shared" si="0"/>
        <v>1</v>
      </c>
    </row>
    <row r="25" spans="1:11" ht="30" customHeight="1">
      <c r="A25" s="37">
        <v>17</v>
      </c>
      <c r="B25" s="38" t="s">
        <v>124</v>
      </c>
      <c r="C25" s="38" t="s">
        <v>121</v>
      </c>
      <c r="D25" s="38" t="s">
        <v>237</v>
      </c>
      <c r="E25" s="37" t="s">
        <v>105</v>
      </c>
      <c r="F25" s="37" t="s">
        <v>105</v>
      </c>
      <c r="G25" s="37" t="s">
        <v>564</v>
      </c>
      <c r="H25" s="37" t="s">
        <v>196</v>
      </c>
      <c r="I25" s="38" t="s">
        <v>565</v>
      </c>
      <c r="J25" s="38" t="s">
        <v>566</v>
      </c>
      <c r="K25" s="39">
        <f t="shared" si="0"/>
        <v>1</v>
      </c>
    </row>
    <row r="26" spans="1:11" ht="15" customHeight="1">
      <c r="A26" s="37">
        <v>18</v>
      </c>
      <c r="B26" s="38" t="s">
        <v>124</v>
      </c>
      <c r="C26" s="38" t="s">
        <v>121</v>
      </c>
      <c r="D26" s="38" t="s">
        <v>576</v>
      </c>
      <c r="E26" s="37" t="s">
        <v>105</v>
      </c>
      <c r="F26" s="37" t="s">
        <v>105</v>
      </c>
      <c r="G26" s="37" t="s">
        <v>564</v>
      </c>
      <c r="H26" s="37" t="s">
        <v>196</v>
      </c>
      <c r="I26" s="38" t="s">
        <v>565</v>
      </c>
      <c r="J26" s="38" t="s">
        <v>566</v>
      </c>
      <c r="K26" s="39">
        <f t="shared" si="0"/>
        <v>1</v>
      </c>
    </row>
    <row r="27" spans="1:11" ht="15" customHeight="1">
      <c r="A27" s="37">
        <v>19</v>
      </c>
      <c r="B27" s="38" t="s">
        <v>124</v>
      </c>
      <c r="C27" s="38" t="s">
        <v>121</v>
      </c>
      <c r="D27" s="38" t="s">
        <v>577</v>
      </c>
      <c r="E27" s="37" t="s">
        <v>105</v>
      </c>
      <c r="F27" s="37" t="s">
        <v>105</v>
      </c>
      <c r="G27" s="37" t="s">
        <v>564</v>
      </c>
      <c r="H27" s="37" t="s">
        <v>196</v>
      </c>
      <c r="I27" s="38" t="s">
        <v>565</v>
      </c>
      <c r="J27" s="38" t="s">
        <v>566</v>
      </c>
      <c r="K27" s="39">
        <f t="shared" si="0"/>
        <v>1</v>
      </c>
    </row>
    <row r="28" spans="1:11" ht="15" customHeight="1">
      <c r="A28" s="37">
        <v>20</v>
      </c>
      <c r="B28" s="38" t="s">
        <v>124</v>
      </c>
      <c r="C28" s="38" t="s">
        <v>121</v>
      </c>
      <c r="D28" s="38" t="s">
        <v>578</v>
      </c>
      <c r="E28" s="37" t="s">
        <v>105</v>
      </c>
      <c r="F28" s="37" t="s">
        <v>105</v>
      </c>
      <c r="G28" s="37" t="s">
        <v>564</v>
      </c>
      <c r="H28" s="37" t="s">
        <v>196</v>
      </c>
      <c r="I28" s="38" t="s">
        <v>565</v>
      </c>
      <c r="J28" s="38" t="s">
        <v>566</v>
      </c>
      <c r="K28" s="39">
        <f t="shared" si="0"/>
        <v>1</v>
      </c>
    </row>
    <row r="29" spans="1:11" ht="15" customHeight="1">
      <c r="A29" s="37">
        <v>21</v>
      </c>
      <c r="B29" s="38" t="s">
        <v>124</v>
      </c>
      <c r="C29" s="38" t="s">
        <v>121</v>
      </c>
      <c r="D29" s="38" t="s">
        <v>579</v>
      </c>
      <c r="E29" s="37" t="s">
        <v>105</v>
      </c>
      <c r="F29" s="37" t="s">
        <v>105</v>
      </c>
      <c r="G29" s="37" t="s">
        <v>564</v>
      </c>
      <c r="H29" s="37" t="s">
        <v>196</v>
      </c>
      <c r="I29" s="38" t="s">
        <v>565</v>
      </c>
      <c r="J29" s="38" t="s">
        <v>566</v>
      </c>
      <c r="K29" s="39">
        <f t="shared" si="0"/>
        <v>1</v>
      </c>
    </row>
    <row r="30" spans="1:11" ht="15" customHeight="1">
      <c r="A30" s="37">
        <v>22</v>
      </c>
      <c r="B30" s="38" t="s">
        <v>95</v>
      </c>
      <c r="C30" s="38" t="s">
        <v>121</v>
      </c>
      <c r="D30" s="38" t="s">
        <v>127</v>
      </c>
      <c r="E30" s="37" t="s">
        <v>105</v>
      </c>
      <c r="F30" s="37" t="s">
        <v>105</v>
      </c>
      <c r="G30" s="37" t="s">
        <v>564</v>
      </c>
      <c r="H30" s="37" t="s">
        <v>196</v>
      </c>
      <c r="I30" s="38" t="s">
        <v>565</v>
      </c>
      <c r="J30" s="38" t="s">
        <v>566</v>
      </c>
      <c r="K30" s="39">
        <f t="shared" si="0"/>
        <v>1</v>
      </c>
    </row>
    <row r="31" spans="1:11" ht="15" customHeight="1">
      <c r="A31" s="37">
        <v>23</v>
      </c>
      <c r="B31" s="38" t="s">
        <v>133</v>
      </c>
      <c r="C31" s="38" t="s">
        <v>121</v>
      </c>
      <c r="D31" s="38" t="s">
        <v>541</v>
      </c>
      <c r="E31" s="37" t="s">
        <v>105</v>
      </c>
      <c r="F31" s="37" t="s">
        <v>105</v>
      </c>
      <c r="G31" s="37" t="s">
        <v>564</v>
      </c>
      <c r="H31" s="37" t="s">
        <v>196</v>
      </c>
      <c r="I31" s="38" t="s">
        <v>565</v>
      </c>
      <c r="J31" s="38" t="s">
        <v>566</v>
      </c>
      <c r="K31" s="39">
        <f t="shared" si="0"/>
        <v>1</v>
      </c>
    </row>
    <row r="32" spans="1:11" ht="15" customHeight="1">
      <c r="A32" s="37">
        <v>24</v>
      </c>
      <c r="B32" s="38" t="s">
        <v>133</v>
      </c>
      <c r="C32" s="38" t="s">
        <v>121</v>
      </c>
      <c r="D32" s="38" t="s">
        <v>542</v>
      </c>
      <c r="E32" s="37" t="s">
        <v>105</v>
      </c>
      <c r="F32" s="37" t="s">
        <v>105</v>
      </c>
      <c r="G32" s="37" t="s">
        <v>564</v>
      </c>
      <c r="H32" s="37" t="s">
        <v>196</v>
      </c>
      <c r="I32" s="38" t="s">
        <v>565</v>
      </c>
      <c r="J32" s="38" t="s">
        <v>566</v>
      </c>
      <c r="K32" s="39">
        <f t="shared" si="0"/>
        <v>1</v>
      </c>
    </row>
    <row r="33" spans="1:11" ht="15" customHeight="1">
      <c r="A33" s="37">
        <v>25</v>
      </c>
      <c r="B33" s="38" t="s">
        <v>133</v>
      </c>
      <c r="C33" s="38" t="s">
        <v>121</v>
      </c>
      <c r="D33" s="38" t="s">
        <v>543</v>
      </c>
      <c r="E33" s="37" t="s">
        <v>105</v>
      </c>
      <c r="F33" s="37" t="s">
        <v>105</v>
      </c>
      <c r="G33" s="37" t="s">
        <v>564</v>
      </c>
      <c r="H33" s="37" t="s">
        <v>196</v>
      </c>
      <c r="I33" s="38" t="s">
        <v>565</v>
      </c>
      <c r="J33" s="38" t="s">
        <v>566</v>
      </c>
      <c r="K33" s="39">
        <f t="shared" si="0"/>
        <v>1</v>
      </c>
    </row>
    <row r="34" spans="1:11" ht="15" customHeight="1">
      <c r="A34" s="37">
        <v>26</v>
      </c>
      <c r="B34" s="38" t="s">
        <v>133</v>
      </c>
      <c r="C34" s="38" t="s">
        <v>121</v>
      </c>
      <c r="D34" s="38" t="s">
        <v>134</v>
      </c>
      <c r="E34" s="37" t="s">
        <v>105</v>
      </c>
      <c r="F34" s="37" t="s">
        <v>105</v>
      </c>
      <c r="G34" s="37" t="s">
        <v>564</v>
      </c>
      <c r="H34" s="37" t="s">
        <v>196</v>
      </c>
      <c r="I34" s="38" t="s">
        <v>565</v>
      </c>
      <c r="J34" s="38" t="s">
        <v>566</v>
      </c>
      <c r="K34" s="39">
        <f t="shared" si="0"/>
        <v>1</v>
      </c>
    </row>
    <row r="35" spans="1:11" ht="15" customHeight="1">
      <c r="A35" s="37">
        <v>27</v>
      </c>
      <c r="B35" s="38" t="s">
        <v>133</v>
      </c>
      <c r="C35" s="38" t="s">
        <v>121</v>
      </c>
      <c r="D35" s="38" t="s">
        <v>140</v>
      </c>
      <c r="E35" s="37" t="s">
        <v>105</v>
      </c>
      <c r="F35" s="37" t="s">
        <v>105</v>
      </c>
      <c r="G35" s="37" t="s">
        <v>564</v>
      </c>
      <c r="H35" s="37" t="s">
        <v>196</v>
      </c>
      <c r="I35" s="38" t="s">
        <v>565</v>
      </c>
      <c r="J35" s="38" t="s">
        <v>566</v>
      </c>
      <c r="K35" s="39">
        <f t="shared" si="0"/>
        <v>1</v>
      </c>
    </row>
    <row r="36" spans="1:11" ht="15" customHeight="1">
      <c r="A36" s="37">
        <v>28</v>
      </c>
      <c r="B36" s="38" t="s">
        <v>133</v>
      </c>
      <c r="C36" s="38" t="s">
        <v>121</v>
      </c>
      <c r="D36" s="38" t="s">
        <v>580</v>
      </c>
      <c r="E36" s="37" t="s">
        <v>105</v>
      </c>
      <c r="F36" s="37" t="s">
        <v>105</v>
      </c>
      <c r="G36" s="37" t="s">
        <v>564</v>
      </c>
      <c r="H36" s="37" t="s">
        <v>196</v>
      </c>
      <c r="I36" s="38" t="s">
        <v>565</v>
      </c>
      <c r="J36" s="38" t="s">
        <v>566</v>
      </c>
      <c r="K36" s="39">
        <f t="shared" si="0"/>
        <v>1</v>
      </c>
    </row>
    <row r="37" spans="1:11" ht="15" customHeight="1">
      <c r="A37" s="37">
        <v>29</v>
      </c>
      <c r="B37" s="38" t="s">
        <v>133</v>
      </c>
      <c r="C37" s="38" t="s">
        <v>121</v>
      </c>
      <c r="D37" s="38" t="s">
        <v>581</v>
      </c>
      <c r="E37" s="37" t="s">
        <v>105</v>
      </c>
      <c r="F37" s="37" t="s">
        <v>105</v>
      </c>
      <c r="G37" s="37" t="s">
        <v>564</v>
      </c>
      <c r="H37" s="37" t="s">
        <v>196</v>
      </c>
      <c r="I37" s="38" t="s">
        <v>565</v>
      </c>
      <c r="J37" s="38" t="s">
        <v>566</v>
      </c>
      <c r="K37" s="39">
        <f t="shared" si="0"/>
        <v>1</v>
      </c>
    </row>
    <row r="38" spans="1:11" ht="15" customHeight="1">
      <c r="A38" s="37">
        <v>30</v>
      </c>
      <c r="B38" s="38" t="s">
        <v>133</v>
      </c>
      <c r="C38" s="38" t="s">
        <v>121</v>
      </c>
      <c r="D38" s="38" t="s">
        <v>582</v>
      </c>
      <c r="E38" s="37" t="s">
        <v>105</v>
      </c>
      <c r="F38" s="37" t="s">
        <v>105</v>
      </c>
      <c r="G38" s="37" t="s">
        <v>564</v>
      </c>
      <c r="H38" s="37" t="s">
        <v>196</v>
      </c>
      <c r="I38" s="38" t="s">
        <v>565</v>
      </c>
      <c r="J38" s="38" t="s">
        <v>566</v>
      </c>
      <c r="K38" s="39">
        <f t="shared" si="0"/>
        <v>1</v>
      </c>
    </row>
    <row r="39" spans="1:11" ht="15" customHeight="1">
      <c r="A39" s="37">
        <v>31</v>
      </c>
      <c r="B39" s="38" t="s">
        <v>130</v>
      </c>
      <c r="C39" s="38" t="s">
        <v>121</v>
      </c>
      <c r="D39" s="38" t="s">
        <v>131</v>
      </c>
      <c r="E39" s="37" t="s">
        <v>105</v>
      </c>
      <c r="F39" s="37" t="s">
        <v>105</v>
      </c>
      <c r="G39" s="37" t="s">
        <v>564</v>
      </c>
      <c r="H39" s="37" t="s">
        <v>196</v>
      </c>
      <c r="I39" s="38" t="s">
        <v>565</v>
      </c>
      <c r="J39" s="38" t="s">
        <v>566</v>
      </c>
      <c r="K39" s="39">
        <f t="shared" si="0"/>
        <v>1</v>
      </c>
    </row>
    <row r="40" spans="1:11" ht="15" customHeight="1">
      <c r="A40" s="37">
        <v>32</v>
      </c>
      <c r="B40" s="38" t="s">
        <v>130</v>
      </c>
      <c r="C40" s="38" t="s">
        <v>121</v>
      </c>
      <c r="D40" s="38" t="s">
        <v>132</v>
      </c>
      <c r="E40" s="37" t="s">
        <v>105</v>
      </c>
      <c r="F40" s="37" t="s">
        <v>105</v>
      </c>
      <c r="G40" s="37" t="s">
        <v>564</v>
      </c>
      <c r="H40" s="37" t="s">
        <v>196</v>
      </c>
      <c r="I40" s="38" t="s">
        <v>565</v>
      </c>
      <c r="J40" s="38" t="s">
        <v>566</v>
      </c>
      <c r="K40" s="39">
        <f t="shared" si="0"/>
        <v>1</v>
      </c>
    </row>
    <row r="41" spans="1:11" ht="15" customHeight="1">
      <c r="A41" s="37">
        <v>33</v>
      </c>
      <c r="B41" s="38" t="s">
        <v>130</v>
      </c>
      <c r="C41" s="38" t="s">
        <v>121</v>
      </c>
      <c r="D41" s="38" t="s">
        <v>164</v>
      </c>
      <c r="E41" s="37" t="s">
        <v>105</v>
      </c>
      <c r="F41" s="37" t="s">
        <v>105</v>
      </c>
      <c r="G41" s="37" t="s">
        <v>564</v>
      </c>
      <c r="H41" s="37" t="s">
        <v>196</v>
      </c>
      <c r="I41" s="38" t="s">
        <v>565</v>
      </c>
      <c r="J41" s="38" t="s">
        <v>566</v>
      </c>
      <c r="K41" s="39">
        <f t="shared" si="0"/>
        <v>1</v>
      </c>
    </row>
    <row r="42" spans="1:11" ht="15" customHeight="1">
      <c r="A42" s="37">
        <v>34</v>
      </c>
      <c r="B42" s="38" t="s">
        <v>130</v>
      </c>
      <c r="C42" s="38" t="s">
        <v>121</v>
      </c>
      <c r="D42" s="38" t="s">
        <v>165</v>
      </c>
      <c r="E42" s="37" t="s">
        <v>105</v>
      </c>
      <c r="F42" s="37" t="s">
        <v>105</v>
      </c>
      <c r="G42" s="37" t="s">
        <v>564</v>
      </c>
      <c r="H42" s="37" t="s">
        <v>196</v>
      </c>
      <c r="I42" s="38" t="s">
        <v>565</v>
      </c>
      <c r="J42" s="38" t="s">
        <v>566</v>
      </c>
      <c r="K42" s="39">
        <f t="shared" si="0"/>
        <v>1</v>
      </c>
    </row>
    <row r="43" spans="1:11" ht="15" customHeight="1">
      <c r="A43" s="37">
        <v>35</v>
      </c>
      <c r="B43" s="38" t="s">
        <v>130</v>
      </c>
      <c r="C43" s="38" t="s">
        <v>121</v>
      </c>
      <c r="D43" s="38" t="s">
        <v>168</v>
      </c>
      <c r="E43" s="37" t="s">
        <v>105</v>
      </c>
      <c r="F43" s="37" t="s">
        <v>105</v>
      </c>
      <c r="G43" s="37" t="s">
        <v>564</v>
      </c>
      <c r="H43" s="37" t="s">
        <v>196</v>
      </c>
      <c r="I43" s="38" t="s">
        <v>565</v>
      </c>
      <c r="J43" s="38" t="s">
        <v>566</v>
      </c>
      <c r="K43" s="39">
        <f t="shared" si="0"/>
        <v>1</v>
      </c>
    </row>
    <row r="44" spans="1:11" ht="30" customHeight="1">
      <c r="A44" s="37">
        <v>36</v>
      </c>
      <c r="B44" s="38" t="s">
        <v>179</v>
      </c>
      <c r="C44" s="38" t="s">
        <v>121</v>
      </c>
      <c r="D44" s="38" t="s">
        <v>583</v>
      </c>
      <c r="E44" s="37" t="s">
        <v>105</v>
      </c>
      <c r="F44" s="37" t="s">
        <v>105</v>
      </c>
      <c r="G44" s="37" t="s">
        <v>564</v>
      </c>
      <c r="H44" s="37" t="s">
        <v>196</v>
      </c>
      <c r="I44" s="38" t="s">
        <v>565</v>
      </c>
      <c r="J44" s="38" t="s">
        <v>566</v>
      </c>
      <c r="K44" s="39">
        <f t="shared" si="0"/>
        <v>1</v>
      </c>
    </row>
    <row r="45" spans="1:11" ht="15" customHeight="1">
      <c r="A45" s="37">
        <v>37</v>
      </c>
      <c r="B45" s="38" t="s">
        <v>179</v>
      </c>
      <c r="C45" s="38" t="s">
        <v>121</v>
      </c>
      <c r="D45" s="38" t="s">
        <v>584</v>
      </c>
      <c r="E45" s="37" t="s">
        <v>105</v>
      </c>
      <c r="F45" s="37" t="s">
        <v>105</v>
      </c>
      <c r="G45" s="37" t="s">
        <v>564</v>
      </c>
      <c r="H45" s="37" t="s">
        <v>196</v>
      </c>
      <c r="I45" s="38" t="s">
        <v>565</v>
      </c>
      <c r="J45" s="38" t="s">
        <v>566</v>
      </c>
      <c r="K45" s="39">
        <f t="shared" si="0"/>
        <v>1</v>
      </c>
    </row>
    <row r="46" spans="1:11" ht="45" customHeight="1">
      <c r="A46" s="37">
        <v>38</v>
      </c>
      <c r="B46" s="38" t="s">
        <v>179</v>
      </c>
      <c r="C46" s="38" t="s">
        <v>121</v>
      </c>
      <c r="D46" s="38" t="s">
        <v>585</v>
      </c>
      <c r="E46" s="37" t="s">
        <v>105</v>
      </c>
      <c r="F46" s="37" t="s">
        <v>105</v>
      </c>
      <c r="G46" s="37" t="s">
        <v>564</v>
      </c>
      <c r="H46" s="37" t="s">
        <v>196</v>
      </c>
      <c r="I46" s="38" t="s">
        <v>565</v>
      </c>
      <c r="J46" s="38" t="s">
        <v>566</v>
      </c>
      <c r="K46" s="39">
        <f t="shared" si="0"/>
        <v>1</v>
      </c>
    </row>
    <row r="47" spans="1:11" ht="15" customHeight="1">
      <c r="A47" s="37">
        <v>39</v>
      </c>
      <c r="B47" s="38" t="s">
        <v>153</v>
      </c>
      <c r="C47" s="38" t="s">
        <v>154</v>
      </c>
      <c r="D47" s="38" t="s">
        <v>586</v>
      </c>
      <c r="E47" s="37" t="s">
        <v>105</v>
      </c>
      <c r="F47" s="37" t="s">
        <v>105</v>
      </c>
      <c r="G47" s="37" t="s">
        <v>564</v>
      </c>
      <c r="H47" s="37" t="s">
        <v>196</v>
      </c>
      <c r="I47" s="38" t="s">
        <v>565</v>
      </c>
      <c r="J47" s="38" t="s">
        <v>566</v>
      </c>
      <c r="K47" s="39">
        <f t="shared" si="0"/>
        <v>1</v>
      </c>
    </row>
    <row r="48" spans="1:11" ht="15" customHeight="1">
      <c r="A48" s="37">
        <v>40</v>
      </c>
      <c r="B48" s="38" t="s">
        <v>153</v>
      </c>
      <c r="C48" s="38" t="s">
        <v>154</v>
      </c>
      <c r="D48" s="38" t="s">
        <v>587</v>
      </c>
      <c r="E48" s="37" t="s">
        <v>105</v>
      </c>
      <c r="F48" s="37" t="s">
        <v>105</v>
      </c>
      <c r="G48" s="37" t="s">
        <v>564</v>
      </c>
      <c r="H48" s="37" t="s">
        <v>196</v>
      </c>
      <c r="I48" s="38" t="s">
        <v>565</v>
      </c>
      <c r="J48" s="38" t="s">
        <v>566</v>
      </c>
      <c r="K48" s="39">
        <f t="shared" si="0"/>
        <v>1</v>
      </c>
    </row>
    <row r="49" spans="1:11" ht="15" customHeight="1">
      <c r="A49" s="37">
        <v>41</v>
      </c>
      <c r="B49" s="38" t="s">
        <v>159</v>
      </c>
      <c r="C49" s="38" t="s">
        <v>154</v>
      </c>
      <c r="D49" s="38" t="s">
        <v>588</v>
      </c>
      <c r="E49" s="37" t="s">
        <v>105</v>
      </c>
      <c r="F49" s="37" t="s">
        <v>105</v>
      </c>
      <c r="G49" s="37" t="s">
        <v>564</v>
      </c>
      <c r="H49" s="37" t="s">
        <v>196</v>
      </c>
      <c r="I49" s="38" t="s">
        <v>565</v>
      </c>
      <c r="J49" s="38" t="s">
        <v>566</v>
      </c>
      <c r="K49" s="39">
        <f t="shared" si="0"/>
        <v>1</v>
      </c>
    </row>
    <row r="50" spans="1:11" ht="30" customHeight="1">
      <c r="A50" s="37">
        <v>42</v>
      </c>
      <c r="B50" s="38" t="s">
        <v>159</v>
      </c>
      <c r="C50" s="38" t="s">
        <v>154</v>
      </c>
      <c r="D50" s="38" t="s">
        <v>589</v>
      </c>
      <c r="E50" s="37" t="s">
        <v>105</v>
      </c>
      <c r="F50" s="37" t="s">
        <v>105</v>
      </c>
      <c r="G50" s="37" t="s">
        <v>564</v>
      </c>
      <c r="H50" s="37" t="s">
        <v>196</v>
      </c>
      <c r="I50" s="38" t="s">
        <v>565</v>
      </c>
      <c r="J50" s="38" t="s">
        <v>566</v>
      </c>
      <c r="K50" s="39">
        <f t="shared" si="0"/>
        <v>1</v>
      </c>
    </row>
    <row r="51" spans="1:11" ht="30" customHeight="1">
      <c r="A51" s="37">
        <v>43</v>
      </c>
      <c r="B51" s="38" t="s">
        <v>159</v>
      </c>
      <c r="C51" s="38" t="s">
        <v>154</v>
      </c>
      <c r="D51" s="38" t="s">
        <v>590</v>
      </c>
      <c r="E51" s="37" t="s">
        <v>105</v>
      </c>
      <c r="F51" s="37" t="s">
        <v>105</v>
      </c>
      <c r="G51" s="37" t="s">
        <v>564</v>
      </c>
      <c r="H51" s="37" t="s">
        <v>196</v>
      </c>
      <c r="I51" s="38" t="s">
        <v>565</v>
      </c>
      <c r="J51" s="38" t="s">
        <v>566</v>
      </c>
      <c r="K51" s="39">
        <f t="shared" si="0"/>
        <v>1</v>
      </c>
    </row>
    <row r="52" spans="1:11" ht="30" customHeight="1">
      <c r="A52" s="37">
        <v>44</v>
      </c>
      <c r="B52" s="38" t="s">
        <v>591</v>
      </c>
      <c r="C52" s="38" t="s">
        <v>121</v>
      </c>
      <c r="D52" s="38" t="s">
        <v>592</v>
      </c>
      <c r="E52" s="37" t="s">
        <v>105</v>
      </c>
      <c r="F52" s="37" t="s">
        <v>105</v>
      </c>
      <c r="G52" s="37" t="s">
        <v>564</v>
      </c>
      <c r="H52" s="37" t="s">
        <v>196</v>
      </c>
      <c r="I52" s="38" t="s">
        <v>565</v>
      </c>
      <c r="J52" s="38" t="s">
        <v>566</v>
      </c>
      <c r="K52" s="39">
        <f t="shared" si="0"/>
        <v>1</v>
      </c>
    </row>
    <row r="53" spans="1:11" ht="30" customHeight="1">
      <c r="A53" s="37">
        <v>45</v>
      </c>
      <c r="B53" s="38" t="s">
        <v>591</v>
      </c>
      <c r="C53" s="38" t="s">
        <v>121</v>
      </c>
      <c r="D53" s="38" t="s">
        <v>593</v>
      </c>
      <c r="E53" s="37" t="s">
        <v>105</v>
      </c>
      <c r="F53" s="37" t="s">
        <v>105</v>
      </c>
      <c r="G53" s="37" t="s">
        <v>564</v>
      </c>
      <c r="H53" s="37" t="s">
        <v>196</v>
      </c>
      <c r="I53" s="38" t="s">
        <v>565</v>
      </c>
      <c r="J53" s="38" t="s">
        <v>566</v>
      </c>
      <c r="K53" s="39">
        <f t="shared" si="0"/>
        <v>1</v>
      </c>
    </row>
    <row r="54" spans="1:11" ht="30" customHeight="1">
      <c r="A54" s="37">
        <v>46</v>
      </c>
      <c r="B54" s="38" t="s">
        <v>594</v>
      </c>
      <c r="C54" s="38" t="s">
        <v>121</v>
      </c>
      <c r="D54" s="38" t="s">
        <v>595</v>
      </c>
      <c r="E54" s="37" t="s">
        <v>105</v>
      </c>
      <c r="F54" s="37" t="s">
        <v>105</v>
      </c>
      <c r="G54" s="37" t="s">
        <v>564</v>
      </c>
      <c r="H54" s="37" t="s">
        <v>196</v>
      </c>
      <c r="I54" s="38" t="s">
        <v>565</v>
      </c>
      <c r="J54" s="38" t="s">
        <v>566</v>
      </c>
      <c r="K54" s="39">
        <f t="shared" si="0"/>
        <v>1</v>
      </c>
    </row>
    <row r="55" spans="1:11" ht="30" customHeight="1">
      <c r="A55" s="4"/>
      <c r="B55" s="5"/>
      <c r="C55" s="5"/>
      <c r="D55" s="5"/>
      <c r="E55" s="7"/>
      <c r="F55" s="8"/>
      <c r="G55" s="4"/>
      <c r="H55" s="9"/>
      <c r="I55" s="5"/>
      <c r="J55" s="5"/>
      <c r="K55" s="6"/>
    </row>
    <row r="56" spans="1:11">
      <c r="A56" s="4"/>
      <c r="B56" s="5"/>
      <c r="C56" s="5"/>
      <c r="D56" s="5"/>
      <c r="E56" s="7"/>
      <c r="F56" s="8"/>
      <c r="G56" s="4"/>
      <c r="H56" s="9"/>
      <c r="I56" s="5"/>
      <c r="J56" s="5"/>
      <c r="K56" s="6"/>
    </row>
    <row r="57" spans="1:11">
      <c r="A57" s="4"/>
      <c r="B57" s="5"/>
      <c r="C57" s="5"/>
      <c r="D57" s="5"/>
      <c r="E57" s="7"/>
      <c r="F57" s="8"/>
      <c r="G57" s="4"/>
      <c r="H57" s="9"/>
      <c r="I57" s="5"/>
      <c r="J57" s="5"/>
      <c r="K57" s="6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82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596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74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597</v>
      </c>
      <c r="H9" s="9" t="s">
        <v>196</v>
      </c>
      <c r="I9" s="5" t="s">
        <v>598</v>
      </c>
      <c r="J9" s="5" t="s">
        <v>599</v>
      </c>
      <c r="K9" s="6">
        <f t="shared" ref="K9:K40" si="0">IF(AND(E9="yes",F9="yes",H9="covered"),1,IF(H9="partial",0.5,0))</f>
        <v>1</v>
      </c>
    </row>
    <row r="10" spans="1:11" ht="4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597</v>
      </c>
      <c r="H10" s="9" t="s">
        <v>196</v>
      </c>
      <c r="I10" s="5" t="s">
        <v>598</v>
      </c>
      <c r="J10" s="5" t="s">
        <v>599</v>
      </c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23</v>
      </c>
      <c r="D11" s="5" t="s">
        <v>104</v>
      </c>
      <c r="E11" s="7" t="s">
        <v>105</v>
      </c>
      <c r="F11" s="8" t="s">
        <v>105</v>
      </c>
      <c r="G11" s="4" t="s">
        <v>597</v>
      </c>
      <c r="H11" s="9" t="s">
        <v>196</v>
      </c>
      <c r="I11" s="5" t="s">
        <v>598</v>
      </c>
      <c r="J11" s="5" t="s">
        <v>599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23</v>
      </c>
      <c r="D12" s="5" t="s">
        <v>110</v>
      </c>
      <c r="E12" s="7" t="s">
        <v>105</v>
      </c>
      <c r="F12" s="8" t="s">
        <v>105</v>
      </c>
      <c r="G12" s="4" t="s">
        <v>597</v>
      </c>
      <c r="H12" s="9" t="s">
        <v>196</v>
      </c>
      <c r="I12" s="5" t="s">
        <v>600</v>
      </c>
      <c r="J12" s="5" t="s">
        <v>599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23</v>
      </c>
      <c r="D13" s="5" t="s">
        <v>111</v>
      </c>
      <c r="E13" s="7" t="s">
        <v>105</v>
      </c>
      <c r="F13" s="8" t="s">
        <v>105</v>
      </c>
      <c r="G13" s="4" t="s">
        <v>597</v>
      </c>
      <c r="H13" s="9" t="s">
        <v>196</v>
      </c>
      <c r="I13" s="5" t="s">
        <v>598</v>
      </c>
      <c r="J13" s="5" t="s">
        <v>599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23</v>
      </c>
      <c r="D14" s="5" t="s">
        <v>112</v>
      </c>
      <c r="E14" s="7" t="s">
        <v>105</v>
      </c>
      <c r="F14" s="8" t="s">
        <v>105</v>
      </c>
      <c r="G14" s="4" t="s">
        <v>597</v>
      </c>
      <c r="H14" s="9" t="s">
        <v>196</v>
      </c>
      <c r="I14" s="5" t="s">
        <v>598</v>
      </c>
      <c r="J14" s="5" t="s">
        <v>599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23</v>
      </c>
      <c r="D15" s="5" t="s">
        <v>601</v>
      </c>
      <c r="E15" s="7" t="s">
        <v>105</v>
      </c>
      <c r="F15" s="8" t="s">
        <v>105</v>
      </c>
      <c r="G15" s="4" t="s">
        <v>597</v>
      </c>
      <c r="H15" s="9" t="s">
        <v>196</v>
      </c>
      <c r="I15" s="5" t="s">
        <v>598</v>
      </c>
      <c r="J15" s="5" t="s">
        <v>599</v>
      </c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23</v>
      </c>
      <c r="D16" s="5" t="s">
        <v>602</v>
      </c>
      <c r="E16" s="7" t="s">
        <v>105</v>
      </c>
      <c r="F16" s="8" t="s">
        <v>105</v>
      </c>
      <c r="G16" s="4" t="s">
        <v>597</v>
      </c>
      <c r="H16" s="9" t="s">
        <v>196</v>
      </c>
      <c r="I16" s="5" t="s">
        <v>598</v>
      </c>
      <c r="J16" s="5" t="s">
        <v>599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23</v>
      </c>
      <c r="D17" s="5" t="s">
        <v>603</v>
      </c>
      <c r="E17" s="7" t="s">
        <v>105</v>
      </c>
      <c r="F17" s="8" t="s">
        <v>105</v>
      </c>
      <c r="G17" s="4" t="s">
        <v>597</v>
      </c>
      <c r="H17" s="9" t="s">
        <v>196</v>
      </c>
      <c r="I17" s="5" t="s">
        <v>598</v>
      </c>
      <c r="J17" s="5" t="s">
        <v>599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23</v>
      </c>
      <c r="D18" s="5" t="s">
        <v>604</v>
      </c>
      <c r="E18" s="7" t="s">
        <v>105</v>
      </c>
      <c r="F18" s="8" t="s">
        <v>105</v>
      </c>
      <c r="G18" s="4" t="s">
        <v>597</v>
      </c>
      <c r="H18" s="9" t="s">
        <v>196</v>
      </c>
      <c r="I18" s="5" t="s">
        <v>598</v>
      </c>
      <c r="J18" s="5" t="s">
        <v>599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23</v>
      </c>
      <c r="D19" s="5" t="s">
        <v>605</v>
      </c>
      <c r="E19" s="7" t="s">
        <v>105</v>
      </c>
      <c r="F19" s="8" t="s">
        <v>105</v>
      </c>
      <c r="G19" s="4" t="s">
        <v>597</v>
      </c>
      <c r="H19" s="9" t="s">
        <v>196</v>
      </c>
      <c r="I19" s="5" t="s">
        <v>598</v>
      </c>
      <c r="J19" s="5" t="s">
        <v>599</v>
      </c>
      <c r="K19" s="6">
        <f t="shared" si="0"/>
        <v>1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105</v>
      </c>
      <c r="G20" s="4" t="s">
        <v>597</v>
      </c>
      <c r="H20" s="9" t="s">
        <v>196</v>
      </c>
      <c r="I20" s="5" t="s">
        <v>598</v>
      </c>
      <c r="J20" s="5" t="s">
        <v>599</v>
      </c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105</v>
      </c>
      <c r="G21" s="4" t="s">
        <v>597</v>
      </c>
      <c r="H21" s="9" t="s">
        <v>196</v>
      </c>
      <c r="I21" s="5" t="s">
        <v>598</v>
      </c>
      <c r="J21" s="5" t="s">
        <v>599</v>
      </c>
      <c r="K21" s="6">
        <f t="shared" si="0"/>
        <v>1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105</v>
      </c>
      <c r="G22" s="4" t="s">
        <v>597</v>
      </c>
      <c r="H22" s="9" t="s">
        <v>196</v>
      </c>
      <c r="I22" s="5" t="s">
        <v>598</v>
      </c>
      <c r="J22" s="5" t="s">
        <v>599</v>
      </c>
      <c r="K22" s="6">
        <f t="shared" si="0"/>
        <v>1</v>
      </c>
    </row>
    <row r="23" spans="1:11" ht="4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105</v>
      </c>
      <c r="G23" s="4" t="s">
        <v>597</v>
      </c>
      <c r="H23" s="9" t="s">
        <v>196</v>
      </c>
      <c r="I23" s="5" t="s">
        <v>598</v>
      </c>
      <c r="J23" s="5" t="s">
        <v>599</v>
      </c>
      <c r="K23" s="6">
        <f t="shared" si="0"/>
        <v>1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105</v>
      </c>
      <c r="G24" s="4" t="s">
        <v>597</v>
      </c>
      <c r="H24" s="9" t="s">
        <v>196</v>
      </c>
      <c r="I24" s="5" t="s">
        <v>598</v>
      </c>
      <c r="J24" s="5" t="s">
        <v>599</v>
      </c>
      <c r="K24" s="6">
        <f t="shared" si="0"/>
        <v>1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105</v>
      </c>
      <c r="G25" s="4" t="s">
        <v>597</v>
      </c>
      <c r="H25" s="9" t="s">
        <v>196</v>
      </c>
      <c r="I25" s="5" t="s">
        <v>606</v>
      </c>
      <c r="J25" s="5" t="s">
        <v>599</v>
      </c>
      <c r="K25" s="6">
        <f t="shared" si="0"/>
        <v>1</v>
      </c>
    </row>
    <row r="26" spans="1:11" ht="15" customHeight="1">
      <c r="A26" s="4">
        <v>18</v>
      </c>
      <c r="B26" s="5" t="s">
        <v>135</v>
      </c>
      <c r="C26" s="5" t="s">
        <v>121</v>
      </c>
      <c r="D26" s="5" t="s">
        <v>607</v>
      </c>
      <c r="E26" s="7" t="s">
        <v>105</v>
      </c>
      <c r="F26" s="8" t="s">
        <v>105</v>
      </c>
      <c r="G26" s="4" t="s">
        <v>597</v>
      </c>
      <c r="H26" s="9" t="s">
        <v>196</v>
      </c>
      <c r="I26" s="5" t="s">
        <v>598</v>
      </c>
      <c r="J26" s="5" t="s">
        <v>599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608</v>
      </c>
      <c r="E27" s="7" t="s">
        <v>105</v>
      </c>
      <c r="F27" s="8" t="s">
        <v>105</v>
      </c>
      <c r="G27" s="4" t="s">
        <v>597</v>
      </c>
      <c r="H27" s="9" t="s">
        <v>196</v>
      </c>
      <c r="I27" s="5" t="s">
        <v>598</v>
      </c>
      <c r="J27" s="5" t="s">
        <v>599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609</v>
      </c>
      <c r="E28" s="7" t="s">
        <v>105</v>
      </c>
      <c r="F28" s="8" t="s">
        <v>105</v>
      </c>
      <c r="G28" s="4" t="s">
        <v>597</v>
      </c>
      <c r="H28" s="9" t="s">
        <v>196</v>
      </c>
      <c r="I28" s="5" t="s">
        <v>598</v>
      </c>
      <c r="J28" s="5" t="s">
        <v>599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140</v>
      </c>
      <c r="E29" s="7" t="s">
        <v>105</v>
      </c>
      <c r="F29" s="8" t="s">
        <v>105</v>
      </c>
      <c r="G29" s="4" t="s">
        <v>597</v>
      </c>
      <c r="H29" s="9" t="s">
        <v>196</v>
      </c>
      <c r="I29" s="5" t="s">
        <v>598</v>
      </c>
      <c r="J29" s="5" t="s">
        <v>599</v>
      </c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610</v>
      </c>
      <c r="E30" s="7" t="s">
        <v>105</v>
      </c>
      <c r="F30" s="8" t="s">
        <v>105</v>
      </c>
      <c r="G30" s="4" t="s">
        <v>597</v>
      </c>
      <c r="H30" s="9" t="s">
        <v>196</v>
      </c>
      <c r="I30" s="5" t="s">
        <v>598</v>
      </c>
      <c r="J30" s="5" t="s">
        <v>599</v>
      </c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611</v>
      </c>
      <c r="E31" s="7" t="s">
        <v>105</v>
      </c>
      <c r="F31" s="8" t="s">
        <v>105</v>
      </c>
      <c r="G31" s="4" t="s">
        <v>597</v>
      </c>
      <c r="H31" s="9" t="s">
        <v>196</v>
      </c>
      <c r="I31" s="5" t="s">
        <v>598</v>
      </c>
      <c r="J31" s="5" t="s">
        <v>599</v>
      </c>
      <c r="K31" s="6">
        <f t="shared" si="0"/>
        <v>1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612</v>
      </c>
      <c r="E32" s="7" t="s">
        <v>105</v>
      </c>
      <c r="F32" s="8" t="s">
        <v>105</v>
      </c>
      <c r="G32" s="4" t="s">
        <v>597</v>
      </c>
      <c r="H32" s="9" t="s">
        <v>196</v>
      </c>
      <c r="I32" s="5" t="s">
        <v>598</v>
      </c>
      <c r="J32" s="5" t="s">
        <v>599</v>
      </c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613</v>
      </c>
      <c r="E33" s="7" t="s">
        <v>105</v>
      </c>
      <c r="F33" s="8" t="s">
        <v>105</v>
      </c>
      <c r="G33" s="4" t="s">
        <v>597</v>
      </c>
      <c r="H33" s="9" t="s">
        <v>196</v>
      </c>
      <c r="I33" s="5" t="s">
        <v>598</v>
      </c>
      <c r="J33" s="5" t="s">
        <v>599</v>
      </c>
      <c r="K33" s="6">
        <f t="shared" si="0"/>
        <v>1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136</v>
      </c>
      <c r="E34" s="7" t="s">
        <v>105</v>
      </c>
      <c r="F34" s="8" t="s">
        <v>105</v>
      </c>
      <c r="G34" s="4" t="s">
        <v>597</v>
      </c>
      <c r="H34" s="9" t="s">
        <v>196</v>
      </c>
      <c r="I34" s="5" t="s">
        <v>598</v>
      </c>
      <c r="J34" s="5" t="s">
        <v>599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614</v>
      </c>
      <c r="E35" s="7" t="s">
        <v>105</v>
      </c>
      <c r="F35" s="8" t="s">
        <v>105</v>
      </c>
      <c r="G35" s="4" t="s">
        <v>597</v>
      </c>
      <c r="H35" s="9" t="s">
        <v>196</v>
      </c>
      <c r="I35" s="5" t="s">
        <v>598</v>
      </c>
      <c r="J35" s="5" t="s">
        <v>599</v>
      </c>
      <c r="K35" s="6">
        <f t="shared" si="0"/>
        <v>1</v>
      </c>
    </row>
    <row r="36" spans="1:11" ht="15" customHeight="1">
      <c r="A36" s="4">
        <v>28</v>
      </c>
      <c r="B36" s="5" t="s">
        <v>539</v>
      </c>
      <c r="C36" s="5" t="s">
        <v>121</v>
      </c>
      <c r="D36" s="5" t="s">
        <v>615</v>
      </c>
      <c r="E36" s="7" t="s">
        <v>105</v>
      </c>
      <c r="F36" s="8" t="s">
        <v>105</v>
      </c>
      <c r="G36" s="4" t="s">
        <v>597</v>
      </c>
      <c r="H36" s="9" t="s">
        <v>196</v>
      </c>
      <c r="I36" s="5" t="s">
        <v>598</v>
      </c>
      <c r="J36" s="5" t="s">
        <v>599</v>
      </c>
      <c r="K36" s="6">
        <f t="shared" si="0"/>
        <v>1</v>
      </c>
    </row>
    <row r="37" spans="1:11" ht="15" customHeight="1">
      <c r="A37" s="4">
        <v>29</v>
      </c>
      <c r="B37" s="5" t="s">
        <v>130</v>
      </c>
      <c r="C37" s="5" t="s">
        <v>121</v>
      </c>
      <c r="D37" s="5" t="s">
        <v>131</v>
      </c>
      <c r="E37" s="7" t="s">
        <v>105</v>
      </c>
      <c r="F37" s="8" t="s">
        <v>105</v>
      </c>
      <c r="G37" s="4" t="s">
        <v>597</v>
      </c>
      <c r="H37" s="9" t="s">
        <v>196</v>
      </c>
      <c r="I37" s="5" t="s">
        <v>598</v>
      </c>
      <c r="J37" s="5" t="s">
        <v>599</v>
      </c>
      <c r="K37" s="6">
        <f t="shared" si="0"/>
        <v>1</v>
      </c>
    </row>
    <row r="38" spans="1:11" ht="15" customHeight="1">
      <c r="A38" s="4">
        <v>30</v>
      </c>
      <c r="B38" s="5" t="s">
        <v>130</v>
      </c>
      <c r="C38" s="5" t="s">
        <v>121</v>
      </c>
      <c r="D38" s="5" t="s">
        <v>132</v>
      </c>
      <c r="E38" s="7" t="s">
        <v>105</v>
      </c>
      <c r="F38" s="8" t="s">
        <v>105</v>
      </c>
      <c r="G38" s="4" t="s">
        <v>597</v>
      </c>
      <c r="H38" s="9" t="s">
        <v>196</v>
      </c>
      <c r="I38" s="5" t="s">
        <v>598</v>
      </c>
      <c r="J38" s="5" t="s">
        <v>599</v>
      </c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142</v>
      </c>
      <c r="E39" s="7" t="s">
        <v>105</v>
      </c>
      <c r="F39" s="8" t="s">
        <v>105</v>
      </c>
      <c r="G39" s="4" t="s">
        <v>597</v>
      </c>
      <c r="H39" s="9" t="s">
        <v>196</v>
      </c>
      <c r="I39" s="5" t="s">
        <v>598</v>
      </c>
      <c r="J39" s="5" t="s">
        <v>599</v>
      </c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146</v>
      </c>
      <c r="E40" s="7" t="s">
        <v>105</v>
      </c>
      <c r="F40" s="8" t="s">
        <v>105</v>
      </c>
      <c r="G40" s="4" t="s">
        <v>597</v>
      </c>
      <c r="H40" s="9" t="s">
        <v>196</v>
      </c>
      <c r="I40" s="5" t="s">
        <v>598</v>
      </c>
      <c r="J40" s="5" t="s">
        <v>599</v>
      </c>
      <c r="K40" s="6">
        <f t="shared" si="0"/>
        <v>1</v>
      </c>
    </row>
    <row r="41" spans="1:11" ht="15" customHeight="1">
      <c r="A41" s="4">
        <v>33</v>
      </c>
      <c r="B41" s="5" t="s">
        <v>135</v>
      </c>
      <c r="C41" s="5" t="s">
        <v>121</v>
      </c>
      <c r="D41" s="5" t="s">
        <v>144</v>
      </c>
      <c r="E41" s="7" t="s">
        <v>105</v>
      </c>
      <c r="F41" s="8" t="s">
        <v>105</v>
      </c>
      <c r="G41" s="4" t="s">
        <v>597</v>
      </c>
      <c r="H41" s="9" t="s">
        <v>196</v>
      </c>
      <c r="I41" s="5" t="s">
        <v>598</v>
      </c>
      <c r="J41" s="5" t="s">
        <v>599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135</v>
      </c>
      <c r="C42" s="5" t="s">
        <v>121</v>
      </c>
      <c r="D42" s="5" t="s">
        <v>616</v>
      </c>
      <c r="E42" s="7" t="s">
        <v>105</v>
      </c>
      <c r="F42" s="8" t="s">
        <v>105</v>
      </c>
      <c r="G42" s="4" t="s">
        <v>597</v>
      </c>
      <c r="H42" s="9" t="s">
        <v>196</v>
      </c>
      <c r="I42" s="5" t="s">
        <v>598</v>
      </c>
      <c r="J42" s="5" t="s">
        <v>599</v>
      </c>
      <c r="K42" s="6">
        <f t="shared" si="1"/>
        <v>1</v>
      </c>
    </row>
    <row r="43" spans="1:11" ht="15" customHeight="1">
      <c r="A43" s="4">
        <v>35</v>
      </c>
      <c r="B43" s="5" t="s">
        <v>135</v>
      </c>
      <c r="C43" s="5" t="s">
        <v>121</v>
      </c>
      <c r="D43" s="5" t="s">
        <v>617</v>
      </c>
      <c r="E43" s="7" t="s">
        <v>105</v>
      </c>
      <c r="F43" s="8" t="s">
        <v>105</v>
      </c>
      <c r="G43" s="4" t="s">
        <v>597</v>
      </c>
      <c r="H43" s="9" t="s">
        <v>196</v>
      </c>
      <c r="I43" s="5" t="s">
        <v>598</v>
      </c>
      <c r="J43" s="5" t="s">
        <v>599</v>
      </c>
      <c r="K43" s="6">
        <f t="shared" si="1"/>
        <v>1</v>
      </c>
    </row>
    <row r="44" spans="1:11" ht="15" customHeight="1">
      <c r="A44" s="4">
        <v>36</v>
      </c>
      <c r="B44" s="5" t="s">
        <v>120</v>
      </c>
      <c r="C44" s="5" t="s">
        <v>618</v>
      </c>
      <c r="D44" s="5" t="s">
        <v>122</v>
      </c>
      <c r="E44" s="7" t="s">
        <v>105</v>
      </c>
      <c r="F44" s="8" t="s">
        <v>105</v>
      </c>
      <c r="G44" s="4" t="s">
        <v>597</v>
      </c>
      <c r="H44" s="9" t="s">
        <v>196</v>
      </c>
      <c r="I44" s="5" t="s">
        <v>598</v>
      </c>
      <c r="J44" s="5" t="s">
        <v>599</v>
      </c>
      <c r="K44" s="6">
        <f t="shared" si="1"/>
        <v>1</v>
      </c>
    </row>
    <row r="45" spans="1:11" ht="15" customHeight="1">
      <c r="A45" s="4">
        <v>37</v>
      </c>
      <c r="B45" s="5" t="s">
        <v>120</v>
      </c>
      <c r="C45" s="5" t="s">
        <v>618</v>
      </c>
      <c r="D45" s="5" t="s">
        <v>123</v>
      </c>
      <c r="E45" s="7" t="s">
        <v>105</v>
      </c>
      <c r="F45" s="8" t="s">
        <v>105</v>
      </c>
      <c r="G45" s="4" t="s">
        <v>597</v>
      </c>
      <c r="H45" s="9" t="s">
        <v>196</v>
      </c>
      <c r="I45" s="5" t="s">
        <v>598</v>
      </c>
      <c r="J45" s="5" t="s">
        <v>599</v>
      </c>
      <c r="K45" s="6">
        <f t="shared" si="1"/>
        <v>1</v>
      </c>
    </row>
    <row r="46" spans="1:11" ht="30" customHeight="1">
      <c r="A46" s="4">
        <v>38</v>
      </c>
      <c r="B46" s="5" t="s">
        <v>124</v>
      </c>
      <c r="C46" s="5" t="s">
        <v>618</v>
      </c>
      <c r="D46" s="5" t="s">
        <v>125</v>
      </c>
      <c r="E46" s="7" t="s">
        <v>105</v>
      </c>
      <c r="F46" s="8" t="s">
        <v>105</v>
      </c>
      <c r="G46" s="4" t="s">
        <v>597</v>
      </c>
      <c r="H46" s="9" t="s">
        <v>196</v>
      </c>
      <c r="I46" s="5" t="s">
        <v>598</v>
      </c>
      <c r="J46" s="5" t="s">
        <v>599</v>
      </c>
      <c r="K46" s="6">
        <f t="shared" si="1"/>
        <v>1</v>
      </c>
    </row>
    <row r="47" spans="1:11" ht="45" customHeight="1">
      <c r="A47" s="4">
        <v>39</v>
      </c>
      <c r="B47" s="5" t="s">
        <v>124</v>
      </c>
      <c r="C47" s="5" t="s">
        <v>618</v>
      </c>
      <c r="D47" s="5" t="s">
        <v>126</v>
      </c>
      <c r="E47" s="7" t="s">
        <v>105</v>
      </c>
      <c r="F47" s="8" t="s">
        <v>105</v>
      </c>
      <c r="G47" s="4" t="s">
        <v>597</v>
      </c>
      <c r="H47" s="9" t="s">
        <v>196</v>
      </c>
      <c r="I47" s="5" t="s">
        <v>598</v>
      </c>
      <c r="J47" s="5" t="s">
        <v>599</v>
      </c>
      <c r="K47" s="6">
        <f t="shared" si="1"/>
        <v>1</v>
      </c>
    </row>
    <row r="48" spans="1:11" ht="15" customHeight="1">
      <c r="A48" s="4">
        <v>40</v>
      </c>
      <c r="B48" s="5" t="s">
        <v>95</v>
      </c>
      <c r="C48" s="5" t="s">
        <v>618</v>
      </c>
      <c r="D48" s="5" t="s">
        <v>127</v>
      </c>
      <c r="E48" s="7" t="s">
        <v>105</v>
      </c>
      <c r="F48" s="8" t="s">
        <v>105</v>
      </c>
      <c r="G48" s="4" t="s">
        <v>597</v>
      </c>
      <c r="H48" s="9" t="s">
        <v>196</v>
      </c>
      <c r="I48" s="5" t="s">
        <v>598</v>
      </c>
      <c r="J48" s="5" t="s">
        <v>599</v>
      </c>
      <c r="K48" s="6">
        <f t="shared" si="1"/>
        <v>1</v>
      </c>
    </row>
    <row r="49" spans="1:11" ht="15" customHeight="1">
      <c r="A49" s="4">
        <v>41</v>
      </c>
      <c r="B49" s="5" t="s">
        <v>128</v>
      </c>
      <c r="C49" s="5" t="s">
        <v>618</v>
      </c>
      <c r="D49" s="5" t="s">
        <v>129</v>
      </c>
      <c r="E49" s="7" t="s">
        <v>105</v>
      </c>
      <c r="F49" s="8" t="s">
        <v>105</v>
      </c>
      <c r="G49" s="4" t="s">
        <v>597</v>
      </c>
      <c r="H49" s="9" t="s">
        <v>196</v>
      </c>
      <c r="I49" s="5" t="s">
        <v>606</v>
      </c>
      <c r="J49" s="5" t="s">
        <v>599</v>
      </c>
      <c r="K49" s="6">
        <f t="shared" si="1"/>
        <v>1</v>
      </c>
    </row>
    <row r="50" spans="1:11" ht="15" customHeight="1">
      <c r="A50" s="4">
        <v>42</v>
      </c>
      <c r="B50" s="5" t="s">
        <v>133</v>
      </c>
      <c r="C50" s="5" t="s">
        <v>618</v>
      </c>
      <c r="D50" s="5" t="s">
        <v>619</v>
      </c>
      <c r="E50" s="7" t="s">
        <v>105</v>
      </c>
      <c r="F50" s="8" t="s">
        <v>105</v>
      </c>
      <c r="G50" s="4" t="s">
        <v>597</v>
      </c>
      <c r="H50" s="9" t="s">
        <v>196</v>
      </c>
      <c r="I50" s="5" t="s">
        <v>598</v>
      </c>
      <c r="J50" s="5" t="s">
        <v>599</v>
      </c>
      <c r="K50" s="6">
        <f t="shared" si="1"/>
        <v>1</v>
      </c>
    </row>
    <row r="51" spans="1:11" ht="15" customHeight="1">
      <c r="A51" s="4">
        <v>43</v>
      </c>
      <c r="B51" s="5" t="s">
        <v>130</v>
      </c>
      <c r="C51" s="5" t="s">
        <v>618</v>
      </c>
      <c r="D51" s="5" t="s">
        <v>131</v>
      </c>
      <c r="E51" s="7" t="s">
        <v>105</v>
      </c>
      <c r="F51" s="8" t="s">
        <v>105</v>
      </c>
      <c r="G51" s="4" t="s">
        <v>597</v>
      </c>
      <c r="H51" s="9" t="s">
        <v>196</v>
      </c>
      <c r="I51" s="5" t="s">
        <v>598</v>
      </c>
      <c r="J51" s="5" t="s">
        <v>599</v>
      </c>
      <c r="K51" s="6">
        <f t="shared" si="1"/>
        <v>1</v>
      </c>
    </row>
    <row r="52" spans="1:11" ht="15" customHeight="1">
      <c r="A52" s="4">
        <v>44</v>
      </c>
      <c r="B52" s="5" t="s">
        <v>130</v>
      </c>
      <c r="C52" s="5" t="s">
        <v>618</v>
      </c>
      <c r="D52" s="5" t="s">
        <v>132</v>
      </c>
      <c r="E52" s="7" t="s">
        <v>105</v>
      </c>
      <c r="F52" s="8" t="s">
        <v>105</v>
      </c>
      <c r="G52" s="4" t="s">
        <v>597</v>
      </c>
      <c r="H52" s="9" t="s">
        <v>196</v>
      </c>
      <c r="I52" s="5" t="s">
        <v>598</v>
      </c>
      <c r="J52" s="5" t="s">
        <v>599</v>
      </c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618</v>
      </c>
      <c r="D53" s="5" t="s">
        <v>142</v>
      </c>
      <c r="E53" s="7" t="s">
        <v>105</v>
      </c>
      <c r="F53" s="8" t="s">
        <v>105</v>
      </c>
      <c r="G53" s="4" t="s">
        <v>597</v>
      </c>
      <c r="H53" s="9" t="s">
        <v>196</v>
      </c>
      <c r="I53" s="5" t="s">
        <v>598</v>
      </c>
      <c r="J53" s="5" t="s">
        <v>599</v>
      </c>
      <c r="K53" s="6">
        <f t="shared" si="1"/>
        <v>1</v>
      </c>
    </row>
    <row r="54" spans="1:11" ht="15" customHeight="1">
      <c r="A54" s="4">
        <v>46</v>
      </c>
      <c r="B54" s="5" t="s">
        <v>133</v>
      </c>
      <c r="C54" s="5" t="s">
        <v>618</v>
      </c>
      <c r="D54" s="5" t="s">
        <v>146</v>
      </c>
      <c r="E54" s="7" t="s">
        <v>105</v>
      </c>
      <c r="F54" s="8" t="s">
        <v>105</v>
      </c>
      <c r="G54" s="4" t="s">
        <v>597</v>
      </c>
      <c r="H54" s="9" t="s">
        <v>196</v>
      </c>
      <c r="I54" s="5" t="s">
        <v>598</v>
      </c>
      <c r="J54" s="5" t="s">
        <v>599</v>
      </c>
      <c r="K54" s="6">
        <f t="shared" si="1"/>
        <v>1</v>
      </c>
    </row>
    <row r="55" spans="1:11" ht="15" customHeight="1">
      <c r="A55" s="4">
        <v>47</v>
      </c>
      <c r="B55" s="5" t="s">
        <v>135</v>
      </c>
      <c r="C55" s="5" t="s">
        <v>618</v>
      </c>
      <c r="D55" s="5" t="s">
        <v>144</v>
      </c>
      <c r="E55" s="7" t="s">
        <v>105</v>
      </c>
      <c r="F55" s="8" t="s">
        <v>105</v>
      </c>
      <c r="G55" s="4" t="s">
        <v>597</v>
      </c>
      <c r="H55" s="9" t="s">
        <v>196</v>
      </c>
      <c r="I55" s="5" t="s">
        <v>598</v>
      </c>
      <c r="J55" s="5" t="s">
        <v>599</v>
      </c>
      <c r="K55" s="6">
        <f t="shared" si="1"/>
        <v>1</v>
      </c>
    </row>
    <row r="56" spans="1:11" ht="15" customHeight="1">
      <c r="A56" s="4">
        <v>48</v>
      </c>
      <c r="B56" s="5" t="s">
        <v>153</v>
      </c>
      <c r="C56" s="5" t="s">
        <v>154</v>
      </c>
      <c r="D56" s="5" t="s">
        <v>620</v>
      </c>
      <c r="E56" s="7" t="s">
        <v>105</v>
      </c>
      <c r="F56" s="8" t="s">
        <v>105</v>
      </c>
      <c r="G56" s="4" t="s">
        <v>597</v>
      </c>
      <c r="H56" s="9" t="s">
        <v>196</v>
      </c>
      <c r="I56" s="5" t="s">
        <v>598</v>
      </c>
      <c r="J56" s="5" t="s">
        <v>599</v>
      </c>
      <c r="K56" s="6">
        <f t="shared" si="1"/>
        <v>1</v>
      </c>
    </row>
    <row r="57" spans="1:11" ht="15" customHeight="1">
      <c r="A57" s="4">
        <v>49</v>
      </c>
      <c r="B57" s="5" t="s">
        <v>153</v>
      </c>
      <c r="C57" s="5" t="s">
        <v>154</v>
      </c>
      <c r="D57" s="5" t="s">
        <v>562</v>
      </c>
      <c r="E57" s="7" t="s">
        <v>105</v>
      </c>
      <c r="F57" s="8" t="s">
        <v>105</v>
      </c>
      <c r="G57" s="4" t="s">
        <v>597</v>
      </c>
      <c r="H57" s="9" t="s">
        <v>196</v>
      </c>
      <c r="I57" s="5" t="s">
        <v>598</v>
      </c>
      <c r="J57" s="5" t="s">
        <v>599</v>
      </c>
      <c r="K57" s="6">
        <f t="shared" si="1"/>
        <v>1</v>
      </c>
    </row>
    <row r="58" spans="1:11" ht="15" customHeight="1">
      <c r="A58" s="4">
        <v>50</v>
      </c>
      <c r="B58" s="5" t="s">
        <v>153</v>
      </c>
      <c r="C58" s="5" t="s">
        <v>154</v>
      </c>
      <c r="D58" s="5" t="s">
        <v>621</v>
      </c>
      <c r="E58" s="7" t="s">
        <v>105</v>
      </c>
      <c r="F58" s="8" t="s">
        <v>105</v>
      </c>
      <c r="G58" s="4" t="s">
        <v>597</v>
      </c>
      <c r="H58" s="9" t="s">
        <v>196</v>
      </c>
      <c r="I58" s="5" t="s">
        <v>598</v>
      </c>
      <c r="J58" s="5" t="s">
        <v>599</v>
      </c>
      <c r="K58" s="6">
        <f t="shared" si="1"/>
        <v>1</v>
      </c>
    </row>
    <row r="59" spans="1:11" ht="15" customHeight="1">
      <c r="A59" s="4">
        <v>51</v>
      </c>
      <c r="B59" s="5" t="s">
        <v>153</v>
      </c>
      <c r="C59" s="5" t="s">
        <v>154</v>
      </c>
      <c r="D59" s="5" t="s">
        <v>438</v>
      </c>
      <c r="E59" s="7" t="s">
        <v>105</v>
      </c>
      <c r="F59" s="8" t="s">
        <v>105</v>
      </c>
      <c r="G59" s="4" t="s">
        <v>597</v>
      </c>
      <c r="H59" s="9" t="s">
        <v>196</v>
      </c>
      <c r="I59" s="5" t="s">
        <v>598</v>
      </c>
      <c r="J59" s="5" t="s">
        <v>599</v>
      </c>
      <c r="K59" s="6">
        <f t="shared" si="1"/>
        <v>1</v>
      </c>
    </row>
    <row r="60" spans="1:11" ht="15" customHeight="1">
      <c r="A60" s="4">
        <v>52</v>
      </c>
      <c r="B60" s="5" t="s">
        <v>153</v>
      </c>
      <c r="C60" s="5" t="s">
        <v>154</v>
      </c>
      <c r="D60" s="5" t="s">
        <v>622</v>
      </c>
      <c r="E60" s="7" t="s">
        <v>105</v>
      </c>
      <c r="F60" s="8" t="s">
        <v>105</v>
      </c>
      <c r="G60" s="4" t="s">
        <v>597</v>
      </c>
      <c r="H60" s="9" t="s">
        <v>196</v>
      </c>
      <c r="I60" s="5" t="s">
        <v>598</v>
      </c>
      <c r="J60" s="5" t="s">
        <v>599</v>
      </c>
      <c r="K60" s="6">
        <f t="shared" si="1"/>
        <v>1</v>
      </c>
    </row>
    <row r="61" spans="1:11" ht="15" customHeight="1">
      <c r="A61" s="4">
        <v>53</v>
      </c>
      <c r="B61" s="5" t="s">
        <v>153</v>
      </c>
      <c r="C61" s="5" t="s">
        <v>154</v>
      </c>
      <c r="D61" s="5" t="s">
        <v>623</v>
      </c>
      <c r="E61" s="7" t="s">
        <v>105</v>
      </c>
      <c r="F61" s="8" t="s">
        <v>105</v>
      </c>
      <c r="G61" s="4" t="s">
        <v>597</v>
      </c>
      <c r="H61" s="9" t="s">
        <v>196</v>
      </c>
      <c r="I61" s="5" t="s">
        <v>598</v>
      </c>
      <c r="J61" s="5" t="s">
        <v>599</v>
      </c>
      <c r="K61" s="6">
        <f t="shared" si="1"/>
        <v>1</v>
      </c>
    </row>
    <row r="62" spans="1:11" ht="15" customHeight="1">
      <c r="A62" s="4">
        <v>54</v>
      </c>
      <c r="B62" s="5" t="s">
        <v>159</v>
      </c>
      <c r="C62" s="5" t="s">
        <v>154</v>
      </c>
      <c r="D62" s="5" t="s">
        <v>160</v>
      </c>
      <c r="E62" s="7" t="s">
        <v>105</v>
      </c>
      <c r="F62" s="8" t="s">
        <v>105</v>
      </c>
      <c r="G62" s="4" t="s">
        <v>597</v>
      </c>
      <c r="H62" s="9" t="s">
        <v>196</v>
      </c>
      <c r="I62" s="5" t="s">
        <v>598</v>
      </c>
      <c r="J62" s="5" t="s">
        <v>599</v>
      </c>
      <c r="K62" s="6">
        <f t="shared" si="1"/>
        <v>1</v>
      </c>
    </row>
    <row r="63" spans="1:11" ht="15" customHeight="1">
      <c r="A63" s="4">
        <v>55</v>
      </c>
      <c r="B63" s="5" t="s">
        <v>159</v>
      </c>
      <c r="C63" s="5" t="s">
        <v>154</v>
      </c>
      <c r="D63" s="5" t="s">
        <v>624</v>
      </c>
      <c r="E63" s="7" t="s">
        <v>105</v>
      </c>
      <c r="F63" s="8" t="s">
        <v>105</v>
      </c>
      <c r="G63" s="4" t="s">
        <v>597</v>
      </c>
      <c r="H63" s="9" t="s">
        <v>196</v>
      </c>
      <c r="I63" s="5" t="s">
        <v>598</v>
      </c>
      <c r="J63" s="5" t="s">
        <v>599</v>
      </c>
      <c r="K63" s="6">
        <f t="shared" si="1"/>
        <v>1</v>
      </c>
    </row>
    <row r="64" spans="1:11" ht="15" customHeight="1">
      <c r="A64" s="4">
        <v>56</v>
      </c>
      <c r="B64" s="5" t="s">
        <v>159</v>
      </c>
      <c r="C64" s="5" t="s">
        <v>154</v>
      </c>
      <c r="D64" s="5" t="s">
        <v>625</v>
      </c>
      <c r="E64" s="7" t="s">
        <v>105</v>
      </c>
      <c r="F64" s="8" t="s">
        <v>105</v>
      </c>
      <c r="G64" s="4" t="s">
        <v>597</v>
      </c>
      <c r="H64" s="9" t="s">
        <v>196</v>
      </c>
      <c r="I64" s="5" t="s">
        <v>598</v>
      </c>
      <c r="J64" s="5" t="s">
        <v>599</v>
      </c>
      <c r="K64" s="6">
        <f t="shared" si="1"/>
        <v>1</v>
      </c>
    </row>
    <row r="65" spans="1:11" ht="15" customHeight="1">
      <c r="A65" s="4">
        <v>57</v>
      </c>
      <c r="B65" s="5" t="s">
        <v>159</v>
      </c>
      <c r="C65" s="5" t="s">
        <v>154</v>
      </c>
      <c r="D65" s="5" t="s">
        <v>162</v>
      </c>
      <c r="E65" s="7" t="s">
        <v>105</v>
      </c>
      <c r="F65" s="8" t="s">
        <v>105</v>
      </c>
      <c r="G65" s="4" t="s">
        <v>597</v>
      </c>
      <c r="H65" s="9" t="s">
        <v>196</v>
      </c>
      <c r="I65" s="5" t="s">
        <v>598</v>
      </c>
      <c r="J65" s="5" t="s">
        <v>599</v>
      </c>
      <c r="K65" s="6">
        <f t="shared" si="1"/>
        <v>1</v>
      </c>
    </row>
    <row r="66" spans="1:11" ht="15" customHeight="1">
      <c r="A66" s="4">
        <v>58</v>
      </c>
      <c r="B66" s="5" t="s">
        <v>159</v>
      </c>
      <c r="C66" s="5" t="s">
        <v>154</v>
      </c>
      <c r="D66" s="5" t="s">
        <v>163</v>
      </c>
      <c r="E66" s="7" t="s">
        <v>105</v>
      </c>
      <c r="F66" s="8" t="s">
        <v>105</v>
      </c>
      <c r="G66" s="4" t="s">
        <v>597</v>
      </c>
      <c r="H66" s="9" t="s">
        <v>196</v>
      </c>
      <c r="I66" s="5" t="s">
        <v>598</v>
      </c>
      <c r="J66" s="5" t="s">
        <v>599</v>
      </c>
      <c r="K66" s="6">
        <f t="shared" si="1"/>
        <v>1</v>
      </c>
    </row>
    <row r="67" spans="1:11" ht="30" customHeight="1">
      <c r="A67" s="4">
        <v>59</v>
      </c>
      <c r="B67" s="5" t="s">
        <v>130</v>
      </c>
      <c r="C67" s="5" t="s">
        <v>23</v>
      </c>
      <c r="D67" s="5" t="s">
        <v>164</v>
      </c>
      <c r="E67" s="7" t="s">
        <v>105</v>
      </c>
      <c r="F67" s="8" t="s">
        <v>105</v>
      </c>
      <c r="G67" s="4" t="s">
        <v>597</v>
      </c>
      <c r="H67" s="9" t="s">
        <v>196</v>
      </c>
      <c r="I67" s="5" t="s">
        <v>598</v>
      </c>
      <c r="J67" s="5" t="s">
        <v>599</v>
      </c>
      <c r="K67" s="6">
        <f t="shared" si="1"/>
        <v>1</v>
      </c>
    </row>
    <row r="68" spans="1:11" ht="15" customHeight="1">
      <c r="A68" s="4">
        <v>60</v>
      </c>
      <c r="B68" s="5" t="s">
        <v>130</v>
      </c>
      <c r="C68" s="5" t="s">
        <v>23</v>
      </c>
      <c r="D68" s="5" t="s">
        <v>165</v>
      </c>
      <c r="E68" s="7" t="s">
        <v>105</v>
      </c>
      <c r="F68" s="8" t="s">
        <v>105</v>
      </c>
      <c r="G68" s="4" t="s">
        <v>597</v>
      </c>
      <c r="H68" s="9" t="s">
        <v>196</v>
      </c>
      <c r="I68" s="5" t="s">
        <v>598</v>
      </c>
      <c r="J68" s="5" t="s">
        <v>599</v>
      </c>
      <c r="K68" s="6">
        <f t="shared" si="1"/>
        <v>1</v>
      </c>
    </row>
    <row r="69" spans="1:11" ht="45" customHeight="1">
      <c r="A69" s="4">
        <v>61</v>
      </c>
      <c r="B69" s="5" t="s">
        <v>130</v>
      </c>
      <c r="C69" s="5" t="s">
        <v>23</v>
      </c>
      <c r="D69" s="5" t="s">
        <v>166</v>
      </c>
      <c r="E69" s="7" t="s">
        <v>105</v>
      </c>
      <c r="F69" s="8" t="s">
        <v>105</v>
      </c>
      <c r="G69" s="4" t="s">
        <v>597</v>
      </c>
      <c r="H69" s="9" t="s">
        <v>196</v>
      </c>
      <c r="I69" s="5" t="s">
        <v>598</v>
      </c>
      <c r="J69" s="5" t="s">
        <v>599</v>
      </c>
      <c r="K69" s="6">
        <f t="shared" si="1"/>
        <v>1</v>
      </c>
    </row>
    <row r="70" spans="1:11" ht="15" customHeight="1">
      <c r="A70" s="4">
        <v>62</v>
      </c>
      <c r="B70" s="5" t="s">
        <v>130</v>
      </c>
      <c r="C70" s="5" t="s">
        <v>23</v>
      </c>
      <c r="D70" s="5" t="s">
        <v>167</v>
      </c>
      <c r="E70" s="7" t="s">
        <v>105</v>
      </c>
      <c r="F70" s="8" t="s">
        <v>105</v>
      </c>
      <c r="G70" s="4" t="s">
        <v>597</v>
      </c>
      <c r="H70" s="9" t="s">
        <v>196</v>
      </c>
      <c r="I70" s="5" t="s">
        <v>598</v>
      </c>
      <c r="J70" s="5" t="s">
        <v>599</v>
      </c>
      <c r="K70" s="6">
        <f t="shared" si="1"/>
        <v>1</v>
      </c>
    </row>
    <row r="71" spans="1:11" ht="15" customHeight="1">
      <c r="A71" s="4">
        <v>63</v>
      </c>
      <c r="B71" s="5" t="s">
        <v>130</v>
      </c>
      <c r="C71" s="5" t="s">
        <v>23</v>
      </c>
      <c r="D71" s="5" t="s">
        <v>168</v>
      </c>
      <c r="E71" s="7" t="s">
        <v>105</v>
      </c>
      <c r="F71" s="8" t="s">
        <v>105</v>
      </c>
      <c r="G71" s="4" t="s">
        <v>597</v>
      </c>
      <c r="H71" s="9" t="s">
        <v>196</v>
      </c>
      <c r="I71" s="5" t="s">
        <v>626</v>
      </c>
      <c r="J71" s="5" t="s">
        <v>599</v>
      </c>
      <c r="K71" s="6">
        <f t="shared" si="1"/>
        <v>1</v>
      </c>
    </row>
    <row r="72" spans="1:11" ht="15" customHeight="1">
      <c r="A72" s="4">
        <v>64</v>
      </c>
      <c r="B72" s="5" t="s">
        <v>135</v>
      </c>
      <c r="C72" s="5" t="s">
        <v>121</v>
      </c>
      <c r="D72" s="5" t="s">
        <v>169</v>
      </c>
      <c r="E72" s="7" t="s">
        <v>105</v>
      </c>
      <c r="F72" s="8" t="s">
        <v>105</v>
      </c>
      <c r="G72" s="4" t="s">
        <v>597</v>
      </c>
      <c r="H72" s="9" t="s">
        <v>196</v>
      </c>
      <c r="I72" s="5" t="s">
        <v>598</v>
      </c>
      <c r="J72" s="5" t="s">
        <v>599</v>
      </c>
      <c r="K72" s="6">
        <f t="shared" si="1"/>
        <v>1</v>
      </c>
    </row>
    <row r="73" spans="1:11" ht="30" customHeight="1">
      <c r="A73" s="4">
        <v>65</v>
      </c>
      <c r="B73" s="5" t="s">
        <v>135</v>
      </c>
      <c r="C73" s="5" t="s">
        <v>121</v>
      </c>
      <c r="D73" s="5" t="s">
        <v>170</v>
      </c>
      <c r="E73" s="7" t="s">
        <v>105</v>
      </c>
      <c r="F73" s="8" t="s">
        <v>105</v>
      </c>
      <c r="G73" s="4" t="s">
        <v>597</v>
      </c>
      <c r="H73" s="9" t="s">
        <v>196</v>
      </c>
      <c r="I73" s="5" t="s">
        <v>598</v>
      </c>
      <c r="J73" s="5" t="s">
        <v>599</v>
      </c>
      <c r="K73" s="6">
        <f t="shared" ref="K73:K82" si="2">IF(AND(E73="yes",F73="yes",H73="covered"),1,IF(H73="partial",0.5,0))</f>
        <v>1</v>
      </c>
    </row>
    <row r="74" spans="1:11" ht="30" customHeight="1">
      <c r="A74" s="4">
        <v>66</v>
      </c>
      <c r="B74" s="5" t="s">
        <v>135</v>
      </c>
      <c r="C74" s="5" t="s">
        <v>121</v>
      </c>
      <c r="D74" s="5" t="s">
        <v>171</v>
      </c>
      <c r="E74" s="7" t="s">
        <v>105</v>
      </c>
      <c r="F74" s="8" t="s">
        <v>105</v>
      </c>
      <c r="G74" s="4" t="s">
        <v>597</v>
      </c>
      <c r="H74" s="9" t="s">
        <v>196</v>
      </c>
      <c r="I74" s="5" t="s">
        <v>598</v>
      </c>
      <c r="J74" s="5" t="s">
        <v>599</v>
      </c>
      <c r="K74" s="6">
        <f t="shared" si="2"/>
        <v>1</v>
      </c>
    </row>
    <row r="75" spans="1:11" ht="30" customHeight="1">
      <c r="A75" s="4">
        <v>67</v>
      </c>
      <c r="B75" s="5" t="s">
        <v>135</v>
      </c>
      <c r="C75" s="5" t="s">
        <v>23</v>
      </c>
      <c r="D75" s="5" t="s">
        <v>627</v>
      </c>
      <c r="E75" s="7" t="s">
        <v>105</v>
      </c>
      <c r="F75" s="8" t="s">
        <v>105</v>
      </c>
      <c r="G75" s="4" t="s">
        <v>597</v>
      </c>
      <c r="H75" s="9" t="s">
        <v>196</v>
      </c>
      <c r="I75" s="5" t="s">
        <v>598</v>
      </c>
      <c r="J75" s="5" t="s">
        <v>599</v>
      </c>
      <c r="K75" s="6">
        <f t="shared" si="2"/>
        <v>1</v>
      </c>
    </row>
    <row r="76" spans="1:11" ht="30" customHeight="1">
      <c r="A76" s="4">
        <v>68</v>
      </c>
      <c r="B76" s="5" t="s">
        <v>135</v>
      </c>
      <c r="C76" s="5" t="s">
        <v>23</v>
      </c>
      <c r="D76" s="5" t="s">
        <v>628</v>
      </c>
      <c r="E76" s="7" t="s">
        <v>105</v>
      </c>
      <c r="F76" s="8" t="s">
        <v>105</v>
      </c>
      <c r="G76" s="4" t="s">
        <v>597</v>
      </c>
      <c r="H76" s="9" t="s">
        <v>196</v>
      </c>
      <c r="I76" s="5" t="s">
        <v>598</v>
      </c>
      <c r="J76" s="5" t="s">
        <v>599</v>
      </c>
      <c r="K76" s="6">
        <f t="shared" si="2"/>
        <v>1</v>
      </c>
    </row>
    <row r="77" spans="1:11" ht="15" customHeight="1">
      <c r="A77" s="4">
        <v>69</v>
      </c>
      <c r="B77" s="5" t="s">
        <v>135</v>
      </c>
      <c r="C77" s="5" t="s">
        <v>23</v>
      </c>
      <c r="D77" s="5" t="s">
        <v>629</v>
      </c>
      <c r="E77" s="7" t="s">
        <v>105</v>
      </c>
      <c r="F77" s="8" t="s">
        <v>105</v>
      </c>
      <c r="G77" s="4" t="s">
        <v>597</v>
      </c>
      <c r="H77" s="9" t="s">
        <v>196</v>
      </c>
      <c r="I77" s="5" t="s">
        <v>598</v>
      </c>
      <c r="J77" s="5" t="s">
        <v>599</v>
      </c>
      <c r="K77" s="6">
        <f t="shared" si="2"/>
        <v>1</v>
      </c>
    </row>
    <row r="78" spans="1:11" ht="30" customHeight="1">
      <c r="A78" s="4">
        <v>70</v>
      </c>
      <c r="B78" s="5" t="s">
        <v>135</v>
      </c>
      <c r="C78" s="5" t="s">
        <v>23</v>
      </c>
      <c r="D78" s="5" t="s">
        <v>630</v>
      </c>
      <c r="E78" s="7" t="s">
        <v>105</v>
      </c>
      <c r="F78" s="8" t="s">
        <v>105</v>
      </c>
      <c r="G78" s="4" t="s">
        <v>597</v>
      </c>
      <c r="H78" s="9" t="s">
        <v>196</v>
      </c>
      <c r="I78" s="5" t="s">
        <v>598</v>
      </c>
      <c r="J78" s="5" t="s">
        <v>599</v>
      </c>
      <c r="K78" s="6">
        <f t="shared" si="2"/>
        <v>1</v>
      </c>
    </row>
    <row r="79" spans="1:11" ht="15" customHeight="1">
      <c r="A79" s="4">
        <v>71</v>
      </c>
      <c r="B79" s="5" t="s">
        <v>591</v>
      </c>
      <c r="C79" s="5" t="s">
        <v>23</v>
      </c>
      <c r="D79" s="5" t="s">
        <v>631</v>
      </c>
      <c r="E79" s="7" t="s">
        <v>105</v>
      </c>
      <c r="F79" s="8" t="s">
        <v>105</v>
      </c>
      <c r="G79" s="4" t="s">
        <v>597</v>
      </c>
      <c r="H79" s="9" t="s">
        <v>196</v>
      </c>
      <c r="I79" s="5" t="s">
        <v>598</v>
      </c>
      <c r="J79" s="5" t="s">
        <v>599</v>
      </c>
      <c r="K79" s="6">
        <f t="shared" si="2"/>
        <v>1</v>
      </c>
    </row>
    <row r="80" spans="1:11" ht="15" customHeight="1">
      <c r="A80" s="4">
        <v>72</v>
      </c>
      <c r="B80" s="5" t="s">
        <v>591</v>
      </c>
      <c r="C80" s="5" t="s">
        <v>23</v>
      </c>
      <c r="D80" s="5" t="s">
        <v>632</v>
      </c>
      <c r="E80" s="7" t="s">
        <v>105</v>
      </c>
      <c r="F80" s="8" t="s">
        <v>105</v>
      </c>
      <c r="G80" s="4" t="s">
        <v>597</v>
      </c>
      <c r="H80" s="9" t="s">
        <v>196</v>
      </c>
      <c r="I80" s="5" t="s">
        <v>598</v>
      </c>
      <c r="J80" s="5" t="s">
        <v>599</v>
      </c>
      <c r="K80" s="6">
        <f t="shared" si="2"/>
        <v>1</v>
      </c>
    </row>
    <row r="81" spans="1:11" ht="15" customHeight="1">
      <c r="A81" s="4">
        <v>73</v>
      </c>
      <c r="B81" s="5" t="s">
        <v>179</v>
      </c>
      <c r="C81" s="5" t="s">
        <v>23</v>
      </c>
      <c r="D81" s="5" t="s">
        <v>633</v>
      </c>
      <c r="E81" s="7" t="s">
        <v>105</v>
      </c>
      <c r="F81" s="8" t="s">
        <v>105</v>
      </c>
      <c r="G81" s="4" t="s">
        <v>597</v>
      </c>
      <c r="H81" s="9" t="s">
        <v>196</v>
      </c>
      <c r="I81" s="5" t="s">
        <v>598</v>
      </c>
      <c r="J81" s="5" t="s">
        <v>599</v>
      </c>
      <c r="K81" s="6">
        <f t="shared" si="2"/>
        <v>1</v>
      </c>
    </row>
    <row r="82" spans="1:11" ht="15" customHeight="1">
      <c r="A82" s="4">
        <v>74</v>
      </c>
      <c r="B82" s="5" t="s">
        <v>179</v>
      </c>
      <c r="C82" s="5" t="s">
        <v>23</v>
      </c>
      <c r="D82" s="5" t="s">
        <v>634</v>
      </c>
      <c r="E82" s="7" t="s">
        <v>105</v>
      </c>
      <c r="F82" s="8" t="s">
        <v>105</v>
      </c>
      <c r="G82" s="4" t="s">
        <v>597</v>
      </c>
      <c r="H82" s="9" t="s">
        <v>196</v>
      </c>
      <c r="I82" s="5" t="s">
        <v>598</v>
      </c>
      <c r="J82" s="5" t="s">
        <v>599</v>
      </c>
      <c r="K82" s="6">
        <f t="shared" si="2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635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98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597</v>
      </c>
      <c r="H9" s="9" t="s">
        <v>196</v>
      </c>
      <c r="I9" s="5" t="s">
        <v>636</v>
      </c>
      <c r="J9" s="5" t="s">
        <v>599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597</v>
      </c>
      <c r="H10" s="9" t="s">
        <v>196</v>
      </c>
      <c r="I10" s="5" t="s">
        <v>636</v>
      </c>
      <c r="J10" s="5" t="s">
        <v>599</v>
      </c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24</v>
      </c>
      <c r="D11" s="5" t="s">
        <v>104</v>
      </c>
      <c r="E11" s="7" t="s">
        <v>105</v>
      </c>
      <c r="F11" s="8" t="s">
        <v>105</v>
      </c>
      <c r="G11" s="4" t="s">
        <v>597</v>
      </c>
      <c r="H11" s="9" t="s">
        <v>196</v>
      </c>
      <c r="I11" s="5" t="s">
        <v>636</v>
      </c>
      <c r="J11" s="5" t="s">
        <v>599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24</v>
      </c>
      <c r="D12" s="5" t="s">
        <v>110</v>
      </c>
      <c r="E12" s="7" t="s">
        <v>105</v>
      </c>
      <c r="F12" s="8" t="s">
        <v>105</v>
      </c>
      <c r="G12" s="4" t="s">
        <v>597</v>
      </c>
      <c r="H12" s="9" t="s">
        <v>196</v>
      </c>
      <c r="I12" s="5" t="s">
        <v>636</v>
      </c>
      <c r="J12" s="5" t="s">
        <v>599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24</v>
      </c>
      <c r="D13" s="5" t="s">
        <v>111</v>
      </c>
      <c r="E13" s="7" t="s">
        <v>105</v>
      </c>
      <c r="F13" s="8" t="s">
        <v>105</v>
      </c>
      <c r="G13" s="4" t="s">
        <v>597</v>
      </c>
      <c r="H13" s="9" t="s">
        <v>196</v>
      </c>
      <c r="I13" s="5" t="s">
        <v>636</v>
      </c>
      <c r="J13" s="5" t="s">
        <v>599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24</v>
      </c>
      <c r="D14" s="5" t="s">
        <v>112</v>
      </c>
      <c r="E14" s="7" t="s">
        <v>105</v>
      </c>
      <c r="F14" s="8" t="s">
        <v>105</v>
      </c>
      <c r="G14" s="4" t="s">
        <v>597</v>
      </c>
      <c r="H14" s="9" t="s">
        <v>196</v>
      </c>
      <c r="I14" s="5" t="s">
        <v>636</v>
      </c>
      <c r="J14" s="5" t="s">
        <v>599</v>
      </c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24</v>
      </c>
      <c r="D15" s="5" t="s">
        <v>637</v>
      </c>
      <c r="E15" s="7" t="s">
        <v>105</v>
      </c>
      <c r="F15" s="8" t="s">
        <v>105</v>
      </c>
      <c r="G15" s="4" t="s">
        <v>597</v>
      </c>
      <c r="H15" s="9" t="s">
        <v>196</v>
      </c>
      <c r="I15" s="5" t="s">
        <v>636</v>
      </c>
      <c r="J15" s="5" t="s">
        <v>599</v>
      </c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24</v>
      </c>
      <c r="D16" s="5" t="s">
        <v>602</v>
      </c>
      <c r="E16" s="7" t="s">
        <v>105</v>
      </c>
      <c r="F16" s="8" t="s">
        <v>105</v>
      </c>
      <c r="G16" s="4" t="s">
        <v>597</v>
      </c>
      <c r="H16" s="9" t="s">
        <v>196</v>
      </c>
      <c r="I16" s="5" t="s">
        <v>636</v>
      </c>
      <c r="J16" s="5" t="s">
        <v>599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24</v>
      </c>
      <c r="D17" s="5" t="s">
        <v>638</v>
      </c>
      <c r="E17" s="7" t="s">
        <v>105</v>
      </c>
      <c r="F17" s="8" t="s">
        <v>105</v>
      </c>
      <c r="G17" s="4" t="s">
        <v>597</v>
      </c>
      <c r="H17" s="9" t="s">
        <v>196</v>
      </c>
      <c r="I17" s="5" t="s">
        <v>636</v>
      </c>
      <c r="J17" s="5" t="s">
        <v>599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24</v>
      </c>
      <c r="D18" s="5" t="s">
        <v>639</v>
      </c>
      <c r="E18" s="7" t="s">
        <v>105</v>
      </c>
      <c r="F18" s="8" t="s">
        <v>105</v>
      </c>
      <c r="G18" s="4" t="s">
        <v>597</v>
      </c>
      <c r="H18" s="9" t="s">
        <v>196</v>
      </c>
      <c r="I18" s="5" t="s">
        <v>636</v>
      </c>
      <c r="J18" s="5" t="s">
        <v>599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24</v>
      </c>
      <c r="D19" s="5" t="s">
        <v>640</v>
      </c>
      <c r="E19" s="7" t="s">
        <v>105</v>
      </c>
      <c r="F19" s="8" t="s">
        <v>105</v>
      </c>
      <c r="G19" s="4" t="s">
        <v>597</v>
      </c>
      <c r="H19" s="9" t="s">
        <v>196</v>
      </c>
      <c r="I19" s="5" t="s">
        <v>636</v>
      </c>
      <c r="J19" s="5" t="s">
        <v>599</v>
      </c>
      <c r="K19" s="6">
        <f t="shared" si="0"/>
        <v>1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105</v>
      </c>
      <c r="G20" s="4" t="s">
        <v>597</v>
      </c>
      <c r="H20" s="9" t="s">
        <v>196</v>
      </c>
      <c r="I20" s="5" t="s">
        <v>636</v>
      </c>
      <c r="J20" s="5" t="s">
        <v>599</v>
      </c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105</v>
      </c>
      <c r="G21" s="4" t="s">
        <v>597</v>
      </c>
      <c r="H21" s="9" t="s">
        <v>196</v>
      </c>
      <c r="I21" s="5" t="s">
        <v>636</v>
      </c>
      <c r="J21" s="5" t="s">
        <v>599</v>
      </c>
      <c r="K21" s="6">
        <f t="shared" si="0"/>
        <v>1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105</v>
      </c>
      <c r="G22" s="4" t="s">
        <v>597</v>
      </c>
      <c r="H22" s="9" t="s">
        <v>196</v>
      </c>
      <c r="I22" s="5" t="s">
        <v>636</v>
      </c>
      <c r="J22" s="5" t="s">
        <v>599</v>
      </c>
      <c r="K22" s="6">
        <f t="shared" si="0"/>
        <v>1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105</v>
      </c>
      <c r="G23" s="4" t="s">
        <v>597</v>
      </c>
      <c r="H23" s="9" t="s">
        <v>196</v>
      </c>
      <c r="I23" s="5" t="s">
        <v>636</v>
      </c>
      <c r="J23" s="5" t="s">
        <v>599</v>
      </c>
      <c r="K23" s="6">
        <f t="shared" si="0"/>
        <v>1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105</v>
      </c>
      <c r="G24" s="4" t="s">
        <v>597</v>
      </c>
      <c r="H24" s="9" t="s">
        <v>196</v>
      </c>
      <c r="I24" s="5" t="s">
        <v>636</v>
      </c>
      <c r="J24" s="5" t="s">
        <v>599</v>
      </c>
      <c r="K24" s="6">
        <f t="shared" si="0"/>
        <v>1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105</v>
      </c>
      <c r="G25" s="4" t="s">
        <v>597</v>
      </c>
      <c r="H25" s="9" t="s">
        <v>196</v>
      </c>
      <c r="I25" s="5" t="s">
        <v>636</v>
      </c>
      <c r="J25" s="5" t="s">
        <v>599</v>
      </c>
      <c r="K25" s="6">
        <f t="shared" si="0"/>
        <v>1</v>
      </c>
    </row>
    <row r="26" spans="1:11" ht="15" customHeight="1">
      <c r="A26" s="4">
        <v>18</v>
      </c>
      <c r="B26" s="5" t="s">
        <v>135</v>
      </c>
      <c r="C26" s="5" t="s">
        <v>121</v>
      </c>
      <c r="D26" s="5" t="s">
        <v>136</v>
      </c>
      <c r="E26" s="7" t="s">
        <v>105</v>
      </c>
      <c r="F26" s="8" t="s">
        <v>105</v>
      </c>
      <c r="G26" s="4" t="s">
        <v>597</v>
      </c>
      <c r="H26" s="9" t="s">
        <v>196</v>
      </c>
      <c r="I26" s="5" t="s">
        <v>636</v>
      </c>
      <c r="J26" s="5" t="s">
        <v>599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137</v>
      </c>
      <c r="E27" s="7" t="s">
        <v>105</v>
      </c>
      <c r="F27" s="8" t="s">
        <v>105</v>
      </c>
      <c r="G27" s="4" t="s">
        <v>597</v>
      </c>
      <c r="H27" s="9" t="s">
        <v>196</v>
      </c>
      <c r="I27" s="5" t="s">
        <v>636</v>
      </c>
      <c r="J27" s="5" t="s">
        <v>599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138</v>
      </c>
      <c r="E28" s="7" t="s">
        <v>105</v>
      </c>
      <c r="F28" s="8" t="s">
        <v>105</v>
      </c>
      <c r="G28" s="4" t="s">
        <v>597</v>
      </c>
      <c r="H28" s="9" t="s">
        <v>196</v>
      </c>
      <c r="I28" s="5" t="s">
        <v>636</v>
      </c>
      <c r="J28" s="5" t="s">
        <v>599</v>
      </c>
      <c r="K28" s="6">
        <f t="shared" si="0"/>
        <v>1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613</v>
      </c>
      <c r="E29" s="7" t="s">
        <v>105</v>
      </c>
      <c r="F29" s="8" t="s">
        <v>105</v>
      </c>
      <c r="G29" s="4" t="s">
        <v>597</v>
      </c>
      <c r="H29" s="9" t="s">
        <v>196</v>
      </c>
      <c r="I29" s="5" t="s">
        <v>636</v>
      </c>
      <c r="J29" s="5" t="s">
        <v>599</v>
      </c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614</v>
      </c>
      <c r="E30" s="7" t="s">
        <v>105</v>
      </c>
      <c r="F30" s="8" t="s">
        <v>105</v>
      </c>
      <c r="G30" s="4" t="s">
        <v>597</v>
      </c>
      <c r="H30" s="9" t="s">
        <v>196</v>
      </c>
      <c r="I30" s="5" t="s">
        <v>636</v>
      </c>
      <c r="J30" s="5" t="s">
        <v>599</v>
      </c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140</v>
      </c>
      <c r="E31" s="7" t="s">
        <v>105</v>
      </c>
      <c r="F31" s="8" t="s">
        <v>105</v>
      </c>
      <c r="G31" s="4" t="s">
        <v>597</v>
      </c>
      <c r="H31" s="9" t="s">
        <v>196</v>
      </c>
      <c r="I31" s="5" t="s">
        <v>636</v>
      </c>
      <c r="J31" s="5" t="s">
        <v>599</v>
      </c>
      <c r="K31" s="6">
        <f t="shared" si="0"/>
        <v>1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612</v>
      </c>
      <c r="E32" s="7" t="s">
        <v>105</v>
      </c>
      <c r="F32" s="8" t="s">
        <v>105</v>
      </c>
      <c r="G32" s="4" t="s">
        <v>597</v>
      </c>
      <c r="H32" s="9" t="s">
        <v>196</v>
      </c>
      <c r="I32" s="5" t="s">
        <v>636</v>
      </c>
      <c r="J32" s="5" t="s">
        <v>599</v>
      </c>
      <c r="K32" s="6">
        <f t="shared" si="0"/>
        <v>1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610</v>
      </c>
      <c r="E33" s="7" t="s">
        <v>105</v>
      </c>
      <c r="F33" s="8" t="s">
        <v>105</v>
      </c>
      <c r="G33" s="4" t="s">
        <v>597</v>
      </c>
      <c r="H33" s="9" t="s">
        <v>196</v>
      </c>
      <c r="I33" s="5" t="s">
        <v>636</v>
      </c>
      <c r="J33" s="5" t="s">
        <v>599</v>
      </c>
      <c r="K33" s="6">
        <f t="shared" si="0"/>
        <v>1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611</v>
      </c>
      <c r="E34" s="7" t="s">
        <v>105</v>
      </c>
      <c r="F34" s="8" t="s">
        <v>105</v>
      </c>
      <c r="G34" s="4" t="s">
        <v>597</v>
      </c>
      <c r="H34" s="9" t="s">
        <v>196</v>
      </c>
      <c r="I34" s="5" t="s">
        <v>636</v>
      </c>
      <c r="J34" s="5" t="s">
        <v>599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141</v>
      </c>
      <c r="E35" s="7" t="s">
        <v>105</v>
      </c>
      <c r="F35" s="8" t="s">
        <v>105</v>
      </c>
      <c r="G35" s="4" t="s">
        <v>597</v>
      </c>
      <c r="H35" s="9" t="s">
        <v>196</v>
      </c>
      <c r="I35" s="5" t="s">
        <v>636</v>
      </c>
      <c r="J35" s="5" t="s">
        <v>599</v>
      </c>
      <c r="K35" s="6">
        <f t="shared" si="0"/>
        <v>1</v>
      </c>
    </row>
    <row r="36" spans="1:11" ht="15" customHeight="1">
      <c r="A36" s="4">
        <v>28</v>
      </c>
      <c r="B36" s="5" t="s">
        <v>539</v>
      </c>
      <c r="C36" s="5" t="s">
        <v>121</v>
      </c>
      <c r="D36" s="5" t="s">
        <v>615</v>
      </c>
      <c r="E36" s="7" t="s">
        <v>105</v>
      </c>
      <c r="F36" s="8" t="s">
        <v>105</v>
      </c>
      <c r="G36" s="4" t="s">
        <v>597</v>
      </c>
      <c r="H36" s="9" t="s">
        <v>196</v>
      </c>
      <c r="I36" s="5" t="s">
        <v>636</v>
      </c>
      <c r="J36" s="5" t="s">
        <v>599</v>
      </c>
      <c r="K36" s="6">
        <f t="shared" si="0"/>
        <v>1</v>
      </c>
    </row>
    <row r="37" spans="1:11" ht="15" customHeight="1">
      <c r="A37" s="4">
        <v>29</v>
      </c>
      <c r="B37" s="5" t="s">
        <v>130</v>
      </c>
      <c r="C37" s="5" t="s">
        <v>121</v>
      </c>
      <c r="D37" s="5" t="s">
        <v>131</v>
      </c>
      <c r="E37" s="7" t="s">
        <v>105</v>
      </c>
      <c r="F37" s="8" t="s">
        <v>105</v>
      </c>
      <c r="G37" s="4" t="s">
        <v>597</v>
      </c>
      <c r="H37" s="9" t="s">
        <v>196</v>
      </c>
      <c r="I37" s="5" t="s">
        <v>636</v>
      </c>
      <c r="J37" s="5" t="s">
        <v>599</v>
      </c>
      <c r="K37" s="6">
        <f t="shared" si="0"/>
        <v>1</v>
      </c>
    </row>
    <row r="38" spans="1:11" ht="15" customHeight="1">
      <c r="A38" s="4">
        <v>30</v>
      </c>
      <c r="B38" s="5" t="s">
        <v>130</v>
      </c>
      <c r="C38" s="5" t="s">
        <v>121</v>
      </c>
      <c r="D38" s="5" t="s">
        <v>132</v>
      </c>
      <c r="E38" s="7" t="s">
        <v>105</v>
      </c>
      <c r="F38" s="8" t="s">
        <v>105</v>
      </c>
      <c r="G38" s="4" t="s">
        <v>597</v>
      </c>
      <c r="H38" s="9" t="s">
        <v>196</v>
      </c>
      <c r="I38" s="5" t="s">
        <v>636</v>
      </c>
      <c r="J38" s="5" t="s">
        <v>599</v>
      </c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142</v>
      </c>
      <c r="E39" s="7" t="s">
        <v>105</v>
      </c>
      <c r="F39" s="8" t="s">
        <v>105</v>
      </c>
      <c r="G39" s="4" t="s">
        <v>597</v>
      </c>
      <c r="H39" s="9" t="s">
        <v>196</v>
      </c>
      <c r="I39" s="5" t="s">
        <v>636</v>
      </c>
      <c r="J39" s="5" t="s">
        <v>599</v>
      </c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143</v>
      </c>
      <c r="E40" s="7" t="s">
        <v>105</v>
      </c>
      <c r="F40" s="8" t="s">
        <v>105</v>
      </c>
      <c r="G40" s="4" t="s">
        <v>597</v>
      </c>
      <c r="H40" s="9" t="s">
        <v>196</v>
      </c>
      <c r="I40" s="5" t="s">
        <v>636</v>
      </c>
      <c r="J40" s="5" t="s">
        <v>599</v>
      </c>
      <c r="K40" s="6">
        <f t="shared" si="0"/>
        <v>1</v>
      </c>
    </row>
    <row r="41" spans="1:11" ht="15" customHeight="1">
      <c r="A41" s="4">
        <v>33</v>
      </c>
      <c r="B41" s="5" t="s">
        <v>135</v>
      </c>
      <c r="C41" s="5" t="s">
        <v>121</v>
      </c>
      <c r="D41" s="5" t="s">
        <v>144</v>
      </c>
      <c r="E41" s="7" t="s">
        <v>105</v>
      </c>
      <c r="F41" s="8" t="s">
        <v>105</v>
      </c>
      <c r="G41" s="4" t="s">
        <v>597</v>
      </c>
      <c r="H41" s="9" t="s">
        <v>196</v>
      </c>
      <c r="I41" s="5" t="s">
        <v>636</v>
      </c>
      <c r="J41" s="5" t="s">
        <v>599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135</v>
      </c>
      <c r="C42" s="5" t="s">
        <v>121</v>
      </c>
      <c r="D42" s="5" t="s">
        <v>616</v>
      </c>
      <c r="E42" s="7" t="s">
        <v>105</v>
      </c>
      <c r="F42" s="8" t="s">
        <v>105</v>
      </c>
      <c r="G42" s="4" t="s">
        <v>597</v>
      </c>
      <c r="H42" s="9" t="s">
        <v>196</v>
      </c>
      <c r="I42" s="5" t="s">
        <v>636</v>
      </c>
      <c r="J42" s="5" t="s">
        <v>599</v>
      </c>
      <c r="K42" s="6">
        <f t="shared" si="1"/>
        <v>1</v>
      </c>
    </row>
    <row r="43" spans="1:11" ht="15" customHeight="1">
      <c r="A43" s="4">
        <v>35</v>
      </c>
      <c r="B43" s="5" t="s">
        <v>135</v>
      </c>
      <c r="C43" s="5" t="s">
        <v>121</v>
      </c>
      <c r="D43" s="5" t="s">
        <v>617</v>
      </c>
      <c r="E43" s="7" t="s">
        <v>105</v>
      </c>
      <c r="F43" s="8" t="s">
        <v>105</v>
      </c>
      <c r="G43" s="4" t="s">
        <v>597</v>
      </c>
      <c r="H43" s="9" t="s">
        <v>196</v>
      </c>
      <c r="I43" s="5" t="s">
        <v>636</v>
      </c>
      <c r="J43" s="5" t="s">
        <v>599</v>
      </c>
      <c r="K43" s="6">
        <f t="shared" si="1"/>
        <v>1</v>
      </c>
    </row>
    <row r="44" spans="1:11" ht="15" customHeight="1">
      <c r="A44" s="4">
        <v>36</v>
      </c>
      <c r="B44" s="5" t="s">
        <v>120</v>
      </c>
      <c r="C44" s="5" t="s">
        <v>150</v>
      </c>
      <c r="D44" s="5" t="s">
        <v>122</v>
      </c>
      <c r="E44" s="7" t="s">
        <v>105</v>
      </c>
      <c r="F44" s="8" t="s">
        <v>105</v>
      </c>
      <c r="G44" s="4" t="s">
        <v>597</v>
      </c>
      <c r="H44" s="9" t="s">
        <v>196</v>
      </c>
      <c r="I44" s="5" t="s">
        <v>636</v>
      </c>
      <c r="J44" s="5" t="s">
        <v>599</v>
      </c>
      <c r="K44" s="6">
        <f t="shared" si="1"/>
        <v>1</v>
      </c>
    </row>
    <row r="45" spans="1:11" ht="15" customHeight="1">
      <c r="A45" s="4">
        <v>37</v>
      </c>
      <c r="B45" s="5" t="s">
        <v>120</v>
      </c>
      <c r="C45" s="5" t="s">
        <v>150</v>
      </c>
      <c r="D45" s="5" t="s">
        <v>123</v>
      </c>
      <c r="E45" s="7" t="s">
        <v>105</v>
      </c>
      <c r="F45" s="8" t="s">
        <v>105</v>
      </c>
      <c r="G45" s="4" t="s">
        <v>597</v>
      </c>
      <c r="H45" s="9" t="s">
        <v>196</v>
      </c>
      <c r="I45" s="5" t="s">
        <v>636</v>
      </c>
      <c r="J45" s="5" t="s">
        <v>599</v>
      </c>
      <c r="K45" s="6">
        <f t="shared" si="1"/>
        <v>1</v>
      </c>
    </row>
    <row r="46" spans="1:11" ht="30" customHeight="1">
      <c r="A46" s="4">
        <v>38</v>
      </c>
      <c r="B46" s="5" t="s">
        <v>124</v>
      </c>
      <c r="C46" s="5" t="s">
        <v>150</v>
      </c>
      <c r="D46" s="5" t="s">
        <v>125</v>
      </c>
      <c r="E46" s="7" t="s">
        <v>105</v>
      </c>
      <c r="F46" s="8" t="s">
        <v>105</v>
      </c>
      <c r="G46" s="4" t="s">
        <v>597</v>
      </c>
      <c r="H46" s="9" t="s">
        <v>196</v>
      </c>
      <c r="I46" s="5" t="s">
        <v>636</v>
      </c>
      <c r="J46" s="5" t="s">
        <v>599</v>
      </c>
      <c r="K46" s="6">
        <f t="shared" si="1"/>
        <v>1</v>
      </c>
    </row>
    <row r="47" spans="1:11" ht="15" customHeight="1">
      <c r="A47" s="4">
        <v>39</v>
      </c>
      <c r="B47" s="5" t="s">
        <v>124</v>
      </c>
      <c r="C47" s="5" t="s">
        <v>150</v>
      </c>
      <c r="D47" s="5" t="s">
        <v>126</v>
      </c>
      <c r="E47" s="7" t="s">
        <v>105</v>
      </c>
      <c r="F47" s="8" t="s">
        <v>105</v>
      </c>
      <c r="G47" s="4" t="s">
        <v>597</v>
      </c>
      <c r="H47" s="9" t="s">
        <v>196</v>
      </c>
      <c r="I47" s="5" t="s">
        <v>636</v>
      </c>
      <c r="J47" s="5" t="s">
        <v>599</v>
      </c>
      <c r="K47" s="6">
        <f t="shared" si="1"/>
        <v>1</v>
      </c>
    </row>
    <row r="48" spans="1:11" ht="15" customHeight="1">
      <c r="A48" s="4">
        <v>40</v>
      </c>
      <c r="B48" s="5" t="s">
        <v>95</v>
      </c>
      <c r="C48" s="5" t="s">
        <v>150</v>
      </c>
      <c r="D48" s="5" t="s">
        <v>127</v>
      </c>
      <c r="E48" s="7" t="s">
        <v>105</v>
      </c>
      <c r="F48" s="8" t="s">
        <v>105</v>
      </c>
      <c r="G48" s="4" t="s">
        <v>597</v>
      </c>
      <c r="H48" s="9" t="s">
        <v>196</v>
      </c>
      <c r="I48" s="5" t="s">
        <v>636</v>
      </c>
      <c r="J48" s="5" t="s">
        <v>599</v>
      </c>
      <c r="K48" s="6">
        <f t="shared" si="1"/>
        <v>1</v>
      </c>
    </row>
    <row r="49" spans="1:11" ht="15" customHeight="1">
      <c r="A49" s="4">
        <v>41</v>
      </c>
      <c r="B49" s="5" t="s">
        <v>128</v>
      </c>
      <c r="C49" s="5" t="s">
        <v>150</v>
      </c>
      <c r="D49" s="5" t="s">
        <v>129</v>
      </c>
      <c r="E49" s="7" t="s">
        <v>105</v>
      </c>
      <c r="F49" s="8" t="s">
        <v>105</v>
      </c>
      <c r="G49" s="4" t="s">
        <v>597</v>
      </c>
      <c r="H49" s="9" t="s">
        <v>196</v>
      </c>
      <c r="I49" s="5" t="s">
        <v>636</v>
      </c>
      <c r="J49" s="5" t="s">
        <v>599</v>
      </c>
      <c r="K49" s="6">
        <f t="shared" si="1"/>
        <v>1</v>
      </c>
    </row>
    <row r="50" spans="1:11" ht="15" customHeight="1">
      <c r="A50" s="4">
        <v>42</v>
      </c>
      <c r="B50" s="5" t="s">
        <v>135</v>
      </c>
      <c r="C50" s="5" t="s">
        <v>150</v>
      </c>
      <c r="D50" s="5" t="s">
        <v>136</v>
      </c>
      <c r="E50" s="7" t="s">
        <v>105</v>
      </c>
      <c r="F50" s="8" t="s">
        <v>105</v>
      </c>
      <c r="G50" s="4" t="s">
        <v>597</v>
      </c>
      <c r="H50" s="9" t="s">
        <v>196</v>
      </c>
      <c r="I50" s="5" t="s">
        <v>636</v>
      </c>
      <c r="J50" s="5" t="s">
        <v>599</v>
      </c>
      <c r="K50" s="6">
        <f t="shared" si="1"/>
        <v>1</v>
      </c>
    </row>
    <row r="51" spans="1:11" ht="15" customHeight="1">
      <c r="A51" s="4">
        <v>43</v>
      </c>
      <c r="B51" s="5" t="s">
        <v>135</v>
      </c>
      <c r="C51" s="5" t="s">
        <v>150</v>
      </c>
      <c r="D51" s="5" t="s">
        <v>140</v>
      </c>
      <c r="E51" s="7" t="s">
        <v>105</v>
      </c>
      <c r="F51" s="8" t="s">
        <v>105</v>
      </c>
      <c r="G51" s="4" t="s">
        <v>597</v>
      </c>
      <c r="H51" s="9" t="s">
        <v>196</v>
      </c>
      <c r="I51" s="5" t="s">
        <v>636</v>
      </c>
      <c r="J51" s="5" t="s">
        <v>599</v>
      </c>
      <c r="K51" s="6">
        <f t="shared" si="1"/>
        <v>1</v>
      </c>
    </row>
    <row r="52" spans="1:11" ht="15" customHeight="1">
      <c r="A52" s="4">
        <v>44</v>
      </c>
      <c r="B52" s="5" t="s">
        <v>135</v>
      </c>
      <c r="C52" s="5" t="s">
        <v>150</v>
      </c>
      <c r="D52" s="5" t="s">
        <v>610</v>
      </c>
      <c r="E52" s="7" t="s">
        <v>105</v>
      </c>
      <c r="F52" s="8" t="s">
        <v>105</v>
      </c>
      <c r="G52" s="4" t="s">
        <v>597</v>
      </c>
      <c r="H52" s="9" t="s">
        <v>196</v>
      </c>
      <c r="I52" s="5" t="s">
        <v>636</v>
      </c>
      <c r="J52" s="5" t="s">
        <v>599</v>
      </c>
      <c r="K52" s="6">
        <f t="shared" si="1"/>
        <v>1</v>
      </c>
    </row>
    <row r="53" spans="1:11" ht="15" customHeight="1">
      <c r="A53" s="4">
        <v>45</v>
      </c>
      <c r="B53" s="5" t="s">
        <v>135</v>
      </c>
      <c r="C53" s="5" t="s">
        <v>150</v>
      </c>
      <c r="D53" s="5" t="s">
        <v>611</v>
      </c>
      <c r="E53" s="7" t="s">
        <v>105</v>
      </c>
      <c r="F53" s="8" t="s">
        <v>105</v>
      </c>
      <c r="G53" s="4" t="s">
        <v>597</v>
      </c>
      <c r="H53" s="9" t="s">
        <v>196</v>
      </c>
      <c r="I53" s="5" t="s">
        <v>636</v>
      </c>
      <c r="J53" s="5" t="s">
        <v>599</v>
      </c>
      <c r="K53" s="6">
        <f t="shared" si="1"/>
        <v>1</v>
      </c>
    </row>
    <row r="54" spans="1:11" ht="15" customHeight="1">
      <c r="A54" s="4">
        <v>46</v>
      </c>
      <c r="B54" s="5" t="s">
        <v>135</v>
      </c>
      <c r="C54" s="5" t="s">
        <v>150</v>
      </c>
      <c r="D54" s="5" t="s">
        <v>612</v>
      </c>
      <c r="E54" s="7" t="s">
        <v>105</v>
      </c>
      <c r="F54" s="8" t="s">
        <v>105</v>
      </c>
      <c r="G54" s="4" t="s">
        <v>597</v>
      </c>
      <c r="H54" s="9" t="s">
        <v>196</v>
      </c>
      <c r="I54" s="5" t="s">
        <v>636</v>
      </c>
      <c r="J54" s="5" t="s">
        <v>599</v>
      </c>
      <c r="K54" s="6">
        <f t="shared" si="1"/>
        <v>1</v>
      </c>
    </row>
    <row r="55" spans="1:11" ht="15" customHeight="1">
      <c r="A55" s="4">
        <v>47</v>
      </c>
      <c r="B55" s="5" t="s">
        <v>133</v>
      </c>
      <c r="C55" s="5" t="s">
        <v>150</v>
      </c>
      <c r="D55" s="5" t="s">
        <v>613</v>
      </c>
      <c r="E55" s="7" t="s">
        <v>105</v>
      </c>
      <c r="F55" s="8" t="s">
        <v>105</v>
      </c>
      <c r="G55" s="4" t="s">
        <v>597</v>
      </c>
      <c r="H55" s="9" t="s">
        <v>196</v>
      </c>
      <c r="I55" s="5" t="s">
        <v>636</v>
      </c>
      <c r="J55" s="5" t="s">
        <v>599</v>
      </c>
      <c r="K55" s="6">
        <f t="shared" si="1"/>
        <v>1</v>
      </c>
    </row>
    <row r="56" spans="1:11" ht="15" customHeight="1">
      <c r="A56" s="4">
        <v>48</v>
      </c>
      <c r="B56" s="5" t="s">
        <v>133</v>
      </c>
      <c r="C56" s="5" t="s">
        <v>150</v>
      </c>
      <c r="D56" s="5" t="s">
        <v>614</v>
      </c>
      <c r="E56" s="7" t="s">
        <v>105</v>
      </c>
      <c r="F56" s="8" t="s">
        <v>105</v>
      </c>
      <c r="G56" s="4" t="s">
        <v>597</v>
      </c>
      <c r="H56" s="9" t="s">
        <v>196</v>
      </c>
      <c r="I56" s="5" t="s">
        <v>636</v>
      </c>
      <c r="J56" s="5" t="s">
        <v>599</v>
      </c>
      <c r="K56" s="6">
        <f t="shared" si="1"/>
        <v>1</v>
      </c>
    </row>
    <row r="57" spans="1:11" ht="15" customHeight="1">
      <c r="A57" s="4">
        <v>49</v>
      </c>
      <c r="B57" s="5" t="s">
        <v>539</v>
      </c>
      <c r="C57" s="5" t="s">
        <v>150</v>
      </c>
      <c r="D57" s="5" t="s">
        <v>615</v>
      </c>
      <c r="E57" s="7" t="s">
        <v>105</v>
      </c>
      <c r="F57" s="8" t="s">
        <v>105</v>
      </c>
      <c r="G57" s="4" t="s">
        <v>597</v>
      </c>
      <c r="H57" s="9" t="s">
        <v>196</v>
      </c>
      <c r="I57" s="5" t="s">
        <v>636</v>
      </c>
      <c r="J57" s="5" t="s">
        <v>599</v>
      </c>
      <c r="K57" s="6">
        <f t="shared" si="1"/>
        <v>1</v>
      </c>
    </row>
    <row r="58" spans="1:11" ht="15" customHeight="1">
      <c r="A58" s="4">
        <v>50</v>
      </c>
      <c r="B58" s="5" t="s">
        <v>130</v>
      </c>
      <c r="C58" s="5" t="s">
        <v>150</v>
      </c>
      <c r="D58" s="5" t="s">
        <v>131</v>
      </c>
      <c r="E58" s="7" t="s">
        <v>105</v>
      </c>
      <c r="F58" s="8" t="s">
        <v>105</v>
      </c>
      <c r="G58" s="4" t="s">
        <v>597</v>
      </c>
      <c r="H58" s="9" t="s">
        <v>196</v>
      </c>
      <c r="I58" s="5" t="s">
        <v>636</v>
      </c>
      <c r="J58" s="5" t="s">
        <v>599</v>
      </c>
      <c r="K58" s="6">
        <f t="shared" si="1"/>
        <v>1</v>
      </c>
    </row>
    <row r="59" spans="1:11" ht="15" customHeight="1">
      <c r="A59" s="4">
        <v>51</v>
      </c>
      <c r="B59" s="5" t="s">
        <v>130</v>
      </c>
      <c r="C59" s="5" t="s">
        <v>150</v>
      </c>
      <c r="D59" s="5" t="s">
        <v>132</v>
      </c>
      <c r="E59" s="7" t="s">
        <v>105</v>
      </c>
      <c r="F59" s="8" t="s">
        <v>105</v>
      </c>
      <c r="G59" s="4" t="s">
        <v>597</v>
      </c>
      <c r="H59" s="9" t="s">
        <v>196</v>
      </c>
      <c r="I59" s="5" t="s">
        <v>636</v>
      </c>
      <c r="J59" s="5" t="s">
        <v>599</v>
      </c>
      <c r="K59" s="6">
        <f t="shared" si="1"/>
        <v>1</v>
      </c>
    </row>
    <row r="60" spans="1:11" ht="15" customHeight="1">
      <c r="A60" s="4">
        <v>52</v>
      </c>
      <c r="B60" s="5" t="s">
        <v>133</v>
      </c>
      <c r="C60" s="5" t="s">
        <v>150</v>
      </c>
      <c r="D60" s="5" t="s">
        <v>142</v>
      </c>
      <c r="E60" s="7" t="s">
        <v>105</v>
      </c>
      <c r="F60" s="8" t="s">
        <v>105</v>
      </c>
      <c r="G60" s="4" t="s">
        <v>597</v>
      </c>
      <c r="H60" s="9" t="s">
        <v>196</v>
      </c>
      <c r="I60" s="5" t="s">
        <v>636</v>
      </c>
      <c r="J60" s="5" t="s">
        <v>599</v>
      </c>
      <c r="K60" s="6">
        <f t="shared" si="1"/>
        <v>1</v>
      </c>
    </row>
    <row r="61" spans="1:11" ht="15" customHeight="1">
      <c r="A61" s="4">
        <v>53</v>
      </c>
      <c r="B61" s="5" t="s">
        <v>135</v>
      </c>
      <c r="C61" s="5" t="s">
        <v>150</v>
      </c>
      <c r="D61" s="5" t="s">
        <v>544</v>
      </c>
      <c r="E61" s="7" t="s">
        <v>105</v>
      </c>
      <c r="F61" s="8" t="s">
        <v>105</v>
      </c>
      <c r="G61" s="4" t="s">
        <v>597</v>
      </c>
      <c r="H61" s="9" t="s">
        <v>196</v>
      </c>
      <c r="I61" s="5" t="s">
        <v>636</v>
      </c>
      <c r="J61" s="5" t="s">
        <v>599</v>
      </c>
      <c r="K61" s="6">
        <f t="shared" si="1"/>
        <v>1</v>
      </c>
    </row>
    <row r="62" spans="1:11" ht="15" customHeight="1">
      <c r="A62" s="4">
        <v>54</v>
      </c>
      <c r="B62" s="5" t="s">
        <v>133</v>
      </c>
      <c r="C62" s="5" t="s">
        <v>150</v>
      </c>
      <c r="D62" s="5" t="s">
        <v>146</v>
      </c>
      <c r="E62" s="7" t="s">
        <v>105</v>
      </c>
      <c r="F62" s="8" t="s">
        <v>105</v>
      </c>
      <c r="G62" s="4" t="s">
        <v>597</v>
      </c>
      <c r="H62" s="9" t="s">
        <v>196</v>
      </c>
      <c r="I62" s="5" t="s">
        <v>636</v>
      </c>
      <c r="J62" s="5" t="s">
        <v>599</v>
      </c>
      <c r="K62" s="6">
        <f t="shared" si="1"/>
        <v>1</v>
      </c>
    </row>
    <row r="63" spans="1:11" ht="15" customHeight="1">
      <c r="A63" s="4">
        <v>55</v>
      </c>
      <c r="B63" s="5" t="s">
        <v>135</v>
      </c>
      <c r="C63" s="5" t="s">
        <v>150</v>
      </c>
      <c r="D63" s="5" t="s">
        <v>144</v>
      </c>
      <c r="E63" s="7" t="s">
        <v>105</v>
      </c>
      <c r="F63" s="8" t="s">
        <v>105</v>
      </c>
      <c r="G63" s="4" t="s">
        <v>597</v>
      </c>
      <c r="H63" s="9" t="s">
        <v>196</v>
      </c>
      <c r="I63" s="5" t="s">
        <v>636</v>
      </c>
      <c r="J63" s="5" t="s">
        <v>599</v>
      </c>
      <c r="K63" s="6">
        <f t="shared" si="1"/>
        <v>1</v>
      </c>
    </row>
    <row r="64" spans="1:11" ht="15" customHeight="1">
      <c r="A64" s="4">
        <v>56</v>
      </c>
      <c r="B64" s="5" t="s">
        <v>135</v>
      </c>
      <c r="C64" s="5" t="s">
        <v>150</v>
      </c>
      <c r="D64" s="5" t="s">
        <v>616</v>
      </c>
      <c r="E64" s="7" t="s">
        <v>105</v>
      </c>
      <c r="F64" s="8" t="s">
        <v>105</v>
      </c>
      <c r="G64" s="4" t="s">
        <v>597</v>
      </c>
      <c r="H64" s="9" t="s">
        <v>196</v>
      </c>
      <c r="I64" s="5" t="s">
        <v>636</v>
      </c>
      <c r="J64" s="5" t="s">
        <v>599</v>
      </c>
      <c r="K64" s="6">
        <f t="shared" si="1"/>
        <v>1</v>
      </c>
    </row>
    <row r="65" spans="1:11" ht="15" customHeight="1">
      <c r="A65" s="4">
        <v>57</v>
      </c>
      <c r="B65" s="5" t="s">
        <v>135</v>
      </c>
      <c r="C65" s="5" t="s">
        <v>150</v>
      </c>
      <c r="D65" s="5" t="s">
        <v>617</v>
      </c>
      <c r="E65" s="7" t="s">
        <v>105</v>
      </c>
      <c r="F65" s="8" t="s">
        <v>105</v>
      </c>
      <c r="G65" s="4" t="s">
        <v>597</v>
      </c>
      <c r="H65" s="9" t="s">
        <v>196</v>
      </c>
      <c r="I65" s="5" t="s">
        <v>636</v>
      </c>
      <c r="J65" s="5" t="s">
        <v>599</v>
      </c>
      <c r="K65" s="6">
        <f t="shared" si="1"/>
        <v>1</v>
      </c>
    </row>
    <row r="66" spans="1:11" ht="15" customHeight="1">
      <c r="A66" s="4">
        <v>58</v>
      </c>
      <c r="B66" s="5" t="s">
        <v>120</v>
      </c>
      <c r="C66" s="5" t="s">
        <v>641</v>
      </c>
      <c r="D66" s="5" t="s">
        <v>122</v>
      </c>
      <c r="E66" s="7" t="s">
        <v>105</v>
      </c>
      <c r="F66" s="8" t="s">
        <v>105</v>
      </c>
      <c r="G66" s="4" t="s">
        <v>597</v>
      </c>
      <c r="H66" s="9" t="s">
        <v>196</v>
      </c>
      <c r="I66" s="5" t="s">
        <v>636</v>
      </c>
      <c r="J66" s="5" t="s">
        <v>599</v>
      </c>
      <c r="K66" s="6">
        <f t="shared" si="1"/>
        <v>1</v>
      </c>
    </row>
    <row r="67" spans="1:11" ht="15" customHeight="1">
      <c r="A67" s="4">
        <v>59</v>
      </c>
      <c r="B67" s="5" t="s">
        <v>120</v>
      </c>
      <c r="C67" s="5" t="s">
        <v>641</v>
      </c>
      <c r="D67" s="5" t="s">
        <v>123</v>
      </c>
      <c r="E67" s="7" t="s">
        <v>105</v>
      </c>
      <c r="F67" s="8" t="s">
        <v>105</v>
      </c>
      <c r="G67" s="4" t="s">
        <v>597</v>
      </c>
      <c r="H67" s="9" t="s">
        <v>196</v>
      </c>
      <c r="I67" s="5" t="s">
        <v>636</v>
      </c>
      <c r="J67" s="5" t="s">
        <v>599</v>
      </c>
      <c r="K67" s="6">
        <f t="shared" si="1"/>
        <v>1</v>
      </c>
    </row>
    <row r="68" spans="1:11" ht="30" customHeight="1">
      <c r="A68" s="4">
        <v>60</v>
      </c>
      <c r="B68" s="5" t="s">
        <v>124</v>
      </c>
      <c r="C68" s="5" t="s">
        <v>641</v>
      </c>
      <c r="D68" s="5" t="s">
        <v>125</v>
      </c>
      <c r="E68" s="7" t="s">
        <v>105</v>
      </c>
      <c r="F68" s="8" t="s">
        <v>105</v>
      </c>
      <c r="G68" s="4" t="s">
        <v>597</v>
      </c>
      <c r="H68" s="9" t="s">
        <v>196</v>
      </c>
      <c r="I68" s="5" t="s">
        <v>636</v>
      </c>
      <c r="J68" s="5" t="s">
        <v>599</v>
      </c>
      <c r="K68" s="6">
        <f t="shared" si="1"/>
        <v>1</v>
      </c>
    </row>
    <row r="69" spans="1:11" ht="15" customHeight="1">
      <c r="A69" s="4">
        <v>61</v>
      </c>
      <c r="B69" s="5" t="s">
        <v>124</v>
      </c>
      <c r="C69" s="5" t="s">
        <v>641</v>
      </c>
      <c r="D69" s="5" t="s">
        <v>126</v>
      </c>
      <c r="E69" s="7" t="s">
        <v>105</v>
      </c>
      <c r="F69" s="8" t="s">
        <v>105</v>
      </c>
      <c r="G69" s="4" t="s">
        <v>597</v>
      </c>
      <c r="H69" s="9" t="s">
        <v>196</v>
      </c>
      <c r="I69" s="5" t="s">
        <v>636</v>
      </c>
      <c r="J69" s="5" t="s">
        <v>599</v>
      </c>
      <c r="K69" s="6">
        <f t="shared" si="1"/>
        <v>1</v>
      </c>
    </row>
    <row r="70" spans="1:11" ht="15" customHeight="1">
      <c r="A70" s="4">
        <v>62</v>
      </c>
      <c r="B70" s="5" t="s">
        <v>95</v>
      </c>
      <c r="C70" s="5" t="s">
        <v>641</v>
      </c>
      <c r="D70" s="5" t="s">
        <v>127</v>
      </c>
      <c r="E70" s="7" t="s">
        <v>105</v>
      </c>
      <c r="F70" s="8" t="s">
        <v>105</v>
      </c>
      <c r="G70" s="4" t="s">
        <v>597</v>
      </c>
      <c r="H70" s="9" t="s">
        <v>196</v>
      </c>
      <c r="I70" s="5" t="s">
        <v>636</v>
      </c>
      <c r="J70" s="5" t="s">
        <v>599</v>
      </c>
      <c r="K70" s="6">
        <f t="shared" si="1"/>
        <v>1</v>
      </c>
    </row>
    <row r="71" spans="1:11" ht="15" customHeight="1">
      <c r="A71" s="4">
        <v>63</v>
      </c>
      <c r="B71" s="5" t="s">
        <v>128</v>
      </c>
      <c r="C71" s="5" t="s">
        <v>641</v>
      </c>
      <c r="D71" s="5" t="s">
        <v>129</v>
      </c>
      <c r="E71" s="7" t="s">
        <v>105</v>
      </c>
      <c r="F71" s="8" t="s">
        <v>105</v>
      </c>
      <c r="G71" s="4" t="s">
        <v>597</v>
      </c>
      <c r="H71" s="9" t="s">
        <v>196</v>
      </c>
      <c r="I71" s="5" t="s">
        <v>636</v>
      </c>
      <c r="J71" s="5" t="s">
        <v>599</v>
      </c>
      <c r="K71" s="6">
        <f t="shared" si="1"/>
        <v>1</v>
      </c>
    </row>
    <row r="72" spans="1:11" ht="15" customHeight="1">
      <c r="A72" s="4">
        <v>64</v>
      </c>
      <c r="B72" s="5" t="s">
        <v>153</v>
      </c>
      <c r="C72" s="5" t="s">
        <v>154</v>
      </c>
      <c r="D72" s="5" t="s">
        <v>620</v>
      </c>
      <c r="E72" s="7" t="s">
        <v>105</v>
      </c>
      <c r="F72" s="8" t="s">
        <v>105</v>
      </c>
      <c r="G72" s="4" t="s">
        <v>597</v>
      </c>
      <c r="H72" s="9" t="s">
        <v>196</v>
      </c>
      <c r="I72" s="5" t="s">
        <v>636</v>
      </c>
      <c r="J72" s="5" t="s">
        <v>599</v>
      </c>
      <c r="K72" s="6">
        <f t="shared" si="1"/>
        <v>1</v>
      </c>
    </row>
    <row r="73" spans="1:11" ht="15" customHeight="1">
      <c r="A73" s="4">
        <v>65</v>
      </c>
      <c r="B73" s="5" t="s">
        <v>153</v>
      </c>
      <c r="C73" s="5" t="s">
        <v>154</v>
      </c>
      <c r="D73" s="5" t="s">
        <v>156</v>
      </c>
      <c r="E73" s="7" t="s">
        <v>105</v>
      </c>
      <c r="F73" s="8" t="s">
        <v>105</v>
      </c>
      <c r="G73" s="4" t="s">
        <v>597</v>
      </c>
      <c r="H73" s="9" t="s">
        <v>196</v>
      </c>
      <c r="I73" s="5" t="s">
        <v>636</v>
      </c>
      <c r="J73" s="5" t="s">
        <v>599</v>
      </c>
      <c r="K73" s="6">
        <f t="shared" ref="K73:K106" si="2">IF(AND(E73="yes",F73="yes",H73="covered"),1,IF(H73="partial",0.5,0))</f>
        <v>1</v>
      </c>
    </row>
    <row r="74" spans="1:11" ht="15" customHeight="1">
      <c r="A74" s="4">
        <v>66</v>
      </c>
      <c r="B74" s="5" t="s">
        <v>153</v>
      </c>
      <c r="C74" s="5" t="s">
        <v>154</v>
      </c>
      <c r="D74" s="5" t="s">
        <v>562</v>
      </c>
      <c r="E74" s="7" t="s">
        <v>105</v>
      </c>
      <c r="F74" s="8" t="s">
        <v>105</v>
      </c>
      <c r="G74" s="4" t="s">
        <v>597</v>
      </c>
      <c r="H74" s="9" t="s">
        <v>196</v>
      </c>
      <c r="I74" s="5" t="s">
        <v>636</v>
      </c>
      <c r="J74" s="5" t="s">
        <v>599</v>
      </c>
      <c r="K74" s="6">
        <f t="shared" si="2"/>
        <v>1</v>
      </c>
    </row>
    <row r="75" spans="1:11" ht="15" customHeight="1">
      <c r="A75" s="4">
        <v>67</v>
      </c>
      <c r="B75" s="5" t="s">
        <v>153</v>
      </c>
      <c r="C75" s="5" t="s">
        <v>154</v>
      </c>
      <c r="D75" s="5" t="s">
        <v>621</v>
      </c>
      <c r="E75" s="7" t="s">
        <v>105</v>
      </c>
      <c r="F75" s="8" t="s">
        <v>105</v>
      </c>
      <c r="G75" s="4" t="s">
        <v>597</v>
      </c>
      <c r="H75" s="9" t="s">
        <v>196</v>
      </c>
      <c r="I75" s="5" t="s">
        <v>636</v>
      </c>
      <c r="J75" s="5" t="s">
        <v>599</v>
      </c>
      <c r="K75" s="6">
        <f t="shared" si="2"/>
        <v>1</v>
      </c>
    </row>
    <row r="76" spans="1:11" ht="15" customHeight="1">
      <c r="A76" s="4">
        <v>68</v>
      </c>
      <c r="B76" s="5" t="s">
        <v>153</v>
      </c>
      <c r="C76" s="5" t="s">
        <v>154</v>
      </c>
      <c r="D76" s="5" t="s">
        <v>438</v>
      </c>
      <c r="E76" s="7" t="s">
        <v>105</v>
      </c>
      <c r="F76" s="8" t="s">
        <v>105</v>
      </c>
      <c r="G76" s="4" t="s">
        <v>597</v>
      </c>
      <c r="H76" s="9" t="s">
        <v>196</v>
      </c>
      <c r="I76" s="5" t="s">
        <v>636</v>
      </c>
      <c r="J76" s="5" t="s">
        <v>599</v>
      </c>
      <c r="K76" s="6">
        <f t="shared" si="2"/>
        <v>1</v>
      </c>
    </row>
    <row r="77" spans="1:11" ht="15" customHeight="1">
      <c r="A77" s="4">
        <v>69</v>
      </c>
      <c r="B77" s="5" t="s">
        <v>153</v>
      </c>
      <c r="C77" s="5" t="s">
        <v>154</v>
      </c>
      <c r="D77" s="5" t="s">
        <v>622</v>
      </c>
      <c r="E77" s="7" t="s">
        <v>105</v>
      </c>
      <c r="F77" s="8" t="s">
        <v>105</v>
      </c>
      <c r="G77" s="4" t="s">
        <v>597</v>
      </c>
      <c r="H77" s="9" t="s">
        <v>196</v>
      </c>
      <c r="I77" s="5" t="s">
        <v>636</v>
      </c>
      <c r="J77" s="5" t="s">
        <v>599</v>
      </c>
      <c r="K77" s="6">
        <f t="shared" si="2"/>
        <v>1</v>
      </c>
    </row>
    <row r="78" spans="1:11" ht="15" customHeight="1">
      <c r="A78" s="4">
        <v>70</v>
      </c>
      <c r="B78" s="5" t="s">
        <v>153</v>
      </c>
      <c r="C78" s="5" t="s">
        <v>154</v>
      </c>
      <c r="D78" s="5" t="s">
        <v>623</v>
      </c>
      <c r="E78" s="7" t="s">
        <v>105</v>
      </c>
      <c r="F78" s="8" t="s">
        <v>105</v>
      </c>
      <c r="G78" s="4" t="s">
        <v>597</v>
      </c>
      <c r="H78" s="9" t="s">
        <v>196</v>
      </c>
      <c r="I78" s="5" t="s">
        <v>636</v>
      </c>
      <c r="J78" s="5" t="s">
        <v>599</v>
      </c>
      <c r="K78" s="6">
        <f t="shared" si="2"/>
        <v>1</v>
      </c>
    </row>
    <row r="79" spans="1:11" ht="15" customHeight="1">
      <c r="A79" s="4">
        <v>71</v>
      </c>
      <c r="B79" s="5" t="s">
        <v>159</v>
      </c>
      <c r="C79" s="5" t="s">
        <v>154</v>
      </c>
      <c r="D79" s="5" t="s">
        <v>160</v>
      </c>
      <c r="E79" s="7" t="s">
        <v>105</v>
      </c>
      <c r="F79" s="8" t="s">
        <v>105</v>
      </c>
      <c r="G79" s="4" t="s">
        <v>597</v>
      </c>
      <c r="H79" s="9" t="s">
        <v>196</v>
      </c>
      <c r="I79" s="5" t="s">
        <v>636</v>
      </c>
      <c r="J79" s="5" t="s">
        <v>599</v>
      </c>
      <c r="K79" s="6">
        <f t="shared" si="2"/>
        <v>1</v>
      </c>
    </row>
    <row r="80" spans="1:11" ht="15" customHeight="1">
      <c r="A80" s="4">
        <v>72</v>
      </c>
      <c r="B80" s="5" t="s">
        <v>159</v>
      </c>
      <c r="C80" s="5" t="s">
        <v>154</v>
      </c>
      <c r="D80" s="5" t="s">
        <v>624</v>
      </c>
      <c r="E80" s="7" t="s">
        <v>105</v>
      </c>
      <c r="F80" s="8" t="s">
        <v>105</v>
      </c>
      <c r="G80" s="4" t="s">
        <v>597</v>
      </c>
      <c r="H80" s="9" t="s">
        <v>196</v>
      </c>
      <c r="I80" s="5" t="s">
        <v>636</v>
      </c>
      <c r="J80" s="5" t="s">
        <v>599</v>
      </c>
      <c r="K80" s="6">
        <f t="shared" si="2"/>
        <v>1</v>
      </c>
    </row>
    <row r="81" spans="1:11" ht="15" customHeight="1">
      <c r="A81" s="4">
        <v>73</v>
      </c>
      <c r="B81" s="5" t="s">
        <v>159</v>
      </c>
      <c r="C81" s="5" t="s">
        <v>154</v>
      </c>
      <c r="D81" s="5" t="s">
        <v>161</v>
      </c>
      <c r="E81" s="7" t="s">
        <v>105</v>
      </c>
      <c r="F81" s="8" t="s">
        <v>105</v>
      </c>
      <c r="G81" s="4" t="s">
        <v>597</v>
      </c>
      <c r="H81" s="9" t="s">
        <v>196</v>
      </c>
      <c r="I81" s="5" t="s">
        <v>636</v>
      </c>
      <c r="J81" s="5" t="s">
        <v>599</v>
      </c>
      <c r="K81" s="6">
        <f t="shared" si="2"/>
        <v>1</v>
      </c>
    </row>
    <row r="82" spans="1:11" ht="15" customHeight="1">
      <c r="A82" s="4">
        <v>74</v>
      </c>
      <c r="B82" s="5" t="s">
        <v>159</v>
      </c>
      <c r="C82" s="5" t="s">
        <v>154</v>
      </c>
      <c r="D82" s="5" t="s">
        <v>625</v>
      </c>
      <c r="E82" s="7" t="s">
        <v>105</v>
      </c>
      <c r="F82" s="8" t="s">
        <v>105</v>
      </c>
      <c r="G82" s="4" t="s">
        <v>597</v>
      </c>
      <c r="H82" s="9" t="s">
        <v>196</v>
      </c>
      <c r="I82" s="5" t="s">
        <v>636</v>
      </c>
      <c r="J82" s="5" t="s">
        <v>599</v>
      </c>
      <c r="K82" s="6">
        <f t="shared" si="2"/>
        <v>1</v>
      </c>
    </row>
    <row r="83" spans="1:11" ht="15" customHeight="1">
      <c r="A83" s="4">
        <v>75</v>
      </c>
      <c r="B83" s="5" t="s">
        <v>159</v>
      </c>
      <c r="C83" s="5" t="s">
        <v>154</v>
      </c>
      <c r="D83" s="5" t="s">
        <v>162</v>
      </c>
      <c r="E83" s="7" t="s">
        <v>105</v>
      </c>
      <c r="F83" s="8" t="s">
        <v>105</v>
      </c>
      <c r="G83" s="4" t="s">
        <v>597</v>
      </c>
      <c r="H83" s="9" t="s">
        <v>196</v>
      </c>
      <c r="I83" s="5" t="s">
        <v>636</v>
      </c>
      <c r="J83" s="5" t="s">
        <v>599</v>
      </c>
      <c r="K83" s="6">
        <f t="shared" si="2"/>
        <v>1</v>
      </c>
    </row>
    <row r="84" spans="1:11" ht="15" customHeight="1">
      <c r="A84" s="4">
        <v>76</v>
      </c>
      <c r="B84" s="5" t="s">
        <v>159</v>
      </c>
      <c r="C84" s="5" t="s">
        <v>154</v>
      </c>
      <c r="D84" s="5" t="s">
        <v>163</v>
      </c>
      <c r="E84" s="7" t="s">
        <v>105</v>
      </c>
      <c r="F84" s="8" t="s">
        <v>105</v>
      </c>
      <c r="G84" s="4" t="s">
        <v>597</v>
      </c>
      <c r="H84" s="9" t="s">
        <v>196</v>
      </c>
      <c r="I84" s="5" t="s">
        <v>636</v>
      </c>
      <c r="J84" s="5" t="s">
        <v>599</v>
      </c>
      <c r="K84" s="6">
        <f t="shared" si="2"/>
        <v>1</v>
      </c>
    </row>
    <row r="85" spans="1:11" ht="15" customHeight="1">
      <c r="A85" s="4">
        <v>77</v>
      </c>
      <c r="B85" s="5" t="s">
        <v>159</v>
      </c>
      <c r="C85" s="5" t="s">
        <v>154</v>
      </c>
      <c r="D85" s="5" t="s">
        <v>551</v>
      </c>
      <c r="E85" s="7" t="s">
        <v>105</v>
      </c>
      <c r="F85" s="8" t="s">
        <v>105</v>
      </c>
      <c r="G85" s="4" t="s">
        <v>597</v>
      </c>
      <c r="H85" s="9" t="s">
        <v>196</v>
      </c>
      <c r="I85" s="5" t="s">
        <v>636</v>
      </c>
      <c r="J85" s="5" t="s">
        <v>599</v>
      </c>
      <c r="K85" s="6">
        <f t="shared" si="2"/>
        <v>1</v>
      </c>
    </row>
    <row r="86" spans="1:11" ht="30" customHeight="1">
      <c r="A86" s="4">
        <v>78</v>
      </c>
      <c r="B86" s="5" t="s">
        <v>130</v>
      </c>
      <c r="C86" s="5" t="s">
        <v>24</v>
      </c>
      <c r="D86" s="5" t="s">
        <v>164</v>
      </c>
      <c r="E86" s="7" t="s">
        <v>105</v>
      </c>
      <c r="F86" s="8" t="s">
        <v>105</v>
      </c>
      <c r="G86" s="4" t="s">
        <v>597</v>
      </c>
      <c r="H86" s="9" t="s">
        <v>196</v>
      </c>
      <c r="I86" s="5" t="s">
        <v>636</v>
      </c>
      <c r="J86" s="5" t="s">
        <v>599</v>
      </c>
      <c r="K86" s="6">
        <f t="shared" si="2"/>
        <v>1</v>
      </c>
    </row>
    <row r="87" spans="1:11" ht="15" customHeight="1">
      <c r="A87" s="4">
        <v>79</v>
      </c>
      <c r="B87" s="5" t="s">
        <v>130</v>
      </c>
      <c r="C87" s="5" t="s">
        <v>24</v>
      </c>
      <c r="D87" s="5" t="s">
        <v>165</v>
      </c>
      <c r="E87" s="7" t="s">
        <v>105</v>
      </c>
      <c r="F87" s="8" t="s">
        <v>105</v>
      </c>
      <c r="G87" s="4" t="s">
        <v>597</v>
      </c>
      <c r="H87" s="9" t="s">
        <v>196</v>
      </c>
      <c r="I87" s="5" t="s">
        <v>636</v>
      </c>
      <c r="J87" s="5" t="s">
        <v>599</v>
      </c>
      <c r="K87" s="6">
        <f t="shared" si="2"/>
        <v>1</v>
      </c>
    </row>
    <row r="88" spans="1:11" ht="15" customHeight="1">
      <c r="A88" s="4">
        <v>80</v>
      </c>
      <c r="B88" s="5" t="s">
        <v>130</v>
      </c>
      <c r="C88" s="5" t="s">
        <v>24</v>
      </c>
      <c r="D88" s="5" t="s">
        <v>166</v>
      </c>
      <c r="E88" s="7" t="s">
        <v>105</v>
      </c>
      <c r="F88" s="8" t="s">
        <v>105</v>
      </c>
      <c r="G88" s="4" t="s">
        <v>597</v>
      </c>
      <c r="H88" s="9" t="s">
        <v>196</v>
      </c>
      <c r="I88" s="5" t="s">
        <v>636</v>
      </c>
      <c r="J88" s="5" t="s">
        <v>599</v>
      </c>
      <c r="K88" s="6">
        <f t="shared" si="2"/>
        <v>1</v>
      </c>
    </row>
    <row r="89" spans="1:11" ht="15" customHeight="1">
      <c r="A89" s="4">
        <v>81</v>
      </c>
      <c r="B89" s="5" t="s">
        <v>130</v>
      </c>
      <c r="C89" s="5" t="s">
        <v>24</v>
      </c>
      <c r="D89" s="5" t="s">
        <v>167</v>
      </c>
      <c r="E89" s="7" t="s">
        <v>105</v>
      </c>
      <c r="F89" s="8" t="s">
        <v>105</v>
      </c>
      <c r="G89" s="4" t="s">
        <v>597</v>
      </c>
      <c r="H89" s="9" t="s">
        <v>196</v>
      </c>
      <c r="I89" s="5" t="s">
        <v>636</v>
      </c>
      <c r="J89" s="5" t="s">
        <v>599</v>
      </c>
      <c r="K89" s="6">
        <f t="shared" si="2"/>
        <v>1</v>
      </c>
    </row>
    <row r="90" spans="1:11" ht="15" customHeight="1">
      <c r="A90" s="4">
        <v>82</v>
      </c>
      <c r="B90" s="5" t="s">
        <v>130</v>
      </c>
      <c r="C90" s="5" t="s">
        <v>24</v>
      </c>
      <c r="D90" s="5" t="s">
        <v>168</v>
      </c>
      <c r="E90" s="7" t="s">
        <v>105</v>
      </c>
      <c r="F90" s="8" t="s">
        <v>105</v>
      </c>
      <c r="G90" s="4" t="s">
        <v>597</v>
      </c>
      <c r="H90" s="9" t="s">
        <v>196</v>
      </c>
      <c r="I90" s="5" t="s">
        <v>636</v>
      </c>
      <c r="J90" s="5" t="s">
        <v>599</v>
      </c>
      <c r="K90" s="6">
        <f t="shared" si="2"/>
        <v>1</v>
      </c>
    </row>
    <row r="91" spans="1:11" ht="15" customHeight="1">
      <c r="A91" s="4">
        <v>83</v>
      </c>
      <c r="B91" s="5" t="s">
        <v>135</v>
      </c>
      <c r="C91" s="5" t="s">
        <v>121</v>
      </c>
      <c r="D91" s="5" t="s">
        <v>169</v>
      </c>
      <c r="E91" s="7" t="s">
        <v>105</v>
      </c>
      <c r="F91" s="8" t="s">
        <v>105</v>
      </c>
      <c r="G91" s="4" t="s">
        <v>597</v>
      </c>
      <c r="H91" s="9" t="s">
        <v>196</v>
      </c>
      <c r="I91" s="5" t="s">
        <v>636</v>
      </c>
      <c r="J91" s="5" t="s">
        <v>599</v>
      </c>
      <c r="K91" s="6">
        <f t="shared" si="2"/>
        <v>1</v>
      </c>
    </row>
    <row r="92" spans="1:11" ht="30" customHeight="1">
      <c r="A92" s="4">
        <v>84</v>
      </c>
      <c r="B92" s="5" t="s">
        <v>135</v>
      </c>
      <c r="C92" s="5" t="s">
        <v>121</v>
      </c>
      <c r="D92" s="5" t="s">
        <v>170</v>
      </c>
      <c r="E92" s="7" t="s">
        <v>105</v>
      </c>
      <c r="F92" s="8" t="s">
        <v>105</v>
      </c>
      <c r="G92" s="4" t="s">
        <v>597</v>
      </c>
      <c r="H92" s="9" t="s">
        <v>196</v>
      </c>
      <c r="I92" s="5" t="s">
        <v>636</v>
      </c>
      <c r="J92" s="5" t="s">
        <v>599</v>
      </c>
      <c r="K92" s="6">
        <f t="shared" si="2"/>
        <v>1</v>
      </c>
    </row>
    <row r="93" spans="1:11" ht="30" customHeight="1">
      <c r="A93" s="4">
        <v>85</v>
      </c>
      <c r="B93" s="5" t="s">
        <v>135</v>
      </c>
      <c r="C93" s="5" t="s">
        <v>121</v>
      </c>
      <c r="D93" s="5" t="s">
        <v>171</v>
      </c>
      <c r="E93" s="7" t="s">
        <v>105</v>
      </c>
      <c r="F93" s="8" t="s">
        <v>105</v>
      </c>
      <c r="G93" s="4" t="s">
        <v>597</v>
      </c>
      <c r="H93" s="9" t="s">
        <v>196</v>
      </c>
      <c r="I93" s="5" t="s">
        <v>636</v>
      </c>
      <c r="J93" s="5" t="s">
        <v>599</v>
      </c>
      <c r="K93" s="6">
        <f t="shared" si="2"/>
        <v>1</v>
      </c>
    </row>
    <row r="94" spans="1:11" ht="30" customHeight="1">
      <c r="A94" s="4">
        <v>86</v>
      </c>
      <c r="B94" s="5" t="s">
        <v>135</v>
      </c>
      <c r="C94" s="5" t="s">
        <v>24</v>
      </c>
      <c r="D94" s="5" t="s">
        <v>627</v>
      </c>
      <c r="E94" s="7" t="s">
        <v>105</v>
      </c>
      <c r="F94" s="8" t="s">
        <v>105</v>
      </c>
      <c r="G94" s="4" t="s">
        <v>597</v>
      </c>
      <c r="H94" s="9" t="s">
        <v>196</v>
      </c>
      <c r="I94" s="5" t="s">
        <v>636</v>
      </c>
      <c r="J94" s="5" t="s">
        <v>599</v>
      </c>
      <c r="K94" s="6">
        <f t="shared" si="2"/>
        <v>1</v>
      </c>
    </row>
    <row r="95" spans="1:11" ht="30" customHeight="1">
      <c r="A95" s="4">
        <v>87</v>
      </c>
      <c r="B95" s="5" t="s">
        <v>135</v>
      </c>
      <c r="C95" s="5" t="s">
        <v>24</v>
      </c>
      <c r="D95" s="5" t="s">
        <v>628</v>
      </c>
      <c r="E95" s="7" t="s">
        <v>105</v>
      </c>
      <c r="F95" s="8" t="s">
        <v>105</v>
      </c>
      <c r="G95" s="4" t="s">
        <v>597</v>
      </c>
      <c r="H95" s="9" t="s">
        <v>196</v>
      </c>
      <c r="I95" s="5" t="s">
        <v>636</v>
      </c>
      <c r="J95" s="5" t="s">
        <v>599</v>
      </c>
      <c r="K95" s="6">
        <f t="shared" si="2"/>
        <v>1</v>
      </c>
    </row>
    <row r="96" spans="1:11" ht="15" customHeight="1">
      <c r="A96" s="4">
        <v>88</v>
      </c>
      <c r="B96" s="5" t="s">
        <v>135</v>
      </c>
      <c r="C96" s="5" t="s">
        <v>24</v>
      </c>
      <c r="D96" s="5" t="s">
        <v>629</v>
      </c>
      <c r="E96" s="7" t="s">
        <v>105</v>
      </c>
      <c r="F96" s="8" t="s">
        <v>105</v>
      </c>
      <c r="G96" s="4" t="s">
        <v>597</v>
      </c>
      <c r="H96" s="9" t="s">
        <v>196</v>
      </c>
      <c r="I96" s="5" t="s">
        <v>636</v>
      </c>
      <c r="J96" s="5" t="s">
        <v>599</v>
      </c>
      <c r="K96" s="6">
        <f t="shared" si="2"/>
        <v>1</v>
      </c>
    </row>
    <row r="97" spans="1:11" ht="30" customHeight="1">
      <c r="A97" s="4">
        <v>89</v>
      </c>
      <c r="B97" s="5" t="s">
        <v>135</v>
      </c>
      <c r="C97" s="5" t="s">
        <v>24</v>
      </c>
      <c r="D97" s="5" t="s">
        <v>630</v>
      </c>
      <c r="E97" s="7" t="s">
        <v>105</v>
      </c>
      <c r="F97" s="8" t="s">
        <v>105</v>
      </c>
      <c r="G97" s="4" t="s">
        <v>597</v>
      </c>
      <c r="H97" s="9" t="s">
        <v>196</v>
      </c>
      <c r="I97" s="5" t="s">
        <v>636</v>
      </c>
      <c r="J97" s="5" t="s">
        <v>599</v>
      </c>
      <c r="K97" s="6">
        <f t="shared" si="2"/>
        <v>1</v>
      </c>
    </row>
    <row r="98" spans="1:11" ht="15" customHeight="1">
      <c r="A98" s="4">
        <v>90</v>
      </c>
      <c r="B98" s="5" t="s">
        <v>591</v>
      </c>
      <c r="C98" s="5" t="s">
        <v>24</v>
      </c>
      <c r="D98" s="5" t="s">
        <v>631</v>
      </c>
      <c r="E98" s="7" t="s">
        <v>105</v>
      </c>
      <c r="F98" s="8" t="s">
        <v>105</v>
      </c>
      <c r="G98" s="4" t="s">
        <v>597</v>
      </c>
      <c r="H98" s="9" t="s">
        <v>196</v>
      </c>
      <c r="I98" s="5" t="s">
        <v>636</v>
      </c>
      <c r="J98" s="5" t="s">
        <v>599</v>
      </c>
      <c r="K98" s="6">
        <f t="shared" si="2"/>
        <v>1</v>
      </c>
    </row>
    <row r="99" spans="1:11" ht="15" customHeight="1">
      <c r="A99" s="4">
        <v>91</v>
      </c>
      <c r="B99" s="5" t="s">
        <v>591</v>
      </c>
      <c r="C99" s="5" t="s">
        <v>24</v>
      </c>
      <c r="D99" s="5" t="s">
        <v>632</v>
      </c>
      <c r="E99" s="7" t="s">
        <v>105</v>
      </c>
      <c r="F99" s="8" t="s">
        <v>105</v>
      </c>
      <c r="G99" s="4" t="s">
        <v>597</v>
      </c>
      <c r="H99" s="9" t="s">
        <v>196</v>
      </c>
      <c r="I99" s="5" t="s">
        <v>636</v>
      </c>
      <c r="J99" s="5" t="s">
        <v>599</v>
      </c>
      <c r="K99" s="6">
        <f t="shared" si="2"/>
        <v>1</v>
      </c>
    </row>
    <row r="100" spans="1:11" ht="15" customHeight="1">
      <c r="A100" s="4">
        <v>92</v>
      </c>
      <c r="B100" s="5" t="s">
        <v>179</v>
      </c>
      <c r="C100" s="5" t="s">
        <v>24</v>
      </c>
      <c r="D100" s="5" t="s">
        <v>633</v>
      </c>
      <c r="E100" s="7" t="s">
        <v>105</v>
      </c>
      <c r="F100" s="8" t="s">
        <v>105</v>
      </c>
      <c r="G100" s="4" t="s">
        <v>597</v>
      </c>
      <c r="H100" s="9" t="s">
        <v>196</v>
      </c>
      <c r="I100" s="5" t="s">
        <v>636</v>
      </c>
      <c r="J100" s="5" t="s">
        <v>599</v>
      </c>
      <c r="K100" s="6">
        <f t="shared" si="2"/>
        <v>1</v>
      </c>
    </row>
    <row r="101" spans="1:11" ht="15" customHeight="1">
      <c r="A101" s="4">
        <v>93</v>
      </c>
      <c r="B101" s="5" t="s">
        <v>179</v>
      </c>
      <c r="C101" s="5" t="s">
        <v>24</v>
      </c>
      <c r="D101" s="5" t="s">
        <v>634</v>
      </c>
      <c r="E101" s="7" t="s">
        <v>105</v>
      </c>
      <c r="F101" s="8" t="s">
        <v>105</v>
      </c>
      <c r="G101" s="4" t="s">
        <v>597</v>
      </c>
      <c r="H101" s="9" t="s">
        <v>196</v>
      </c>
      <c r="I101" s="5" t="s">
        <v>636</v>
      </c>
      <c r="J101" s="5" t="s">
        <v>599</v>
      </c>
      <c r="K101" s="6">
        <f t="shared" si="2"/>
        <v>1</v>
      </c>
    </row>
    <row r="102" spans="1:11" ht="15" customHeight="1">
      <c r="A102" s="4">
        <v>94</v>
      </c>
      <c r="B102" s="5" t="s">
        <v>179</v>
      </c>
      <c r="C102" s="5" t="s">
        <v>24</v>
      </c>
      <c r="D102" s="5" t="s">
        <v>182</v>
      </c>
      <c r="E102" s="7" t="s">
        <v>105</v>
      </c>
      <c r="F102" s="8" t="s">
        <v>105</v>
      </c>
      <c r="G102" s="4" t="s">
        <v>597</v>
      </c>
      <c r="H102" s="9" t="s">
        <v>196</v>
      </c>
      <c r="I102" s="5" t="s">
        <v>636</v>
      </c>
      <c r="J102" s="5" t="s">
        <v>599</v>
      </c>
      <c r="K102" s="6">
        <f t="shared" si="2"/>
        <v>1</v>
      </c>
    </row>
    <row r="103" spans="1:11" ht="15" customHeight="1">
      <c r="A103" s="4">
        <v>95</v>
      </c>
      <c r="B103" s="5" t="s">
        <v>179</v>
      </c>
      <c r="C103" s="5" t="s">
        <v>24</v>
      </c>
      <c r="D103" s="5" t="s">
        <v>183</v>
      </c>
      <c r="E103" s="7" t="s">
        <v>105</v>
      </c>
      <c r="F103" s="8" t="s">
        <v>105</v>
      </c>
      <c r="G103" s="4" t="s">
        <v>597</v>
      </c>
      <c r="H103" s="9" t="s">
        <v>196</v>
      </c>
      <c r="I103" s="5" t="s">
        <v>636</v>
      </c>
      <c r="J103" s="5" t="s">
        <v>599</v>
      </c>
      <c r="K103" s="6">
        <f t="shared" si="2"/>
        <v>1</v>
      </c>
    </row>
    <row r="104" spans="1:11" ht="15" customHeight="1">
      <c r="A104" s="4">
        <v>96</v>
      </c>
      <c r="B104" s="5" t="s">
        <v>179</v>
      </c>
      <c r="C104" s="5" t="s">
        <v>24</v>
      </c>
      <c r="D104" s="5" t="s">
        <v>184</v>
      </c>
      <c r="E104" s="7" t="s">
        <v>105</v>
      </c>
      <c r="F104" s="8" t="s">
        <v>105</v>
      </c>
      <c r="G104" s="4" t="s">
        <v>597</v>
      </c>
      <c r="H104" s="9" t="s">
        <v>196</v>
      </c>
      <c r="I104" s="5" t="s">
        <v>636</v>
      </c>
      <c r="J104" s="5" t="s">
        <v>599</v>
      </c>
      <c r="K104" s="6">
        <f t="shared" si="2"/>
        <v>1</v>
      </c>
    </row>
    <row r="105" spans="1:11" ht="15" customHeight="1">
      <c r="A105" s="4">
        <v>97</v>
      </c>
      <c r="B105" s="5" t="s">
        <v>179</v>
      </c>
      <c r="C105" s="5" t="s">
        <v>24</v>
      </c>
      <c r="D105" s="5" t="s">
        <v>185</v>
      </c>
      <c r="E105" s="7" t="s">
        <v>105</v>
      </c>
      <c r="F105" s="8" t="s">
        <v>105</v>
      </c>
      <c r="G105" s="4" t="s">
        <v>597</v>
      </c>
      <c r="H105" s="9" t="s">
        <v>196</v>
      </c>
      <c r="I105" s="5" t="s">
        <v>636</v>
      </c>
      <c r="J105" s="5" t="s">
        <v>599</v>
      </c>
      <c r="K105" s="6">
        <f t="shared" si="2"/>
        <v>1</v>
      </c>
    </row>
    <row r="106" spans="1:11" ht="15" customHeight="1">
      <c r="A106" s="4">
        <v>98</v>
      </c>
      <c r="B106" s="5" t="s">
        <v>177</v>
      </c>
      <c r="C106" s="5" t="s">
        <v>24</v>
      </c>
      <c r="D106" s="5" t="s">
        <v>186</v>
      </c>
      <c r="E106" s="7" t="s">
        <v>105</v>
      </c>
      <c r="F106" s="8" t="s">
        <v>105</v>
      </c>
      <c r="G106" s="4" t="s">
        <v>597</v>
      </c>
      <c r="H106" s="9" t="s">
        <v>196</v>
      </c>
      <c r="I106" s="5" t="s">
        <v>636</v>
      </c>
      <c r="J106" s="5" t="s">
        <v>599</v>
      </c>
      <c r="K106" s="6">
        <f t="shared" si="2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77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642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69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643</v>
      </c>
      <c r="J9" s="20" t="s">
        <v>444</v>
      </c>
      <c r="K9" s="6">
        <f t="shared" ref="K9:K40" si="0">IF(AND(E9="yes",F9="yes",H9="covered"),1,IF(H9="partial",0.5,0))</f>
        <v>1</v>
      </c>
    </row>
    <row r="10" spans="1:11" ht="45" customHeight="1">
      <c r="A10" s="4">
        <v>2</v>
      </c>
      <c r="B10" s="5" t="s">
        <v>94</v>
      </c>
      <c r="C10" s="5" t="s">
        <v>95</v>
      </c>
      <c r="D10" s="5" t="s">
        <v>102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644</v>
      </c>
      <c r="J10" s="20" t="s">
        <v>444</v>
      </c>
      <c r="K10" s="6">
        <f t="shared" si="0"/>
        <v>1</v>
      </c>
    </row>
    <row r="11" spans="1:11" ht="45" customHeight="1">
      <c r="A11" s="4">
        <v>3</v>
      </c>
      <c r="B11" s="5" t="s">
        <v>94</v>
      </c>
      <c r="C11" s="5" t="s">
        <v>25</v>
      </c>
      <c r="D11" s="5" t="s">
        <v>104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645</v>
      </c>
      <c r="J11" s="20" t="s">
        <v>444</v>
      </c>
      <c r="K11" s="6">
        <f t="shared" si="0"/>
        <v>1</v>
      </c>
    </row>
    <row r="12" spans="1:11" ht="45" customHeight="1">
      <c r="A12" s="4">
        <v>4</v>
      </c>
      <c r="B12" s="5" t="s">
        <v>94</v>
      </c>
      <c r="C12" s="5" t="s">
        <v>25</v>
      </c>
      <c r="D12" s="5" t="s">
        <v>110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646</v>
      </c>
      <c r="J12" s="20" t="s">
        <v>444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25</v>
      </c>
      <c r="D13" s="5" t="s">
        <v>111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647</v>
      </c>
      <c r="J13" s="20" t="s">
        <v>444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25</v>
      </c>
      <c r="D14" s="5" t="s">
        <v>112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648</v>
      </c>
      <c r="J14" s="20" t="s">
        <v>444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25</v>
      </c>
      <c r="D15" s="5" t="s">
        <v>649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650</v>
      </c>
      <c r="J15" s="20" t="s">
        <v>444</v>
      </c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25</v>
      </c>
      <c r="D16" s="5" t="s">
        <v>651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652</v>
      </c>
      <c r="J16" s="20" t="s">
        <v>444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25</v>
      </c>
      <c r="D17" s="5" t="s">
        <v>118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650</v>
      </c>
      <c r="J17" s="20" t="s">
        <v>444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25</v>
      </c>
      <c r="D18" s="5" t="s">
        <v>653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654</v>
      </c>
      <c r="J18" s="20" t="s">
        <v>444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25</v>
      </c>
      <c r="D19" s="5" t="s">
        <v>119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650</v>
      </c>
      <c r="J19" s="20" t="s">
        <v>444</v>
      </c>
      <c r="K19" s="6">
        <f t="shared" si="0"/>
        <v>1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650</v>
      </c>
      <c r="J20" s="20" t="s">
        <v>444</v>
      </c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650</v>
      </c>
      <c r="J21" s="20" t="s">
        <v>444</v>
      </c>
      <c r="K21" s="6">
        <f t="shared" si="0"/>
        <v>1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650</v>
      </c>
      <c r="J22" s="20" t="s">
        <v>444</v>
      </c>
      <c r="K22" s="6">
        <f t="shared" si="0"/>
        <v>1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650</v>
      </c>
      <c r="J23" s="20" t="s">
        <v>444</v>
      </c>
      <c r="K23" s="6">
        <f t="shared" si="0"/>
        <v>1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655</v>
      </c>
      <c r="J24" s="20" t="s">
        <v>444</v>
      </c>
      <c r="K24" s="6">
        <f t="shared" si="0"/>
        <v>1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656</v>
      </c>
      <c r="J25" s="20" t="s">
        <v>444</v>
      </c>
      <c r="K25" s="6">
        <f t="shared" si="0"/>
        <v>1</v>
      </c>
    </row>
    <row r="26" spans="1:11" ht="15" customHeight="1">
      <c r="A26" s="4">
        <v>18</v>
      </c>
      <c r="B26" s="5" t="s">
        <v>130</v>
      </c>
      <c r="C26" s="5" t="s">
        <v>121</v>
      </c>
      <c r="D26" s="5" t="s">
        <v>131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650</v>
      </c>
      <c r="J26" s="20" t="s">
        <v>444</v>
      </c>
      <c r="K26" s="6">
        <f t="shared" si="0"/>
        <v>1</v>
      </c>
    </row>
    <row r="27" spans="1:11" ht="15" customHeight="1">
      <c r="A27" s="4">
        <v>19</v>
      </c>
      <c r="B27" s="5" t="s">
        <v>130</v>
      </c>
      <c r="C27" s="5" t="s">
        <v>121</v>
      </c>
      <c r="D27" s="5" t="s">
        <v>132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650</v>
      </c>
      <c r="J27" s="20" t="s">
        <v>444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657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650</v>
      </c>
      <c r="J28" s="20" t="s">
        <v>444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658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650</v>
      </c>
      <c r="J29" s="20" t="s">
        <v>444</v>
      </c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659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650</v>
      </c>
      <c r="J30" s="20" t="s">
        <v>444</v>
      </c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140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650</v>
      </c>
      <c r="J31" s="20" t="s">
        <v>444</v>
      </c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142</v>
      </c>
      <c r="E32" s="19" t="s">
        <v>105</v>
      </c>
      <c r="F32" s="19" t="s">
        <v>105</v>
      </c>
      <c r="G32" s="19" t="s">
        <v>442</v>
      </c>
      <c r="H32" s="19" t="s">
        <v>196</v>
      </c>
      <c r="I32" s="20" t="s">
        <v>650</v>
      </c>
      <c r="J32" s="20" t="s">
        <v>444</v>
      </c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146</v>
      </c>
      <c r="E33" s="19" t="s">
        <v>105</v>
      </c>
      <c r="F33" s="19" t="s">
        <v>105</v>
      </c>
      <c r="G33" s="19" t="s">
        <v>442</v>
      </c>
      <c r="H33" s="19" t="s">
        <v>196</v>
      </c>
      <c r="I33" s="20" t="s">
        <v>650</v>
      </c>
      <c r="J33" s="20" t="s">
        <v>444</v>
      </c>
      <c r="K33" s="6">
        <f t="shared" si="0"/>
        <v>1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144</v>
      </c>
      <c r="E34" s="19" t="s">
        <v>105</v>
      </c>
      <c r="F34" s="19" t="s">
        <v>105</v>
      </c>
      <c r="G34" s="19" t="s">
        <v>442</v>
      </c>
      <c r="H34" s="19" t="s">
        <v>196</v>
      </c>
      <c r="I34" s="20" t="s">
        <v>650</v>
      </c>
      <c r="J34" s="20" t="s">
        <v>444</v>
      </c>
      <c r="K34" s="6">
        <f t="shared" si="0"/>
        <v>1</v>
      </c>
    </row>
    <row r="35" spans="1:11" ht="15" customHeight="1">
      <c r="A35" s="4">
        <v>27</v>
      </c>
      <c r="B35" s="5" t="s">
        <v>120</v>
      </c>
      <c r="C35" s="5" t="s">
        <v>145</v>
      </c>
      <c r="D35" s="5" t="s">
        <v>122</v>
      </c>
      <c r="E35" s="19" t="s">
        <v>105</v>
      </c>
      <c r="F35" s="19" t="s">
        <v>105</v>
      </c>
      <c r="G35" s="19" t="s">
        <v>442</v>
      </c>
      <c r="H35" s="19" t="s">
        <v>196</v>
      </c>
      <c r="I35" s="20" t="s">
        <v>650</v>
      </c>
      <c r="J35" s="20" t="s">
        <v>444</v>
      </c>
      <c r="K35" s="6">
        <f t="shared" si="0"/>
        <v>1</v>
      </c>
    </row>
    <row r="36" spans="1:11" ht="15" customHeight="1">
      <c r="A36" s="4">
        <v>28</v>
      </c>
      <c r="B36" s="5" t="s">
        <v>120</v>
      </c>
      <c r="C36" s="5" t="s">
        <v>145</v>
      </c>
      <c r="D36" s="5" t="s">
        <v>123</v>
      </c>
      <c r="E36" s="19" t="s">
        <v>105</v>
      </c>
      <c r="F36" s="19" t="s">
        <v>105</v>
      </c>
      <c r="G36" s="19" t="s">
        <v>442</v>
      </c>
      <c r="H36" s="19" t="s">
        <v>196</v>
      </c>
      <c r="I36" s="20" t="s">
        <v>650</v>
      </c>
      <c r="J36" s="20" t="s">
        <v>444</v>
      </c>
      <c r="K36" s="6">
        <f t="shared" si="0"/>
        <v>1</v>
      </c>
    </row>
    <row r="37" spans="1:11" ht="30" customHeight="1">
      <c r="A37" s="4">
        <v>29</v>
      </c>
      <c r="B37" s="5" t="s">
        <v>124</v>
      </c>
      <c r="C37" s="5" t="s">
        <v>145</v>
      </c>
      <c r="D37" s="5" t="s">
        <v>125</v>
      </c>
      <c r="E37" s="19" t="s">
        <v>105</v>
      </c>
      <c r="F37" s="19" t="s">
        <v>105</v>
      </c>
      <c r="G37" s="19" t="s">
        <v>442</v>
      </c>
      <c r="H37" s="19" t="s">
        <v>196</v>
      </c>
      <c r="I37" s="20" t="s">
        <v>650</v>
      </c>
      <c r="J37" s="20" t="s">
        <v>444</v>
      </c>
      <c r="K37" s="6">
        <f t="shared" si="0"/>
        <v>1</v>
      </c>
    </row>
    <row r="38" spans="1:11" ht="15" customHeight="1">
      <c r="A38" s="4">
        <v>30</v>
      </c>
      <c r="B38" s="5" t="s">
        <v>124</v>
      </c>
      <c r="C38" s="5" t="s">
        <v>145</v>
      </c>
      <c r="D38" s="5" t="s">
        <v>126</v>
      </c>
      <c r="E38" s="19" t="s">
        <v>105</v>
      </c>
      <c r="F38" s="19" t="s">
        <v>105</v>
      </c>
      <c r="G38" s="19" t="s">
        <v>442</v>
      </c>
      <c r="H38" s="19" t="s">
        <v>196</v>
      </c>
      <c r="I38" s="20" t="s">
        <v>650</v>
      </c>
      <c r="J38" s="20" t="s">
        <v>444</v>
      </c>
      <c r="K38" s="6">
        <f t="shared" si="0"/>
        <v>1</v>
      </c>
    </row>
    <row r="39" spans="1:11" ht="15" customHeight="1">
      <c r="A39" s="4">
        <v>31</v>
      </c>
      <c r="B39" s="5" t="s">
        <v>95</v>
      </c>
      <c r="C39" s="5" t="s">
        <v>145</v>
      </c>
      <c r="D39" s="5" t="s">
        <v>127</v>
      </c>
      <c r="E39" s="19" t="s">
        <v>105</v>
      </c>
      <c r="F39" s="19" t="s">
        <v>105</v>
      </c>
      <c r="G39" s="19" t="s">
        <v>442</v>
      </c>
      <c r="H39" s="19" t="s">
        <v>196</v>
      </c>
      <c r="I39" s="20" t="s">
        <v>660</v>
      </c>
      <c r="J39" s="20" t="s">
        <v>444</v>
      </c>
      <c r="K39" s="6">
        <f t="shared" si="0"/>
        <v>1</v>
      </c>
    </row>
    <row r="40" spans="1:11" ht="15" customHeight="1">
      <c r="A40" s="4">
        <v>32</v>
      </c>
      <c r="B40" s="5" t="s">
        <v>128</v>
      </c>
      <c r="C40" s="5" t="s">
        <v>145</v>
      </c>
      <c r="D40" s="5" t="s">
        <v>129</v>
      </c>
      <c r="E40" s="19" t="s">
        <v>105</v>
      </c>
      <c r="F40" s="19" t="s">
        <v>105</v>
      </c>
      <c r="G40" s="19" t="s">
        <v>442</v>
      </c>
      <c r="H40" s="19" t="s">
        <v>196</v>
      </c>
      <c r="I40" s="20" t="s">
        <v>661</v>
      </c>
      <c r="J40" s="20" t="s">
        <v>444</v>
      </c>
      <c r="K40" s="6">
        <f t="shared" si="0"/>
        <v>1</v>
      </c>
    </row>
    <row r="41" spans="1:11" ht="15" customHeight="1">
      <c r="A41" s="4">
        <v>33</v>
      </c>
      <c r="B41" s="5" t="s">
        <v>130</v>
      </c>
      <c r="C41" s="5" t="s">
        <v>145</v>
      </c>
      <c r="D41" s="5" t="s">
        <v>131</v>
      </c>
      <c r="E41" s="19" t="s">
        <v>105</v>
      </c>
      <c r="F41" s="19" t="s">
        <v>105</v>
      </c>
      <c r="G41" s="19" t="s">
        <v>442</v>
      </c>
      <c r="H41" s="19" t="s">
        <v>196</v>
      </c>
      <c r="I41" s="20" t="s">
        <v>650</v>
      </c>
      <c r="J41" s="20" t="s">
        <v>444</v>
      </c>
      <c r="K41" s="6">
        <f t="shared" ref="K41:K77" si="1">IF(AND(E41="yes",F41="yes",H41="covered"),1,IF(H41="partial",0.5,0))</f>
        <v>1</v>
      </c>
    </row>
    <row r="42" spans="1:11" ht="15" customHeight="1">
      <c r="A42" s="4">
        <v>34</v>
      </c>
      <c r="B42" s="5" t="s">
        <v>130</v>
      </c>
      <c r="C42" s="5" t="s">
        <v>145</v>
      </c>
      <c r="D42" s="5" t="s">
        <v>132</v>
      </c>
      <c r="E42" s="19" t="s">
        <v>105</v>
      </c>
      <c r="F42" s="19" t="s">
        <v>105</v>
      </c>
      <c r="G42" s="19" t="s">
        <v>442</v>
      </c>
      <c r="H42" s="19" t="s">
        <v>196</v>
      </c>
      <c r="I42" s="20" t="s">
        <v>650</v>
      </c>
      <c r="J42" s="20" t="s">
        <v>444</v>
      </c>
      <c r="K42" s="6">
        <f t="shared" si="1"/>
        <v>1</v>
      </c>
    </row>
    <row r="43" spans="1:11" ht="15" customHeight="1">
      <c r="A43" s="4">
        <v>35</v>
      </c>
      <c r="B43" s="5" t="s">
        <v>133</v>
      </c>
      <c r="C43" s="5" t="s">
        <v>145</v>
      </c>
      <c r="D43" s="5" t="s">
        <v>142</v>
      </c>
      <c r="E43" s="19" t="s">
        <v>105</v>
      </c>
      <c r="F43" s="19" t="s">
        <v>105</v>
      </c>
      <c r="G43" s="19" t="s">
        <v>442</v>
      </c>
      <c r="H43" s="19" t="s">
        <v>196</v>
      </c>
      <c r="I43" s="20" t="s">
        <v>650</v>
      </c>
      <c r="J43" s="20" t="s">
        <v>444</v>
      </c>
      <c r="K43" s="6">
        <f t="shared" si="1"/>
        <v>1</v>
      </c>
    </row>
    <row r="44" spans="1:11" ht="15" customHeight="1">
      <c r="A44" s="4">
        <v>36</v>
      </c>
      <c r="B44" s="5" t="s">
        <v>133</v>
      </c>
      <c r="C44" s="5" t="s">
        <v>145</v>
      </c>
      <c r="D44" s="5" t="s">
        <v>146</v>
      </c>
      <c r="E44" s="19" t="s">
        <v>105</v>
      </c>
      <c r="F44" s="19" t="s">
        <v>105</v>
      </c>
      <c r="G44" s="19" t="s">
        <v>442</v>
      </c>
      <c r="H44" s="19" t="s">
        <v>196</v>
      </c>
      <c r="I44" s="20" t="s">
        <v>650</v>
      </c>
      <c r="J44" s="20" t="s">
        <v>444</v>
      </c>
      <c r="K44" s="6">
        <f t="shared" si="1"/>
        <v>1</v>
      </c>
    </row>
    <row r="45" spans="1:11" ht="15" customHeight="1">
      <c r="A45" s="4">
        <v>37</v>
      </c>
      <c r="B45" s="5" t="s">
        <v>135</v>
      </c>
      <c r="C45" s="5" t="s">
        <v>145</v>
      </c>
      <c r="D45" s="5" t="s">
        <v>144</v>
      </c>
      <c r="E45" s="19" t="s">
        <v>105</v>
      </c>
      <c r="F45" s="19" t="s">
        <v>105</v>
      </c>
      <c r="G45" s="19" t="s">
        <v>442</v>
      </c>
      <c r="H45" s="19" t="s">
        <v>196</v>
      </c>
      <c r="I45" s="20" t="s">
        <v>650</v>
      </c>
      <c r="J45" s="20" t="s">
        <v>444</v>
      </c>
      <c r="K45" s="6">
        <f t="shared" si="1"/>
        <v>1</v>
      </c>
    </row>
    <row r="46" spans="1:11" ht="15" customHeight="1">
      <c r="A46" s="4">
        <v>38</v>
      </c>
      <c r="B46" s="5" t="s">
        <v>120</v>
      </c>
      <c r="C46" s="5" t="s">
        <v>147</v>
      </c>
      <c r="D46" s="5" t="s">
        <v>122</v>
      </c>
      <c r="E46" s="19" t="s">
        <v>105</v>
      </c>
      <c r="F46" s="19" t="s">
        <v>105</v>
      </c>
      <c r="G46" s="19" t="s">
        <v>442</v>
      </c>
      <c r="H46" s="19" t="s">
        <v>196</v>
      </c>
      <c r="I46" s="20" t="s">
        <v>650</v>
      </c>
      <c r="J46" s="20" t="s">
        <v>444</v>
      </c>
      <c r="K46" s="6">
        <f t="shared" si="1"/>
        <v>1</v>
      </c>
    </row>
    <row r="47" spans="1:11" ht="15" customHeight="1">
      <c r="A47" s="4">
        <v>39</v>
      </c>
      <c r="B47" s="5" t="s">
        <v>120</v>
      </c>
      <c r="C47" s="5" t="s">
        <v>147</v>
      </c>
      <c r="D47" s="5" t="s">
        <v>123</v>
      </c>
      <c r="E47" s="19" t="s">
        <v>105</v>
      </c>
      <c r="F47" s="19" t="s">
        <v>105</v>
      </c>
      <c r="G47" s="19" t="s">
        <v>442</v>
      </c>
      <c r="H47" s="19" t="s">
        <v>196</v>
      </c>
      <c r="I47" s="20" t="s">
        <v>650</v>
      </c>
      <c r="J47" s="20" t="s">
        <v>444</v>
      </c>
      <c r="K47" s="6">
        <f t="shared" si="1"/>
        <v>1</v>
      </c>
    </row>
    <row r="48" spans="1:11" ht="30" customHeight="1">
      <c r="A48" s="4">
        <v>40</v>
      </c>
      <c r="B48" s="5" t="s">
        <v>124</v>
      </c>
      <c r="C48" s="5" t="s">
        <v>147</v>
      </c>
      <c r="D48" s="5" t="s">
        <v>125</v>
      </c>
      <c r="E48" s="19" t="s">
        <v>105</v>
      </c>
      <c r="F48" s="19" t="s">
        <v>105</v>
      </c>
      <c r="G48" s="19" t="s">
        <v>442</v>
      </c>
      <c r="H48" s="19" t="s">
        <v>196</v>
      </c>
      <c r="I48" s="20" t="s">
        <v>650</v>
      </c>
      <c r="J48" s="20" t="s">
        <v>444</v>
      </c>
      <c r="K48" s="6">
        <f t="shared" si="1"/>
        <v>1</v>
      </c>
    </row>
    <row r="49" spans="1:11" ht="15" customHeight="1">
      <c r="A49" s="4">
        <v>41</v>
      </c>
      <c r="B49" s="5" t="s">
        <v>124</v>
      </c>
      <c r="C49" s="5" t="s">
        <v>147</v>
      </c>
      <c r="D49" s="5" t="s">
        <v>126</v>
      </c>
      <c r="E49" s="19" t="s">
        <v>105</v>
      </c>
      <c r="F49" s="19" t="s">
        <v>105</v>
      </c>
      <c r="G49" s="19" t="s">
        <v>442</v>
      </c>
      <c r="H49" s="19" t="s">
        <v>196</v>
      </c>
      <c r="I49" s="20" t="s">
        <v>650</v>
      </c>
      <c r="J49" s="20" t="s">
        <v>444</v>
      </c>
      <c r="K49" s="6">
        <f t="shared" si="1"/>
        <v>1</v>
      </c>
    </row>
    <row r="50" spans="1:11" ht="15" customHeight="1">
      <c r="A50" s="4">
        <v>42</v>
      </c>
      <c r="B50" s="5" t="s">
        <v>95</v>
      </c>
      <c r="C50" s="5" t="s">
        <v>147</v>
      </c>
      <c r="D50" s="5" t="s">
        <v>127</v>
      </c>
      <c r="E50" s="19" t="s">
        <v>105</v>
      </c>
      <c r="F50" s="19" t="s">
        <v>105</v>
      </c>
      <c r="G50" s="19" t="s">
        <v>442</v>
      </c>
      <c r="H50" s="19" t="s">
        <v>196</v>
      </c>
      <c r="I50" s="20" t="s">
        <v>662</v>
      </c>
      <c r="J50" s="20" t="s">
        <v>444</v>
      </c>
      <c r="K50" s="6">
        <f t="shared" si="1"/>
        <v>1</v>
      </c>
    </row>
    <row r="51" spans="1:11" ht="15" customHeight="1">
      <c r="A51" s="4">
        <v>43</v>
      </c>
      <c r="B51" s="5" t="s">
        <v>128</v>
      </c>
      <c r="C51" s="5" t="s">
        <v>147</v>
      </c>
      <c r="D51" s="5" t="s">
        <v>129</v>
      </c>
      <c r="E51" s="19" t="s">
        <v>105</v>
      </c>
      <c r="F51" s="19" t="s">
        <v>105</v>
      </c>
      <c r="G51" s="19" t="s">
        <v>442</v>
      </c>
      <c r="H51" s="19" t="s">
        <v>196</v>
      </c>
      <c r="I51" s="20" t="s">
        <v>663</v>
      </c>
      <c r="J51" s="20" t="s">
        <v>444</v>
      </c>
      <c r="K51" s="6">
        <f t="shared" si="1"/>
        <v>1</v>
      </c>
    </row>
    <row r="52" spans="1:11" ht="15" customHeight="1">
      <c r="A52" s="4">
        <v>44</v>
      </c>
      <c r="B52" s="5" t="s">
        <v>130</v>
      </c>
      <c r="C52" s="5" t="s">
        <v>147</v>
      </c>
      <c r="D52" s="5" t="s">
        <v>131</v>
      </c>
      <c r="E52" s="19" t="s">
        <v>105</v>
      </c>
      <c r="F52" s="19" t="s">
        <v>105</v>
      </c>
      <c r="G52" s="19" t="s">
        <v>442</v>
      </c>
      <c r="H52" s="19" t="s">
        <v>196</v>
      </c>
      <c r="I52" s="20" t="s">
        <v>650</v>
      </c>
      <c r="J52" s="20" t="s">
        <v>444</v>
      </c>
      <c r="K52" s="6">
        <f t="shared" si="1"/>
        <v>1</v>
      </c>
    </row>
    <row r="53" spans="1:11" ht="15" customHeight="1">
      <c r="A53" s="4">
        <v>45</v>
      </c>
      <c r="B53" s="5" t="s">
        <v>130</v>
      </c>
      <c r="C53" s="5" t="s">
        <v>147</v>
      </c>
      <c r="D53" s="5" t="s">
        <v>132</v>
      </c>
      <c r="E53" s="19" t="s">
        <v>105</v>
      </c>
      <c r="F53" s="19" t="s">
        <v>105</v>
      </c>
      <c r="G53" s="19" t="s">
        <v>442</v>
      </c>
      <c r="H53" s="19" t="s">
        <v>196</v>
      </c>
      <c r="I53" s="20" t="s">
        <v>650</v>
      </c>
      <c r="J53" s="20" t="s">
        <v>444</v>
      </c>
      <c r="K53" s="6">
        <f t="shared" si="1"/>
        <v>1</v>
      </c>
    </row>
    <row r="54" spans="1:11" ht="15" customHeight="1">
      <c r="A54" s="4">
        <v>46</v>
      </c>
      <c r="B54" s="5" t="s">
        <v>133</v>
      </c>
      <c r="C54" s="5" t="s">
        <v>147</v>
      </c>
      <c r="D54" s="5" t="s">
        <v>148</v>
      </c>
      <c r="E54" s="19" t="s">
        <v>105</v>
      </c>
      <c r="F54" s="19" t="s">
        <v>105</v>
      </c>
      <c r="G54" s="19" t="s">
        <v>442</v>
      </c>
      <c r="H54" s="19" t="s">
        <v>196</v>
      </c>
      <c r="I54" s="20" t="s">
        <v>650</v>
      </c>
      <c r="J54" s="20" t="s">
        <v>444</v>
      </c>
      <c r="K54" s="6">
        <f t="shared" si="1"/>
        <v>1</v>
      </c>
    </row>
    <row r="55" spans="1:11" ht="15" customHeight="1">
      <c r="A55" s="4">
        <v>47</v>
      </c>
      <c r="B55" s="5" t="s">
        <v>133</v>
      </c>
      <c r="C55" s="5" t="s">
        <v>147</v>
      </c>
      <c r="D55" s="5" t="s">
        <v>142</v>
      </c>
      <c r="E55" s="19" t="s">
        <v>105</v>
      </c>
      <c r="F55" s="19" t="s">
        <v>105</v>
      </c>
      <c r="G55" s="19" t="s">
        <v>442</v>
      </c>
      <c r="H55" s="19" t="s">
        <v>196</v>
      </c>
      <c r="I55" s="20" t="s">
        <v>650</v>
      </c>
      <c r="J55" s="20" t="s">
        <v>444</v>
      </c>
      <c r="K55" s="6">
        <f t="shared" si="1"/>
        <v>1</v>
      </c>
    </row>
    <row r="56" spans="1:11" ht="30" customHeight="1">
      <c r="A56" s="4">
        <v>48</v>
      </c>
      <c r="B56" s="5" t="s">
        <v>133</v>
      </c>
      <c r="C56" s="5" t="s">
        <v>147</v>
      </c>
      <c r="D56" s="5" t="s">
        <v>146</v>
      </c>
      <c r="E56" s="19" t="s">
        <v>105</v>
      </c>
      <c r="F56" s="19" t="s">
        <v>105</v>
      </c>
      <c r="G56" s="19" t="s">
        <v>442</v>
      </c>
      <c r="H56" s="19" t="s">
        <v>196</v>
      </c>
      <c r="I56" s="20" t="s">
        <v>650</v>
      </c>
      <c r="J56" s="20" t="s">
        <v>444</v>
      </c>
      <c r="K56" s="6">
        <f t="shared" si="1"/>
        <v>1</v>
      </c>
    </row>
    <row r="57" spans="1:11" ht="15" customHeight="1">
      <c r="A57" s="4">
        <v>49</v>
      </c>
      <c r="B57" s="5" t="s">
        <v>133</v>
      </c>
      <c r="C57" s="5" t="s">
        <v>147</v>
      </c>
      <c r="D57" s="5" t="s">
        <v>149</v>
      </c>
      <c r="E57" s="19" t="s">
        <v>105</v>
      </c>
      <c r="F57" s="19" t="s">
        <v>105</v>
      </c>
      <c r="G57" s="19" t="s">
        <v>442</v>
      </c>
      <c r="H57" s="19" t="s">
        <v>196</v>
      </c>
      <c r="I57" s="20" t="s">
        <v>664</v>
      </c>
      <c r="J57" s="20" t="s">
        <v>444</v>
      </c>
      <c r="K57" s="6">
        <f t="shared" si="1"/>
        <v>1</v>
      </c>
    </row>
    <row r="58" spans="1:11" ht="30" customHeight="1">
      <c r="A58" s="4">
        <v>50</v>
      </c>
      <c r="B58" s="5" t="s">
        <v>153</v>
      </c>
      <c r="C58" s="5" t="s">
        <v>154</v>
      </c>
      <c r="D58" s="5" t="s">
        <v>155</v>
      </c>
      <c r="E58" s="19" t="s">
        <v>105</v>
      </c>
      <c r="F58" s="19" t="s">
        <v>105</v>
      </c>
      <c r="G58" s="19" t="s">
        <v>442</v>
      </c>
      <c r="H58" s="19" t="s">
        <v>196</v>
      </c>
      <c r="I58" s="20" t="s">
        <v>665</v>
      </c>
      <c r="J58" s="20" t="s">
        <v>444</v>
      </c>
      <c r="K58" s="6">
        <f t="shared" si="1"/>
        <v>1</v>
      </c>
    </row>
    <row r="59" spans="1:11" ht="30" customHeight="1">
      <c r="A59" s="4">
        <v>51</v>
      </c>
      <c r="B59" s="5" t="s">
        <v>153</v>
      </c>
      <c r="C59" s="5" t="s">
        <v>154</v>
      </c>
      <c r="D59" s="5" t="s">
        <v>156</v>
      </c>
      <c r="E59" s="19" t="s">
        <v>105</v>
      </c>
      <c r="F59" s="19" t="s">
        <v>105</v>
      </c>
      <c r="G59" s="19" t="s">
        <v>442</v>
      </c>
      <c r="H59" s="19" t="s">
        <v>196</v>
      </c>
      <c r="I59" s="20" t="s">
        <v>650</v>
      </c>
      <c r="J59" s="20" t="s">
        <v>444</v>
      </c>
      <c r="K59" s="6">
        <f t="shared" si="1"/>
        <v>1</v>
      </c>
    </row>
    <row r="60" spans="1:11" ht="15" customHeight="1">
      <c r="A60" s="4">
        <v>52</v>
      </c>
      <c r="B60" s="5" t="s">
        <v>153</v>
      </c>
      <c r="C60" s="5" t="s">
        <v>154</v>
      </c>
      <c r="D60" s="5" t="s">
        <v>157</v>
      </c>
      <c r="E60" s="19" t="s">
        <v>105</v>
      </c>
      <c r="F60" s="19" t="s">
        <v>105</v>
      </c>
      <c r="G60" s="19" t="s">
        <v>442</v>
      </c>
      <c r="H60" s="19" t="s">
        <v>196</v>
      </c>
      <c r="I60" s="20" t="s">
        <v>650</v>
      </c>
      <c r="J60" s="20" t="s">
        <v>444</v>
      </c>
      <c r="K60" s="6">
        <f t="shared" si="1"/>
        <v>1</v>
      </c>
    </row>
    <row r="61" spans="1:11" ht="30" customHeight="1">
      <c r="A61" s="4">
        <v>53</v>
      </c>
      <c r="B61" s="5" t="s">
        <v>153</v>
      </c>
      <c r="C61" s="5" t="s">
        <v>154</v>
      </c>
      <c r="D61" s="5" t="s">
        <v>158</v>
      </c>
      <c r="E61" s="19" t="s">
        <v>105</v>
      </c>
      <c r="F61" s="19" t="s">
        <v>105</v>
      </c>
      <c r="G61" s="19" t="s">
        <v>442</v>
      </c>
      <c r="H61" s="19" t="s">
        <v>196</v>
      </c>
      <c r="I61" s="20" t="s">
        <v>666</v>
      </c>
      <c r="J61" s="20" t="s">
        <v>444</v>
      </c>
      <c r="K61" s="6">
        <f t="shared" si="1"/>
        <v>1</v>
      </c>
    </row>
    <row r="62" spans="1:11" ht="30" customHeight="1">
      <c r="A62" s="4">
        <v>54</v>
      </c>
      <c r="B62" s="5" t="s">
        <v>159</v>
      </c>
      <c r="C62" s="5" t="s">
        <v>154</v>
      </c>
      <c r="D62" s="5" t="s">
        <v>160</v>
      </c>
      <c r="E62" s="19" t="s">
        <v>105</v>
      </c>
      <c r="F62" s="19" t="s">
        <v>105</v>
      </c>
      <c r="G62" s="19" t="s">
        <v>442</v>
      </c>
      <c r="H62" s="19" t="s">
        <v>196</v>
      </c>
      <c r="I62" s="20" t="s">
        <v>650</v>
      </c>
      <c r="J62" s="20" t="s">
        <v>444</v>
      </c>
      <c r="K62" s="6">
        <f t="shared" si="1"/>
        <v>1</v>
      </c>
    </row>
    <row r="63" spans="1:11" ht="15" customHeight="1">
      <c r="A63" s="4">
        <v>55</v>
      </c>
      <c r="B63" s="5" t="s">
        <v>159</v>
      </c>
      <c r="C63" s="5" t="s">
        <v>154</v>
      </c>
      <c r="D63" s="5" t="s">
        <v>162</v>
      </c>
      <c r="E63" s="19" t="s">
        <v>105</v>
      </c>
      <c r="F63" s="19" t="s">
        <v>105</v>
      </c>
      <c r="G63" s="19" t="s">
        <v>442</v>
      </c>
      <c r="H63" s="19" t="s">
        <v>196</v>
      </c>
      <c r="I63" s="20" t="s">
        <v>650</v>
      </c>
      <c r="J63" s="20" t="s">
        <v>444</v>
      </c>
      <c r="K63" s="6">
        <f t="shared" si="1"/>
        <v>1</v>
      </c>
    </row>
    <row r="64" spans="1:11" ht="15" customHeight="1">
      <c r="A64" s="4">
        <v>56</v>
      </c>
      <c r="B64" s="5" t="s">
        <v>159</v>
      </c>
      <c r="C64" s="5" t="s">
        <v>154</v>
      </c>
      <c r="D64" s="5" t="s">
        <v>163</v>
      </c>
      <c r="E64" s="19" t="s">
        <v>105</v>
      </c>
      <c r="F64" s="19" t="s">
        <v>105</v>
      </c>
      <c r="G64" s="19" t="s">
        <v>442</v>
      </c>
      <c r="H64" s="19" t="s">
        <v>196</v>
      </c>
      <c r="I64" s="20" t="s">
        <v>650</v>
      </c>
      <c r="J64" s="20" t="s">
        <v>444</v>
      </c>
      <c r="K64" s="6">
        <f t="shared" si="1"/>
        <v>1</v>
      </c>
    </row>
    <row r="65" spans="1:11" ht="30" customHeight="1">
      <c r="A65" s="4">
        <v>57</v>
      </c>
      <c r="B65" s="5" t="s">
        <v>130</v>
      </c>
      <c r="C65" s="5" t="s">
        <v>25</v>
      </c>
      <c r="D65" s="5" t="s">
        <v>164</v>
      </c>
      <c r="E65" s="19" t="s">
        <v>105</v>
      </c>
      <c r="F65" s="19" t="s">
        <v>105</v>
      </c>
      <c r="G65" s="19" t="s">
        <v>442</v>
      </c>
      <c r="H65" s="19" t="s">
        <v>196</v>
      </c>
      <c r="I65" s="20" t="s">
        <v>667</v>
      </c>
      <c r="J65" s="20" t="s">
        <v>444</v>
      </c>
      <c r="K65" s="6">
        <f t="shared" si="1"/>
        <v>1</v>
      </c>
    </row>
    <row r="66" spans="1:11" ht="15" customHeight="1">
      <c r="A66" s="4">
        <v>58</v>
      </c>
      <c r="B66" s="5" t="s">
        <v>130</v>
      </c>
      <c r="C66" s="5" t="s">
        <v>25</v>
      </c>
      <c r="D66" s="5" t="s">
        <v>165</v>
      </c>
      <c r="E66" s="19" t="s">
        <v>105</v>
      </c>
      <c r="F66" s="19" t="s">
        <v>105</v>
      </c>
      <c r="G66" s="19" t="s">
        <v>442</v>
      </c>
      <c r="H66" s="19" t="s">
        <v>196</v>
      </c>
      <c r="I66" s="20" t="s">
        <v>668</v>
      </c>
      <c r="J66" s="20" t="s">
        <v>444</v>
      </c>
      <c r="K66" s="6">
        <f t="shared" si="1"/>
        <v>1</v>
      </c>
    </row>
    <row r="67" spans="1:11" ht="15" customHeight="1">
      <c r="A67" s="4">
        <v>59</v>
      </c>
      <c r="B67" s="5" t="s">
        <v>130</v>
      </c>
      <c r="C67" s="5" t="s">
        <v>25</v>
      </c>
      <c r="D67" s="5" t="s">
        <v>166</v>
      </c>
      <c r="E67" s="19" t="s">
        <v>105</v>
      </c>
      <c r="F67" s="19" t="s">
        <v>105</v>
      </c>
      <c r="G67" s="19" t="s">
        <v>442</v>
      </c>
      <c r="H67" s="19" t="s">
        <v>196</v>
      </c>
      <c r="I67" s="20" t="s">
        <v>669</v>
      </c>
      <c r="J67" s="20" t="s">
        <v>444</v>
      </c>
      <c r="K67" s="6">
        <f t="shared" si="1"/>
        <v>1</v>
      </c>
    </row>
    <row r="68" spans="1:11" ht="15" customHeight="1">
      <c r="A68" s="4">
        <v>60</v>
      </c>
      <c r="B68" s="5" t="s">
        <v>130</v>
      </c>
      <c r="C68" s="5" t="s">
        <v>25</v>
      </c>
      <c r="D68" s="5" t="s">
        <v>167</v>
      </c>
      <c r="E68" s="19" t="s">
        <v>105</v>
      </c>
      <c r="F68" s="19" t="s">
        <v>105</v>
      </c>
      <c r="G68" s="19" t="s">
        <v>442</v>
      </c>
      <c r="H68" s="19" t="s">
        <v>196</v>
      </c>
      <c r="I68" s="20" t="s">
        <v>670</v>
      </c>
      <c r="J68" s="20" t="s">
        <v>444</v>
      </c>
      <c r="K68" s="6">
        <f t="shared" si="1"/>
        <v>1</v>
      </c>
    </row>
    <row r="69" spans="1:11" ht="15" customHeight="1">
      <c r="A69" s="4">
        <v>61</v>
      </c>
      <c r="B69" s="5" t="s">
        <v>130</v>
      </c>
      <c r="C69" s="5" t="s">
        <v>25</v>
      </c>
      <c r="D69" s="5" t="s">
        <v>168</v>
      </c>
      <c r="E69" s="19" t="s">
        <v>105</v>
      </c>
      <c r="F69" s="19" t="s">
        <v>105</v>
      </c>
      <c r="G69" s="19" t="s">
        <v>442</v>
      </c>
      <c r="H69" s="19" t="s">
        <v>196</v>
      </c>
      <c r="I69" s="20" t="s">
        <v>671</v>
      </c>
      <c r="J69" s="20" t="s">
        <v>444</v>
      </c>
      <c r="K69" s="6">
        <f t="shared" si="1"/>
        <v>1</v>
      </c>
    </row>
    <row r="70" spans="1:11" ht="15" customHeight="1">
      <c r="A70" s="4">
        <v>62</v>
      </c>
      <c r="B70" s="5" t="s">
        <v>135</v>
      </c>
      <c r="C70" s="5" t="s">
        <v>121</v>
      </c>
      <c r="D70" s="5" t="s">
        <v>169</v>
      </c>
      <c r="E70" s="19" t="s">
        <v>105</v>
      </c>
      <c r="F70" s="19" t="s">
        <v>105</v>
      </c>
      <c r="G70" s="19" t="s">
        <v>442</v>
      </c>
      <c r="H70" s="19" t="s">
        <v>196</v>
      </c>
      <c r="I70" s="20" t="s">
        <v>650</v>
      </c>
      <c r="J70" s="20" t="s">
        <v>444</v>
      </c>
      <c r="K70" s="6">
        <f t="shared" si="1"/>
        <v>1</v>
      </c>
    </row>
    <row r="71" spans="1:11" ht="15" customHeight="1">
      <c r="A71" s="4">
        <v>63</v>
      </c>
      <c r="B71" s="5" t="s">
        <v>135</v>
      </c>
      <c r="C71" s="5" t="s">
        <v>121</v>
      </c>
      <c r="D71" s="5" t="s">
        <v>170</v>
      </c>
      <c r="E71" s="19" t="s">
        <v>105</v>
      </c>
      <c r="F71" s="19" t="s">
        <v>105</v>
      </c>
      <c r="G71" s="19" t="s">
        <v>442</v>
      </c>
      <c r="H71" s="19" t="s">
        <v>196</v>
      </c>
      <c r="I71" s="20" t="s">
        <v>650</v>
      </c>
      <c r="J71" s="20" t="s">
        <v>444</v>
      </c>
      <c r="K71" s="6">
        <f t="shared" si="1"/>
        <v>1</v>
      </c>
    </row>
    <row r="72" spans="1:11" ht="15" customHeight="1">
      <c r="A72" s="4">
        <v>64</v>
      </c>
      <c r="B72" s="5" t="s">
        <v>135</v>
      </c>
      <c r="C72" s="5" t="s">
        <v>121</v>
      </c>
      <c r="D72" s="5" t="s">
        <v>171</v>
      </c>
      <c r="E72" s="19" t="s">
        <v>105</v>
      </c>
      <c r="F72" s="19" t="s">
        <v>105</v>
      </c>
      <c r="G72" s="19" t="s">
        <v>442</v>
      </c>
      <c r="H72" s="19" t="s">
        <v>196</v>
      </c>
      <c r="I72" s="20" t="s">
        <v>650</v>
      </c>
      <c r="J72" s="20" t="s">
        <v>444</v>
      </c>
      <c r="K72" s="6">
        <f t="shared" si="1"/>
        <v>1</v>
      </c>
    </row>
    <row r="73" spans="1:11" ht="15" customHeight="1">
      <c r="A73" s="4">
        <v>65</v>
      </c>
      <c r="B73" s="5" t="s">
        <v>172</v>
      </c>
      <c r="C73" s="5" t="s">
        <v>145</v>
      </c>
      <c r="D73" s="5" t="s">
        <v>173</v>
      </c>
      <c r="E73" s="19" t="s">
        <v>105</v>
      </c>
      <c r="F73" s="19" t="s">
        <v>105</v>
      </c>
      <c r="G73" s="19" t="s">
        <v>442</v>
      </c>
      <c r="H73" s="19" t="s">
        <v>196</v>
      </c>
      <c r="I73" s="20" t="s">
        <v>650</v>
      </c>
      <c r="J73" s="20" t="s">
        <v>444</v>
      </c>
      <c r="K73" s="6">
        <f t="shared" si="1"/>
        <v>1</v>
      </c>
    </row>
    <row r="74" spans="1:11" ht="15" customHeight="1">
      <c r="A74" s="4">
        <v>66</v>
      </c>
      <c r="B74" s="5" t="s">
        <v>172</v>
      </c>
      <c r="C74" s="5" t="s">
        <v>145</v>
      </c>
      <c r="D74" s="5" t="s">
        <v>174</v>
      </c>
      <c r="E74" s="19" t="s">
        <v>105</v>
      </c>
      <c r="F74" s="19" t="s">
        <v>105</v>
      </c>
      <c r="G74" s="19" t="s">
        <v>442</v>
      </c>
      <c r="H74" s="19" t="s">
        <v>196</v>
      </c>
      <c r="I74" s="20" t="s">
        <v>650</v>
      </c>
      <c r="J74" s="20" t="s">
        <v>444</v>
      </c>
      <c r="K74" s="6">
        <f t="shared" si="1"/>
        <v>1</v>
      </c>
    </row>
    <row r="75" spans="1:11" ht="15" customHeight="1">
      <c r="A75" s="4">
        <v>67</v>
      </c>
      <c r="B75" s="5" t="s">
        <v>172</v>
      </c>
      <c r="C75" s="5" t="s">
        <v>145</v>
      </c>
      <c r="D75" s="5" t="s">
        <v>175</v>
      </c>
      <c r="E75" s="19" t="s">
        <v>105</v>
      </c>
      <c r="F75" s="19" t="s">
        <v>105</v>
      </c>
      <c r="G75" s="19" t="s">
        <v>442</v>
      </c>
      <c r="H75" s="19" t="s">
        <v>196</v>
      </c>
      <c r="I75" s="20" t="s">
        <v>650</v>
      </c>
      <c r="J75" s="20" t="s">
        <v>444</v>
      </c>
      <c r="K75" s="6">
        <f t="shared" si="1"/>
        <v>1</v>
      </c>
    </row>
    <row r="76" spans="1:11" ht="15" customHeight="1">
      <c r="A76" s="4">
        <v>68</v>
      </c>
      <c r="B76" s="5" t="s">
        <v>172</v>
      </c>
      <c r="C76" s="5" t="s">
        <v>145</v>
      </c>
      <c r="D76" s="5" t="s">
        <v>176</v>
      </c>
      <c r="E76" s="19" t="s">
        <v>105</v>
      </c>
      <c r="F76" s="19" t="s">
        <v>105</v>
      </c>
      <c r="G76" s="19" t="s">
        <v>442</v>
      </c>
      <c r="H76" s="19" t="s">
        <v>196</v>
      </c>
      <c r="I76" s="20" t="s">
        <v>672</v>
      </c>
      <c r="J76" s="20" t="s">
        <v>444</v>
      </c>
      <c r="K76" s="6">
        <f t="shared" si="1"/>
        <v>1</v>
      </c>
    </row>
    <row r="77" spans="1:11" ht="15" customHeight="1">
      <c r="A77" s="4">
        <v>69</v>
      </c>
      <c r="B77" s="5" t="s">
        <v>177</v>
      </c>
      <c r="C77" s="5" t="s">
        <v>145</v>
      </c>
      <c r="D77" s="5" t="s">
        <v>178</v>
      </c>
      <c r="E77" s="19" t="s">
        <v>105</v>
      </c>
      <c r="F77" s="19" t="s">
        <v>105</v>
      </c>
      <c r="G77" s="19" t="s">
        <v>442</v>
      </c>
      <c r="H77" s="19" t="s">
        <v>196</v>
      </c>
      <c r="I77" s="20" t="s">
        <v>650</v>
      </c>
      <c r="J77" s="20" t="s">
        <v>444</v>
      </c>
      <c r="K77" s="6">
        <f t="shared" si="1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33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673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IFERROR(SUM(K9:K31)/COUNTA(A9:A31),0)</f>
        <v>1</v>
      </c>
      <c r="C4" s="1" t="s">
        <v>8</v>
      </c>
      <c r="D4" s="2">
        <f>COUNTIF(H9:H31,"covered")</f>
        <v>23</v>
      </c>
      <c r="E4" s="1" t="s">
        <v>9</v>
      </c>
      <c r="F4" s="2">
        <f>COUNTIF(H9:H31,"partial")</f>
        <v>0</v>
      </c>
      <c r="G4" s="1" t="s">
        <v>10</v>
      </c>
      <c r="H4" s="2">
        <f>COUNTIF(H9:H31,"missing")</f>
        <v>0</v>
      </c>
      <c r="I4" s="1" t="s">
        <v>11</v>
      </c>
      <c r="J4" s="2">
        <f>COUNTIF(F9:F31,"no")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45" customHeight="1">
      <c r="A9" s="19">
        <v>1</v>
      </c>
      <c r="B9" s="20" t="s">
        <v>94</v>
      </c>
      <c r="C9" s="20" t="s">
        <v>26</v>
      </c>
      <c r="D9" s="20" t="s">
        <v>104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674</v>
      </c>
      <c r="J9" s="20"/>
      <c r="K9" s="21">
        <f t="shared" ref="K9:K31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26</v>
      </c>
      <c r="D10" s="20" t="s">
        <v>110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675</v>
      </c>
      <c r="J10" s="20"/>
      <c r="K10" s="21">
        <f t="shared" si="0"/>
        <v>1</v>
      </c>
    </row>
    <row r="11" spans="1:11" ht="45" customHeight="1">
      <c r="A11" s="19">
        <v>3</v>
      </c>
      <c r="B11" s="20" t="s">
        <v>94</v>
      </c>
      <c r="C11" s="20" t="s">
        <v>26</v>
      </c>
      <c r="D11" s="20" t="s">
        <v>111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674</v>
      </c>
      <c r="J11" s="20"/>
      <c r="K11" s="21">
        <f t="shared" si="0"/>
        <v>1</v>
      </c>
    </row>
    <row r="12" spans="1:11" ht="45" customHeight="1">
      <c r="A12" s="19">
        <v>4</v>
      </c>
      <c r="B12" s="20" t="s">
        <v>94</v>
      </c>
      <c r="C12" s="20" t="s">
        <v>26</v>
      </c>
      <c r="D12" s="20" t="s">
        <v>112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674</v>
      </c>
      <c r="J12" s="20"/>
      <c r="K12" s="21">
        <f t="shared" si="0"/>
        <v>1</v>
      </c>
    </row>
    <row r="13" spans="1:11" ht="45" customHeight="1">
      <c r="A13" s="19">
        <v>5</v>
      </c>
      <c r="B13" s="20" t="s">
        <v>113</v>
      </c>
      <c r="C13" s="20" t="s">
        <v>26</v>
      </c>
      <c r="D13" s="20" t="s">
        <v>676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674</v>
      </c>
      <c r="J13" s="20"/>
      <c r="K13" s="21">
        <f t="shared" si="0"/>
        <v>1</v>
      </c>
    </row>
    <row r="14" spans="1:11" ht="15" customHeight="1">
      <c r="A14" s="19">
        <v>6</v>
      </c>
      <c r="B14" s="20" t="s">
        <v>113</v>
      </c>
      <c r="C14" s="20" t="s">
        <v>26</v>
      </c>
      <c r="D14" s="20" t="s">
        <v>677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675</v>
      </c>
      <c r="J14" s="20"/>
      <c r="K14" s="21">
        <f t="shared" si="0"/>
        <v>1</v>
      </c>
    </row>
    <row r="15" spans="1:11" ht="45" customHeight="1">
      <c r="A15" s="19">
        <v>7</v>
      </c>
      <c r="B15" s="20" t="s">
        <v>113</v>
      </c>
      <c r="C15" s="20" t="s">
        <v>26</v>
      </c>
      <c r="D15" s="20" t="s">
        <v>678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674</v>
      </c>
      <c r="J15" s="20"/>
      <c r="K15" s="21">
        <f t="shared" si="0"/>
        <v>1</v>
      </c>
    </row>
    <row r="16" spans="1:11" ht="45" customHeight="1">
      <c r="A16" s="19">
        <v>8</v>
      </c>
      <c r="B16" s="20" t="s">
        <v>113</v>
      </c>
      <c r="C16" s="20" t="s">
        <v>26</v>
      </c>
      <c r="D16" s="20" t="s">
        <v>679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674</v>
      </c>
      <c r="J16" s="20"/>
      <c r="K16" s="21">
        <f t="shared" si="0"/>
        <v>1</v>
      </c>
    </row>
    <row r="17" spans="1:11" ht="15" customHeight="1">
      <c r="A17" s="19">
        <v>9</v>
      </c>
      <c r="B17" s="20" t="s">
        <v>113</v>
      </c>
      <c r="C17" s="20" t="s">
        <v>26</v>
      </c>
      <c r="D17" s="20" t="s">
        <v>680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675</v>
      </c>
      <c r="J17" s="20"/>
      <c r="K17" s="21">
        <f t="shared" si="0"/>
        <v>1</v>
      </c>
    </row>
    <row r="18" spans="1:11" ht="30" customHeight="1">
      <c r="A18" s="19">
        <v>10</v>
      </c>
      <c r="B18" s="20" t="s">
        <v>113</v>
      </c>
      <c r="C18" s="20" t="s">
        <v>26</v>
      </c>
      <c r="D18" s="20" t="s">
        <v>681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675</v>
      </c>
      <c r="J18" s="20"/>
      <c r="K18" s="21">
        <f t="shared" si="0"/>
        <v>1</v>
      </c>
    </row>
    <row r="19" spans="1:11" ht="45" customHeight="1">
      <c r="A19" s="19">
        <v>11</v>
      </c>
      <c r="B19" s="20" t="s">
        <v>120</v>
      </c>
      <c r="C19" s="20" t="s">
        <v>682</v>
      </c>
      <c r="D19" s="20" t="s">
        <v>683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674</v>
      </c>
      <c r="J19" s="20"/>
      <c r="K19" s="21">
        <f t="shared" si="0"/>
        <v>1</v>
      </c>
    </row>
    <row r="20" spans="1:11" ht="15" customHeight="1">
      <c r="A20" s="19">
        <v>12</v>
      </c>
      <c r="B20" s="20" t="s">
        <v>120</v>
      </c>
      <c r="C20" s="20" t="s">
        <v>682</v>
      </c>
      <c r="D20" s="20" t="s">
        <v>684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675</v>
      </c>
      <c r="J20" s="20"/>
      <c r="K20" s="21">
        <f t="shared" si="0"/>
        <v>1</v>
      </c>
    </row>
    <row r="21" spans="1:11" ht="45" customHeight="1">
      <c r="A21" s="19">
        <v>13</v>
      </c>
      <c r="B21" s="20" t="s">
        <v>124</v>
      </c>
      <c r="C21" s="20" t="s">
        <v>685</v>
      </c>
      <c r="D21" s="20" t="s">
        <v>686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674</v>
      </c>
      <c r="J21" s="20"/>
      <c r="K21" s="21">
        <f t="shared" si="0"/>
        <v>1</v>
      </c>
    </row>
    <row r="22" spans="1:11" ht="15" customHeight="1">
      <c r="A22" s="19">
        <v>14</v>
      </c>
      <c r="B22" s="20" t="s">
        <v>124</v>
      </c>
      <c r="C22" s="20" t="s">
        <v>682</v>
      </c>
      <c r="D22" s="20" t="s">
        <v>687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675</v>
      </c>
      <c r="J22" s="20"/>
      <c r="K22" s="21">
        <f t="shared" si="0"/>
        <v>1</v>
      </c>
    </row>
    <row r="23" spans="1:11" ht="45" customHeight="1">
      <c r="A23" s="19">
        <v>15</v>
      </c>
      <c r="B23" s="20" t="s">
        <v>95</v>
      </c>
      <c r="C23" s="20" t="s">
        <v>685</v>
      </c>
      <c r="D23" s="20" t="s">
        <v>688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674</v>
      </c>
      <c r="J23" s="20"/>
      <c r="K23" s="21">
        <f t="shared" si="0"/>
        <v>1</v>
      </c>
    </row>
    <row r="24" spans="1:11" ht="45" customHeight="1">
      <c r="A24" s="19">
        <v>16</v>
      </c>
      <c r="B24" s="20" t="s">
        <v>120</v>
      </c>
      <c r="C24" s="20" t="s">
        <v>685</v>
      </c>
      <c r="D24" s="20" t="s">
        <v>689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674</v>
      </c>
      <c r="J24" s="20"/>
      <c r="K24" s="21">
        <f t="shared" si="0"/>
        <v>1</v>
      </c>
    </row>
    <row r="25" spans="1:11" ht="15" customHeight="1">
      <c r="A25" s="19">
        <v>17</v>
      </c>
      <c r="B25" s="20" t="s">
        <v>120</v>
      </c>
      <c r="C25" s="20" t="s">
        <v>685</v>
      </c>
      <c r="D25" s="20" t="s">
        <v>690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675</v>
      </c>
      <c r="J25" s="20"/>
      <c r="K25" s="21">
        <f t="shared" si="0"/>
        <v>1</v>
      </c>
    </row>
    <row r="26" spans="1:11" ht="15" customHeight="1">
      <c r="A26" s="19">
        <v>18</v>
      </c>
      <c r="B26" s="20" t="s">
        <v>124</v>
      </c>
      <c r="C26" s="20" t="s">
        <v>685</v>
      </c>
      <c r="D26" s="20" t="s">
        <v>691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675</v>
      </c>
      <c r="J26" s="20"/>
      <c r="K26" s="21">
        <f t="shared" si="0"/>
        <v>1</v>
      </c>
    </row>
    <row r="27" spans="1:11" ht="30" customHeight="1">
      <c r="A27" s="19">
        <v>19</v>
      </c>
      <c r="B27" s="20" t="s">
        <v>124</v>
      </c>
      <c r="C27" s="20" t="s">
        <v>682</v>
      </c>
      <c r="D27" s="20" t="s">
        <v>692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675</v>
      </c>
      <c r="J27" s="20"/>
      <c r="K27" s="21">
        <f t="shared" si="0"/>
        <v>1</v>
      </c>
    </row>
    <row r="28" spans="1:11" ht="15" customHeight="1">
      <c r="A28" s="19">
        <v>20</v>
      </c>
      <c r="B28" s="20" t="s">
        <v>95</v>
      </c>
      <c r="C28" s="20" t="s">
        <v>685</v>
      </c>
      <c r="D28" s="20" t="s">
        <v>693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675</v>
      </c>
      <c r="J28" s="20"/>
      <c r="K28" s="21">
        <f t="shared" si="0"/>
        <v>1</v>
      </c>
    </row>
    <row r="29" spans="1:11" ht="45" customHeight="1">
      <c r="A29" s="19">
        <v>21</v>
      </c>
      <c r="B29" s="20" t="s">
        <v>451</v>
      </c>
      <c r="C29" s="20" t="s">
        <v>26</v>
      </c>
      <c r="D29" s="20" t="s">
        <v>694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674</v>
      </c>
      <c r="J29" s="20"/>
      <c r="K29" s="21">
        <f t="shared" si="0"/>
        <v>1</v>
      </c>
    </row>
    <row r="30" spans="1:11" ht="15" customHeight="1">
      <c r="A30" s="19">
        <v>22</v>
      </c>
      <c r="B30" s="20" t="s">
        <v>451</v>
      </c>
      <c r="C30" s="20" t="s">
        <v>26</v>
      </c>
      <c r="D30" s="20" t="s">
        <v>695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675</v>
      </c>
      <c r="J30" s="20"/>
      <c r="K30" s="21">
        <f t="shared" si="0"/>
        <v>1</v>
      </c>
    </row>
    <row r="31" spans="1:11" ht="15" customHeight="1">
      <c r="A31" s="19">
        <v>23</v>
      </c>
      <c r="B31" s="20" t="s">
        <v>451</v>
      </c>
      <c r="C31" s="20" t="s">
        <v>26</v>
      </c>
      <c r="D31" s="20" t="s">
        <v>696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675</v>
      </c>
      <c r="J31" s="20"/>
      <c r="K31" s="21">
        <f t="shared" si="0"/>
        <v>1</v>
      </c>
    </row>
    <row r="32" spans="1:11">
      <c r="A32" s="4"/>
      <c r="B32" s="5"/>
      <c r="C32" s="5"/>
      <c r="D32" s="5"/>
      <c r="E32" s="7"/>
      <c r="F32" s="7"/>
      <c r="G32" s="4"/>
      <c r="H32" s="11"/>
      <c r="I32" s="5"/>
      <c r="J32" s="5"/>
      <c r="K32" s="6"/>
    </row>
    <row r="33" spans="1:11">
      <c r="A33" s="4"/>
      <c r="B33" s="5"/>
      <c r="C33" s="5"/>
      <c r="D33" s="5"/>
      <c r="E33" s="7"/>
      <c r="F33" s="7"/>
      <c r="G33" s="4"/>
      <c r="H33" s="11"/>
      <c r="I33" s="5"/>
      <c r="J33" s="5"/>
      <c r="K33" s="6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8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697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IFERROR(SUM(K9:K186)/COUNTA(A9:A186),0)</f>
        <v>1</v>
      </c>
      <c r="C4" s="1" t="s">
        <v>8</v>
      </c>
      <c r="D4" s="2">
        <f>COUNTIF(H9:H186,"covered")</f>
        <v>178</v>
      </c>
      <c r="E4" s="1" t="s">
        <v>9</v>
      </c>
      <c r="F4" s="2">
        <f>COUNTIF(H9:H186,"partial")</f>
        <v>0</v>
      </c>
      <c r="G4" s="1" t="s">
        <v>10</v>
      </c>
      <c r="H4" s="2">
        <f>COUNTIF(H9:H186,"missing")</f>
        <v>0</v>
      </c>
      <c r="I4" s="1" t="s">
        <v>11</v>
      </c>
      <c r="J4" s="2">
        <f>COUNTIF(F9:F186,"no")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442</v>
      </c>
      <c r="H9" s="9" t="s">
        <v>196</v>
      </c>
      <c r="I9" s="5" t="s">
        <v>698</v>
      </c>
      <c r="J9" s="5"/>
      <c r="K9" s="6">
        <f t="shared" ref="K9:K40" si="0">IF(AND(E9="yes",F9="yes",H9="covered"),1,IF(AND(E9="yes",H9="partial"),0.5,0))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442</v>
      </c>
      <c r="H10" s="9" t="s">
        <v>196</v>
      </c>
      <c r="I10" s="5" t="s">
        <v>698</v>
      </c>
      <c r="J10" s="5"/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27</v>
      </c>
      <c r="D11" s="5" t="s">
        <v>104</v>
      </c>
      <c r="E11" s="7" t="s">
        <v>105</v>
      </c>
      <c r="F11" s="8" t="s">
        <v>105</v>
      </c>
      <c r="G11" s="4" t="s">
        <v>442</v>
      </c>
      <c r="H11" s="9" t="s">
        <v>196</v>
      </c>
      <c r="I11" s="5" t="s">
        <v>698</v>
      </c>
      <c r="J11" s="5"/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27</v>
      </c>
      <c r="D12" s="5" t="s">
        <v>110</v>
      </c>
      <c r="E12" s="7" t="s">
        <v>105</v>
      </c>
      <c r="F12" s="8" t="s">
        <v>105</v>
      </c>
      <c r="G12" s="4" t="s">
        <v>442</v>
      </c>
      <c r="H12" s="9" t="s">
        <v>196</v>
      </c>
      <c r="I12" s="5" t="s">
        <v>698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27</v>
      </c>
      <c r="D13" s="5" t="s">
        <v>111</v>
      </c>
      <c r="E13" s="7" t="s">
        <v>105</v>
      </c>
      <c r="F13" s="8" t="s">
        <v>105</v>
      </c>
      <c r="G13" s="4" t="s">
        <v>442</v>
      </c>
      <c r="H13" s="9" t="s">
        <v>196</v>
      </c>
      <c r="I13" s="5" t="s">
        <v>698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27</v>
      </c>
      <c r="D14" s="5" t="s">
        <v>112</v>
      </c>
      <c r="E14" s="7" t="s">
        <v>105</v>
      </c>
      <c r="F14" s="8" t="s">
        <v>105</v>
      </c>
      <c r="G14" s="4" t="s">
        <v>442</v>
      </c>
      <c r="H14" s="9" t="s">
        <v>196</v>
      </c>
      <c r="I14" s="5" t="s">
        <v>698</v>
      </c>
      <c r="J14" s="5"/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27</v>
      </c>
      <c r="D15" s="5" t="s">
        <v>699</v>
      </c>
      <c r="E15" s="7" t="s">
        <v>105</v>
      </c>
      <c r="F15" s="8" t="s">
        <v>105</v>
      </c>
      <c r="G15" s="4" t="s">
        <v>442</v>
      </c>
      <c r="H15" s="9" t="s">
        <v>196</v>
      </c>
      <c r="I15" s="5" t="s">
        <v>698</v>
      </c>
      <c r="J15" s="5"/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27</v>
      </c>
      <c r="D16" s="5" t="s">
        <v>700</v>
      </c>
      <c r="E16" s="7" t="s">
        <v>105</v>
      </c>
      <c r="F16" s="8" t="s">
        <v>105</v>
      </c>
      <c r="G16" s="4" t="s">
        <v>442</v>
      </c>
      <c r="H16" s="9" t="s">
        <v>196</v>
      </c>
      <c r="I16" s="5" t="s">
        <v>698</v>
      </c>
      <c r="J16" s="5"/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27</v>
      </c>
      <c r="D17" s="5" t="s">
        <v>701</v>
      </c>
      <c r="E17" s="7" t="s">
        <v>105</v>
      </c>
      <c r="F17" s="8" t="s">
        <v>105</v>
      </c>
      <c r="G17" s="4" t="s">
        <v>442</v>
      </c>
      <c r="H17" s="9" t="s">
        <v>196</v>
      </c>
      <c r="I17" s="5" t="s">
        <v>698</v>
      </c>
      <c r="J17" s="5"/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27</v>
      </c>
      <c r="D18" s="5" t="s">
        <v>702</v>
      </c>
      <c r="E18" s="7" t="s">
        <v>105</v>
      </c>
      <c r="F18" s="8" t="s">
        <v>105</v>
      </c>
      <c r="G18" s="4" t="s">
        <v>442</v>
      </c>
      <c r="H18" s="9" t="s">
        <v>196</v>
      </c>
      <c r="I18" s="5" t="s">
        <v>698</v>
      </c>
      <c r="J18" s="5"/>
      <c r="K18" s="6">
        <f t="shared" si="0"/>
        <v>1</v>
      </c>
    </row>
    <row r="19" spans="1:11" ht="30" customHeight="1">
      <c r="A19" s="4">
        <v>11</v>
      </c>
      <c r="B19" s="5" t="s">
        <v>113</v>
      </c>
      <c r="C19" s="5" t="s">
        <v>27</v>
      </c>
      <c r="D19" s="5" t="s">
        <v>703</v>
      </c>
      <c r="E19" s="7" t="s">
        <v>105</v>
      </c>
      <c r="F19" s="8" t="s">
        <v>105</v>
      </c>
      <c r="G19" s="4" t="s">
        <v>442</v>
      </c>
      <c r="H19" s="9" t="s">
        <v>196</v>
      </c>
      <c r="I19" s="5" t="s">
        <v>698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27</v>
      </c>
      <c r="D20" s="5" t="s">
        <v>704</v>
      </c>
      <c r="E20" s="7" t="s">
        <v>105</v>
      </c>
      <c r="F20" s="8" t="s">
        <v>105</v>
      </c>
      <c r="G20" s="4" t="s">
        <v>442</v>
      </c>
      <c r="H20" s="9" t="s">
        <v>196</v>
      </c>
      <c r="I20" s="5" t="s">
        <v>698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113</v>
      </c>
      <c r="C21" s="5" t="s">
        <v>27</v>
      </c>
      <c r="D21" s="5" t="s">
        <v>705</v>
      </c>
      <c r="E21" s="7" t="s">
        <v>105</v>
      </c>
      <c r="F21" s="8" t="s">
        <v>105</v>
      </c>
      <c r="G21" s="4" t="s">
        <v>442</v>
      </c>
      <c r="H21" s="9" t="s">
        <v>196</v>
      </c>
      <c r="I21" s="5" t="s">
        <v>698</v>
      </c>
      <c r="J21" s="5"/>
      <c r="K21" s="6">
        <f t="shared" si="0"/>
        <v>1</v>
      </c>
    </row>
    <row r="22" spans="1:11" ht="15" customHeight="1">
      <c r="A22" s="4">
        <v>14</v>
      </c>
      <c r="B22" s="5" t="s">
        <v>113</v>
      </c>
      <c r="C22" s="5" t="s">
        <v>27</v>
      </c>
      <c r="D22" s="5" t="s">
        <v>706</v>
      </c>
      <c r="E22" s="7" t="s">
        <v>105</v>
      </c>
      <c r="F22" s="8" t="s">
        <v>105</v>
      </c>
      <c r="G22" s="4" t="s">
        <v>442</v>
      </c>
      <c r="H22" s="9" t="s">
        <v>196</v>
      </c>
      <c r="I22" s="5" t="s">
        <v>698</v>
      </c>
      <c r="J22" s="5"/>
      <c r="K22" s="6">
        <f t="shared" si="0"/>
        <v>1</v>
      </c>
    </row>
    <row r="23" spans="1:11" ht="15" customHeight="1">
      <c r="A23" s="4">
        <v>15</v>
      </c>
      <c r="B23" s="5" t="s">
        <v>120</v>
      </c>
      <c r="C23" s="5" t="s">
        <v>121</v>
      </c>
      <c r="D23" s="5" t="s">
        <v>122</v>
      </c>
      <c r="E23" s="7" t="s">
        <v>105</v>
      </c>
      <c r="F23" s="8" t="s">
        <v>105</v>
      </c>
      <c r="G23" s="4" t="s">
        <v>442</v>
      </c>
      <c r="H23" s="9" t="s">
        <v>196</v>
      </c>
      <c r="I23" s="5" t="s">
        <v>698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120</v>
      </c>
      <c r="C24" s="5" t="s">
        <v>121</v>
      </c>
      <c r="D24" s="5" t="s">
        <v>123</v>
      </c>
      <c r="E24" s="7" t="s">
        <v>105</v>
      </c>
      <c r="F24" s="8" t="s">
        <v>105</v>
      </c>
      <c r="G24" s="4" t="s">
        <v>442</v>
      </c>
      <c r="H24" s="9" t="s">
        <v>196</v>
      </c>
      <c r="I24" s="5" t="s">
        <v>698</v>
      </c>
      <c r="J24" s="5"/>
      <c r="K24" s="6">
        <f t="shared" si="0"/>
        <v>1</v>
      </c>
    </row>
    <row r="25" spans="1:11" ht="30" customHeight="1">
      <c r="A25" s="4">
        <v>17</v>
      </c>
      <c r="B25" s="5" t="s">
        <v>124</v>
      </c>
      <c r="C25" s="5" t="s">
        <v>121</v>
      </c>
      <c r="D25" s="5" t="s">
        <v>125</v>
      </c>
      <c r="E25" s="7" t="s">
        <v>105</v>
      </c>
      <c r="F25" s="8" t="s">
        <v>105</v>
      </c>
      <c r="G25" s="4" t="s">
        <v>442</v>
      </c>
      <c r="H25" s="9" t="s">
        <v>196</v>
      </c>
      <c r="I25" s="5" t="s">
        <v>698</v>
      </c>
      <c r="J25" s="5"/>
      <c r="K25" s="6">
        <f t="shared" si="0"/>
        <v>1</v>
      </c>
    </row>
    <row r="26" spans="1:11" ht="15" customHeight="1">
      <c r="A26" s="4">
        <v>18</v>
      </c>
      <c r="B26" s="5" t="s">
        <v>124</v>
      </c>
      <c r="C26" s="5" t="s">
        <v>121</v>
      </c>
      <c r="D26" s="5" t="s">
        <v>126</v>
      </c>
      <c r="E26" s="7" t="s">
        <v>105</v>
      </c>
      <c r="F26" s="8" t="s">
        <v>105</v>
      </c>
      <c r="G26" s="4" t="s">
        <v>442</v>
      </c>
      <c r="H26" s="9" t="s">
        <v>196</v>
      </c>
      <c r="I26" s="5" t="s">
        <v>698</v>
      </c>
      <c r="J26" s="5"/>
      <c r="K26" s="6">
        <f t="shared" si="0"/>
        <v>1</v>
      </c>
    </row>
    <row r="27" spans="1:11" ht="15" customHeight="1">
      <c r="A27" s="4">
        <v>19</v>
      </c>
      <c r="B27" s="5" t="s">
        <v>95</v>
      </c>
      <c r="C27" s="5" t="s">
        <v>121</v>
      </c>
      <c r="D27" s="5" t="s">
        <v>127</v>
      </c>
      <c r="E27" s="7" t="s">
        <v>105</v>
      </c>
      <c r="F27" s="8" t="s">
        <v>105</v>
      </c>
      <c r="G27" s="4" t="s">
        <v>442</v>
      </c>
      <c r="H27" s="9" t="s">
        <v>196</v>
      </c>
      <c r="I27" s="5" t="s">
        <v>698</v>
      </c>
      <c r="J27" s="5"/>
      <c r="K27" s="6">
        <f t="shared" si="0"/>
        <v>1</v>
      </c>
    </row>
    <row r="28" spans="1:11" ht="15" customHeight="1">
      <c r="A28" s="4">
        <v>20</v>
      </c>
      <c r="B28" s="5" t="s">
        <v>128</v>
      </c>
      <c r="C28" s="5" t="s">
        <v>121</v>
      </c>
      <c r="D28" s="5" t="s">
        <v>129</v>
      </c>
      <c r="E28" s="7" t="s">
        <v>105</v>
      </c>
      <c r="F28" s="8" t="s">
        <v>105</v>
      </c>
      <c r="G28" s="4" t="s">
        <v>442</v>
      </c>
      <c r="H28" s="9" t="s">
        <v>196</v>
      </c>
      <c r="I28" s="5" t="s">
        <v>698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707</v>
      </c>
      <c r="E29" s="7" t="s">
        <v>105</v>
      </c>
      <c r="F29" s="8" t="s">
        <v>105</v>
      </c>
      <c r="G29" s="4" t="s">
        <v>442</v>
      </c>
      <c r="H29" s="9" t="s">
        <v>196</v>
      </c>
      <c r="I29" s="5" t="s">
        <v>698</v>
      </c>
      <c r="J29" s="5"/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136</v>
      </c>
      <c r="E30" s="7" t="s">
        <v>105</v>
      </c>
      <c r="F30" s="8" t="s">
        <v>105</v>
      </c>
      <c r="G30" s="4" t="s">
        <v>442</v>
      </c>
      <c r="H30" s="9" t="s">
        <v>196</v>
      </c>
      <c r="I30" s="5" t="s">
        <v>698</v>
      </c>
      <c r="J30" s="5"/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137</v>
      </c>
      <c r="E31" s="7" t="s">
        <v>105</v>
      </c>
      <c r="F31" s="8" t="s">
        <v>105</v>
      </c>
      <c r="G31" s="4" t="s">
        <v>442</v>
      </c>
      <c r="H31" s="9" t="s">
        <v>196</v>
      </c>
      <c r="I31" s="5" t="s">
        <v>698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138</v>
      </c>
      <c r="E32" s="7" t="s">
        <v>105</v>
      </c>
      <c r="F32" s="8" t="s">
        <v>105</v>
      </c>
      <c r="G32" s="4" t="s">
        <v>442</v>
      </c>
      <c r="H32" s="9" t="s">
        <v>196</v>
      </c>
      <c r="I32" s="5" t="s">
        <v>698</v>
      </c>
      <c r="J32" s="5"/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708</v>
      </c>
      <c r="E33" s="7" t="s">
        <v>105</v>
      </c>
      <c r="F33" s="8" t="s">
        <v>105</v>
      </c>
      <c r="G33" s="4" t="s">
        <v>442</v>
      </c>
      <c r="H33" s="9" t="s">
        <v>196</v>
      </c>
      <c r="I33" s="5" t="s">
        <v>698</v>
      </c>
      <c r="J33" s="5"/>
      <c r="K33" s="6">
        <f t="shared" si="0"/>
        <v>1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709</v>
      </c>
      <c r="E34" s="7" t="s">
        <v>105</v>
      </c>
      <c r="F34" s="8" t="s">
        <v>105</v>
      </c>
      <c r="G34" s="4" t="s">
        <v>442</v>
      </c>
      <c r="H34" s="9" t="s">
        <v>196</v>
      </c>
      <c r="I34" s="5" t="s">
        <v>698</v>
      </c>
      <c r="J34" s="5"/>
      <c r="K34" s="6">
        <f t="shared" si="0"/>
        <v>1</v>
      </c>
    </row>
    <row r="35" spans="1:11" ht="15" customHeight="1">
      <c r="A35" s="4">
        <v>27</v>
      </c>
      <c r="B35" s="5" t="s">
        <v>135</v>
      </c>
      <c r="C35" s="5" t="s">
        <v>121</v>
      </c>
      <c r="D35" s="5" t="s">
        <v>710</v>
      </c>
      <c r="E35" s="7" t="s">
        <v>105</v>
      </c>
      <c r="F35" s="8" t="s">
        <v>105</v>
      </c>
      <c r="G35" s="4" t="s">
        <v>442</v>
      </c>
      <c r="H35" s="9" t="s">
        <v>196</v>
      </c>
      <c r="I35" s="5" t="s">
        <v>698</v>
      </c>
      <c r="J35" s="5"/>
      <c r="K35" s="6">
        <f t="shared" si="0"/>
        <v>1</v>
      </c>
    </row>
    <row r="36" spans="1:11" ht="15" customHeight="1">
      <c r="A36" s="4">
        <v>28</v>
      </c>
      <c r="B36" s="5" t="s">
        <v>135</v>
      </c>
      <c r="C36" s="5" t="s">
        <v>121</v>
      </c>
      <c r="D36" s="5" t="s">
        <v>657</v>
      </c>
      <c r="E36" s="7" t="s">
        <v>105</v>
      </c>
      <c r="F36" s="8" t="s">
        <v>105</v>
      </c>
      <c r="G36" s="4" t="s">
        <v>442</v>
      </c>
      <c r="H36" s="9" t="s">
        <v>196</v>
      </c>
      <c r="I36" s="5" t="s">
        <v>698</v>
      </c>
      <c r="J36" s="5"/>
      <c r="K36" s="6">
        <f t="shared" si="0"/>
        <v>1</v>
      </c>
    </row>
    <row r="37" spans="1:11" ht="15" customHeight="1">
      <c r="A37" s="4">
        <v>29</v>
      </c>
      <c r="B37" s="5" t="s">
        <v>135</v>
      </c>
      <c r="C37" s="5" t="s">
        <v>121</v>
      </c>
      <c r="D37" s="5" t="s">
        <v>658</v>
      </c>
      <c r="E37" s="7" t="s">
        <v>105</v>
      </c>
      <c r="F37" s="8" t="s">
        <v>105</v>
      </c>
      <c r="G37" s="4" t="s">
        <v>442</v>
      </c>
      <c r="H37" s="9" t="s">
        <v>196</v>
      </c>
      <c r="I37" s="5" t="s">
        <v>698</v>
      </c>
      <c r="J37" s="5"/>
      <c r="K37" s="6">
        <f t="shared" si="0"/>
        <v>1</v>
      </c>
    </row>
    <row r="38" spans="1:11" ht="15" customHeight="1">
      <c r="A38" s="4">
        <v>30</v>
      </c>
      <c r="B38" s="5" t="s">
        <v>135</v>
      </c>
      <c r="C38" s="5" t="s">
        <v>121</v>
      </c>
      <c r="D38" s="5" t="s">
        <v>659</v>
      </c>
      <c r="E38" s="7" t="s">
        <v>105</v>
      </c>
      <c r="F38" s="8" t="s">
        <v>105</v>
      </c>
      <c r="G38" s="4" t="s">
        <v>442</v>
      </c>
      <c r="H38" s="9" t="s">
        <v>196</v>
      </c>
      <c r="I38" s="5" t="s">
        <v>698</v>
      </c>
      <c r="J38" s="5"/>
      <c r="K38" s="6">
        <f t="shared" si="0"/>
        <v>1</v>
      </c>
    </row>
    <row r="39" spans="1:11" ht="15" customHeight="1">
      <c r="A39" s="4">
        <v>31</v>
      </c>
      <c r="B39" s="5" t="s">
        <v>135</v>
      </c>
      <c r="C39" s="5" t="s">
        <v>121</v>
      </c>
      <c r="D39" s="5" t="s">
        <v>711</v>
      </c>
      <c r="E39" s="7" t="s">
        <v>105</v>
      </c>
      <c r="F39" s="8" t="s">
        <v>105</v>
      </c>
      <c r="G39" s="4" t="s">
        <v>442</v>
      </c>
      <c r="H39" s="9" t="s">
        <v>196</v>
      </c>
      <c r="I39" s="5" t="s">
        <v>698</v>
      </c>
      <c r="J39" s="5"/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712</v>
      </c>
      <c r="E40" s="7" t="s">
        <v>105</v>
      </c>
      <c r="F40" s="8" t="s">
        <v>105</v>
      </c>
      <c r="G40" s="4" t="s">
        <v>442</v>
      </c>
      <c r="H40" s="9" t="s">
        <v>196</v>
      </c>
      <c r="I40" s="5" t="s">
        <v>698</v>
      </c>
      <c r="J40" s="5"/>
      <c r="K40" s="6">
        <f t="shared" si="0"/>
        <v>1</v>
      </c>
    </row>
    <row r="41" spans="1:11" ht="15" customHeight="1">
      <c r="A41" s="4">
        <v>33</v>
      </c>
      <c r="B41" s="5" t="s">
        <v>135</v>
      </c>
      <c r="C41" s="5" t="s">
        <v>121</v>
      </c>
      <c r="D41" s="5" t="s">
        <v>140</v>
      </c>
      <c r="E41" s="7" t="s">
        <v>105</v>
      </c>
      <c r="F41" s="8" t="s">
        <v>105</v>
      </c>
      <c r="G41" s="4" t="s">
        <v>442</v>
      </c>
      <c r="H41" s="9" t="s">
        <v>196</v>
      </c>
      <c r="I41" s="5" t="s">
        <v>698</v>
      </c>
      <c r="J41" s="5"/>
      <c r="K41" s="6">
        <f t="shared" ref="K41:K72" si="1">IF(AND(E41="yes",F41="yes",H41="covered"),1,IF(AND(E41="yes",H41="partial"),0.5,0))</f>
        <v>1</v>
      </c>
    </row>
    <row r="42" spans="1:11" ht="15" customHeight="1">
      <c r="A42" s="4">
        <v>34</v>
      </c>
      <c r="B42" s="5" t="s">
        <v>135</v>
      </c>
      <c r="C42" s="5" t="s">
        <v>121</v>
      </c>
      <c r="D42" s="5" t="s">
        <v>610</v>
      </c>
      <c r="E42" s="7" t="s">
        <v>105</v>
      </c>
      <c r="F42" s="8" t="s">
        <v>105</v>
      </c>
      <c r="G42" s="4" t="s">
        <v>442</v>
      </c>
      <c r="H42" s="9" t="s">
        <v>196</v>
      </c>
      <c r="I42" s="5" t="s">
        <v>698</v>
      </c>
      <c r="J42" s="5"/>
      <c r="K42" s="6">
        <f t="shared" si="1"/>
        <v>1</v>
      </c>
    </row>
    <row r="43" spans="1:11" ht="15" customHeight="1">
      <c r="A43" s="4">
        <v>35</v>
      </c>
      <c r="B43" s="5" t="s">
        <v>135</v>
      </c>
      <c r="C43" s="5" t="s">
        <v>121</v>
      </c>
      <c r="D43" s="5" t="s">
        <v>612</v>
      </c>
      <c r="E43" s="7" t="s">
        <v>105</v>
      </c>
      <c r="F43" s="8" t="s">
        <v>105</v>
      </c>
      <c r="G43" s="4" t="s">
        <v>442</v>
      </c>
      <c r="H43" s="9" t="s">
        <v>196</v>
      </c>
      <c r="I43" s="5" t="s">
        <v>698</v>
      </c>
      <c r="J43" s="5"/>
      <c r="K43" s="6">
        <f t="shared" si="1"/>
        <v>1</v>
      </c>
    </row>
    <row r="44" spans="1:11" ht="15" customHeight="1">
      <c r="A44" s="4">
        <v>36</v>
      </c>
      <c r="B44" s="5" t="s">
        <v>135</v>
      </c>
      <c r="C44" s="5" t="s">
        <v>121</v>
      </c>
      <c r="D44" s="5" t="s">
        <v>611</v>
      </c>
      <c r="E44" s="7" t="s">
        <v>105</v>
      </c>
      <c r="F44" s="8" t="s">
        <v>105</v>
      </c>
      <c r="G44" s="4" t="s">
        <v>442</v>
      </c>
      <c r="H44" s="9" t="s">
        <v>196</v>
      </c>
      <c r="I44" s="5" t="s">
        <v>698</v>
      </c>
      <c r="J44" s="5"/>
      <c r="K44" s="6">
        <f t="shared" si="1"/>
        <v>1</v>
      </c>
    </row>
    <row r="45" spans="1:11" ht="15" customHeight="1">
      <c r="A45" s="4">
        <v>37</v>
      </c>
      <c r="B45" s="5" t="s">
        <v>133</v>
      </c>
      <c r="C45" s="5" t="s">
        <v>121</v>
      </c>
      <c r="D45" s="5" t="s">
        <v>613</v>
      </c>
      <c r="E45" s="7" t="s">
        <v>105</v>
      </c>
      <c r="F45" s="8" t="s">
        <v>105</v>
      </c>
      <c r="G45" s="4" t="s">
        <v>442</v>
      </c>
      <c r="H45" s="9" t="s">
        <v>196</v>
      </c>
      <c r="I45" s="5" t="s">
        <v>698</v>
      </c>
      <c r="J45" s="5"/>
      <c r="K45" s="6">
        <f t="shared" si="1"/>
        <v>1</v>
      </c>
    </row>
    <row r="46" spans="1:11" ht="15" customHeight="1">
      <c r="A46" s="4">
        <v>38</v>
      </c>
      <c r="B46" s="5" t="s">
        <v>133</v>
      </c>
      <c r="C46" s="5" t="s">
        <v>121</v>
      </c>
      <c r="D46" s="5" t="s">
        <v>614</v>
      </c>
      <c r="E46" s="7" t="s">
        <v>105</v>
      </c>
      <c r="F46" s="8" t="s">
        <v>105</v>
      </c>
      <c r="G46" s="4" t="s">
        <v>442</v>
      </c>
      <c r="H46" s="9" t="s">
        <v>196</v>
      </c>
      <c r="I46" s="5" t="s">
        <v>698</v>
      </c>
      <c r="J46" s="5"/>
      <c r="K46" s="6">
        <f t="shared" si="1"/>
        <v>1</v>
      </c>
    </row>
    <row r="47" spans="1:11" ht="15" customHeight="1">
      <c r="A47" s="4">
        <v>39</v>
      </c>
      <c r="B47" s="5" t="s">
        <v>120</v>
      </c>
      <c r="C47" s="5" t="s">
        <v>55</v>
      </c>
      <c r="D47" s="5" t="s">
        <v>122</v>
      </c>
      <c r="E47" s="7" t="s">
        <v>105</v>
      </c>
      <c r="F47" s="8" t="s">
        <v>105</v>
      </c>
      <c r="G47" s="4" t="s">
        <v>442</v>
      </c>
      <c r="H47" s="9" t="s">
        <v>196</v>
      </c>
      <c r="I47" s="5" t="s">
        <v>698</v>
      </c>
      <c r="J47" s="5"/>
      <c r="K47" s="6">
        <f t="shared" si="1"/>
        <v>1</v>
      </c>
    </row>
    <row r="48" spans="1:11" ht="15" customHeight="1">
      <c r="A48" s="4">
        <v>40</v>
      </c>
      <c r="B48" s="5" t="s">
        <v>120</v>
      </c>
      <c r="C48" s="5" t="s">
        <v>55</v>
      </c>
      <c r="D48" s="5" t="s">
        <v>123</v>
      </c>
      <c r="E48" s="7" t="s">
        <v>105</v>
      </c>
      <c r="F48" s="8" t="s">
        <v>105</v>
      </c>
      <c r="G48" s="4" t="s">
        <v>442</v>
      </c>
      <c r="H48" s="9" t="s">
        <v>196</v>
      </c>
      <c r="I48" s="5" t="s">
        <v>698</v>
      </c>
      <c r="J48" s="5"/>
      <c r="K48" s="6">
        <f t="shared" si="1"/>
        <v>1</v>
      </c>
    </row>
    <row r="49" spans="1:11" ht="30" customHeight="1">
      <c r="A49" s="4">
        <v>41</v>
      </c>
      <c r="B49" s="5" t="s">
        <v>124</v>
      </c>
      <c r="C49" s="5" t="s">
        <v>55</v>
      </c>
      <c r="D49" s="5" t="s">
        <v>125</v>
      </c>
      <c r="E49" s="7" t="s">
        <v>105</v>
      </c>
      <c r="F49" s="8" t="s">
        <v>105</v>
      </c>
      <c r="G49" s="4" t="s">
        <v>442</v>
      </c>
      <c r="H49" s="9" t="s">
        <v>196</v>
      </c>
      <c r="I49" s="5" t="s">
        <v>698</v>
      </c>
      <c r="J49" s="5"/>
      <c r="K49" s="6">
        <f t="shared" si="1"/>
        <v>1</v>
      </c>
    </row>
    <row r="50" spans="1:11" ht="15" customHeight="1">
      <c r="A50" s="4">
        <v>42</v>
      </c>
      <c r="B50" s="5" t="s">
        <v>124</v>
      </c>
      <c r="C50" s="5" t="s">
        <v>55</v>
      </c>
      <c r="D50" s="5" t="s">
        <v>126</v>
      </c>
      <c r="E50" s="7" t="s">
        <v>105</v>
      </c>
      <c r="F50" s="8" t="s">
        <v>105</v>
      </c>
      <c r="G50" s="4" t="s">
        <v>442</v>
      </c>
      <c r="H50" s="9" t="s">
        <v>196</v>
      </c>
      <c r="I50" s="5" t="s">
        <v>698</v>
      </c>
      <c r="J50" s="5"/>
      <c r="K50" s="6">
        <f t="shared" si="1"/>
        <v>1</v>
      </c>
    </row>
    <row r="51" spans="1:11" ht="15" customHeight="1">
      <c r="A51" s="4">
        <v>43</v>
      </c>
      <c r="B51" s="5" t="s">
        <v>95</v>
      </c>
      <c r="C51" s="5" t="s">
        <v>55</v>
      </c>
      <c r="D51" s="5" t="s">
        <v>127</v>
      </c>
      <c r="E51" s="7" t="s">
        <v>105</v>
      </c>
      <c r="F51" s="8" t="s">
        <v>105</v>
      </c>
      <c r="G51" s="4" t="s">
        <v>442</v>
      </c>
      <c r="H51" s="9" t="s">
        <v>196</v>
      </c>
      <c r="I51" s="5" t="s">
        <v>698</v>
      </c>
      <c r="J51" s="5"/>
      <c r="K51" s="6">
        <f t="shared" si="1"/>
        <v>1</v>
      </c>
    </row>
    <row r="52" spans="1:11" ht="15" customHeight="1">
      <c r="A52" s="4">
        <v>44</v>
      </c>
      <c r="B52" s="5" t="s">
        <v>128</v>
      </c>
      <c r="C52" s="5" t="s">
        <v>55</v>
      </c>
      <c r="D52" s="5" t="s">
        <v>129</v>
      </c>
      <c r="E52" s="7" t="s">
        <v>105</v>
      </c>
      <c r="F52" s="8" t="s">
        <v>105</v>
      </c>
      <c r="G52" s="4" t="s">
        <v>442</v>
      </c>
      <c r="H52" s="9" t="s">
        <v>196</v>
      </c>
      <c r="I52" s="5" t="s">
        <v>698</v>
      </c>
      <c r="J52" s="5"/>
      <c r="K52" s="6">
        <f t="shared" si="1"/>
        <v>1</v>
      </c>
    </row>
    <row r="53" spans="1:11" ht="15" customHeight="1">
      <c r="A53" s="4">
        <v>45</v>
      </c>
      <c r="B53" s="5" t="s">
        <v>713</v>
      </c>
      <c r="C53" s="5" t="s">
        <v>55</v>
      </c>
      <c r="D53" s="5" t="s">
        <v>714</v>
      </c>
      <c r="E53" s="7" t="s">
        <v>105</v>
      </c>
      <c r="F53" s="8" t="s">
        <v>105</v>
      </c>
      <c r="G53" s="4" t="s">
        <v>442</v>
      </c>
      <c r="H53" s="9" t="s">
        <v>196</v>
      </c>
      <c r="I53" s="5" t="s">
        <v>698</v>
      </c>
      <c r="J53" s="5"/>
      <c r="K53" s="6">
        <f t="shared" si="1"/>
        <v>1</v>
      </c>
    </row>
    <row r="54" spans="1:11" ht="15" customHeight="1">
      <c r="A54" s="4">
        <v>46</v>
      </c>
      <c r="B54" s="5" t="s">
        <v>135</v>
      </c>
      <c r="C54" s="5" t="s">
        <v>55</v>
      </c>
      <c r="D54" s="5" t="s">
        <v>140</v>
      </c>
      <c r="E54" s="7" t="s">
        <v>105</v>
      </c>
      <c r="F54" s="8" t="s">
        <v>105</v>
      </c>
      <c r="G54" s="4" t="s">
        <v>442</v>
      </c>
      <c r="H54" s="9" t="s">
        <v>196</v>
      </c>
      <c r="I54" s="5" t="s">
        <v>698</v>
      </c>
      <c r="J54" s="5"/>
      <c r="K54" s="6">
        <f t="shared" si="1"/>
        <v>1</v>
      </c>
    </row>
    <row r="55" spans="1:11" ht="15" customHeight="1">
      <c r="A55" s="4">
        <v>47</v>
      </c>
      <c r="B55" s="5" t="s">
        <v>120</v>
      </c>
      <c r="C55" s="5" t="s">
        <v>147</v>
      </c>
      <c r="D55" s="5" t="s">
        <v>122</v>
      </c>
      <c r="E55" s="7" t="s">
        <v>105</v>
      </c>
      <c r="F55" s="8" t="s">
        <v>105</v>
      </c>
      <c r="G55" s="4" t="s">
        <v>442</v>
      </c>
      <c r="H55" s="9" t="s">
        <v>196</v>
      </c>
      <c r="I55" s="5" t="s">
        <v>698</v>
      </c>
      <c r="J55" s="5"/>
      <c r="K55" s="6">
        <f t="shared" si="1"/>
        <v>1</v>
      </c>
    </row>
    <row r="56" spans="1:11" ht="15" customHeight="1">
      <c r="A56" s="4">
        <v>48</v>
      </c>
      <c r="B56" s="5" t="s">
        <v>120</v>
      </c>
      <c r="C56" s="5" t="s">
        <v>147</v>
      </c>
      <c r="D56" s="5" t="s">
        <v>123</v>
      </c>
      <c r="E56" s="7" t="s">
        <v>105</v>
      </c>
      <c r="F56" s="8" t="s">
        <v>105</v>
      </c>
      <c r="G56" s="4" t="s">
        <v>442</v>
      </c>
      <c r="H56" s="9" t="s">
        <v>196</v>
      </c>
      <c r="I56" s="5" t="s">
        <v>698</v>
      </c>
      <c r="J56" s="5"/>
      <c r="K56" s="6">
        <f t="shared" si="1"/>
        <v>1</v>
      </c>
    </row>
    <row r="57" spans="1:11" ht="30" customHeight="1">
      <c r="A57" s="4">
        <v>49</v>
      </c>
      <c r="B57" s="5" t="s">
        <v>124</v>
      </c>
      <c r="C57" s="5" t="s">
        <v>147</v>
      </c>
      <c r="D57" s="5" t="s">
        <v>125</v>
      </c>
      <c r="E57" s="7" t="s">
        <v>105</v>
      </c>
      <c r="F57" s="8" t="s">
        <v>105</v>
      </c>
      <c r="G57" s="4" t="s">
        <v>442</v>
      </c>
      <c r="H57" s="9" t="s">
        <v>196</v>
      </c>
      <c r="I57" s="5" t="s">
        <v>698</v>
      </c>
      <c r="J57" s="5"/>
      <c r="K57" s="6">
        <f t="shared" si="1"/>
        <v>1</v>
      </c>
    </row>
    <row r="58" spans="1:11" ht="15" customHeight="1">
      <c r="A58" s="4">
        <v>50</v>
      </c>
      <c r="B58" s="5" t="s">
        <v>124</v>
      </c>
      <c r="C58" s="5" t="s">
        <v>147</v>
      </c>
      <c r="D58" s="5" t="s">
        <v>126</v>
      </c>
      <c r="E58" s="7" t="s">
        <v>105</v>
      </c>
      <c r="F58" s="8" t="s">
        <v>105</v>
      </c>
      <c r="G58" s="4" t="s">
        <v>442</v>
      </c>
      <c r="H58" s="9" t="s">
        <v>196</v>
      </c>
      <c r="I58" s="5" t="s">
        <v>698</v>
      </c>
      <c r="J58" s="5"/>
      <c r="K58" s="6">
        <f t="shared" si="1"/>
        <v>1</v>
      </c>
    </row>
    <row r="59" spans="1:11" ht="15" customHeight="1">
      <c r="A59" s="4">
        <v>51</v>
      </c>
      <c r="B59" s="5" t="s">
        <v>95</v>
      </c>
      <c r="C59" s="5" t="s">
        <v>147</v>
      </c>
      <c r="D59" s="5" t="s">
        <v>127</v>
      </c>
      <c r="E59" s="7" t="s">
        <v>105</v>
      </c>
      <c r="F59" s="8" t="s">
        <v>105</v>
      </c>
      <c r="G59" s="4" t="s">
        <v>442</v>
      </c>
      <c r="H59" s="9" t="s">
        <v>196</v>
      </c>
      <c r="I59" s="5" t="s">
        <v>698</v>
      </c>
      <c r="J59" s="5"/>
      <c r="K59" s="6">
        <f t="shared" si="1"/>
        <v>1</v>
      </c>
    </row>
    <row r="60" spans="1:11" ht="15" customHeight="1">
      <c r="A60" s="4">
        <v>52</v>
      </c>
      <c r="B60" s="5" t="s">
        <v>128</v>
      </c>
      <c r="C60" s="5" t="s">
        <v>147</v>
      </c>
      <c r="D60" s="5" t="s">
        <v>129</v>
      </c>
      <c r="E60" s="7" t="s">
        <v>105</v>
      </c>
      <c r="F60" s="8" t="s">
        <v>105</v>
      </c>
      <c r="G60" s="4" t="s">
        <v>442</v>
      </c>
      <c r="H60" s="9" t="s">
        <v>196</v>
      </c>
      <c r="I60" s="5" t="s">
        <v>698</v>
      </c>
      <c r="J60" s="5"/>
      <c r="K60" s="6">
        <f t="shared" si="1"/>
        <v>1</v>
      </c>
    </row>
    <row r="61" spans="1:11" ht="15" customHeight="1">
      <c r="A61" s="4">
        <v>53</v>
      </c>
      <c r="B61" s="5" t="s">
        <v>133</v>
      </c>
      <c r="C61" s="5" t="s">
        <v>147</v>
      </c>
      <c r="D61" s="5" t="s">
        <v>142</v>
      </c>
      <c r="E61" s="7" t="s">
        <v>105</v>
      </c>
      <c r="F61" s="8" t="s">
        <v>105</v>
      </c>
      <c r="G61" s="4" t="s">
        <v>442</v>
      </c>
      <c r="H61" s="9" t="s">
        <v>196</v>
      </c>
      <c r="I61" s="5" t="s">
        <v>698</v>
      </c>
      <c r="J61" s="5"/>
      <c r="K61" s="6">
        <f t="shared" si="1"/>
        <v>1</v>
      </c>
    </row>
    <row r="62" spans="1:11" ht="15" customHeight="1">
      <c r="A62" s="4">
        <v>54</v>
      </c>
      <c r="B62" s="5" t="s">
        <v>133</v>
      </c>
      <c r="C62" s="5" t="s">
        <v>147</v>
      </c>
      <c r="D62" s="5" t="s">
        <v>146</v>
      </c>
      <c r="E62" s="7" t="s">
        <v>105</v>
      </c>
      <c r="F62" s="8" t="s">
        <v>105</v>
      </c>
      <c r="G62" s="4" t="s">
        <v>442</v>
      </c>
      <c r="H62" s="9" t="s">
        <v>196</v>
      </c>
      <c r="I62" s="5" t="s">
        <v>698</v>
      </c>
      <c r="J62" s="5"/>
      <c r="K62" s="6">
        <f t="shared" si="1"/>
        <v>1</v>
      </c>
    </row>
    <row r="63" spans="1:11" ht="15" customHeight="1">
      <c r="A63" s="4">
        <v>55</v>
      </c>
      <c r="B63" s="5" t="s">
        <v>120</v>
      </c>
      <c r="C63" s="5" t="s">
        <v>44</v>
      </c>
      <c r="D63" s="5" t="s">
        <v>122</v>
      </c>
      <c r="E63" s="7" t="s">
        <v>105</v>
      </c>
      <c r="F63" s="8" t="s">
        <v>105</v>
      </c>
      <c r="G63" s="4" t="s">
        <v>442</v>
      </c>
      <c r="H63" s="9" t="s">
        <v>196</v>
      </c>
      <c r="I63" s="5" t="s">
        <v>698</v>
      </c>
      <c r="J63" s="5"/>
      <c r="K63" s="6">
        <f t="shared" si="1"/>
        <v>1</v>
      </c>
    </row>
    <row r="64" spans="1:11" ht="15" customHeight="1">
      <c r="A64" s="4">
        <v>56</v>
      </c>
      <c r="B64" s="5" t="s">
        <v>120</v>
      </c>
      <c r="C64" s="5" t="s">
        <v>44</v>
      </c>
      <c r="D64" s="5" t="s">
        <v>123</v>
      </c>
      <c r="E64" s="7" t="s">
        <v>105</v>
      </c>
      <c r="F64" s="8" t="s">
        <v>105</v>
      </c>
      <c r="G64" s="4" t="s">
        <v>442</v>
      </c>
      <c r="H64" s="9" t="s">
        <v>196</v>
      </c>
      <c r="I64" s="5" t="s">
        <v>698</v>
      </c>
      <c r="J64" s="5"/>
      <c r="K64" s="6">
        <f t="shared" si="1"/>
        <v>1</v>
      </c>
    </row>
    <row r="65" spans="1:11" ht="30" customHeight="1">
      <c r="A65" s="4">
        <v>57</v>
      </c>
      <c r="B65" s="5" t="s">
        <v>124</v>
      </c>
      <c r="C65" s="5" t="s">
        <v>44</v>
      </c>
      <c r="D65" s="5" t="s">
        <v>125</v>
      </c>
      <c r="E65" s="7" t="s">
        <v>105</v>
      </c>
      <c r="F65" s="8" t="s">
        <v>105</v>
      </c>
      <c r="G65" s="4" t="s">
        <v>442</v>
      </c>
      <c r="H65" s="9" t="s">
        <v>196</v>
      </c>
      <c r="I65" s="5" t="s">
        <v>698</v>
      </c>
      <c r="J65" s="5"/>
      <c r="K65" s="6">
        <f t="shared" si="1"/>
        <v>1</v>
      </c>
    </row>
    <row r="66" spans="1:11" ht="15" customHeight="1">
      <c r="A66" s="4">
        <v>58</v>
      </c>
      <c r="B66" s="5" t="s">
        <v>124</v>
      </c>
      <c r="C66" s="5" t="s">
        <v>44</v>
      </c>
      <c r="D66" s="5" t="s">
        <v>126</v>
      </c>
      <c r="E66" s="7" t="s">
        <v>105</v>
      </c>
      <c r="F66" s="8" t="s">
        <v>105</v>
      </c>
      <c r="G66" s="4" t="s">
        <v>442</v>
      </c>
      <c r="H66" s="9" t="s">
        <v>196</v>
      </c>
      <c r="I66" s="5" t="s">
        <v>698</v>
      </c>
      <c r="J66" s="5"/>
      <c r="K66" s="6">
        <f t="shared" si="1"/>
        <v>1</v>
      </c>
    </row>
    <row r="67" spans="1:11" ht="15" customHeight="1">
      <c r="A67" s="4">
        <v>59</v>
      </c>
      <c r="B67" s="5" t="s">
        <v>95</v>
      </c>
      <c r="C67" s="5" t="s">
        <v>44</v>
      </c>
      <c r="D67" s="5" t="s">
        <v>127</v>
      </c>
      <c r="E67" s="7" t="s">
        <v>105</v>
      </c>
      <c r="F67" s="8" t="s">
        <v>105</v>
      </c>
      <c r="G67" s="4" t="s">
        <v>442</v>
      </c>
      <c r="H67" s="9" t="s">
        <v>196</v>
      </c>
      <c r="I67" s="5" t="s">
        <v>698</v>
      </c>
      <c r="J67" s="5"/>
      <c r="K67" s="6">
        <f t="shared" si="1"/>
        <v>1</v>
      </c>
    </row>
    <row r="68" spans="1:11" ht="15" customHeight="1">
      <c r="A68" s="4">
        <v>60</v>
      </c>
      <c r="B68" s="5" t="s">
        <v>128</v>
      </c>
      <c r="C68" s="5" t="s">
        <v>44</v>
      </c>
      <c r="D68" s="5" t="s">
        <v>129</v>
      </c>
      <c r="E68" s="7" t="s">
        <v>105</v>
      </c>
      <c r="F68" s="8" t="s">
        <v>105</v>
      </c>
      <c r="G68" s="4" t="s">
        <v>442</v>
      </c>
      <c r="H68" s="9" t="s">
        <v>196</v>
      </c>
      <c r="I68" s="5" t="s">
        <v>698</v>
      </c>
      <c r="J68" s="5"/>
      <c r="K68" s="6">
        <f t="shared" si="1"/>
        <v>1</v>
      </c>
    </row>
    <row r="69" spans="1:11" ht="15" customHeight="1">
      <c r="A69" s="4">
        <v>61</v>
      </c>
      <c r="B69" s="5" t="s">
        <v>133</v>
      </c>
      <c r="C69" s="5" t="s">
        <v>44</v>
      </c>
      <c r="D69" s="5" t="s">
        <v>142</v>
      </c>
      <c r="E69" s="7" t="s">
        <v>105</v>
      </c>
      <c r="F69" s="8" t="s">
        <v>105</v>
      </c>
      <c r="G69" s="4" t="s">
        <v>442</v>
      </c>
      <c r="H69" s="9" t="s">
        <v>196</v>
      </c>
      <c r="I69" s="5" t="s">
        <v>698</v>
      </c>
      <c r="J69" s="5"/>
      <c r="K69" s="6">
        <f t="shared" si="1"/>
        <v>1</v>
      </c>
    </row>
    <row r="70" spans="1:11" ht="15" customHeight="1">
      <c r="A70" s="4">
        <v>62</v>
      </c>
      <c r="B70" s="5" t="s">
        <v>120</v>
      </c>
      <c r="C70" s="5" t="s">
        <v>482</v>
      </c>
      <c r="D70" s="5" t="s">
        <v>122</v>
      </c>
      <c r="E70" s="7" t="s">
        <v>105</v>
      </c>
      <c r="F70" s="8" t="s">
        <v>105</v>
      </c>
      <c r="G70" s="4" t="s">
        <v>442</v>
      </c>
      <c r="H70" s="9" t="s">
        <v>196</v>
      </c>
      <c r="I70" s="5" t="s">
        <v>698</v>
      </c>
      <c r="J70" s="5"/>
      <c r="K70" s="6">
        <f t="shared" si="1"/>
        <v>1</v>
      </c>
    </row>
    <row r="71" spans="1:11" ht="15" customHeight="1">
      <c r="A71" s="4">
        <v>63</v>
      </c>
      <c r="B71" s="5" t="s">
        <v>120</v>
      </c>
      <c r="C71" s="5" t="s">
        <v>482</v>
      </c>
      <c r="D71" s="5" t="s">
        <v>123</v>
      </c>
      <c r="E71" s="7" t="s">
        <v>105</v>
      </c>
      <c r="F71" s="8" t="s">
        <v>105</v>
      </c>
      <c r="G71" s="4" t="s">
        <v>442</v>
      </c>
      <c r="H71" s="9" t="s">
        <v>196</v>
      </c>
      <c r="I71" s="5" t="s">
        <v>698</v>
      </c>
      <c r="J71" s="5"/>
      <c r="K71" s="6">
        <f t="shared" si="1"/>
        <v>1</v>
      </c>
    </row>
    <row r="72" spans="1:11" ht="30" customHeight="1">
      <c r="A72" s="4">
        <v>64</v>
      </c>
      <c r="B72" s="5" t="s">
        <v>124</v>
      </c>
      <c r="C72" s="5" t="s">
        <v>482</v>
      </c>
      <c r="D72" s="5" t="s">
        <v>125</v>
      </c>
      <c r="E72" s="7" t="s">
        <v>105</v>
      </c>
      <c r="F72" s="8" t="s">
        <v>105</v>
      </c>
      <c r="G72" s="4" t="s">
        <v>442</v>
      </c>
      <c r="H72" s="9" t="s">
        <v>196</v>
      </c>
      <c r="I72" s="5" t="s">
        <v>698</v>
      </c>
      <c r="J72" s="5"/>
      <c r="K72" s="6">
        <f t="shared" si="1"/>
        <v>1</v>
      </c>
    </row>
    <row r="73" spans="1:11" ht="15" customHeight="1">
      <c r="A73" s="4">
        <v>65</v>
      </c>
      <c r="B73" s="5" t="s">
        <v>124</v>
      </c>
      <c r="C73" s="5" t="s">
        <v>482</v>
      </c>
      <c r="D73" s="5" t="s">
        <v>126</v>
      </c>
      <c r="E73" s="7" t="s">
        <v>105</v>
      </c>
      <c r="F73" s="8" t="s">
        <v>105</v>
      </c>
      <c r="G73" s="4" t="s">
        <v>442</v>
      </c>
      <c r="H73" s="9" t="s">
        <v>196</v>
      </c>
      <c r="I73" s="5" t="s">
        <v>698</v>
      </c>
      <c r="J73" s="5"/>
      <c r="K73" s="6">
        <f t="shared" ref="K73:K104" si="2">IF(AND(E73="yes",F73="yes",H73="covered"),1,IF(AND(E73="yes",H73="partial"),0.5,0))</f>
        <v>1</v>
      </c>
    </row>
    <row r="74" spans="1:11" ht="15" customHeight="1">
      <c r="A74" s="4">
        <v>66</v>
      </c>
      <c r="B74" s="5" t="s">
        <v>95</v>
      </c>
      <c r="C74" s="5" t="s">
        <v>482</v>
      </c>
      <c r="D74" s="5" t="s">
        <v>127</v>
      </c>
      <c r="E74" s="7" t="s">
        <v>105</v>
      </c>
      <c r="F74" s="8" t="s">
        <v>105</v>
      </c>
      <c r="G74" s="4" t="s">
        <v>442</v>
      </c>
      <c r="H74" s="9" t="s">
        <v>196</v>
      </c>
      <c r="I74" s="5" t="s">
        <v>698</v>
      </c>
      <c r="J74" s="5"/>
      <c r="K74" s="6">
        <f t="shared" si="2"/>
        <v>1</v>
      </c>
    </row>
    <row r="75" spans="1:11" ht="15" customHeight="1">
      <c r="A75" s="4">
        <v>67</v>
      </c>
      <c r="B75" s="5" t="s">
        <v>128</v>
      </c>
      <c r="C75" s="5" t="s">
        <v>482</v>
      </c>
      <c r="D75" s="5" t="s">
        <v>129</v>
      </c>
      <c r="E75" s="7" t="s">
        <v>105</v>
      </c>
      <c r="F75" s="8" t="s">
        <v>105</v>
      </c>
      <c r="G75" s="4" t="s">
        <v>442</v>
      </c>
      <c r="H75" s="9" t="s">
        <v>196</v>
      </c>
      <c r="I75" s="5" t="s">
        <v>698</v>
      </c>
      <c r="J75" s="5"/>
      <c r="K75" s="6">
        <f t="shared" si="2"/>
        <v>1</v>
      </c>
    </row>
    <row r="76" spans="1:11" ht="15" customHeight="1">
      <c r="A76" s="4">
        <v>68</v>
      </c>
      <c r="B76" s="5" t="s">
        <v>539</v>
      </c>
      <c r="C76" s="5" t="s">
        <v>482</v>
      </c>
      <c r="D76" s="5" t="s">
        <v>540</v>
      </c>
      <c r="E76" s="7" t="s">
        <v>105</v>
      </c>
      <c r="F76" s="8" t="s">
        <v>105</v>
      </c>
      <c r="G76" s="4" t="s">
        <v>442</v>
      </c>
      <c r="H76" s="9" t="s">
        <v>196</v>
      </c>
      <c r="I76" s="5" t="s">
        <v>698</v>
      </c>
      <c r="J76" s="5"/>
      <c r="K76" s="6">
        <f t="shared" si="2"/>
        <v>1</v>
      </c>
    </row>
    <row r="77" spans="1:11" ht="15" customHeight="1">
      <c r="A77" s="4">
        <v>69</v>
      </c>
      <c r="B77" s="5" t="s">
        <v>539</v>
      </c>
      <c r="C77" s="5" t="s">
        <v>482</v>
      </c>
      <c r="D77" s="5" t="s">
        <v>715</v>
      </c>
      <c r="E77" s="7" t="s">
        <v>105</v>
      </c>
      <c r="F77" s="8" t="s">
        <v>105</v>
      </c>
      <c r="G77" s="4" t="s">
        <v>442</v>
      </c>
      <c r="H77" s="9" t="s">
        <v>196</v>
      </c>
      <c r="I77" s="5" t="s">
        <v>698</v>
      </c>
      <c r="J77" s="5"/>
      <c r="K77" s="6">
        <f t="shared" si="2"/>
        <v>1</v>
      </c>
    </row>
    <row r="78" spans="1:11" ht="15" customHeight="1">
      <c r="A78" s="4">
        <v>70</v>
      </c>
      <c r="B78" s="5" t="s">
        <v>133</v>
      </c>
      <c r="C78" s="5" t="s">
        <v>482</v>
      </c>
      <c r="D78" s="5" t="s">
        <v>142</v>
      </c>
      <c r="E78" s="7" t="s">
        <v>105</v>
      </c>
      <c r="F78" s="8" t="s">
        <v>105</v>
      </c>
      <c r="G78" s="4" t="s">
        <v>442</v>
      </c>
      <c r="H78" s="9" t="s">
        <v>196</v>
      </c>
      <c r="I78" s="5" t="s">
        <v>698</v>
      </c>
      <c r="J78" s="5"/>
      <c r="K78" s="6">
        <f t="shared" si="2"/>
        <v>1</v>
      </c>
    </row>
    <row r="79" spans="1:11" ht="15" customHeight="1">
      <c r="A79" s="4">
        <v>71</v>
      </c>
      <c r="B79" s="5" t="s">
        <v>120</v>
      </c>
      <c r="C79" s="5" t="s">
        <v>42</v>
      </c>
      <c r="D79" s="5" t="s">
        <v>122</v>
      </c>
      <c r="E79" s="7" t="s">
        <v>105</v>
      </c>
      <c r="F79" s="8" t="s">
        <v>105</v>
      </c>
      <c r="G79" s="4" t="s">
        <v>442</v>
      </c>
      <c r="H79" s="9" t="s">
        <v>196</v>
      </c>
      <c r="I79" s="5" t="s">
        <v>698</v>
      </c>
      <c r="J79" s="5"/>
      <c r="K79" s="6">
        <f t="shared" si="2"/>
        <v>1</v>
      </c>
    </row>
    <row r="80" spans="1:11" ht="15" customHeight="1">
      <c r="A80" s="4">
        <v>72</v>
      </c>
      <c r="B80" s="5" t="s">
        <v>120</v>
      </c>
      <c r="C80" s="5" t="s">
        <v>42</v>
      </c>
      <c r="D80" s="5" t="s">
        <v>123</v>
      </c>
      <c r="E80" s="7" t="s">
        <v>105</v>
      </c>
      <c r="F80" s="8" t="s">
        <v>105</v>
      </c>
      <c r="G80" s="4" t="s">
        <v>442</v>
      </c>
      <c r="H80" s="9" t="s">
        <v>196</v>
      </c>
      <c r="I80" s="5" t="s">
        <v>698</v>
      </c>
      <c r="J80" s="5"/>
      <c r="K80" s="6">
        <f t="shared" si="2"/>
        <v>1</v>
      </c>
    </row>
    <row r="81" spans="1:11" ht="30" customHeight="1">
      <c r="A81" s="4">
        <v>73</v>
      </c>
      <c r="B81" s="5" t="s">
        <v>124</v>
      </c>
      <c r="C81" s="5" t="s">
        <v>42</v>
      </c>
      <c r="D81" s="5" t="s">
        <v>125</v>
      </c>
      <c r="E81" s="7" t="s">
        <v>105</v>
      </c>
      <c r="F81" s="8" t="s">
        <v>105</v>
      </c>
      <c r="G81" s="4" t="s">
        <v>442</v>
      </c>
      <c r="H81" s="9" t="s">
        <v>196</v>
      </c>
      <c r="I81" s="5" t="s">
        <v>698</v>
      </c>
      <c r="J81" s="5"/>
      <c r="K81" s="6">
        <f t="shared" si="2"/>
        <v>1</v>
      </c>
    </row>
    <row r="82" spans="1:11" ht="15" customHeight="1">
      <c r="A82" s="4">
        <v>74</v>
      </c>
      <c r="B82" s="5" t="s">
        <v>124</v>
      </c>
      <c r="C82" s="5" t="s">
        <v>42</v>
      </c>
      <c r="D82" s="5" t="s">
        <v>126</v>
      </c>
      <c r="E82" s="7" t="s">
        <v>105</v>
      </c>
      <c r="F82" s="8" t="s">
        <v>105</v>
      </c>
      <c r="G82" s="4" t="s">
        <v>442</v>
      </c>
      <c r="H82" s="9" t="s">
        <v>196</v>
      </c>
      <c r="I82" s="5" t="s">
        <v>698</v>
      </c>
      <c r="J82" s="5"/>
      <c r="K82" s="6">
        <f t="shared" si="2"/>
        <v>1</v>
      </c>
    </row>
    <row r="83" spans="1:11" ht="15" customHeight="1">
      <c r="A83" s="4">
        <v>75</v>
      </c>
      <c r="B83" s="5" t="s">
        <v>95</v>
      </c>
      <c r="C83" s="5" t="s">
        <v>42</v>
      </c>
      <c r="D83" s="5" t="s">
        <v>127</v>
      </c>
      <c r="E83" s="7" t="s">
        <v>105</v>
      </c>
      <c r="F83" s="8" t="s">
        <v>105</v>
      </c>
      <c r="G83" s="4" t="s">
        <v>442</v>
      </c>
      <c r="H83" s="9" t="s">
        <v>196</v>
      </c>
      <c r="I83" s="5" t="s">
        <v>698</v>
      </c>
      <c r="J83" s="5"/>
      <c r="K83" s="6">
        <f t="shared" si="2"/>
        <v>1</v>
      </c>
    </row>
    <row r="84" spans="1:11" ht="15" customHeight="1">
      <c r="A84" s="4">
        <v>76</v>
      </c>
      <c r="B84" s="5" t="s">
        <v>128</v>
      </c>
      <c r="C84" s="5" t="s">
        <v>42</v>
      </c>
      <c r="D84" s="5" t="s">
        <v>129</v>
      </c>
      <c r="E84" s="7" t="s">
        <v>105</v>
      </c>
      <c r="F84" s="8" t="s">
        <v>105</v>
      </c>
      <c r="G84" s="4" t="s">
        <v>442</v>
      </c>
      <c r="H84" s="9" t="s">
        <v>196</v>
      </c>
      <c r="I84" s="5" t="s">
        <v>698</v>
      </c>
      <c r="J84" s="5"/>
      <c r="K84" s="6">
        <f t="shared" si="2"/>
        <v>1</v>
      </c>
    </row>
    <row r="85" spans="1:11" ht="15" customHeight="1">
      <c r="A85" s="4">
        <v>77</v>
      </c>
      <c r="B85" s="5" t="s">
        <v>133</v>
      </c>
      <c r="C85" s="5" t="s">
        <v>42</v>
      </c>
      <c r="D85" s="5" t="s">
        <v>142</v>
      </c>
      <c r="E85" s="7" t="s">
        <v>105</v>
      </c>
      <c r="F85" s="8" t="s">
        <v>105</v>
      </c>
      <c r="G85" s="4" t="s">
        <v>442</v>
      </c>
      <c r="H85" s="9" t="s">
        <v>196</v>
      </c>
      <c r="I85" s="5" t="s">
        <v>698</v>
      </c>
      <c r="J85" s="5"/>
      <c r="K85" s="6">
        <f t="shared" si="2"/>
        <v>1</v>
      </c>
    </row>
    <row r="86" spans="1:11" ht="15" customHeight="1">
      <c r="A86" s="4">
        <v>78</v>
      </c>
      <c r="B86" s="5" t="s">
        <v>120</v>
      </c>
      <c r="C86" s="5" t="s">
        <v>150</v>
      </c>
      <c r="D86" s="5" t="s">
        <v>122</v>
      </c>
      <c r="E86" s="7" t="s">
        <v>105</v>
      </c>
      <c r="F86" s="8" t="s">
        <v>105</v>
      </c>
      <c r="G86" s="4" t="s">
        <v>442</v>
      </c>
      <c r="H86" s="9" t="s">
        <v>196</v>
      </c>
      <c r="I86" s="5" t="s">
        <v>698</v>
      </c>
      <c r="J86" s="5"/>
      <c r="K86" s="6">
        <f t="shared" si="2"/>
        <v>1</v>
      </c>
    </row>
    <row r="87" spans="1:11" ht="15" customHeight="1">
      <c r="A87" s="4">
        <v>79</v>
      </c>
      <c r="B87" s="5" t="s">
        <v>120</v>
      </c>
      <c r="C87" s="5" t="s">
        <v>150</v>
      </c>
      <c r="D87" s="5" t="s">
        <v>123</v>
      </c>
      <c r="E87" s="7" t="s">
        <v>105</v>
      </c>
      <c r="F87" s="8" t="s">
        <v>105</v>
      </c>
      <c r="G87" s="4" t="s">
        <v>442</v>
      </c>
      <c r="H87" s="9" t="s">
        <v>196</v>
      </c>
      <c r="I87" s="5" t="s">
        <v>698</v>
      </c>
      <c r="J87" s="5"/>
      <c r="K87" s="6">
        <f t="shared" si="2"/>
        <v>1</v>
      </c>
    </row>
    <row r="88" spans="1:11" ht="30" customHeight="1">
      <c r="A88" s="4">
        <v>80</v>
      </c>
      <c r="B88" s="5" t="s">
        <v>124</v>
      </c>
      <c r="C88" s="5" t="s">
        <v>150</v>
      </c>
      <c r="D88" s="5" t="s">
        <v>125</v>
      </c>
      <c r="E88" s="7" t="s">
        <v>105</v>
      </c>
      <c r="F88" s="8" t="s">
        <v>105</v>
      </c>
      <c r="G88" s="4" t="s">
        <v>442</v>
      </c>
      <c r="H88" s="9" t="s">
        <v>196</v>
      </c>
      <c r="I88" s="5" t="s">
        <v>698</v>
      </c>
      <c r="J88" s="5"/>
      <c r="K88" s="6">
        <f t="shared" si="2"/>
        <v>1</v>
      </c>
    </row>
    <row r="89" spans="1:11" ht="15" customHeight="1">
      <c r="A89" s="4">
        <v>81</v>
      </c>
      <c r="B89" s="5" t="s">
        <v>124</v>
      </c>
      <c r="C89" s="5" t="s">
        <v>150</v>
      </c>
      <c r="D89" s="5" t="s">
        <v>126</v>
      </c>
      <c r="E89" s="7" t="s">
        <v>105</v>
      </c>
      <c r="F89" s="8" t="s">
        <v>105</v>
      </c>
      <c r="G89" s="4" t="s">
        <v>442</v>
      </c>
      <c r="H89" s="9" t="s">
        <v>196</v>
      </c>
      <c r="I89" s="5" t="s">
        <v>698</v>
      </c>
      <c r="J89" s="5"/>
      <c r="K89" s="6">
        <f t="shared" si="2"/>
        <v>1</v>
      </c>
    </row>
    <row r="90" spans="1:11" ht="15" customHeight="1">
      <c r="A90" s="4">
        <v>82</v>
      </c>
      <c r="B90" s="5" t="s">
        <v>95</v>
      </c>
      <c r="C90" s="5" t="s">
        <v>150</v>
      </c>
      <c r="D90" s="5" t="s">
        <v>127</v>
      </c>
      <c r="E90" s="7" t="s">
        <v>105</v>
      </c>
      <c r="F90" s="8" t="s">
        <v>105</v>
      </c>
      <c r="G90" s="4" t="s">
        <v>442</v>
      </c>
      <c r="H90" s="9" t="s">
        <v>196</v>
      </c>
      <c r="I90" s="5" t="s">
        <v>698</v>
      </c>
      <c r="J90" s="5"/>
      <c r="K90" s="6">
        <f t="shared" si="2"/>
        <v>1</v>
      </c>
    </row>
    <row r="91" spans="1:11" ht="15" customHeight="1">
      <c r="A91" s="4">
        <v>83</v>
      </c>
      <c r="B91" s="5" t="s">
        <v>128</v>
      </c>
      <c r="C91" s="5" t="s">
        <v>150</v>
      </c>
      <c r="D91" s="5" t="s">
        <v>129</v>
      </c>
      <c r="E91" s="7" t="s">
        <v>105</v>
      </c>
      <c r="F91" s="8" t="s">
        <v>105</v>
      </c>
      <c r="G91" s="4" t="s">
        <v>442</v>
      </c>
      <c r="H91" s="9" t="s">
        <v>196</v>
      </c>
      <c r="I91" s="5" t="s">
        <v>698</v>
      </c>
      <c r="J91" s="5"/>
      <c r="K91" s="6">
        <f t="shared" si="2"/>
        <v>1</v>
      </c>
    </row>
    <row r="92" spans="1:11" ht="15" customHeight="1">
      <c r="A92" s="4">
        <v>84</v>
      </c>
      <c r="B92" s="5" t="s">
        <v>135</v>
      </c>
      <c r="C92" s="5" t="s">
        <v>150</v>
      </c>
      <c r="D92" s="5" t="s">
        <v>136</v>
      </c>
      <c r="E92" s="7" t="s">
        <v>105</v>
      </c>
      <c r="F92" s="8" t="s">
        <v>105</v>
      </c>
      <c r="G92" s="4" t="s">
        <v>442</v>
      </c>
      <c r="H92" s="9" t="s">
        <v>196</v>
      </c>
      <c r="I92" s="5" t="s">
        <v>698</v>
      </c>
      <c r="J92" s="5"/>
      <c r="K92" s="6">
        <f t="shared" si="2"/>
        <v>1</v>
      </c>
    </row>
    <row r="93" spans="1:11" ht="15" customHeight="1">
      <c r="A93" s="4">
        <v>85</v>
      </c>
      <c r="B93" s="5" t="s">
        <v>133</v>
      </c>
      <c r="C93" s="5" t="s">
        <v>150</v>
      </c>
      <c r="D93" s="5" t="s">
        <v>716</v>
      </c>
      <c r="E93" s="7" t="s">
        <v>105</v>
      </c>
      <c r="F93" s="8" t="s">
        <v>105</v>
      </c>
      <c r="G93" s="4" t="s">
        <v>442</v>
      </c>
      <c r="H93" s="9" t="s">
        <v>196</v>
      </c>
      <c r="I93" s="5" t="s">
        <v>698</v>
      </c>
      <c r="J93" s="5"/>
      <c r="K93" s="6">
        <f t="shared" si="2"/>
        <v>1</v>
      </c>
    </row>
    <row r="94" spans="1:11" ht="15" customHeight="1">
      <c r="A94" s="4">
        <v>86</v>
      </c>
      <c r="B94" s="5" t="s">
        <v>135</v>
      </c>
      <c r="C94" s="5" t="s">
        <v>150</v>
      </c>
      <c r="D94" s="5" t="s">
        <v>140</v>
      </c>
      <c r="E94" s="7" t="s">
        <v>105</v>
      </c>
      <c r="F94" s="8" t="s">
        <v>105</v>
      </c>
      <c r="G94" s="4" t="s">
        <v>442</v>
      </c>
      <c r="H94" s="9" t="s">
        <v>196</v>
      </c>
      <c r="I94" s="5" t="s">
        <v>698</v>
      </c>
      <c r="J94" s="5"/>
      <c r="K94" s="6">
        <f t="shared" si="2"/>
        <v>1</v>
      </c>
    </row>
    <row r="95" spans="1:11" ht="15" customHeight="1">
      <c r="A95" s="4">
        <v>87</v>
      </c>
      <c r="B95" s="5" t="s">
        <v>133</v>
      </c>
      <c r="C95" s="5" t="s">
        <v>150</v>
      </c>
      <c r="D95" s="5" t="s">
        <v>142</v>
      </c>
      <c r="E95" s="7" t="s">
        <v>105</v>
      </c>
      <c r="F95" s="8" t="s">
        <v>105</v>
      </c>
      <c r="G95" s="4" t="s">
        <v>442</v>
      </c>
      <c r="H95" s="9" t="s">
        <v>196</v>
      </c>
      <c r="I95" s="5" t="s">
        <v>698</v>
      </c>
      <c r="J95" s="5"/>
      <c r="K95" s="6">
        <f t="shared" si="2"/>
        <v>1</v>
      </c>
    </row>
    <row r="96" spans="1:11" ht="15" customHeight="1">
      <c r="A96" s="4">
        <v>88</v>
      </c>
      <c r="B96" s="5" t="s">
        <v>133</v>
      </c>
      <c r="C96" s="5" t="s">
        <v>150</v>
      </c>
      <c r="D96" s="5" t="s">
        <v>146</v>
      </c>
      <c r="E96" s="7" t="s">
        <v>105</v>
      </c>
      <c r="F96" s="8" t="s">
        <v>105</v>
      </c>
      <c r="G96" s="4" t="s">
        <v>442</v>
      </c>
      <c r="H96" s="9" t="s">
        <v>196</v>
      </c>
      <c r="I96" s="5" t="s">
        <v>698</v>
      </c>
      <c r="J96" s="5"/>
      <c r="K96" s="6">
        <f t="shared" si="2"/>
        <v>1</v>
      </c>
    </row>
    <row r="97" spans="1:11" ht="15" customHeight="1">
      <c r="A97" s="4">
        <v>89</v>
      </c>
      <c r="B97" s="5" t="s">
        <v>133</v>
      </c>
      <c r="C97" s="5" t="s">
        <v>150</v>
      </c>
      <c r="D97" s="5" t="s">
        <v>717</v>
      </c>
      <c r="E97" s="7" t="s">
        <v>105</v>
      </c>
      <c r="F97" s="8" t="s">
        <v>105</v>
      </c>
      <c r="G97" s="4" t="s">
        <v>442</v>
      </c>
      <c r="H97" s="9" t="s">
        <v>196</v>
      </c>
      <c r="I97" s="5" t="s">
        <v>698</v>
      </c>
      <c r="J97" s="5"/>
      <c r="K97" s="6">
        <f t="shared" si="2"/>
        <v>1</v>
      </c>
    </row>
    <row r="98" spans="1:11" ht="15" customHeight="1">
      <c r="A98" s="4">
        <v>90</v>
      </c>
      <c r="B98" s="5" t="s">
        <v>135</v>
      </c>
      <c r="C98" s="5" t="s">
        <v>150</v>
      </c>
      <c r="D98" s="5" t="s">
        <v>144</v>
      </c>
      <c r="E98" s="7" t="s">
        <v>105</v>
      </c>
      <c r="F98" s="8" t="s">
        <v>105</v>
      </c>
      <c r="G98" s="4" t="s">
        <v>442</v>
      </c>
      <c r="H98" s="9" t="s">
        <v>196</v>
      </c>
      <c r="I98" s="5" t="s">
        <v>698</v>
      </c>
      <c r="J98" s="5"/>
      <c r="K98" s="6">
        <f t="shared" si="2"/>
        <v>1</v>
      </c>
    </row>
    <row r="99" spans="1:11" ht="15" customHeight="1">
      <c r="A99" s="4">
        <v>91</v>
      </c>
      <c r="B99" s="5" t="s">
        <v>135</v>
      </c>
      <c r="C99" s="5" t="s">
        <v>150</v>
      </c>
      <c r="D99" s="5" t="s">
        <v>544</v>
      </c>
      <c r="E99" s="7" t="s">
        <v>105</v>
      </c>
      <c r="F99" s="8" t="s">
        <v>105</v>
      </c>
      <c r="G99" s="4" t="s">
        <v>442</v>
      </c>
      <c r="H99" s="9" t="s">
        <v>196</v>
      </c>
      <c r="I99" s="5" t="s">
        <v>698</v>
      </c>
      <c r="J99" s="5"/>
      <c r="K99" s="6">
        <f t="shared" si="2"/>
        <v>1</v>
      </c>
    </row>
    <row r="100" spans="1:11" ht="15" customHeight="1">
      <c r="A100" s="4">
        <v>92</v>
      </c>
      <c r="B100" s="5" t="s">
        <v>120</v>
      </c>
      <c r="C100" s="5" t="s">
        <v>718</v>
      </c>
      <c r="D100" s="5" t="s">
        <v>122</v>
      </c>
      <c r="E100" s="7" t="s">
        <v>105</v>
      </c>
      <c r="F100" s="8" t="s">
        <v>105</v>
      </c>
      <c r="G100" s="4" t="s">
        <v>442</v>
      </c>
      <c r="H100" s="9" t="s">
        <v>196</v>
      </c>
      <c r="I100" s="5" t="s">
        <v>698</v>
      </c>
      <c r="J100" s="5"/>
      <c r="K100" s="6">
        <f t="shared" si="2"/>
        <v>1</v>
      </c>
    </row>
    <row r="101" spans="1:11" ht="15" customHeight="1">
      <c r="A101" s="4">
        <v>93</v>
      </c>
      <c r="B101" s="5" t="s">
        <v>120</v>
      </c>
      <c r="C101" s="5" t="s">
        <v>718</v>
      </c>
      <c r="D101" s="5" t="s">
        <v>123</v>
      </c>
      <c r="E101" s="7" t="s">
        <v>105</v>
      </c>
      <c r="F101" s="8" t="s">
        <v>105</v>
      </c>
      <c r="G101" s="4" t="s">
        <v>442</v>
      </c>
      <c r="H101" s="9" t="s">
        <v>196</v>
      </c>
      <c r="I101" s="5" t="s">
        <v>698</v>
      </c>
      <c r="J101" s="5"/>
      <c r="K101" s="6">
        <f t="shared" si="2"/>
        <v>1</v>
      </c>
    </row>
    <row r="102" spans="1:11" ht="30" customHeight="1">
      <c r="A102" s="4">
        <v>94</v>
      </c>
      <c r="B102" s="5" t="s">
        <v>124</v>
      </c>
      <c r="C102" s="5" t="s">
        <v>718</v>
      </c>
      <c r="D102" s="5" t="s">
        <v>125</v>
      </c>
      <c r="E102" s="7" t="s">
        <v>105</v>
      </c>
      <c r="F102" s="8" t="s">
        <v>105</v>
      </c>
      <c r="G102" s="4" t="s">
        <v>442</v>
      </c>
      <c r="H102" s="9" t="s">
        <v>196</v>
      </c>
      <c r="I102" s="5" t="s">
        <v>698</v>
      </c>
      <c r="J102" s="5"/>
      <c r="K102" s="6">
        <f t="shared" si="2"/>
        <v>1</v>
      </c>
    </row>
    <row r="103" spans="1:11" ht="15" customHeight="1">
      <c r="A103" s="4">
        <v>95</v>
      </c>
      <c r="B103" s="5" t="s">
        <v>124</v>
      </c>
      <c r="C103" s="5" t="s">
        <v>718</v>
      </c>
      <c r="D103" s="5" t="s">
        <v>126</v>
      </c>
      <c r="E103" s="7" t="s">
        <v>105</v>
      </c>
      <c r="F103" s="8" t="s">
        <v>105</v>
      </c>
      <c r="G103" s="4" t="s">
        <v>442</v>
      </c>
      <c r="H103" s="9" t="s">
        <v>196</v>
      </c>
      <c r="I103" s="5" t="s">
        <v>698</v>
      </c>
      <c r="J103" s="5"/>
      <c r="K103" s="6">
        <f t="shared" si="2"/>
        <v>1</v>
      </c>
    </row>
    <row r="104" spans="1:11" ht="15" customHeight="1">
      <c r="A104" s="4">
        <v>96</v>
      </c>
      <c r="B104" s="5" t="s">
        <v>95</v>
      </c>
      <c r="C104" s="5" t="s">
        <v>718</v>
      </c>
      <c r="D104" s="5" t="s">
        <v>127</v>
      </c>
      <c r="E104" s="7" t="s">
        <v>105</v>
      </c>
      <c r="F104" s="8" t="s">
        <v>105</v>
      </c>
      <c r="G104" s="4" t="s">
        <v>442</v>
      </c>
      <c r="H104" s="9" t="s">
        <v>196</v>
      </c>
      <c r="I104" s="5" t="s">
        <v>698</v>
      </c>
      <c r="J104" s="5"/>
      <c r="K104" s="6">
        <f t="shared" si="2"/>
        <v>1</v>
      </c>
    </row>
    <row r="105" spans="1:11" ht="15" customHeight="1">
      <c r="A105" s="4">
        <v>97</v>
      </c>
      <c r="B105" s="5" t="s">
        <v>128</v>
      </c>
      <c r="C105" s="5" t="s">
        <v>718</v>
      </c>
      <c r="D105" s="5" t="s">
        <v>129</v>
      </c>
      <c r="E105" s="7" t="s">
        <v>105</v>
      </c>
      <c r="F105" s="8" t="s">
        <v>105</v>
      </c>
      <c r="G105" s="4" t="s">
        <v>442</v>
      </c>
      <c r="H105" s="9" t="s">
        <v>196</v>
      </c>
      <c r="I105" s="5" t="s">
        <v>698</v>
      </c>
      <c r="J105" s="5"/>
      <c r="K105" s="6">
        <f t="shared" ref="K105:K136" si="3">IF(AND(E105="yes",F105="yes",H105="covered"),1,IF(AND(E105="yes",H105="partial"),0.5,0))</f>
        <v>1</v>
      </c>
    </row>
    <row r="106" spans="1:11" ht="15" customHeight="1">
      <c r="A106" s="4">
        <v>98</v>
      </c>
      <c r="B106" s="5" t="s">
        <v>130</v>
      </c>
      <c r="C106" s="5" t="s">
        <v>718</v>
      </c>
      <c r="D106" s="5" t="s">
        <v>131</v>
      </c>
      <c r="E106" s="7" t="s">
        <v>105</v>
      </c>
      <c r="F106" s="8" t="s">
        <v>105</v>
      </c>
      <c r="G106" s="4" t="s">
        <v>442</v>
      </c>
      <c r="H106" s="9" t="s">
        <v>196</v>
      </c>
      <c r="I106" s="5" t="s">
        <v>698</v>
      </c>
      <c r="J106" s="5"/>
      <c r="K106" s="6">
        <f t="shared" si="3"/>
        <v>1</v>
      </c>
    </row>
    <row r="107" spans="1:11" ht="15" customHeight="1">
      <c r="A107" s="4">
        <v>99</v>
      </c>
      <c r="B107" s="5" t="s">
        <v>130</v>
      </c>
      <c r="C107" s="5" t="s">
        <v>718</v>
      </c>
      <c r="D107" s="5" t="s">
        <v>132</v>
      </c>
      <c r="E107" s="7" t="s">
        <v>105</v>
      </c>
      <c r="F107" s="8" t="s">
        <v>105</v>
      </c>
      <c r="G107" s="4" t="s">
        <v>442</v>
      </c>
      <c r="H107" s="9" t="s">
        <v>196</v>
      </c>
      <c r="I107" s="5" t="s">
        <v>698</v>
      </c>
      <c r="J107" s="5"/>
      <c r="K107" s="6">
        <f t="shared" si="3"/>
        <v>1</v>
      </c>
    </row>
    <row r="108" spans="1:11" ht="15" customHeight="1">
      <c r="A108" s="4">
        <v>100</v>
      </c>
      <c r="B108" s="5" t="s">
        <v>133</v>
      </c>
      <c r="C108" s="5" t="s">
        <v>718</v>
      </c>
      <c r="D108" s="5" t="s">
        <v>719</v>
      </c>
      <c r="E108" s="7" t="s">
        <v>105</v>
      </c>
      <c r="F108" s="8" t="s">
        <v>105</v>
      </c>
      <c r="G108" s="4" t="s">
        <v>442</v>
      </c>
      <c r="H108" s="9" t="s">
        <v>196</v>
      </c>
      <c r="I108" s="5" t="s">
        <v>698</v>
      </c>
      <c r="J108" s="5"/>
      <c r="K108" s="6">
        <f t="shared" si="3"/>
        <v>1</v>
      </c>
    </row>
    <row r="109" spans="1:11" ht="15" customHeight="1">
      <c r="A109" s="4">
        <v>101</v>
      </c>
      <c r="B109" s="5" t="s">
        <v>133</v>
      </c>
      <c r="C109" s="5" t="s">
        <v>718</v>
      </c>
      <c r="D109" s="5" t="s">
        <v>142</v>
      </c>
      <c r="E109" s="7" t="s">
        <v>105</v>
      </c>
      <c r="F109" s="8" t="s">
        <v>105</v>
      </c>
      <c r="G109" s="4" t="s">
        <v>442</v>
      </c>
      <c r="H109" s="9" t="s">
        <v>196</v>
      </c>
      <c r="I109" s="5" t="s">
        <v>698</v>
      </c>
      <c r="J109" s="5"/>
      <c r="K109" s="6">
        <f t="shared" si="3"/>
        <v>1</v>
      </c>
    </row>
    <row r="110" spans="1:11" ht="15" customHeight="1">
      <c r="A110" s="4">
        <v>102</v>
      </c>
      <c r="B110" s="5" t="s">
        <v>133</v>
      </c>
      <c r="C110" s="5" t="s">
        <v>718</v>
      </c>
      <c r="D110" s="5" t="s">
        <v>720</v>
      </c>
      <c r="E110" s="7" t="s">
        <v>105</v>
      </c>
      <c r="F110" s="8" t="s">
        <v>105</v>
      </c>
      <c r="G110" s="4" t="s">
        <v>442</v>
      </c>
      <c r="H110" s="9" t="s">
        <v>196</v>
      </c>
      <c r="I110" s="5" t="s">
        <v>698</v>
      </c>
      <c r="J110" s="5"/>
      <c r="K110" s="6">
        <f t="shared" si="3"/>
        <v>1</v>
      </c>
    </row>
    <row r="111" spans="1:11" ht="15" customHeight="1">
      <c r="A111" s="4">
        <v>103</v>
      </c>
      <c r="B111" s="5" t="s">
        <v>120</v>
      </c>
      <c r="C111" s="5" t="s">
        <v>721</v>
      </c>
      <c r="D111" s="5" t="s">
        <v>122</v>
      </c>
      <c r="E111" s="7" t="s">
        <v>105</v>
      </c>
      <c r="F111" s="8" t="s">
        <v>105</v>
      </c>
      <c r="G111" s="4" t="s">
        <v>442</v>
      </c>
      <c r="H111" s="9" t="s">
        <v>196</v>
      </c>
      <c r="I111" s="5" t="s">
        <v>698</v>
      </c>
      <c r="J111" s="5"/>
      <c r="K111" s="6">
        <f t="shared" si="3"/>
        <v>1</v>
      </c>
    </row>
    <row r="112" spans="1:11" ht="15" customHeight="1">
      <c r="A112" s="4">
        <v>104</v>
      </c>
      <c r="B112" s="5" t="s">
        <v>120</v>
      </c>
      <c r="C112" s="5" t="s">
        <v>721</v>
      </c>
      <c r="D112" s="5" t="s">
        <v>123</v>
      </c>
      <c r="E112" s="7" t="s">
        <v>105</v>
      </c>
      <c r="F112" s="8" t="s">
        <v>105</v>
      </c>
      <c r="G112" s="4" t="s">
        <v>442</v>
      </c>
      <c r="H112" s="9" t="s">
        <v>196</v>
      </c>
      <c r="I112" s="5" t="s">
        <v>698</v>
      </c>
      <c r="J112" s="5"/>
      <c r="K112" s="6">
        <f t="shared" si="3"/>
        <v>1</v>
      </c>
    </row>
    <row r="113" spans="1:11" ht="30" customHeight="1">
      <c r="A113" s="4">
        <v>105</v>
      </c>
      <c r="B113" s="5" t="s">
        <v>124</v>
      </c>
      <c r="C113" s="5" t="s">
        <v>721</v>
      </c>
      <c r="D113" s="5" t="s">
        <v>125</v>
      </c>
      <c r="E113" s="7" t="s">
        <v>105</v>
      </c>
      <c r="F113" s="8" t="s">
        <v>105</v>
      </c>
      <c r="G113" s="4" t="s">
        <v>442</v>
      </c>
      <c r="H113" s="9" t="s">
        <v>196</v>
      </c>
      <c r="I113" s="5" t="s">
        <v>698</v>
      </c>
      <c r="J113" s="5"/>
      <c r="K113" s="6">
        <f t="shared" si="3"/>
        <v>1</v>
      </c>
    </row>
    <row r="114" spans="1:11" ht="15" customHeight="1">
      <c r="A114" s="4">
        <v>106</v>
      </c>
      <c r="B114" s="5" t="s">
        <v>124</v>
      </c>
      <c r="C114" s="5" t="s">
        <v>721</v>
      </c>
      <c r="D114" s="5" t="s">
        <v>126</v>
      </c>
      <c r="E114" s="7" t="s">
        <v>105</v>
      </c>
      <c r="F114" s="8" t="s">
        <v>105</v>
      </c>
      <c r="G114" s="4" t="s">
        <v>442</v>
      </c>
      <c r="H114" s="9" t="s">
        <v>196</v>
      </c>
      <c r="I114" s="5" t="s">
        <v>698</v>
      </c>
      <c r="J114" s="5"/>
      <c r="K114" s="6">
        <f t="shared" si="3"/>
        <v>1</v>
      </c>
    </row>
    <row r="115" spans="1:11" ht="15" customHeight="1">
      <c r="A115" s="4">
        <v>107</v>
      </c>
      <c r="B115" s="5" t="s">
        <v>95</v>
      </c>
      <c r="C115" s="5" t="s">
        <v>721</v>
      </c>
      <c r="D115" s="5" t="s">
        <v>127</v>
      </c>
      <c r="E115" s="7" t="s">
        <v>105</v>
      </c>
      <c r="F115" s="8" t="s">
        <v>105</v>
      </c>
      <c r="G115" s="4" t="s">
        <v>442</v>
      </c>
      <c r="H115" s="9" t="s">
        <v>196</v>
      </c>
      <c r="I115" s="5" t="s">
        <v>698</v>
      </c>
      <c r="J115" s="5"/>
      <c r="K115" s="6">
        <f t="shared" si="3"/>
        <v>1</v>
      </c>
    </row>
    <row r="116" spans="1:11" ht="15" customHeight="1">
      <c r="A116" s="4">
        <v>108</v>
      </c>
      <c r="B116" s="5" t="s">
        <v>128</v>
      </c>
      <c r="C116" s="5" t="s">
        <v>721</v>
      </c>
      <c r="D116" s="5" t="s">
        <v>129</v>
      </c>
      <c r="E116" s="7" t="s">
        <v>105</v>
      </c>
      <c r="F116" s="8" t="s">
        <v>105</v>
      </c>
      <c r="G116" s="4" t="s">
        <v>442</v>
      </c>
      <c r="H116" s="9" t="s">
        <v>196</v>
      </c>
      <c r="I116" s="5" t="s">
        <v>698</v>
      </c>
      <c r="J116" s="5"/>
      <c r="K116" s="6">
        <f t="shared" si="3"/>
        <v>1</v>
      </c>
    </row>
    <row r="117" spans="1:11" ht="15" customHeight="1">
      <c r="A117" s="4">
        <v>109</v>
      </c>
      <c r="B117" s="5" t="s">
        <v>133</v>
      </c>
      <c r="C117" s="5" t="s">
        <v>721</v>
      </c>
      <c r="D117" s="5" t="s">
        <v>142</v>
      </c>
      <c r="E117" s="7" t="s">
        <v>105</v>
      </c>
      <c r="F117" s="8" t="s">
        <v>105</v>
      </c>
      <c r="G117" s="4" t="s">
        <v>442</v>
      </c>
      <c r="H117" s="9" t="s">
        <v>196</v>
      </c>
      <c r="I117" s="5" t="s">
        <v>698</v>
      </c>
      <c r="J117" s="5"/>
      <c r="K117" s="6">
        <f t="shared" si="3"/>
        <v>1</v>
      </c>
    </row>
    <row r="118" spans="1:11" ht="15" customHeight="1">
      <c r="A118" s="4">
        <v>110</v>
      </c>
      <c r="B118" s="5" t="s">
        <v>120</v>
      </c>
      <c r="C118" s="5" t="s">
        <v>41</v>
      </c>
      <c r="D118" s="5" t="s">
        <v>122</v>
      </c>
      <c r="E118" s="7" t="s">
        <v>105</v>
      </c>
      <c r="F118" s="8" t="s">
        <v>105</v>
      </c>
      <c r="G118" s="4" t="s">
        <v>442</v>
      </c>
      <c r="H118" s="9" t="s">
        <v>196</v>
      </c>
      <c r="I118" s="5" t="s">
        <v>698</v>
      </c>
      <c r="J118" s="5"/>
      <c r="K118" s="6">
        <f t="shared" si="3"/>
        <v>1</v>
      </c>
    </row>
    <row r="119" spans="1:11" ht="15" customHeight="1">
      <c r="A119" s="4">
        <v>111</v>
      </c>
      <c r="B119" s="5" t="s">
        <v>120</v>
      </c>
      <c r="C119" s="5" t="s">
        <v>41</v>
      </c>
      <c r="D119" s="5" t="s">
        <v>123</v>
      </c>
      <c r="E119" s="7" t="s">
        <v>105</v>
      </c>
      <c r="F119" s="8" t="s">
        <v>105</v>
      </c>
      <c r="G119" s="4" t="s">
        <v>442</v>
      </c>
      <c r="H119" s="9" t="s">
        <v>196</v>
      </c>
      <c r="I119" s="5" t="s">
        <v>698</v>
      </c>
      <c r="J119" s="5"/>
      <c r="K119" s="6">
        <f t="shared" si="3"/>
        <v>1</v>
      </c>
    </row>
    <row r="120" spans="1:11" ht="30" customHeight="1">
      <c r="A120" s="4">
        <v>112</v>
      </c>
      <c r="B120" s="5" t="s">
        <v>124</v>
      </c>
      <c r="C120" s="5" t="s">
        <v>41</v>
      </c>
      <c r="D120" s="5" t="s">
        <v>125</v>
      </c>
      <c r="E120" s="7" t="s">
        <v>105</v>
      </c>
      <c r="F120" s="8" t="s">
        <v>105</v>
      </c>
      <c r="G120" s="4" t="s">
        <v>442</v>
      </c>
      <c r="H120" s="9" t="s">
        <v>196</v>
      </c>
      <c r="I120" s="5" t="s">
        <v>698</v>
      </c>
      <c r="J120" s="5"/>
      <c r="K120" s="6">
        <f t="shared" si="3"/>
        <v>1</v>
      </c>
    </row>
    <row r="121" spans="1:11" ht="15" customHeight="1">
      <c r="A121" s="4">
        <v>113</v>
      </c>
      <c r="B121" s="5" t="s">
        <v>124</v>
      </c>
      <c r="C121" s="5" t="s">
        <v>41</v>
      </c>
      <c r="D121" s="5" t="s">
        <v>126</v>
      </c>
      <c r="E121" s="7" t="s">
        <v>105</v>
      </c>
      <c r="F121" s="8" t="s">
        <v>105</v>
      </c>
      <c r="G121" s="4" t="s">
        <v>442</v>
      </c>
      <c r="H121" s="9" t="s">
        <v>196</v>
      </c>
      <c r="I121" s="5" t="s">
        <v>698</v>
      </c>
      <c r="J121" s="5"/>
      <c r="K121" s="6">
        <f t="shared" si="3"/>
        <v>1</v>
      </c>
    </row>
    <row r="122" spans="1:11" ht="15" customHeight="1">
      <c r="A122" s="4">
        <v>114</v>
      </c>
      <c r="B122" s="5" t="s">
        <v>95</v>
      </c>
      <c r="C122" s="5" t="s">
        <v>41</v>
      </c>
      <c r="D122" s="5" t="s">
        <v>127</v>
      </c>
      <c r="E122" s="7" t="s">
        <v>105</v>
      </c>
      <c r="F122" s="8" t="s">
        <v>105</v>
      </c>
      <c r="G122" s="4" t="s">
        <v>442</v>
      </c>
      <c r="H122" s="9" t="s">
        <v>196</v>
      </c>
      <c r="I122" s="5" t="s">
        <v>698</v>
      </c>
      <c r="J122" s="5"/>
      <c r="K122" s="6">
        <f t="shared" si="3"/>
        <v>1</v>
      </c>
    </row>
    <row r="123" spans="1:11" ht="15" customHeight="1">
      <c r="A123" s="4">
        <v>115</v>
      </c>
      <c r="B123" s="5" t="s">
        <v>128</v>
      </c>
      <c r="C123" s="5" t="s">
        <v>41</v>
      </c>
      <c r="D123" s="5" t="s">
        <v>129</v>
      </c>
      <c r="E123" s="7" t="s">
        <v>105</v>
      </c>
      <c r="F123" s="8" t="s">
        <v>105</v>
      </c>
      <c r="G123" s="4" t="s">
        <v>442</v>
      </c>
      <c r="H123" s="9" t="s">
        <v>196</v>
      </c>
      <c r="I123" s="5" t="s">
        <v>698</v>
      </c>
      <c r="J123" s="5"/>
      <c r="K123" s="6">
        <f t="shared" si="3"/>
        <v>1</v>
      </c>
    </row>
    <row r="124" spans="1:11" ht="15" customHeight="1">
      <c r="A124" s="4">
        <v>116</v>
      </c>
      <c r="B124" s="5" t="s">
        <v>133</v>
      </c>
      <c r="C124" s="5" t="s">
        <v>41</v>
      </c>
      <c r="D124" s="5" t="s">
        <v>719</v>
      </c>
      <c r="E124" s="7" t="s">
        <v>105</v>
      </c>
      <c r="F124" s="8" t="s">
        <v>105</v>
      </c>
      <c r="G124" s="4" t="s">
        <v>442</v>
      </c>
      <c r="H124" s="9" t="s">
        <v>196</v>
      </c>
      <c r="I124" s="5" t="s">
        <v>698</v>
      </c>
      <c r="J124" s="5"/>
      <c r="K124" s="6">
        <f t="shared" si="3"/>
        <v>1</v>
      </c>
    </row>
    <row r="125" spans="1:11" ht="15" customHeight="1">
      <c r="A125" s="4">
        <v>117</v>
      </c>
      <c r="B125" s="5" t="s">
        <v>133</v>
      </c>
      <c r="C125" s="5" t="s">
        <v>41</v>
      </c>
      <c r="D125" s="5" t="s">
        <v>142</v>
      </c>
      <c r="E125" s="7" t="s">
        <v>105</v>
      </c>
      <c r="F125" s="8" t="s">
        <v>105</v>
      </c>
      <c r="G125" s="4" t="s">
        <v>442</v>
      </c>
      <c r="H125" s="9" t="s">
        <v>196</v>
      </c>
      <c r="I125" s="5" t="s">
        <v>698</v>
      </c>
      <c r="J125" s="5"/>
      <c r="K125" s="6">
        <f t="shared" si="3"/>
        <v>1</v>
      </c>
    </row>
    <row r="126" spans="1:11" ht="15" customHeight="1">
      <c r="A126" s="4">
        <v>118</v>
      </c>
      <c r="B126" s="5" t="s">
        <v>133</v>
      </c>
      <c r="C126" s="5" t="s">
        <v>41</v>
      </c>
      <c r="D126" s="5" t="s">
        <v>146</v>
      </c>
      <c r="E126" s="7" t="s">
        <v>105</v>
      </c>
      <c r="F126" s="8" t="s">
        <v>105</v>
      </c>
      <c r="G126" s="4" t="s">
        <v>442</v>
      </c>
      <c r="H126" s="9" t="s">
        <v>196</v>
      </c>
      <c r="I126" s="5" t="s">
        <v>698</v>
      </c>
      <c r="J126" s="5"/>
      <c r="K126" s="6">
        <f t="shared" si="3"/>
        <v>1</v>
      </c>
    </row>
    <row r="127" spans="1:11" ht="15" customHeight="1">
      <c r="A127" s="4">
        <v>119</v>
      </c>
      <c r="B127" s="5" t="s">
        <v>133</v>
      </c>
      <c r="C127" s="5" t="s">
        <v>41</v>
      </c>
      <c r="D127" s="5" t="s">
        <v>722</v>
      </c>
      <c r="E127" s="7" t="s">
        <v>105</v>
      </c>
      <c r="F127" s="8" t="s">
        <v>105</v>
      </c>
      <c r="G127" s="4" t="s">
        <v>442</v>
      </c>
      <c r="H127" s="9" t="s">
        <v>196</v>
      </c>
      <c r="I127" s="5" t="s">
        <v>698</v>
      </c>
      <c r="J127" s="5"/>
      <c r="K127" s="6">
        <f t="shared" si="3"/>
        <v>1</v>
      </c>
    </row>
    <row r="128" spans="1:11" ht="15" customHeight="1">
      <c r="A128" s="4">
        <v>120</v>
      </c>
      <c r="B128" s="5" t="s">
        <v>135</v>
      </c>
      <c r="C128" s="5" t="s">
        <v>41</v>
      </c>
      <c r="D128" s="5" t="s">
        <v>144</v>
      </c>
      <c r="E128" s="7" t="s">
        <v>105</v>
      </c>
      <c r="F128" s="8" t="s">
        <v>105</v>
      </c>
      <c r="G128" s="4" t="s">
        <v>442</v>
      </c>
      <c r="H128" s="9" t="s">
        <v>196</v>
      </c>
      <c r="I128" s="5" t="s">
        <v>698</v>
      </c>
      <c r="J128" s="5"/>
      <c r="K128" s="6">
        <f t="shared" si="3"/>
        <v>1</v>
      </c>
    </row>
    <row r="129" spans="1:11" ht="15" customHeight="1">
      <c r="A129" s="4">
        <v>121</v>
      </c>
      <c r="B129" s="5" t="s">
        <v>135</v>
      </c>
      <c r="C129" s="5" t="s">
        <v>41</v>
      </c>
      <c r="D129" s="5" t="s">
        <v>616</v>
      </c>
      <c r="E129" s="7" t="s">
        <v>105</v>
      </c>
      <c r="F129" s="8" t="s">
        <v>105</v>
      </c>
      <c r="G129" s="4" t="s">
        <v>442</v>
      </c>
      <c r="H129" s="9" t="s">
        <v>196</v>
      </c>
      <c r="I129" s="5" t="s">
        <v>698</v>
      </c>
      <c r="J129" s="5"/>
      <c r="K129" s="6">
        <f t="shared" si="3"/>
        <v>1</v>
      </c>
    </row>
    <row r="130" spans="1:11" ht="15" customHeight="1">
      <c r="A130" s="4">
        <v>122</v>
      </c>
      <c r="B130" s="5" t="s">
        <v>135</v>
      </c>
      <c r="C130" s="5" t="s">
        <v>41</v>
      </c>
      <c r="D130" s="5" t="s">
        <v>617</v>
      </c>
      <c r="E130" s="7" t="s">
        <v>105</v>
      </c>
      <c r="F130" s="8" t="s">
        <v>105</v>
      </c>
      <c r="G130" s="4" t="s">
        <v>442</v>
      </c>
      <c r="H130" s="9" t="s">
        <v>196</v>
      </c>
      <c r="I130" s="5" t="s">
        <v>698</v>
      </c>
      <c r="J130" s="5"/>
      <c r="K130" s="6">
        <f t="shared" si="3"/>
        <v>1</v>
      </c>
    </row>
    <row r="131" spans="1:11" ht="15" customHeight="1">
      <c r="A131" s="4">
        <v>123</v>
      </c>
      <c r="B131" s="5" t="s">
        <v>120</v>
      </c>
      <c r="C131" s="5" t="s">
        <v>723</v>
      </c>
      <c r="D131" s="5" t="s">
        <v>122</v>
      </c>
      <c r="E131" s="7" t="s">
        <v>105</v>
      </c>
      <c r="F131" s="8" t="s">
        <v>105</v>
      </c>
      <c r="G131" s="4" t="s">
        <v>442</v>
      </c>
      <c r="H131" s="9" t="s">
        <v>196</v>
      </c>
      <c r="I131" s="5" t="s">
        <v>698</v>
      </c>
      <c r="J131" s="5"/>
      <c r="K131" s="6">
        <f t="shared" si="3"/>
        <v>1</v>
      </c>
    </row>
    <row r="132" spans="1:11" ht="15" customHeight="1">
      <c r="A132" s="4">
        <v>124</v>
      </c>
      <c r="B132" s="5" t="s">
        <v>120</v>
      </c>
      <c r="C132" s="5" t="s">
        <v>723</v>
      </c>
      <c r="D132" s="5" t="s">
        <v>123</v>
      </c>
      <c r="E132" s="7" t="s">
        <v>105</v>
      </c>
      <c r="F132" s="8" t="s">
        <v>105</v>
      </c>
      <c r="G132" s="4" t="s">
        <v>442</v>
      </c>
      <c r="H132" s="9" t="s">
        <v>196</v>
      </c>
      <c r="I132" s="5" t="s">
        <v>698</v>
      </c>
      <c r="J132" s="5"/>
      <c r="K132" s="6">
        <f t="shared" si="3"/>
        <v>1</v>
      </c>
    </row>
    <row r="133" spans="1:11" ht="30" customHeight="1">
      <c r="A133" s="4">
        <v>125</v>
      </c>
      <c r="B133" s="5" t="s">
        <v>124</v>
      </c>
      <c r="C133" s="5" t="s">
        <v>723</v>
      </c>
      <c r="D133" s="5" t="s">
        <v>125</v>
      </c>
      <c r="E133" s="7" t="s">
        <v>105</v>
      </c>
      <c r="F133" s="8" t="s">
        <v>105</v>
      </c>
      <c r="G133" s="4" t="s">
        <v>442</v>
      </c>
      <c r="H133" s="9" t="s">
        <v>196</v>
      </c>
      <c r="I133" s="5" t="s">
        <v>698</v>
      </c>
      <c r="J133" s="5"/>
      <c r="K133" s="6">
        <f t="shared" si="3"/>
        <v>1</v>
      </c>
    </row>
    <row r="134" spans="1:11" ht="15" customHeight="1">
      <c r="A134" s="4">
        <v>126</v>
      </c>
      <c r="B134" s="5" t="s">
        <v>124</v>
      </c>
      <c r="C134" s="5" t="s">
        <v>723</v>
      </c>
      <c r="D134" s="5" t="s">
        <v>126</v>
      </c>
      <c r="E134" s="7" t="s">
        <v>105</v>
      </c>
      <c r="F134" s="8" t="s">
        <v>105</v>
      </c>
      <c r="G134" s="4" t="s">
        <v>442</v>
      </c>
      <c r="H134" s="9" t="s">
        <v>196</v>
      </c>
      <c r="I134" s="5" t="s">
        <v>698</v>
      </c>
      <c r="J134" s="5"/>
      <c r="K134" s="6">
        <f t="shared" si="3"/>
        <v>1</v>
      </c>
    </row>
    <row r="135" spans="1:11" ht="15" customHeight="1">
      <c r="A135" s="4">
        <v>127</v>
      </c>
      <c r="B135" s="5" t="s">
        <v>95</v>
      </c>
      <c r="C135" s="5" t="s">
        <v>723</v>
      </c>
      <c r="D135" s="5" t="s">
        <v>127</v>
      </c>
      <c r="E135" s="7" t="s">
        <v>105</v>
      </c>
      <c r="F135" s="8" t="s">
        <v>105</v>
      </c>
      <c r="G135" s="4" t="s">
        <v>442</v>
      </c>
      <c r="H135" s="9" t="s">
        <v>196</v>
      </c>
      <c r="I135" s="5" t="s">
        <v>698</v>
      </c>
      <c r="J135" s="5"/>
      <c r="K135" s="6">
        <f t="shared" si="3"/>
        <v>1</v>
      </c>
    </row>
    <row r="136" spans="1:11" ht="15" customHeight="1">
      <c r="A136" s="4">
        <v>128</v>
      </c>
      <c r="B136" s="5" t="s">
        <v>128</v>
      </c>
      <c r="C136" s="5" t="s">
        <v>723</v>
      </c>
      <c r="D136" s="5" t="s">
        <v>129</v>
      </c>
      <c r="E136" s="7" t="s">
        <v>105</v>
      </c>
      <c r="F136" s="8" t="s">
        <v>105</v>
      </c>
      <c r="G136" s="4" t="s">
        <v>442</v>
      </c>
      <c r="H136" s="9" t="s">
        <v>196</v>
      </c>
      <c r="I136" s="5" t="s">
        <v>698</v>
      </c>
      <c r="J136" s="5"/>
      <c r="K136" s="6">
        <f t="shared" si="3"/>
        <v>1</v>
      </c>
    </row>
    <row r="137" spans="1:11" ht="15" customHeight="1">
      <c r="A137" s="4">
        <v>129</v>
      </c>
      <c r="B137" s="5" t="s">
        <v>133</v>
      </c>
      <c r="C137" s="5" t="s">
        <v>723</v>
      </c>
      <c r="D137" s="5" t="s">
        <v>142</v>
      </c>
      <c r="E137" s="7" t="s">
        <v>105</v>
      </c>
      <c r="F137" s="8" t="s">
        <v>105</v>
      </c>
      <c r="G137" s="4" t="s">
        <v>442</v>
      </c>
      <c r="H137" s="9" t="s">
        <v>196</v>
      </c>
      <c r="I137" s="5" t="s">
        <v>698</v>
      </c>
      <c r="J137" s="5"/>
      <c r="K137" s="6">
        <f t="shared" ref="K137:K168" si="4">IF(AND(E137="yes",F137="yes",H137="covered"),1,IF(AND(E137="yes",H137="partial"),0.5,0))</f>
        <v>1</v>
      </c>
    </row>
    <row r="138" spans="1:11" ht="15" customHeight="1">
      <c r="A138" s="4">
        <v>130</v>
      </c>
      <c r="B138" s="5" t="s">
        <v>153</v>
      </c>
      <c r="C138" s="5" t="s">
        <v>154</v>
      </c>
      <c r="D138" s="5" t="s">
        <v>724</v>
      </c>
      <c r="E138" s="7" t="s">
        <v>105</v>
      </c>
      <c r="F138" s="8" t="s">
        <v>105</v>
      </c>
      <c r="G138" s="4" t="s">
        <v>442</v>
      </c>
      <c r="H138" s="9" t="s">
        <v>196</v>
      </c>
      <c r="I138" s="5" t="s">
        <v>698</v>
      </c>
      <c r="J138" s="5"/>
      <c r="K138" s="6">
        <f t="shared" si="4"/>
        <v>1</v>
      </c>
    </row>
    <row r="139" spans="1:11" ht="15" customHeight="1">
      <c r="A139" s="4">
        <v>131</v>
      </c>
      <c r="B139" s="5" t="s">
        <v>153</v>
      </c>
      <c r="C139" s="5" t="s">
        <v>154</v>
      </c>
      <c r="D139" s="5" t="s">
        <v>725</v>
      </c>
      <c r="E139" s="7" t="s">
        <v>105</v>
      </c>
      <c r="F139" s="8" t="s">
        <v>105</v>
      </c>
      <c r="G139" s="4" t="s">
        <v>442</v>
      </c>
      <c r="H139" s="9" t="s">
        <v>196</v>
      </c>
      <c r="I139" s="5" t="s">
        <v>698</v>
      </c>
      <c r="J139" s="5"/>
      <c r="K139" s="6">
        <f t="shared" si="4"/>
        <v>1</v>
      </c>
    </row>
    <row r="140" spans="1:11" ht="15" customHeight="1">
      <c r="A140" s="4">
        <v>132</v>
      </c>
      <c r="B140" s="5" t="s">
        <v>153</v>
      </c>
      <c r="C140" s="5" t="s">
        <v>154</v>
      </c>
      <c r="D140" s="5" t="s">
        <v>155</v>
      </c>
      <c r="E140" s="7" t="s">
        <v>105</v>
      </c>
      <c r="F140" s="8" t="s">
        <v>105</v>
      </c>
      <c r="G140" s="4" t="s">
        <v>442</v>
      </c>
      <c r="H140" s="9" t="s">
        <v>196</v>
      </c>
      <c r="I140" s="5" t="s">
        <v>698</v>
      </c>
      <c r="J140" s="5"/>
      <c r="K140" s="6">
        <f t="shared" si="4"/>
        <v>1</v>
      </c>
    </row>
    <row r="141" spans="1:11" ht="15" customHeight="1">
      <c r="A141" s="4">
        <v>133</v>
      </c>
      <c r="B141" s="5" t="s">
        <v>153</v>
      </c>
      <c r="C141" s="5" t="s">
        <v>154</v>
      </c>
      <c r="D141" s="5" t="s">
        <v>156</v>
      </c>
      <c r="E141" s="7" t="s">
        <v>105</v>
      </c>
      <c r="F141" s="8" t="s">
        <v>105</v>
      </c>
      <c r="G141" s="4" t="s">
        <v>442</v>
      </c>
      <c r="H141" s="9" t="s">
        <v>196</v>
      </c>
      <c r="I141" s="5" t="s">
        <v>698</v>
      </c>
      <c r="J141" s="5"/>
      <c r="K141" s="6">
        <f t="shared" si="4"/>
        <v>1</v>
      </c>
    </row>
    <row r="142" spans="1:11" ht="15" customHeight="1">
      <c r="A142" s="4">
        <v>134</v>
      </c>
      <c r="B142" s="5" t="s">
        <v>153</v>
      </c>
      <c r="C142" s="5" t="s">
        <v>154</v>
      </c>
      <c r="D142" s="5" t="s">
        <v>157</v>
      </c>
      <c r="E142" s="7" t="s">
        <v>105</v>
      </c>
      <c r="F142" s="8" t="s">
        <v>105</v>
      </c>
      <c r="G142" s="4" t="s">
        <v>442</v>
      </c>
      <c r="H142" s="9" t="s">
        <v>196</v>
      </c>
      <c r="I142" s="5" t="s">
        <v>698</v>
      </c>
      <c r="J142" s="5"/>
      <c r="K142" s="6">
        <f t="shared" si="4"/>
        <v>1</v>
      </c>
    </row>
    <row r="143" spans="1:11" ht="15" customHeight="1">
      <c r="A143" s="4">
        <v>135</v>
      </c>
      <c r="B143" s="5" t="s">
        <v>153</v>
      </c>
      <c r="C143" s="5" t="s">
        <v>154</v>
      </c>
      <c r="D143" s="5" t="s">
        <v>726</v>
      </c>
      <c r="E143" s="7" t="s">
        <v>105</v>
      </c>
      <c r="F143" s="8" t="s">
        <v>105</v>
      </c>
      <c r="G143" s="4" t="s">
        <v>442</v>
      </c>
      <c r="H143" s="9" t="s">
        <v>196</v>
      </c>
      <c r="I143" s="5" t="s">
        <v>698</v>
      </c>
      <c r="J143" s="5"/>
      <c r="K143" s="6">
        <f t="shared" si="4"/>
        <v>1</v>
      </c>
    </row>
    <row r="144" spans="1:11" ht="15" customHeight="1">
      <c r="A144" s="4">
        <v>136</v>
      </c>
      <c r="B144" s="5" t="s">
        <v>153</v>
      </c>
      <c r="C144" s="5" t="s">
        <v>154</v>
      </c>
      <c r="D144" s="5" t="s">
        <v>562</v>
      </c>
      <c r="E144" s="7" t="s">
        <v>105</v>
      </c>
      <c r="F144" s="8" t="s">
        <v>105</v>
      </c>
      <c r="G144" s="4" t="s">
        <v>442</v>
      </c>
      <c r="H144" s="9" t="s">
        <v>196</v>
      </c>
      <c r="I144" s="5" t="s">
        <v>698</v>
      </c>
      <c r="J144" s="5"/>
      <c r="K144" s="6">
        <f t="shared" si="4"/>
        <v>1</v>
      </c>
    </row>
    <row r="145" spans="1:11" ht="15" customHeight="1">
      <c r="A145" s="4">
        <v>137</v>
      </c>
      <c r="B145" s="5" t="s">
        <v>153</v>
      </c>
      <c r="C145" s="5" t="s">
        <v>154</v>
      </c>
      <c r="D145" s="5" t="s">
        <v>621</v>
      </c>
      <c r="E145" s="7" t="s">
        <v>105</v>
      </c>
      <c r="F145" s="8" t="s">
        <v>105</v>
      </c>
      <c r="G145" s="4" t="s">
        <v>442</v>
      </c>
      <c r="H145" s="9" t="s">
        <v>196</v>
      </c>
      <c r="I145" s="5" t="s">
        <v>698</v>
      </c>
      <c r="J145" s="5"/>
      <c r="K145" s="6">
        <f t="shared" si="4"/>
        <v>1</v>
      </c>
    </row>
    <row r="146" spans="1:11" ht="15" customHeight="1">
      <c r="A146" s="4">
        <v>138</v>
      </c>
      <c r="B146" s="5" t="s">
        <v>153</v>
      </c>
      <c r="C146" s="5" t="s">
        <v>154</v>
      </c>
      <c r="D146" s="5" t="s">
        <v>438</v>
      </c>
      <c r="E146" s="7" t="s">
        <v>105</v>
      </c>
      <c r="F146" s="8" t="s">
        <v>105</v>
      </c>
      <c r="G146" s="4" t="s">
        <v>442</v>
      </c>
      <c r="H146" s="9" t="s">
        <v>196</v>
      </c>
      <c r="I146" s="5" t="s">
        <v>698</v>
      </c>
      <c r="J146" s="5"/>
      <c r="K146" s="6">
        <f t="shared" si="4"/>
        <v>1</v>
      </c>
    </row>
    <row r="147" spans="1:11" ht="15" customHeight="1">
      <c r="A147" s="4">
        <v>139</v>
      </c>
      <c r="B147" s="5" t="s">
        <v>153</v>
      </c>
      <c r="C147" s="5" t="s">
        <v>154</v>
      </c>
      <c r="D147" s="5" t="s">
        <v>158</v>
      </c>
      <c r="E147" s="7" t="s">
        <v>105</v>
      </c>
      <c r="F147" s="8" t="s">
        <v>105</v>
      </c>
      <c r="G147" s="4" t="s">
        <v>442</v>
      </c>
      <c r="H147" s="9" t="s">
        <v>196</v>
      </c>
      <c r="I147" s="5" t="s">
        <v>698</v>
      </c>
      <c r="J147" s="5"/>
      <c r="K147" s="6">
        <f t="shared" si="4"/>
        <v>1</v>
      </c>
    </row>
    <row r="148" spans="1:11" ht="15" customHeight="1">
      <c r="A148" s="4">
        <v>140</v>
      </c>
      <c r="B148" s="5" t="s">
        <v>153</v>
      </c>
      <c r="C148" s="5" t="s">
        <v>154</v>
      </c>
      <c r="D148" s="5" t="s">
        <v>623</v>
      </c>
      <c r="E148" s="7" t="s">
        <v>105</v>
      </c>
      <c r="F148" s="8" t="s">
        <v>105</v>
      </c>
      <c r="G148" s="4" t="s">
        <v>442</v>
      </c>
      <c r="H148" s="9" t="s">
        <v>196</v>
      </c>
      <c r="I148" s="5" t="s">
        <v>698</v>
      </c>
      <c r="J148" s="5"/>
      <c r="K148" s="6">
        <f t="shared" si="4"/>
        <v>1</v>
      </c>
    </row>
    <row r="149" spans="1:11" ht="15" customHeight="1">
      <c r="A149" s="4">
        <v>141</v>
      </c>
      <c r="B149" s="5" t="s">
        <v>153</v>
      </c>
      <c r="C149" s="5" t="s">
        <v>154</v>
      </c>
      <c r="D149" s="5" t="s">
        <v>727</v>
      </c>
      <c r="E149" s="7" t="s">
        <v>105</v>
      </c>
      <c r="F149" s="8" t="s">
        <v>105</v>
      </c>
      <c r="G149" s="4" t="s">
        <v>442</v>
      </c>
      <c r="H149" s="9" t="s">
        <v>196</v>
      </c>
      <c r="I149" s="5" t="s">
        <v>698</v>
      </c>
      <c r="J149" s="5"/>
      <c r="K149" s="6">
        <f t="shared" si="4"/>
        <v>1</v>
      </c>
    </row>
    <row r="150" spans="1:11" ht="15" customHeight="1">
      <c r="A150" s="4">
        <v>142</v>
      </c>
      <c r="B150" s="5" t="s">
        <v>159</v>
      </c>
      <c r="C150" s="5" t="s">
        <v>154</v>
      </c>
      <c r="D150" s="5" t="s">
        <v>160</v>
      </c>
      <c r="E150" s="7" t="s">
        <v>105</v>
      </c>
      <c r="F150" s="8" t="s">
        <v>105</v>
      </c>
      <c r="G150" s="4" t="s">
        <v>442</v>
      </c>
      <c r="H150" s="9" t="s">
        <v>196</v>
      </c>
      <c r="I150" s="5" t="s">
        <v>698</v>
      </c>
      <c r="J150" s="5"/>
      <c r="K150" s="6">
        <f t="shared" si="4"/>
        <v>1</v>
      </c>
    </row>
    <row r="151" spans="1:11" ht="15" customHeight="1">
      <c r="A151" s="4">
        <v>143</v>
      </c>
      <c r="B151" s="5" t="s">
        <v>159</v>
      </c>
      <c r="C151" s="5" t="s">
        <v>154</v>
      </c>
      <c r="D151" s="5" t="s">
        <v>728</v>
      </c>
      <c r="E151" s="7" t="s">
        <v>105</v>
      </c>
      <c r="F151" s="8" t="s">
        <v>105</v>
      </c>
      <c r="G151" s="4" t="s">
        <v>442</v>
      </c>
      <c r="H151" s="9" t="s">
        <v>196</v>
      </c>
      <c r="I151" s="5" t="s">
        <v>698</v>
      </c>
      <c r="J151" s="5"/>
      <c r="K151" s="6">
        <f t="shared" si="4"/>
        <v>1</v>
      </c>
    </row>
    <row r="152" spans="1:11" ht="15" customHeight="1">
      <c r="A152" s="4">
        <v>144</v>
      </c>
      <c r="B152" s="5" t="s">
        <v>159</v>
      </c>
      <c r="C152" s="5" t="s">
        <v>154</v>
      </c>
      <c r="D152" s="5" t="s">
        <v>729</v>
      </c>
      <c r="E152" s="7" t="s">
        <v>105</v>
      </c>
      <c r="F152" s="8" t="s">
        <v>105</v>
      </c>
      <c r="G152" s="4" t="s">
        <v>442</v>
      </c>
      <c r="H152" s="9" t="s">
        <v>196</v>
      </c>
      <c r="I152" s="5" t="s">
        <v>698</v>
      </c>
      <c r="J152" s="5"/>
      <c r="K152" s="6">
        <f t="shared" si="4"/>
        <v>1</v>
      </c>
    </row>
    <row r="153" spans="1:11" ht="15" customHeight="1">
      <c r="A153" s="4">
        <v>145</v>
      </c>
      <c r="B153" s="5" t="s">
        <v>159</v>
      </c>
      <c r="C153" s="5" t="s">
        <v>154</v>
      </c>
      <c r="D153" s="5" t="s">
        <v>624</v>
      </c>
      <c r="E153" s="7" t="s">
        <v>105</v>
      </c>
      <c r="F153" s="8" t="s">
        <v>105</v>
      </c>
      <c r="G153" s="4" t="s">
        <v>442</v>
      </c>
      <c r="H153" s="9" t="s">
        <v>196</v>
      </c>
      <c r="I153" s="5" t="s">
        <v>698</v>
      </c>
      <c r="J153" s="5"/>
      <c r="K153" s="6">
        <f t="shared" si="4"/>
        <v>1</v>
      </c>
    </row>
    <row r="154" spans="1:11" ht="15" customHeight="1">
      <c r="A154" s="4">
        <v>146</v>
      </c>
      <c r="B154" s="5" t="s">
        <v>159</v>
      </c>
      <c r="C154" s="5" t="s">
        <v>154</v>
      </c>
      <c r="D154" s="5" t="s">
        <v>730</v>
      </c>
      <c r="E154" s="7" t="s">
        <v>105</v>
      </c>
      <c r="F154" s="8" t="s">
        <v>105</v>
      </c>
      <c r="G154" s="4" t="s">
        <v>442</v>
      </c>
      <c r="H154" s="9" t="s">
        <v>196</v>
      </c>
      <c r="I154" s="5" t="s">
        <v>698</v>
      </c>
      <c r="J154" s="5"/>
      <c r="K154" s="6">
        <f t="shared" si="4"/>
        <v>1</v>
      </c>
    </row>
    <row r="155" spans="1:11" ht="15" customHeight="1">
      <c r="A155" s="4">
        <v>147</v>
      </c>
      <c r="B155" s="5" t="s">
        <v>159</v>
      </c>
      <c r="C155" s="5" t="s">
        <v>154</v>
      </c>
      <c r="D155" s="5" t="s">
        <v>625</v>
      </c>
      <c r="E155" s="7" t="s">
        <v>105</v>
      </c>
      <c r="F155" s="8" t="s">
        <v>105</v>
      </c>
      <c r="G155" s="4" t="s">
        <v>442</v>
      </c>
      <c r="H155" s="9" t="s">
        <v>196</v>
      </c>
      <c r="I155" s="5" t="s">
        <v>698</v>
      </c>
      <c r="J155" s="5"/>
      <c r="K155" s="6">
        <f t="shared" si="4"/>
        <v>1</v>
      </c>
    </row>
    <row r="156" spans="1:11" ht="15" customHeight="1">
      <c r="A156" s="4">
        <v>148</v>
      </c>
      <c r="B156" s="5" t="s">
        <v>159</v>
      </c>
      <c r="C156" s="5" t="s">
        <v>154</v>
      </c>
      <c r="D156" s="5" t="s">
        <v>162</v>
      </c>
      <c r="E156" s="7" t="s">
        <v>105</v>
      </c>
      <c r="F156" s="8" t="s">
        <v>105</v>
      </c>
      <c r="G156" s="4" t="s">
        <v>442</v>
      </c>
      <c r="H156" s="9" t="s">
        <v>196</v>
      </c>
      <c r="I156" s="5" t="s">
        <v>698</v>
      </c>
      <c r="J156" s="5"/>
      <c r="K156" s="6">
        <f t="shared" si="4"/>
        <v>1</v>
      </c>
    </row>
    <row r="157" spans="1:11" ht="15" customHeight="1">
      <c r="A157" s="4">
        <v>149</v>
      </c>
      <c r="B157" s="5" t="s">
        <v>159</v>
      </c>
      <c r="C157" s="5" t="s">
        <v>154</v>
      </c>
      <c r="D157" s="5" t="s">
        <v>163</v>
      </c>
      <c r="E157" s="7" t="s">
        <v>105</v>
      </c>
      <c r="F157" s="8" t="s">
        <v>105</v>
      </c>
      <c r="G157" s="4" t="s">
        <v>442</v>
      </c>
      <c r="H157" s="9" t="s">
        <v>196</v>
      </c>
      <c r="I157" s="5" t="s">
        <v>698</v>
      </c>
      <c r="J157" s="5"/>
      <c r="K157" s="6">
        <f t="shared" si="4"/>
        <v>1</v>
      </c>
    </row>
    <row r="158" spans="1:11" ht="15" customHeight="1">
      <c r="A158" s="4">
        <v>150</v>
      </c>
      <c r="B158" s="5" t="s">
        <v>159</v>
      </c>
      <c r="C158" s="5" t="s">
        <v>154</v>
      </c>
      <c r="D158" s="5" t="s">
        <v>551</v>
      </c>
      <c r="E158" s="7" t="s">
        <v>105</v>
      </c>
      <c r="F158" s="8" t="s">
        <v>105</v>
      </c>
      <c r="G158" s="4" t="s">
        <v>442</v>
      </c>
      <c r="H158" s="9" t="s">
        <v>196</v>
      </c>
      <c r="I158" s="5" t="s">
        <v>698</v>
      </c>
      <c r="J158" s="5"/>
      <c r="K158" s="6">
        <f t="shared" si="4"/>
        <v>1</v>
      </c>
    </row>
    <row r="159" spans="1:11" ht="30" customHeight="1">
      <c r="A159" s="4">
        <v>151</v>
      </c>
      <c r="B159" s="5" t="s">
        <v>130</v>
      </c>
      <c r="C159" s="5" t="s">
        <v>27</v>
      </c>
      <c r="D159" s="5" t="s">
        <v>164</v>
      </c>
      <c r="E159" s="7" t="s">
        <v>105</v>
      </c>
      <c r="F159" s="8" t="s">
        <v>105</v>
      </c>
      <c r="G159" s="4" t="s">
        <v>442</v>
      </c>
      <c r="H159" s="9" t="s">
        <v>196</v>
      </c>
      <c r="I159" s="5" t="s">
        <v>698</v>
      </c>
      <c r="J159" s="5"/>
      <c r="K159" s="6">
        <f t="shared" si="4"/>
        <v>1</v>
      </c>
    </row>
    <row r="160" spans="1:11" ht="15" customHeight="1">
      <c r="A160" s="4">
        <v>152</v>
      </c>
      <c r="B160" s="5" t="s">
        <v>130</v>
      </c>
      <c r="C160" s="5" t="s">
        <v>27</v>
      </c>
      <c r="D160" s="5" t="s">
        <v>165</v>
      </c>
      <c r="E160" s="7" t="s">
        <v>105</v>
      </c>
      <c r="F160" s="8" t="s">
        <v>105</v>
      </c>
      <c r="G160" s="4" t="s">
        <v>442</v>
      </c>
      <c r="H160" s="9" t="s">
        <v>196</v>
      </c>
      <c r="I160" s="5" t="s">
        <v>698</v>
      </c>
      <c r="J160" s="5"/>
      <c r="K160" s="6">
        <f t="shared" si="4"/>
        <v>1</v>
      </c>
    </row>
    <row r="161" spans="1:11" ht="15" customHeight="1">
      <c r="A161" s="4">
        <v>153</v>
      </c>
      <c r="B161" s="5" t="s">
        <v>130</v>
      </c>
      <c r="C161" s="5" t="s">
        <v>27</v>
      </c>
      <c r="D161" s="5" t="s">
        <v>166</v>
      </c>
      <c r="E161" s="7" t="s">
        <v>105</v>
      </c>
      <c r="F161" s="8" t="s">
        <v>105</v>
      </c>
      <c r="G161" s="4" t="s">
        <v>442</v>
      </c>
      <c r="H161" s="9" t="s">
        <v>196</v>
      </c>
      <c r="I161" s="5" t="s">
        <v>698</v>
      </c>
      <c r="J161" s="5"/>
      <c r="K161" s="6">
        <f t="shared" si="4"/>
        <v>1</v>
      </c>
    </row>
    <row r="162" spans="1:11" ht="15" customHeight="1">
      <c r="A162" s="4">
        <v>154</v>
      </c>
      <c r="B162" s="5" t="s">
        <v>130</v>
      </c>
      <c r="C162" s="5" t="s">
        <v>27</v>
      </c>
      <c r="D162" s="5" t="s">
        <v>167</v>
      </c>
      <c r="E162" s="7" t="s">
        <v>105</v>
      </c>
      <c r="F162" s="8" t="s">
        <v>105</v>
      </c>
      <c r="G162" s="4" t="s">
        <v>442</v>
      </c>
      <c r="H162" s="9" t="s">
        <v>196</v>
      </c>
      <c r="I162" s="5" t="s">
        <v>698</v>
      </c>
      <c r="J162" s="5"/>
      <c r="K162" s="6">
        <f t="shared" si="4"/>
        <v>1</v>
      </c>
    </row>
    <row r="163" spans="1:11" ht="15" customHeight="1">
      <c r="A163" s="4">
        <v>155</v>
      </c>
      <c r="B163" s="5" t="s">
        <v>130</v>
      </c>
      <c r="C163" s="5" t="s">
        <v>27</v>
      </c>
      <c r="D163" s="5" t="s">
        <v>168</v>
      </c>
      <c r="E163" s="7" t="s">
        <v>105</v>
      </c>
      <c r="F163" s="8" t="s">
        <v>105</v>
      </c>
      <c r="G163" s="4" t="s">
        <v>442</v>
      </c>
      <c r="H163" s="9" t="s">
        <v>196</v>
      </c>
      <c r="I163" s="5" t="s">
        <v>698</v>
      </c>
      <c r="J163" s="5"/>
      <c r="K163" s="6">
        <f t="shared" si="4"/>
        <v>1</v>
      </c>
    </row>
    <row r="164" spans="1:11" ht="15" customHeight="1">
      <c r="A164" s="4">
        <v>156</v>
      </c>
      <c r="B164" s="5" t="s">
        <v>135</v>
      </c>
      <c r="C164" s="5" t="s">
        <v>121</v>
      </c>
      <c r="D164" s="5" t="s">
        <v>169</v>
      </c>
      <c r="E164" s="7" t="s">
        <v>105</v>
      </c>
      <c r="F164" s="8" t="s">
        <v>105</v>
      </c>
      <c r="G164" s="4" t="s">
        <v>442</v>
      </c>
      <c r="H164" s="9" t="s">
        <v>196</v>
      </c>
      <c r="I164" s="5" t="s">
        <v>698</v>
      </c>
      <c r="J164" s="5"/>
      <c r="K164" s="6">
        <f t="shared" si="4"/>
        <v>1</v>
      </c>
    </row>
    <row r="165" spans="1:11" ht="30" customHeight="1">
      <c r="A165" s="4">
        <v>157</v>
      </c>
      <c r="B165" s="5" t="s">
        <v>135</v>
      </c>
      <c r="C165" s="5" t="s">
        <v>121</v>
      </c>
      <c r="D165" s="5" t="s">
        <v>170</v>
      </c>
      <c r="E165" s="7" t="s">
        <v>105</v>
      </c>
      <c r="F165" s="8" t="s">
        <v>105</v>
      </c>
      <c r="G165" s="4" t="s">
        <v>442</v>
      </c>
      <c r="H165" s="9" t="s">
        <v>196</v>
      </c>
      <c r="I165" s="5" t="s">
        <v>698</v>
      </c>
      <c r="J165" s="5"/>
      <c r="K165" s="6">
        <f t="shared" si="4"/>
        <v>1</v>
      </c>
    </row>
    <row r="166" spans="1:11" ht="30" customHeight="1">
      <c r="A166" s="4">
        <v>158</v>
      </c>
      <c r="B166" s="5" t="s">
        <v>135</v>
      </c>
      <c r="C166" s="5" t="s">
        <v>121</v>
      </c>
      <c r="D166" s="5" t="s">
        <v>171</v>
      </c>
      <c r="E166" s="7" t="s">
        <v>105</v>
      </c>
      <c r="F166" s="8" t="s">
        <v>105</v>
      </c>
      <c r="G166" s="4" t="s">
        <v>442</v>
      </c>
      <c r="H166" s="9" t="s">
        <v>196</v>
      </c>
      <c r="I166" s="5" t="s">
        <v>698</v>
      </c>
      <c r="J166" s="5"/>
      <c r="K166" s="6">
        <f t="shared" si="4"/>
        <v>1</v>
      </c>
    </row>
    <row r="167" spans="1:11" ht="30" customHeight="1">
      <c r="A167" s="4">
        <v>159</v>
      </c>
      <c r="B167" s="5" t="s">
        <v>135</v>
      </c>
      <c r="C167" s="5" t="s">
        <v>27</v>
      </c>
      <c r="D167" s="5" t="s">
        <v>627</v>
      </c>
      <c r="E167" s="7" t="s">
        <v>105</v>
      </c>
      <c r="F167" s="8" t="s">
        <v>105</v>
      </c>
      <c r="G167" s="4" t="s">
        <v>442</v>
      </c>
      <c r="H167" s="9" t="s">
        <v>196</v>
      </c>
      <c r="I167" s="5" t="s">
        <v>698</v>
      </c>
      <c r="J167" s="5"/>
      <c r="K167" s="6">
        <f t="shared" si="4"/>
        <v>1</v>
      </c>
    </row>
    <row r="168" spans="1:11" ht="30" customHeight="1">
      <c r="A168" s="4">
        <v>160</v>
      </c>
      <c r="B168" s="5" t="s">
        <v>135</v>
      </c>
      <c r="C168" s="5" t="s">
        <v>27</v>
      </c>
      <c r="D168" s="5" t="s">
        <v>628</v>
      </c>
      <c r="E168" s="7" t="s">
        <v>105</v>
      </c>
      <c r="F168" s="8" t="s">
        <v>105</v>
      </c>
      <c r="G168" s="4" t="s">
        <v>442</v>
      </c>
      <c r="H168" s="9" t="s">
        <v>196</v>
      </c>
      <c r="I168" s="5" t="s">
        <v>698</v>
      </c>
      <c r="J168" s="5"/>
      <c r="K168" s="6">
        <f t="shared" si="4"/>
        <v>1</v>
      </c>
    </row>
    <row r="169" spans="1:11" ht="15" customHeight="1">
      <c r="A169" s="4">
        <v>161</v>
      </c>
      <c r="B169" s="5" t="s">
        <v>135</v>
      </c>
      <c r="C169" s="5" t="s">
        <v>27</v>
      </c>
      <c r="D169" s="5" t="s">
        <v>629</v>
      </c>
      <c r="E169" s="7" t="s">
        <v>105</v>
      </c>
      <c r="F169" s="8" t="s">
        <v>105</v>
      </c>
      <c r="G169" s="4" t="s">
        <v>442</v>
      </c>
      <c r="H169" s="9" t="s">
        <v>196</v>
      </c>
      <c r="I169" s="5" t="s">
        <v>698</v>
      </c>
      <c r="J169" s="5"/>
      <c r="K169" s="6">
        <f t="shared" ref="K169:K186" si="5">IF(AND(E169="yes",F169="yes",H169="covered"),1,IF(AND(E169="yes",H169="partial"),0.5,0))</f>
        <v>1</v>
      </c>
    </row>
    <row r="170" spans="1:11" ht="30" customHeight="1">
      <c r="A170" s="4">
        <v>162</v>
      </c>
      <c r="B170" s="5" t="s">
        <v>135</v>
      </c>
      <c r="C170" s="5" t="s">
        <v>27</v>
      </c>
      <c r="D170" s="5" t="s">
        <v>630</v>
      </c>
      <c r="E170" s="7" t="s">
        <v>105</v>
      </c>
      <c r="F170" s="8" t="s">
        <v>105</v>
      </c>
      <c r="G170" s="4" t="s">
        <v>442</v>
      </c>
      <c r="H170" s="9" t="s">
        <v>196</v>
      </c>
      <c r="I170" s="5" t="s">
        <v>698</v>
      </c>
      <c r="J170" s="5"/>
      <c r="K170" s="6">
        <f t="shared" si="5"/>
        <v>1</v>
      </c>
    </row>
    <row r="171" spans="1:11" ht="15" customHeight="1">
      <c r="A171" s="4">
        <v>163</v>
      </c>
      <c r="B171" s="5" t="s">
        <v>591</v>
      </c>
      <c r="C171" s="5" t="s">
        <v>27</v>
      </c>
      <c r="D171" s="5" t="s">
        <v>631</v>
      </c>
      <c r="E171" s="7" t="s">
        <v>105</v>
      </c>
      <c r="F171" s="8" t="s">
        <v>105</v>
      </c>
      <c r="G171" s="4" t="s">
        <v>442</v>
      </c>
      <c r="H171" s="9" t="s">
        <v>196</v>
      </c>
      <c r="I171" s="5" t="s">
        <v>698</v>
      </c>
      <c r="J171" s="5"/>
      <c r="K171" s="6">
        <f t="shared" si="5"/>
        <v>1</v>
      </c>
    </row>
    <row r="172" spans="1:11" ht="15" customHeight="1">
      <c r="A172" s="4">
        <v>164</v>
      </c>
      <c r="B172" s="5" t="s">
        <v>591</v>
      </c>
      <c r="C172" s="5" t="s">
        <v>27</v>
      </c>
      <c r="D172" s="5" t="s">
        <v>632</v>
      </c>
      <c r="E172" s="7" t="s">
        <v>105</v>
      </c>
      <c r="F172" s="8" t="s">
        <v>105</v>
      </c>
      <c r="G172" s="4" t="s">
        <v>442</v>
      </c>
      <c r="H172" s="9" t="s">
        <v>196</v>
      </c>
      <c r="I172" s="5" t="s">
        <v>698</v>
      </c>
      <c r="J172" s="5"/>
      <c r="K172" s="6">
        <f t="shared" si="5"/>
        <v>1</v>
      </c>
    </row>
    <row r="173" spans="1:11" ht="15" customHeight="1">
      <c r="A173" s="4">
        <v>165</v>
      </c>
      <c r="B173" s="5" t="s">
        <v>179</v>
      </c>
      <c r="C173" s="5" t="s">
        <v>27</v>
      </c>
      <c r="D173" s="5" t="s">
        <v>182</v>
      </c>
      <c r="E173" s="7" t="s">
        <v>105</v>
      </c>
      <c r="F173" s="8" t="s">
        <v>105</v>
      </c>
      <c r="G173" s="4" t="s">
        <v>442</v>
      </c>
      <c r="H173" s="9" t="s">
        <v>196</v>
      </c>
      <c r="I173" s="5" t="s">
        <v>698</v>
      </c>
      <c r="J173" s="5"/>
      <c r="K173" s="6">
        <f t="shared" si="5"/>
        <v>1</v>
      </c>
    </row>
    <row r="174" spans="1:11" ht="15" customHeight="1">
      <c r="A174" s="4">
        <v>166</v>
      </c>
      <c r="B174" s="5" t="s">
        <v>179</v>
      </c>
      <c r="C174" s="5" t="s">
        <v>27</v>
      </c>
      <c r="D174" s="5" t="s">
        <v>183</v>
      </c>
      <c r="E174" s="7" t="s">
        <v>105</v>
      </c>
      <c r="F174" s="8" t="s">
        <v>105</v>
      </c>
      <c r="G174" s="4" t="s">
        <v>442</v>
      </c>
      <c r="H174" s="9" t="s">
        <v>196</v>
      </c>
      <c r="I174" s="5" t="s">
        <v>698</v>
      </c>
      <c r="J174" s="5"/>
      <c r="K174" s="6">
        <f t="shared" si="5"/>
        <v>1</v>
      </c>
    </row>
    <row r="175" spans="1:11" ht="15" customHeight="1">
      <c r="A175" s="4">
        <v>167</v>
      </c>
      <c r="B175" s="5" t="s">
        <v>179</v>
      </c>
      <c r="C175" s="5" t="s">
        <v>27</v>
      </c>
      <c r="D175" s="5" t="s">
        <v>184</v>
      </c>
      <c r="E175" s="7" t="s">
        <v>105</v>
      </c>
      <c r="F175" s="8" t="s">
        <v>105</v>
      </c>
      <c r="G175" s="4" t="s">
        <v>442</v>
      </c>
      <c r="H175" s="9" t="s">
        <v>196</v>
      </c>
      <c r="I175" s="5" t="s">
        <v>698</v>
      </c>
      <c r="J175" s="5"/>
      <c r="K175" s="6">
        <f t="shared" si="5"/>
        <v>1</v>
      </c>
    </row>
    <row r="176" spans="1:11" ht="15" customHeight="1">
      <c r="A176" s="4">
        <v>168</v>
      </c>
      <c r="B176" s="5" t="s">
        <v>179</v>
      </c>
      <c r="C176" s="5" t="s">
        <v>27</v>
      </c>
      <c r="D176" s="5" t="s">
        <v>185</v>
      </c>
      <c r="E176" s="7" t="s">
        <v>105</v>
      </c>
      <c r="F176" s="8" t="s">
        <v>105</v>
      </c>
      <c r="G176" s="4" t="s">
        <v>442</v>
      </c>
      <c r="H176" s="9" t="s">
        <v>196</v>
      </c>
      <c r="I176" s="5" t="s">
        <v>698</v>
      </c>
      <c r="J176" s="5"/>
      <c r="K176" s="6">
        <f t="shared" si="5"/>
        <v>1</v>
      </c>
    </row>
    <row r="177" spans="1:11" ht="15" customHeight="1">
      <c r="A177" s="4">
        <v>169</v>
      </c>
      <c r="B177" s="5" t="s">
        <v>177</v>
      </c>
      <c r="C177" s="5" t="s">
        <v>27</v>
      </c>
      <c r="D177" s="5" t="s">
        <v>186</v>
      </c>
      <c r="E177" s="7" t="s">
        <v>105</v>
      </c>
      <c r="F177" s="8" t="s">
        <v>105</v>
      </c>
      <c r="G177" s="4" t="s">
        <v>442</v>
      </c>
      <c r="H177" s="9" t="s">
        <v>196</v>
      </c>
      <c r="I177" s="5" t="s">
        <v>698</v>
      </c>
      <c r="J177" s="5"/>
      <c r="K177" s="6">
        <f t="shared" si="5"/>
        <v>1</v>
      </c>
    </row>
    <row r="178" spans="1:11" ht="15" customHeight="1">
      <c r="A178" s="4">
        <v>170</v>
      </c>
      <c r="B178" s="5" t="s">
        <v>55</v>
      </c>
      <c r="C178" s="5" t="s">
        <v>27</v>
      </c>
      <c r="D178" s="5" t="s">
        <v>731</v>
      </c>
      <c r="E178" s="7" t="s">
        <v>105</v>
      </c>
      <c r="F178" s="8" t="s">
        <v>105</v>
      </c>
      <c r="G178" s="4" t="s">
        <v>442</v>
      </c>
      <c r="H178" s="9" t="s">
        <v>196</v>
      </c>
      <c r="I178" s="5" t="s">
        <v>698</v>
      </c>
      <c r="J178" s="5"/>
      <c r="K178" s="6">
        <f t="shared" si="5"/>
        <v>1</v>
      </c>
    </row>
    <row r="179" spans="1:11" ht="15" customHeight="1">
      <c r="A179" s="4">
        <v>171</v>
      </c>
      <c r="B179" s="5" t="s">
        <v>55</v>
      </c>
      <c r="C179" s="5" t="s">
        <v>27</v>
      </c>
      <c r="D179" s="5" t="s">
        <v>732</v>
      </c>
      <c r="E179" s="7" t="s">
        <v>105</v>
      </c>
      <c r="F179" s="8" t="s">
        <v>105</v>
      </c>
      <c r="G179" s="4" t="s">
        <v>442</v>
      </c>
      <c r="H179" s="9" t="s">
        <v>196</v>
      </c>
      <c r="I179" s="5" t="s">
        <v>698</v>
      </c>
      <c r="J179" s="5"/>
      <c r="K179" s="6">
        <f t="shared" si="5"/>
        <v>1</v>
      </c>
    </row>
    <row r="180" spans="1:11" ht="15" customHeight="1">
      <c r="A180" s="4">
        <v>172</v>
      </c>
      <c r="B180" s="5" t="s">
        <v>713</v>
      </c>
      <c r="C180" s="5" t="s">
        <v>27</v>
      </c>
      <c r="D180" s="5" t="s">
        <v>733</v>
      </c>
      <c r="E180" s="7" t="s">
        <v>105</v>
      </c>
      <c r="F180" s="8" t="s">
        <v>105</v>
      </c>
      <c r="G180" s="4" t="s">
        <v>442</v>
      </c>
      <c r="H180" s="9" t="s">
        <v>196</v>
      </c>
      <c r="I180" s="5" t="s">
        <v>698</v>
      </c>
      <c r="J180" s="5"/>
      <c r="K180" s="6">
        <f t="shared" si="5"/>
        <v>1</v>
      </c>
    </row>
    <row r="181" spans="1:11" ht="30" customHeight="1">
      <c r="A181" s="4">
        <v>173</v>
      </c>
      <c r="B181" s="5" t="s">
        <v>713</v>
      </c>
      <c r="C181" s="5" t="s">
        <v>27</v>
      </c>
      <c r="D181" s="5" t="s">
        <v>734</v>
      </c>
      <c r="E181" s="7" t="s">
        <v>105</v>
      </c>
      <c r="F181" s="8" t="s">
        <v>105</v>
      </c>
      <c r="G181" s="4" t="s">
        <v>442</v>
      </c>
      <c r="H181" s="9" t="s">
        <v>196</v>
      </c>
      <c r="I181" s="5" t="s">
        <v>698</v>
      </c>
      <c r="J181" s="5"/>
      <c r="K181" s="6">
        <f t="shared" si="5"/>
        <v>1</v>
      </c>
    </row>
    <row r="182" spans="1:11" ht="15" customHeight="1">
      <c r="A182" s="4">
        <v>174</v>
      </c>
      <c r="B182" s="5" t="s">
        <v>713</v>
      </c>
      <c r="C182" s="5" t="s">
        <v>27</v>
      </c>
      <c r="D182" s="5" t="s">
        <v>735</v>
      </c>
      <c r="E182" s="7" t="s">
        <v>105</v>
      </c>
      <c r="F182" s="8" t="s">
        <v>105</v>
      </c>
      <c r="G182" s="4" t="s">
        <v>442</v>
      </c>
      <c r="H182" s="9" t="s">
        <v>196</v>
      </c>
      <c r="I182" s="5" t="s">
        <v>698</v>
      </c>
      <c r="J182" s="5"/>
      <c r="K182" s="6">
        <f t="shared" si="5"/>
        <v>1</v>
      </c>
    </row>
    <row r="183" spans="1:11" ht="15" customHeight="1">
      <c r="A183" s="4">
        <v>175</v>
      </c>
      <c r="B183" s="5" t="s">
        <v>713</v>
      </c>
      <c r="C183" s="5" t="s">
        <v>27</v>
      </c>
      <c r="D183" s="5" t="s">
        <v>736</v>
      </c>
      <c r="E183" s="7" t="s">
        <v>105</v>
      </c>
      <c r="F183" s="8" t="s">
        <v>105</v>
      </c>
      <c r="G183" s="4" t="s">
        <v>442</v>
      </c>
      <c r="H183" s="9" t="s">
        <v>196</v>
      </c>
      <c r="I183" s="5" t="s">
        <v>698</v>
      </c>
      <c r="J183" s="5"/>
      <c r="K183" s="6">
        <f t="shared" si="5"/>
        <v>1</v>
      </c>
    </row>
    <row r="184" spans="1:11">
      <c r="A184">
        <v>176</v>
      </c>
      <c r="B184" t="s">
        <v>172</v>
      </c>
      <c r="C184" t="s">
        <v>150</v>
      </c>
      <c r="D184" t="s">
        <v>737</v>
      </c>
      <c r="E184" t="s">
        <v>105</v>
      </c>
      <c r="F184" t="s">
        <v>105</v>
      </c>
      <c r="G184" t="s">
        <v>442</v>
      </c>
      <c r="H184" t="s">
        <v>196</v>
      </c>
      <c r="I184" t="s">
        <v>698</v>
      </c>
      <c r="K184">
        <f t="shared" si="5"/>
        <v>1</v>
      </c>
    </row>
    <row r="185" spans="1:11">
      <c r="A185">
        <v>177</v>
      </c>
      <c r="B185" t="s">
        <v>172</v>
      </c>
      <c r="C185" t="s">
        <v>150</v>
      </c>
      <c r="D185" t="s">
        <v>738</v>
      </c>
      <c r="E185" t="s">
        <v>105</v>
      </c>
      <c r="F185" t="s">
        <v>105</v>
      </c>
      <c r="G185" t="s">
        <v>442</v>
      </c>
      <c r="H185" t="s">
        <v>196</v>
      </c>
      <c r="I185" t="s">
        <v>698</v>
      </c>
      <c r="K185">
        <f t="shared" si="5"/>
        <v>1</v>
      </c>
    </row>
    <row r="186" spans="1:11">
      <c r="A186">
        <v>178</v>
      </c>
      <c r="B186" t="s">
        <v>172</v>
      </c>
      <c r="C186" t="s">
        <v>721</v>
      </c>
      <c r="D186" t="s">
        <v>739</v>
      </c>
      <c r="E186" t="s">
        <v>105</v>
      </c>
      <c r="F186" t="s">
        <v>105</v>
      </c>
      <c r="G186" t="s">
        <v>442</v>
      </c>
      <c r="H186" t="s">
        <v>196</v>
      </c>
      <c r="I186" t="s">
        <v>698</v>
      </c>
      <c r="K186">
        <f t="shared" si="5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197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740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0.98412698412698407</v>
      </c>
      <c r="C4" s="1" t="s">
        <v>8</v>
      </c>
      <c r="D4" s="2">
        <f>COUNTIFS(A9:A1000,"&lt;&gt;",E9:E1000,"yes",F9:F1000,"yes",H9:H1000,"covered")</f>
        <v>186</v>
      </c>
      <c r="E4" s="1" t="s">
        <v>9</v>
      </c>
      <c r="F4" s="2">
        <f>COUNTIFS(A9:A1000,"&lt;&gt;",H9:H1000,"partial")</f>
        <v>1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7" t="s">
        <v>97</v>
      </c>
      <c r="G9" s="4" t="s">
        <v>98</v>
      </c>
      <c r="H9" s="12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7" t="s">
        <v>97</v>
      </c>
      <c r="G10" s="4" t="s">
        <v>98</v>
      </c>
      <c r="H10" s="12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133</v>
      </c>
      <c r="C11" s="5" t="s">
        <v>121</v>
      </c>
      <c r="D11" s="5" t="s">
        <v>741</v>
      </c>
      <c r="E11" s="7" t="s">
        <v>105</v>
      </c>
      <c r="F11" s="7" t="s">
        <v>105</v>
      </c>
      <c r="G11" s="4" t="s">
        <v>195</v>
      </c>
      <c r="H11" s="11" t="s">
        <v>196</v>
      </c>
      <c r="I11" s="5" t="s">
        <v>742</v>
      </c>
      <c r="J11" s="5"/>
      <c r="K11" s="6">
        <f t="shared" si="0"/>
        <v>1</v>
      </c>
    </row>
    <row r="12" spans="1:11" ht="15" customHeight="1">
      <c r="A12" s="4">
        <v>4</v>
      </c>
      <c r="B12" s="5" t="s">
        <v>133</v>
      </c>
      <c r="C12" s="5" t="s">
        <v>121</v>
      </c>
      <c r="D12" s="5" t="s">
        <v>743</v>
      </c>
      <c r="E12" s="7" t="s">
        <v>105</v>
      </c>
      <c r="F12" s="7" t="s">
        <v>105</v>
      </c>
      <c r="G12" s="4" t="s">
        <v>195</v>
      </c>
      <c r="H12" s="11" t="s">
        <v>196</v>
      </c>
      <c r="I12" s="5" t="s">
        <v>742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133</v>
      </c>
      <c r="C13" s="5" t="s">
        <v>121</v>
      </c>
      <c r="D13" s="5" t="s">
        <v>744</v>
      </c>
      <c r="E13" s="7" t="s">
        <v>105</v>
      </c>
      <c r="F13" s="7" t="s">
        <v>105</v>
      </c>
      <c r="G13" s="4" t="s">
        <v>195</v>
      </c>
      <c r="H13" s="11" t="s">
        <v>196</v>
      </c>
      <c r="I13" s="5" t="s">
        <v>742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133</v>
      </c>
      <c r="C14" s="5" t="s">
        <v>121</v>
      </c>
      <c r="D14" s="5" t="s">
        <v>745</v>
      </c>
      <c r="E14" s="7" t="s">
        <v>105</v>
      </c>
      <c r="F14" s="7" t="s">
        <v>105</v>
      </c>
      <c r="G14" s="4" t="s">
        <v>195</v>
      </c>
      <c r="H14" s="11" t="s">
        <v>196</v>
      </c>
      <c r="I14" s="5" t="s">
        <v>742</v>
      </c>
      <c r="J14" s="5"/>
      <c r="K14" s="6">
        <f t="shared" si="0"/>
        <v>1</v>
      </c>
    </row>
    <row r="15" spans="1:11" ht="15" customHeight="1">
      <c r="A15" s="4">
        <v>7</v>
      </c>
      <c r="B15" s="5" t="s">
        <v>133</v>
      </c>
      <c r="C15" s="5" t="s">
        <v>121</v>
      </c>
      <c r="D15" s="5" t="s">
        <v>746</v>
      </c>
      <c r="E15" s="7" t="s">
        <v>105</v>
      </c>
      <c r="F15" s="7" t="s">
        <v>105</v>
      </c>
      <c r="G15" s="4" t="s">
        <v>195</v>
      </c>
      <c r="H15" s="11" t="s">
        <v>196</v>
      </c>
      <c r="I15" s="5" t="s">
        <v>742</v>
      </c>
      <c r="J15" s="5"/>
      <c r="K15" s="6">
        <f t="shared" si="0"/>
        <v>1</v>
      </c>
    </row>
    <row r="16" spans="1:11" ht="15" customHeight="1">
      <c r="A16" s="4">
        <v>8</v>
      </c>
      <c r="B16" s="5" t="s">
        <v>133</v>
      </c>
      <c r="C16" s="5" t="s">
        <v>121</v>
      </c>
      <c r="D16" s="5" t="s">
        <v>747</v>
      </c>
      <c r="E16" s="7" t="s">
        <v>105</v>
      </c>
      <c r="F16" s="7" t="s">
        <v>105</v>
      </c>
      <c r="G16" s="4" t="s">
        <v>195</v>
      </c>
      <c r="H16" s="11" t="s">
        <v>196</v>
      </c>
      <c r="I16" s="5" t="s">
        <v>742</v>
      </c>
      <c r="J16" s="5"/>
      <c r="K16" s="6">
        <f t="shared" si="0"/>
        <v>1</v>
      </c>
    </row>
    <row r="17" spans="1:11" ht="15" customHeight="1">
      <c r="A17" s="4">
        <v>9</v>
      </c>
      <c r="B17" s="5" t="s">
        <v>133</v>
      </c>
      <c r="C17" s="5" t="s">
        <v>121</v>
      </c>
      <c r="D17" s="5" t="s">
        <v>748</v>
      </c>
      <c r="E17" s="7" t="s">
        <v>105</v>
      </c>
      <c r="F17" s="7" t="s">
        <v>105</v>
      </c>
      <c r="G17" s="4" t="s">
        <v>195</v>
      </c>
      <c r="H17" s="11" t="s">
        <v>196</v>
      </c>
      <c r="I17" s="5" t="s">
        <v>742</v>
      </c>
      <c r="J17" s="5"/>
      <c r="K17" s="6">
        <f t="shared" si="0"/>
        <v>1</v>
      </c>
    </row>
    <row r="18" spans="1:11" ht="15" customHeight="1">
      <c r="A18" s="4">
        <v>10</v>
      </c>
      <c r="B18" s="5" t="s">
        <v>133</v>
      </c>
      <c r="C18" s="5" t="s">
        <v>121</v>
      </c>
      <c r="D18" s="5" t="s">
        <v>749</v>
      </c>
      <c r="E18" s="7" t="s">
        <v>105</v>
      </c>
      <c r="F18" s="7" t="s">
        <v>105</v>
      </c>
      <c r="G18" s="4" t="s">
        <v>195</v>
      </c>
      <c r="H18" s="11" t="s">
        <v>196</v>
      </c>
      <c r="I18" s="5" t="s">
        <v>742</v>
      </c>
      <c r="J18" s="5"/>
      <c r="K18" s="6">
        <f t="shared" si="0"/>
        <v>1</v>
      </c>
    </row>
    <row r="19" spans="1:11" ht="15" customHeight="1">
      <c r="A19" s="4">
        <v>11</v>
      </c>
      <c r="B19" s="5" t="s">
        <v>133</v>
      </c>
      <c r="C19" s="5" t="s">
        <v>121</v>
      </c>
      <c r="D19" s="5" t="s">
        <v>750</v>
      </c>
      <c r="E19" s="7" t="s">
        <v>105</v>
      </c>
      <c r="F19" s="7" t="s">
        <v>105</v>
      </c>
      <c r="G19" s="4" t="s">
        <v>195</v>
      </c>
      <c r="H19" s="11" t="s">
        <v>196</v>
      </c>
      <c r="I19" s="5" t="s">
        <v>742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133</v>
      </c>
      <c r="C20" s="5" t="s">
        <v>121</v>
      </c>
      <c r="D20" s="5" t="s">
        <v>751</v>
      </c>
      <c r="E20" s="7" t="s">
        <v>105</v>
      </c>
      <c r="F20" s="7" t="s">
        <v>105</v>
      </c>
      <c r="G20" s="4" t="s">
        <v>195</v>
      </c>
      <c r="H20" s="11" t="s">
        <v>196</v>
      </c>
      <c r="I20" s="5" t="s">
        <v>742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133</v>
      </c>
      <c r="C21" s="5" t="s">
        <v>121</v>
      </c>
      <c r="D21" s="5" t="s">
        <v>752</v>
      </c>
      <c r="E21" s="7" t="s">
        <v>105</v>
      </c>
      <c r="F21" s="7" t="s">
        <v>105</v>
      </c>
      <c r="G21" s="4" t="s">
        <v>195</v>
      </c>
      <c r="H21" s="11" t="s">
        <v>196</v>
      </c>
      <c r="I21" s="5" t="s">
        <v>742</v>
      </c>
      <c r="J21" s="5"/>
      <c r="K21" s="6">
        <f t="shared" si="0"/>
        <v>1</v>
      </c>
    </row>
    <row r="22" spans="1:11" ht="15" customHeight="1">
      <c r="A22" s="4">
        <v>14</v>
      </c>
      <c r="B22" s="5" t="s">
        <v>133</v>
      </c>
      <c r="C22" s="5" t="s">
        <v>121</v>
      </c>
      <c r="D22" s="5" t="s">
        <v>753</v>
      </c>
      <c r="E22" s="7" t="s">
        <v>105</v>
      </c>
      <c r="F22" s="7" t="s">
        <v>105</v>
      </c>
      <c r="G22" s="4" t="s">
        <v>195</v>
      </c>
      <c r="H22" s="11" t="s">
        <v>196</v>
      </c>
      <c r="I22" s="5" t="s">
        <v>742</v>
      </c>
      <c r="J22" s="5"/>
      <c r="K22" s="6">
        <f t="shared" si="0"/>
        <v>1</v>
      </c>
    </row>
    <row r="23" spans="1:11" ht="15" customHeight="1">
      <c r="A23" s="4">
        <v>15</v>
      </c>
      <c r="B23" s="5" t="s">
        <v>133</v>
      </c>
      <c r="C23" s="5" t="s">
        <v>121</v>
      </c>
      <c r="D23" s="5" t="s">
        <v>754</v>
      </c>
      <c r="E23" s="7" t="s">
        <v>105</v>
      </c>
      <c r="F23" s="7" t="s">
        <v>105</v>
      </c>
      <c r="G23" s="4" t="s">
        <v>195</v>
      </c>
      <c r="H23" s="11" t="s">
        <v>196</v>
      </c>
      <c r="I23" s="5" t="s">
        <v>742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133</v>
      </c>
      <c r="C24" s="5" t="s">
        <v>145</v>
      </c>
      <c r="D24" s="5" t="s">
        <v>755</v>
      </c>
      <c r="E24" s="7" t="s">
        <v>105</v>
      </c>
      <c r="F24" s="7" t="s">
        <v>105</v>
      </c>
      <c r="G24" s="4" t="s">
        <v>195</v>
      </c>
      <c r="H24" s="11" t="s">
        <v>196</v>
      </c>
      <c r="I24" s="5" t="s">
        <v>742</v>
      </c>
      <c r="J24" s="5"/>
      <c r="K24" s="6">
        <f t="shared" si="0"/>
        <v>1</v>
      </c>
    </row>
    <row r="25" spans="1:11" ht="15" customHeight="1">
      <c r="A25" s="4">
        <v>17</v>
      </c>
      <c r="B25" s="5" t="s">
        <v>133</v>
      </c>
      <c r="C25" s="5" t="s">
        <v>145</v>
      </c>
      <c r="D25" s="5" t="s">
        <v>756</v>
      </c>
      <c r="E25" s="7" t="s">
        <v>105</v>
      </c>
      <c r="F25" s="7" t="s">
        <v>105</v>
      </c>
      <c r="G25" s="4" t="s">
        <v>195</v>
      </c>
      <c r="H25" s="11" t="s">
        <v>196</v>
      </c>
      <c r="I25" s="5" t="s">
        <v>742</v>
      </c>
      <c r="J25" s="5"/>
      <c r="K25" s="6">
        <f t="shared" si="0"/>
        <v>1</v>
      </c>
    </row>
    <row r="26" spans="1:11" ht="15" customHeight="1">
      <c r="A26" s="4">
        <v>18</v>
      </c>
      <c r="B26" s="5" t="s">
        <v>133</v>
      </c>
      <c r="C26" s="5" t="s">
        <v>145</v>
      </c>
      <c r="D26" s="5" t="s">
        <v>757</v>
      </c>
      <c r="E26" s="7" t="s">
        <v>105</v>
      </c>
      <c r="F26" s="7" t="s">
        <v>105</v>
      </c>
      <c r="G26" s="4" t="s">
        <v>195</v>
      </c>
      <c r="H26" s="11" t="s">
        <v>196</v>
      </c>
      <c r="I26" s="5" t="s">
        <v>742</v>
      </c>
      <c r="J26" s="5"/>
      <c r="K26" s="6">
        <f t="shared" si="0"/>
        <v>1</v>
      </c>
    </row>
    <row r="27" spans="1:11" ht="15" customHeight="1">
      <c r="A27" s="4">
        <v>19</v>
      </c>
      <c r="B27" s="5" t="s">
        <v>133</v>
      </c>
      <c r="C27" s="5" t="s">
        <v>145</v>
      </c>
      <c r="D27" s="5" t="s">
        <v>758</v>
      </c>
      <c r="E27" s="7" t="s">
        <v>105</v>
      </c>
      <c r="F27" s="7" t="s">
        <v>105</v>
      </c>
      <c r="G27" s="4" t="s">
        <v>195</v>
      </c>
      <c r="H27" s="11" t="s">
        <v>196</v>
      </c>
      <c r="I27" s="5" t="s">
        <v>742</v>
      </c>
      <c r="J27" s="5"/>
      <c r="K27" s="6">
        <f t="shared" si="0"/>
        <v>1</v>
      </c>
    </row>
    <row r="28" spans="1:11" ht="15" customHeight="1">
      <c r="A28" s="4">
        <v>20</v>
      </c>
      <c r="B28" s="5" t="s">
        <v>133</v>
      </c>
      <c r="C28" s="5" t="s">
        <v>145</v>
      </c>
      <c r="D28" s="5" t="s">
        <v>759</v>
      </c>
      <c r="E28" s="7" t="s">
        <v>105</v>
      </c>
      <c r="F28" s="7" t="s">
        <v>105</v>
      </c>
      <c r="G28" s="4" t="s">
        <v>195</v>
      </c>
      <c r="H28" s="11" t="s">
        <v>196</v>
      </c>
      <c r="I28" s="5" t="s">
        <v>742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133</v>
      </c>
      <c r="C29" s="5" t="s">
        <v>145</v>
      </c>
      <c r="D29" s="5" t="s">
        <v>760</v>
      </c>
      <c r="E29" s="7" t="s">
        <v>105</v>
      </c>
      <c r="F29" s="7" t="s">
        <v>105</v>
      </c>
      <c r="G29" s="4" t="s">
        <v>195</v>
      </c>
      <c r="H29" s="11" t="s">
        <v>196</v>
      </c>
      <c r="I29" s="5" t="s">
        <v>742</v>
      </c>
      <c r="J29" s="5"/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145</v>
      </c>
      <c r="D30" s="5" t="s">
        <v>761</v>
      </c>
      <c r="E30" s="7" t="s">
        <v>105</v>
      </c>
      <c r="F30" s="7" t="s">
        <v>105</v>
      </c>
      <c r="G30" s="4" t="s">
        <v>195</v>
      </c>
      <c r="H30" s="11" t="s">
        <v>196</v>
      </c>
      <c r="I30" s="5" t="s">
        <v>742</v>
      </c>
      <c r="J30" s="5"/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145</v>
      </c>
      <c r="D31" s="5" t="s">
        <v>762</v>
      </c>
      <c r="E31" s="7" t="s">
        <v>105</v>
      </c>
      <c r="F31" s="7" t="s">
        <v>105</v>
      </c>
      <c r="G31" s="4" t="s">
        <v>195</v>
      </c>
      <c r="H31" s="11" t="s">
        <v>196</v>
      </c>
      <c r="I31" s="5" t="s">
        <v>742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145</v>
      </c>
      <c r="D32" s="5" t="s">
        <v>763</v>
      </c>
      <c r="E32" s="7" t="s">
        <v>105</v>
      </c>
      <c r="F32" s="7" t="s">
        <v>105</v>
      </c>
      <c r="G32" s="4" t="s">
        <v>195</v>
      </c>
      <c r="H32" s="11" t="s">
        <v>196</v>
      </c>
      <c r="I32" s="5" t="s">
        <v>742</v>
      </c>
      <c r="J32" s="5"/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145</v>
      </c>
      <c r="D33" s="5" t="s">
        <v>764</v>
      </c>
      <c r="E33" s="7" t="s">
        <v>105</v>
      </c>
      <c r="F33" s="7" t="s">
        <v>105</v>
      </c>
      <c r="G33" s="4" t="s">
        <v>195</v>
      </c>
      <c r="H33" s="11" t="s">
        <v>196</v>
      </c>
      <c r="I33" s="5" t="s">
        <v>742</v>
      </c>
      <c r="J33" s="5"/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145</v>
      </c>
      <c r="D34" s="5" t="s">
        <v>765</v>
      </c>
      <c r="E34" s="7" t="s">
        <v>105</v>
      </c>
      <c r="F34" s="7" t="s">
        <v>105</v>
      </c>
      <c r="G34" s="4" t="s">
        <v>195</v>
      </c>
      <c r="H34" s="11" t="s">
        <v>196</v>
      </c>
      <c r="I34" s="5" t="s">
        <v>742</v>
      </c>
      <c r="J34" s="5"/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145</v>
      </c>
      <c r="D35" s="5" t="s">
        <v>766</v>
      </c>
      <c r="E35" s="7" t="s">
        <v>105</v>
      </c>
      <c r="F35" s="7" t="s">
        <v>105</v>
      </c>
      <c r="G35" s="4" t="s">
        <v>195</v>
      </c>
      <c r="H35" s="11" t="s">
        <v>196</v>
      </c>
      <c r="I35" s="5" t="s">
        <v>742</v>
      </c>
      <c r="J35" s="5"/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145</v>
      </c>
      <c r="D36" s="5" t="s">
        <v>767</v>
      </c>
      <c r="E36" s="7" t="s">
        <v>105</v>
      </c>
      <c r="F36" s="7" t="s">
        <v>105</v>
      </c>
      <c r="G36" s="4" t="s">
        <v>195</v>
      </c>
      <c r="H36" s="11" t="s">
        <v>196</v>
      </c>
      <c r="I36" s="5" t="s">
        <v>742</v>
      </c>
      <c r="J36" s="5"/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145</v>
      </c>
      <c r="D37" s="5" t="s">
        <v>768</v>
      </c>
      <c r="E37" s="7" t="s">
        <v>105</v>
      </c>
      <c r="F37" s="7" t="s">
        <v>105</v>
      </c>
      <c r="G37" s="4" t="s">
        <v>195</v>
      </c>
      <c r="H37" s="11" t="s">
        <v>196</v>
      </c>
      <c r="I37" s="5" t="s">
        <v>742</v>
      </c>
      <c r="J37" s="5"/>
      <c r="K37" s="6">
        <f t="shared" si="0"/>
        <v>1</v>
      </c>
    </row>
    <row r="38" spans="1:11" ht="30" customHeight="1">
      <c r="A38" s="4">
        <v>30</v>
      </c>
      <c r="B38" s="5" t="s">
        <v>133</v>
      </c>
      <c r="C38" s="5" t="s">
        <v>145</v>
      </c>
      <c r="D38" s="5" t="s">
        <v>769</v>
      </c>
      <c r="E38" s="7" t="s">
        <v>105</v>
      </c>
      <c r="F38" s="7" t="s">
        <v>105</v>
      </c>
      <c r="G38" s="4" t="s">
        <v>195</v>
      </c>
      <c r="H38" s="11" t="s">
        <v>196</v>
      </c>
      <c r="I38" s="5" t="s">
        <v>742</v>
      </c>
      <c r="J38" s="5"/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145</v>
      </c>
      <c r="D39" s="5" t="s">
        <v>770</v>
      </c>
      <c r="E39" s="7" t="s">
        <v>105</v>
      </c>
      <c r="F39" s="7" t="s">
        <v>105</v>
      </c>
      <c r="G39" s="4" t="s">
        <v>195</v>
      </c>
      <c r="H39" s="11" t="s">
        <v>196</v>
      </c>
      <c r="I39" s="5" t="s">
        <v>742</v>
      </c>
      <c r="J39" s="5"/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145</v>
      </c>
      <c r="D40" s="5" t="s">
        <v>771</v>
      </c>
      <c r="E40" s="7" t="s">
        <v>105</v>
      </c>
      <c r="F40" s="7" t="s">
        <v>105</v>
      </c>
      <c r="G40" s="4" t="s">
        <v>195</v>
      </c>
      <c r="H40" s="11" t="s">
        <v>196</v>
      </c>
      <c r="I40" s="5" t="s">
        <v>742</v>
      </c>
      <c r="J40" s="5"/>
      <c r="K40" s="6">
        <f t="shared" si="0"/>
        <v>1</v>
      </c>
    </row>
    <row r="41" spans="1:11" ht="15" customHeight="1">
      <c r="A41" s="4">
        <v>33</v>
      </c>
      <c r="B41" s="5" t="s">
        <v>133</v>
      </c>
      <c r="C41" s="5" t="s">
        <v>145</v>
      </c>
      <c r="D41" s="5" t="s">
        <v>772</v>
      </c>
      <c r="E41" s="7" t="s">
        <v>105</v>
      </c>
      <c r="F41" s="7" t="s">
        <v>105</v>
      </c>
      <c r="G41" s="4" t="s">
        <v>195</v>
      </c>
      <c r="H41" s="11" t="s">
        <v>196</v>
      </c>
      <c r="I41" s="5" t="s">
        <v>742</v>
      </c>
      <c r="J41" s="5"/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133</v>
      </c>
      <c r="C42" s="5" t="s">
        <v>145</v>
      </c>
      <c r="D42" s="5" t="s">
        <v>773</v>
      </c>
      <c r="E42" s="7" t="s">
        <v>105</v>
      </c>
      <c r="F42" s="7" t="s">
        <v>105</v>
      </c>
      <c r="G42" s="4" t="s">
        <v>195</v>
      </c>
      <c r="H42" s="11" t="s">
        <v>196</v>
      </c>
      <c r="I42" s="5" t="s">
        <v>742</v>
      </c>
      <c r="J42" s="5"/>
      <c r="K42" s="6">
        <f t="shared" si="1"/>
        <v>1</v>
      </c>
    </row>
    <row r="43" spans="1:11" ht="15" customHeight="1">
      <c r="A43" s="4">
        <v>35</v>
      </c>
      <c r="B43" s="5" t="s">
        <v>133</v>
      </c>
      <c r="C43" s="5" t="s">
        <v>147</v>
      </c>
      <c r="D43" s="5" t="s">
        <v>774</v>
      </c>
      <c r="E43" s="7" t="s">
        <v>105</v>
      </c>
      <c r="F43" s="7" t="s">
        <v>105</v>
      </c>
      <c r="G43" s="4" t="s">
        <v>195</v>
      </c>
      <c r="H43" s="11" t="s">
        <v>196</v>
      </c>
      <c r="I43" s="5" t="s">
        <v>742</v>
      </c>
      <c r="J43" s="5"/>
      <c r="K43" s="6">
        <f t="shared" si="1"/>
        <v>1</v>
      </c>
    </row>
    <row r="44" spans="1:11" ht="15" customHeight="1">
      <c r="A44" s="4">
        <v>36</v>
      </c>
      <c r="B44" s="5" t="s">
        <v>133</v>
      </c>
      <c r="C44" s="5" t="s">
        <v>147</v>
      </c>
      <c r="D44" s="5" t="s">
        <v>775</v>
      </c>
      <c r="E44" s="7" t="s">
        <v>105</v>
      </c>
      <c r="F44" s="7" t="s">
        <v>105</v>
      </c>
      <c r="G44" s="4" t="s">
        <v>195</v>
      </c>
      <c r="H44" s="11" t="s">
        <v>196</v>
      </c>
      <c r="I44" s="5" t="s">
        <v>742</v>
      </c>
      <c r="J44" s="5"/>
      <c r="K44" s="6">
        <f t="shared" si="1"/>
        <v>1</v>
      </c>
    </row>
    <row r="45" spans="1:11" ht="15" customHeight="1">
      <c r="A45" s="4">
        <v>37</v>
      </c>
      <c r="B45" s="5" t="s">
        <v>133</v>
      </c>
      <c r="C45" s="5" t="s">
        <v>147</v>
      </c>
      <c r="D45" s="5" t="s">
        <v>776</v>
      </c>
      <c r="E45" s="7" t="s">
        <v>105</v>
      </c>
      <c r="F45" s="7" t="s">
        <v>105</v>
      </c>
      <c r="G45" s="4" t="s">
        <v>195</v>
      </c>
      <c r="H45" s="11" t="s">
        <v>196</v>
      </c>
      <c r="I45" s="5" t="s">
        <v>742</v>
      </c>
      <c r="J45" s="5"/>
      <c r="K45" s="6">
        <f t="shared" si="1"/>
        <v>1</v>
      </c>
    </row>
    <row r="46" spans="1:11" ht="15" customHeight="1">
      <c r="A46" s="4">
        <v>38</v>
      </c>
      <c r="B46" s="5" t="s">
        <v>133</v>
      </c>
      <c r="C46" s="5" t="s">
        <v>147</v>
      </c>
      <c r="D46" s="5" t="s">
        <v>777</v>
      </c>
      <c r="E46" s="7" t="s">
        <v>105</v>
      </c>
      <c r="F46" s="7" t="s">
        <v>105</v>
      </c>
      <c r="G46" s="4" t="s">
        <v>195</v>
      </c>
      <c r="H46" s="11" t="s">
        <v>196</v>
      </c>
      <c r="I46" s="5" t="s">
        <v>742</v>
      </c>
      <c r="J46" s="5"/>
      <c r="K46" s="6">
        <f t="shared" si="1"/>
        <v>1</v>
      </c>
    </row>
    <row r="47" spans="1:11" ht="15" customHeight="1">
      <c r="A47" s="4">
        <v>39</v>
      </c>
      <c r="B47" s="5" t="s">
        <v>133</v>
      </c>
      <c r="C47" s="5" t="s">
        <v>147</v>
      </c>
      <c r="D47" s="5" t="s">
        <v>778</v>
      </c>
      <c r="E47" s="7" t="s">
        <v>105</v>
      </c>
      <c r="F47" s="7" t="s">
        <v>105</v>
      </c>
      <c r="G47" s="4" t="s">
        <v>195</v>
      </c>
      <c r="H47" s="11" t="s">
        <v>196</v>
      </c>
      <c r="I47" s="5" t="s">
        <v>742</v>
      </c>
      <c r="J47" s="5"/>
      <c r="K47" s="6">
        <f t="shared" si="1"/>
        <v>1</v>
      </c>
    </row>
    <row r="48" spans="1:11" ht="15" customHeight="1">
      <c r="A48" s="4">
        <v>40</v>
      </c>
      <c r="B48" s="5" t="s">
        <v>133</v>
      </c>
      <c r="C48" s="5" t="s">
        <v>147</v>
      </c>
      <c r="D48" s="5" t="s">
        <v>779</v>
      </c>
      <c r="E48" s="7" t="s">
        <v>105</v>
      </c>
      <c r="F48" s="7" t="s">
        <v>105</v>
      </c>
      <c r="G48" s="4" t="s">
        <v>195</v>
      </c>
      <c r="H48" s="11" t="s">
        <v>196</v>
      </c>
      <c r="I48" s="5" t="s">
        <v>742</v>
      </c>
      <c r="J48" s="5"/>
      <c r="K48" s="6">
        <f t="shared" si="1"/>
        <v>1</v>
      </c>
    </row>
    <row r="49" spans="1:11" ht="15" customHeight="1">
      <c r="A49" s="4">
        <v>41</v>
      </c>
      <c r="B49" s="5" t="s">
        <v>133</v>
      </c>
      <c r="C49" s="5" t="s">
        <v>147</v>
      </c>
      <c r="D49" s="5" t="s">
        <v>780</v>
      </c>
      <c r="E49" s="7" t="s">
        <v>105</v>
      </c>
      <c r="F49" s="7" t="s">
        <v>105</v>
      </c>
      <c r="G49" s="4" t="s">
        <v>195</v>
      </c>
      <c r="H49" s="11" t="s">
        <v>196</v>
      </c>
      <c r="I49" s="5" t="s">
        <v>742</v>
      </c>
      <c r="J49" s="5"/>
      <c r="K49" s="6">
        <f t="shared" si="1"/>
        <v>1</v>
      </c>
    </row>
    <row r="50" spans="1:11" ht="15" customHeight="1">
      <c r="A50" s="4">
        <v>42</v>
      </c>
      <c r="B50" s="5" t="s">
        <v>133</v>
      </c>
      <c r="C50" s="5" t="s">
        <v>147</v>
      </c>
      <c r="D50" s="5" t="s">
        <v>781</v>
      </c>
      <c r="E50" s="7" t="s">
        <v>105</v>
      </c>
      <c r="F50" s="7" t="s">
        <v>105</v>
      </c>
      <c r="G50" s="4" t="s">
        <v>195</v>
      </c>
      <c r="H50" s="11" t="s">
        <v>196</v>
      </c>
      <c r="I50" s="5" t="s">
        <v>742</v>
      </c>
      <c r="J50" s="5"/>
      <c r="K50" s="6">
        <f t="shared" si="1"/>
        <v>1</v>
      </c>
    </row>
    <row r="51" spans="1:11" ht="15" customHeight="1">
      <c r="A51" s="4">
        <v>43</v>
      </c>
      <c r="B51" s="5" t="s">
        <v>133</v>
      </c>
      <c r="C51" s="5" t="s">
        <v>147</v>
      </c>
      <c r="D51" s="5" t="s">
        <v>782</v>
      </c>
      <c r="E51" s="7" t="s">
        <v>105</v>
      </c>
      <c r="F51" s="7" t="s">
        <v>105</v>
      </c>
      <c r="G51" s="4" t="s">
        <v>195</v>
      </c>
      <c r="H51" s="11" t="s">
        <v>196</v>
      </c>
      <c r="I51" s="5" t="s">
        <v>742</v>
      </c>
      <c r="J51" s="5"/>
      <c r="K51" s="6">
        <f t="shared" si="1"/>
        <v>1</v>
      </c>
    </row>
    <row r="52" spans="1:11" ht="15" customHeight="1">
      <c r="A52" s="4">
        <v>44</v>
      </c>
      <c r="B52" s="5" t="s">
        <v>133</v>
      </c>
      <c r="C52" s="5" t="s">
        <v>147</v>
      </c>
      <c r="D52" s="5" t="s">
        <v>783</v>
      </c>
      <c r="E52" s="7" t="s">
        <v>105</v>
      </c>
      <c r="F52" s="7" t="s">
        <v>105</v>
      </c>
      <c r="G52" s="4" t="s">
        <v>195</v>
      </c>
      <c r="H52" s="11" t="s">
        <v>196</v>
      </c>
      <c r="I52" s="5" t="s">
        <v>742</v>
      </c>
      <c r="J52" s="5"/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147</v>
      </c>
      <c r="D53" s="5" t="s">
        <v>784</v>
      </c>
      <c r="E53" s="7" t="s">
        <v>105</v>
      </c>
      <c r="F53" s="7" t="s">
        <v>105</v>
      </c>
      <c r="G53" s="4" t="s">
        <v>195</v>
      </c>
      <c r="H53" s="11" t="s">
        <v>196</v>
      </c>
      <c r="I53" s="5" t="s">
        <v>742</v>
      </c>
      <c r="J53" s="5"/>
      <c r="K53" s="6">
        <f t="shared" si="1"/>
        <v>1</v>
      </c>
    </row>
    <row r="54" spans="1:11" ht="15" customHeight="1">
      <c r="A54" s="4">
        <v>46</v>
      </c>
      <c r="B54" s="5" t="s">
        <v>133</v>
      </c>
      <c r="C54" s="5" t="s">
        <v>147</v>
      </c>
      <c r="D54" s="5" t="s">
        <v>285</v>
      </c>
      <c r="E54" s="7" t="s">
        <v>105</v>
      </c>
      <c r="F54" s="7" t="s">
        <v>105</v>
      </c>
      <c r="G54" s="4" t="s">
        <v>195</v>
      </c>
      <c r="H54" s="11" t="s">
        <v>196</v>
      </c>
      <c r="I54" s="5" t="s">
        <v>742</v>
      </c>
      <c r="J54" s="5"/>
      <c r="K54" s="6">
        <f t="shared" si="1"/>
        <v>1</v>
      </c>
    </row>
    <row r="55" spans="1:11" ht="15" customHeight="1">
      <c r="A55" s="4">
        <v>47</v>
      </c>
      <c r="B55" s="5" t="s">
        <v>133</v>
      </c>
      <c r="C55" s="5" t="s">
        <v>147</v>
      </c>
      <c r="D55" s="5" t="s">
        <v>785</v>
      </c>
      <c r="E55" s="7" t="s">
        <v>105</v>
      </c>
      <c r="F55" s="7" t="s">
        <v>105</v>
      </c>
      <c r="G55" s="4" t="s">
        <v>195</v>
      </c>
      <c r="H55" s="11" t="s">
        <v>196</v>
      </c>
      <c r="I55" s="5" t="s">
        <v>742</v>
      </c>
      <c r="J55" s="5"/>
      <c r="K55" s="6">
        <f t="shared" si="1"/>
        <v>1</v>
      </c>
    </row>
    <row r="56" spans="1:11" ht="15" customHeight="1">
      <c r="A56" s="4">
        <v>48</v>
      </c>
      <c r="B56" s="5" t="s">
        <v>133</v>
      </c>
      <c r="C56" s="5" t="s">
        <v>147</v>
      </c>
      <c r="D56" s="5" t="s">
        <v>786</v>
      </c>
      <c r="E56" s="7" t="s">
        <v>105</v>
      </c>
      <c r="F56" s="7" t="s">
        <v>105</v>
      </c>
      <c r="G56" s="4" t="s">
        <v>195</v>
      </c>
      <c r="H56" s="11" t="s">
        <v>196</v>
      </c>
      <c r="I56" s="5" t="s">
        <v>742</v>
      </c>
      <c r="J56" s="5"/>
      <c r="K56" s="6">
        <f t="shared" si="1"/>
        <v>1</v>
      </c>
    </row>
    <row r="57" spans="1:11" ht="15" customHeight="1">
      <c r="A57" s="4">
        <v>49</v>
      </c>
      <c r="B57" s="5" t="s">
        <v>133</v>
      </c>
      <c r="C57" s="5" t="s">
        <v>147</v>
      </c>
      <c r="D57" s="5" t="s">
        <v>787</v>
      </c>
      <c r="E57" s="7" t="s">
        <v>105</v>
      </c>
      <c r="F57" s="7" t="s">
        <v>105</v>
      </c>
      <c r="G57" s="4" t="s">
        <v>195</v>
      </c>
      <c r="H57" s="11" t="s">
        <v>196</v>
      </c>
      <c r="I57" s="5" t="s">
        <v>742</v>
      </c>
      <c r="J57" s="5"/>
      <c r="K57" s="6">
        <f t="shared" si="1"/>
        <v>1</v>
      </c>
    </row>
    <row r="58" spans="1:11" ht="15" customHeight="1">
      <c r="A58" s="4">
        <v>50</v>
      </c>
      <c r="B58" s="5" t="s">
        <v>133</v>
      </c>
      <c r="C58" s="5" t="s">
        <v>147</v>
      </c>
      <c r="D58" s="5" t="s">
        <v>788</v>
      </c>
      <c r="E58" s="7" t="s">
        <v>105</v>
      </c>
      <c r="F58" s="7" t="s">
        <v>105</v>
      </c>
      <c r="G58" s="4" t="s">
        <v>195</v>
      </c>
      <c r="H58" s="11" t="s">
        <v>196</v>
      </c>
      <c r="I58" s="5" t="s">
        <v>742</v>
      </c>
      <c r="J58" s="5"/>
      <c r="K58" s="6">
        <f t="shared" si="1"/>
        <v>1</v>
      </c>
    </row>
    <row r="59" spans="1:11" ht="15" customHeight="1">
      <c r="A59" s="4">
        <v>51</v>
      </c>
      <c r="B59" s="5" t="s">
        <v>133</v>
      </c>
      <c r="C59" s="5" t="s">
        <v>147</v>
      </c>
      <c r="D59" s="5" t="s">
        <v>769</v>
      </c>
      <c r="E59" s="7" t="s">
        <v>105</v>
      </c>
      <c r="F59" s="7" t="s">
        <v>105</v>
      </c>
      <c r="G59" s="4" t="s">
        <v>195</v>
      </c>
      <c r="H59" s="11" t="s">
        <v>196</v>
      </c>
      <c r="I59" s="5" t="s">
        <v>742</v>
      </c>
      <c r="J59" s="5"/>
      <c r="K59" s="6">
        <f t="shared" si="1"/>
        <v>1</v>
      </c>
    </row>
    <row r="60" spans="1:11" ht="15" customHeight="1">
      <c r="A60" s="4">
        <v>52</v>
      </c>
      <c r="B60" s="5" t="s">
        <v>133</v>
      </c>
      <c r="C60" s="5" t="s">
        <v>147</v>
      </c>
      <c r="D60" s="5" t="s">
        <v>789</v>
      </c>
      <c r="E60" s="7" t="s">
        <v>105</v>
      </c>
      <c r="F60" s="7" t="s">
        <v>105</v>
      </c>
      <c r="G60" s="4" t="s">
        <v>195</v>
      </c>
      <c r="H60" s="11" t="s">
        <v>196</v>
      </c>
      <c r="I60" s="5" t="s">
        <v>742</v>
      </c>
      <c r="J60" s="5"/>
      <c r="K60" s="6">
        <f t="shared" si="1"/>
        <v>1</v>
      </c>
    </row>
    <row r="61" spans="1:11" ht="15" customHeight="1">
      <c r="A61" s="4">
        <v>53</v>
      </c>
      <c r="B61" s="5" t="s">
        <v>133</v>
      </c>
      <c r="C61" s="5" t="s">
        <v>150</v>
      </c>
      <c r="D61" s="5" t="s">
        <v>790</v>
      </c>
      <c r="E61" s="7" t="s">
        <v>105</v>
      </c>
      <c r="F61" s="7" t="s">
        <v>105</v>
      </c>
      <c r="G61" s="4" t="s">
        <v>195</v>
      </c>
      <c r="H61" s="11" t="s">
        <v>196</v>
      </c>
      <c r="I61" s="5" t="s">
        <v>742</v>
      </c>
      <c r="J61" s="5"/>
      <c r="K61" s="6">
        <f t="shared" si="1"/>
        <v>1</v>
      </c>
    </row>
    <row r="62" spans="1:11" ht="15" customHeight="1">
      <c r="A62" s="4">
        <v>54</v>
      </c>
      <c r="B62" s="5" t="s">
        <v>133</v>
      </c>
      <c r="C62" s="5" t="s">
        <v>150</v>
      </c>
      <c r="D62" s="5" t="s">
        <v>791</v>
      </c>
      <c r="E62" s="7" t="s">
        <v>105</v>
      </c>
      <c r="F62" s="7" t="s">
        <v>105</v>
      </c>
      <c r="G62" s="4" t="s">
        <v>195</v>
      </c>
      <c r="H62" s="11" t="s">
        <v>196</v>
      </c>
      <c r="I62" s="5" t="s">
        <v>742</v>
      </c>
      <c r="J62" s="5"/>
      <c r="K62" s="6">
        <f t="shared" si="1"/>
        <v>1</v>
      </c>
    </row>
    <row r="63" spans="1:11" ht="15" customHeight="1">
      <c r="A63" s="4">
        <v>55</v>
      </c>
      <c r="B63" s="5" t="s">
        <v>133</v>
      </c>
      <c r="C63" s="5" t="s">
        <v>150</v>
      </c>
      <c r="D63" s="5" t="s">
        <v>792</v>
      </c>
      <c r="E63" s="7" t="s">
        <v>105</v>
      </c>
      <c r="F63" s="7" t="s">
        <v>105</v>
      </c>
      <c r="G63" s="4" t="s">
        <v>195</v>
      </c>
      <c r="H63" s="11" t="s">
        <v>196</v>
      </c>
      <c r="I63" s="5" t="s">
        <v>742</v>
      </c>
      <c r="J63" s="5"/>
      <c r="K63" s="6">
        <f t="shared" si="1"/>
        <v>1</v>
      </c>
    </row>
    <row r="64" spans="1:11" ht="15" customHeight="1">
      <c r="A64" s="4">
        <v>56</v>
      </c>
      <c r="B64" s="5" t="s">
        <v>133</v>
      </c>
      <c r="C64" s="5" t="s">
        <v>150</v>
      </c>
      <c r="D64" s="5" t="s">
        <v>793</v>
      </c>
      <c r="E64" s="7" t="s">
        <v>105</v>
      </c>
      <c r="F64" s="7" t="s">
        <v>105</v>
      </c>
      <c r="G64" s="4" t="s">
        <v>195</v>
      </c>
      <c r="H64" s="11" t="s">
        <v>196</v>
      </c>
      <c r="I64" s="5" t="s">
        <v>742</v>
      </c>
      <c r="J64" s="5"/>
      <c r="K64" s="6">
        <f t="shared" si="1"/>
        <v>1</v>
      </c>
    </row>
    <row r="65" spans="1:11" ht="15" customHeight="1">
      <c r="A65" s="4">
        <v>57</v>
      </c>
      <c r="B65" s="5" t="s">
        <v>133</v>
      </c>
      <c r="C65" s="5" t="s">
        <v>150</v>
      </c>
      <c r="D65" s="5" t="s">
        <v>794</v>
      </c>
      <c r="E65" s="7" t="s">
        <v>105</v>
      </c>
      <c r="F65" s="7" t="s">
        <v>105</v>
      </c>
      <c r="G65" s="4" t="s">
        <v>195</v>
      </c>
      <c r="H65" s="11" t="s">
        <v>196</v>
      </c>
      <c r="I65" s="5" t="s">
        <v>742</v>
      </c>
      <c r="J65" s="5"/>
      <c r="K65" s="6">
        <f t="shared" si="1"/>
        <v>1</v>
      </c>
    </row>
    <row r="66" spans="1:11" ht="15" customHeight="1">
      <c r="A66" s="4">
        <v>58</v>
      </c>
      <c r="B66" s="5" t="s">
        <v>133</v>
      </c>
      <c r="C66" s="5" t="s">
        <v>150</v>
      </c>
      <c r="D66" s="5" t="s">
        <v>795</v>
      </c>
      <c r="E66" s="7" t="s">
        <v>105</v>
      </c>
      <c r="F66" s="7" t="s">
        <v>105</v>
      </c>
      <c r="G66" s="4" t="s">
        <v>195</v>
      </c>
      <c r="H66" s="11" t="s">
        <v>196</v>
      </c>
      <c r="I66" s="5" t="s">
        <v>742</v>
      </c>
      <c r="J66" s="5"/>
      <c r="K66" s="6">
        <f t="shared" si="1"/>
        <v>1</v>
      </c>
    </row>
    <row r="67" spans="1:11" ht="15" customHeight="1">
      <c r="A67" s="4">
        <v>59</v>
      </c>
      <c r="B67" s="5" t="s">
        <v>133</v>
      </c>
      <c r="C67" s="5" t="s">
        <v>150</v>
      </c>
      <c r="D67" s="5" t="s">
        <v>796</v>
      </c>
      <c r="E67" s="7" t="s">
        <v>105</v>
      </c>
      <c r="F67" s="7" t="s">
        <v>105</v>
      </c>
      <c r="G67" s="4" t="s">
        <v>195</v>
      </c>
      <c r="H67" s="11" t="s">
        <v>196</v>
      </c>
      <c r="I67" s="5" t="s">
        <v>742</v>
      </c>
      <c r="J67" s="5"/>
      <c r="K67" s="6">
        <f t="shared" si="1"/>
        <v>1</v>
      </c>
    </row>
    <row r="68" spans="1:11" ht="15" customHeight="1">
      <c r="A68" s="4">
        <v>60</v>
      </c>
      <c r="B68" s="5" t="s">
        <v>133</v>
      </c>
      <c r="C68" s="5" t="s">
        <v>150</v>
      </c>
      <c r="D68" s="5" t="s">
        <v>797</v>
      </c>
      <c r="E68" s="7" t="s">
        <v>105</v>
      </c>
      <c r="F68" s="7" t="s">
        <v>105</v>
      </c>
      <c r="G68" s="4" t="s">
        <v>195</v>
      </c>
      <c r="H68" s="11" t="s">
        <v>196</v>
      </c>
      <c r="I68" s="5" t="s">
        <v>742</v>
      </c>
      <c r="J68" s="5"/>
      <c r="K68" s="6">
        <f t="shared" si="1"/>
        <v>1</v>
      </c>
    </row>
    <row r="69" spans="1:11" ht="15" customHeight="1">
      <c r="A69" s="4">
        <v>61</v>
      </c>
      <c r="B69" s="5" t="s">
        <v>133</v>
      </c>
      <c r="C69" s="5" t="s">
        <v>150</v>
      </c>
      <c r="D69" s="5" t="s">
        <v>798</v>
      </c>
      <c r="E69" s="7" t="s">
        <v>105</v>
      </c>
      <c r="F69" s="7" t="s">
        <v>105</v>
      </c>
      <c r="G69" s="4" t="s">
        <v>195</v>
      </c>
      <c r="H69" s="11" t="s">
        <v>196</v>
      </c>
      <c r="I69" s="5" t="s">
        <v>742</v>
      </c>
      <c r="J69" s="5"/>
      <c r="K69" s="6">
        <f t="shared" si="1"/>
        <v>1</v>
      </c>
    </row>
    <row r="70" spans="1:11" ht="15" customHeight="1">
      <c r="A70" s="4">
        <v>62</v>
      </c>
      <c r="B70" s="5" t="s">
        <v>133</v>
      </c>
      <c r="C70" s="5" t="s">
        <v>150</v>
      </c>
      <c r="D70" s="5" t="s">
        <v>799</v>
      </c>
      <c r="E70" s="7" t="s">
        <v>105</v>
      </c>
      <c r="F70" s="7" t="s">
        <v>105</v>
      </c>
      <c r="G70" s="4" t="s">
        <v>195</v>
      </c>
      <c r="H70" s="11" t="s">
        <v>196</v>
      </c>
      <c r="I70" s="5" t="s">
        <v>742</v>
      </c>
      <c r="J70" s="5"/>
      <c r="K70" s="6">
        <f t="shared" si="1"/>
        <v>1</v>
      </c>
    </row>
    <row r="71" spans="1:11" ht="15" customHeight="1">
      <c r="A71" s="4">
        <v>63</v>
      </c>
      <c r="B71" s="5" t="s">
        <v>133</v>
      </c>
      <c r="C71" s="5" t="s">
        <v>150</v>
      </c>
      <c r="D71" s="5" t="s">
        <v>769</v>
      </c>
      <c r="E71" s="7" t="s">
        <v>105</v>
      </c>
      <c r="F71" s="7" t="s">
        <v>105</v>
      </c>
      <c r="G71" s="4" t="s">
        <v>195</v>
      </c>
      <c r="H71" s="11" t="s">
        <v>196</v>
      </c>
      <c r="I71" s="5" t="s">
        <v>742</v>
      </c>
      <c r="J71" s="5"/>
      <c r="K71" s="6">
        <f t="shared" si="1"/>
        <v>1</v>
      </c>
    </row>
    <row r="72" spans="1:11" ht="15" customHeight="1">
      <c r="A72" s="4">
        <v>64</v>
      </c>
      <c r="B72" s="5" t="s">
        <v>133</v>
      </c>
      <c r="C72" s="5" t="s">
        <v>800</v>
      </c>
      <c r="D72" s="5" t="s">
        <v>801</v>
      </c>
      <c r="E72" s="7" t="s">
        <v>105</v>
      </c>
      <c r="F72" s="7" t="s">
        <v>105</v>
      </c>
      <c r="G72" s="4" t="s">
        <v>195</v>
      </c>
      <c r="H72" s="11" t="s">
        <v>196</v>
      </c>
      <c r="I72" s="5" t="s">
        <v>742</v>
      </c>
      <c r="J72" s="5"/>
      <c r="K72" s="6">
        <f t="shared" si="1"/>
        <v>1</v>
      </c>
    </row>
    <row r="73" spans="1:11" ht="15" customHeight="1">
      <c r="A73" s="4">
        <v>65</v>
      </c>
      <c r="B73" s="5" t="s">
        <v>133</v>
      </c>
      <c r="C73" s="5" t="s">
        <v>800</v>
      </c>
      <c r="D73" s="5" t="s">
        <v>802</v>
      </c>
      <c r="E73" s="7" t="s">
        <v>105</v>
      </c>
      <c r="F73" s="7" t="s">
        <v>105</v>
      </c>
      <c r="G73" s="4" t="s">
        <v>195</v>
      </c>
      <c r="H73" s="11" t="s">
        <v>196</v>
      </c>
      <c r="I73" s="5" t="s">
        <v>742</v>
      </c>
      <c r="J73" s="5"/>
      <c r="K73" s="6">
        <f t="shared" ref="K73:K104" si="2">IF(AND(E73="yes",F73="yes",H73="covered"),1,IF(H73="partial",0.5,0))</f>
        <v>1</v>
      </c>
    </row>
    <row r="74" spans="1:11" ht="15" customHeight="1">
      <c r="A74" s="4">
        <v>66</v>
      </c>
      <c r="B74" s="5" t="s">
        <v>133</v>
      </c>
      <c r="C74" s="5" t="s">
        <v>800</v>
      </c>
      <c r="D74" s="5" t="s">
        <v>803</v>
      </c>
      <c r="E74" s="7" t="s">
        <v>105</v>
      </c>
      <c r="F74" s="7" t="s">
        <v>105</v>
      </c>
      <c r="G74" s="4" t="s">
        <v>195</v>
      </c>
      <c r="H74" s="11" t="s">
        <v>196</v>
      </c>
      <c r="I74" s="5" t="s">
        <v>742</v>
      </c>
      <c r="J74" s="5"/>
      <c r="K74" s="6">
        <f t="shared" si="2"/>
        <v>1</v>
      </c>
    </row>
    <row r="75" spans="1:11" ht="15" customHeight="1">
      <c r="A75" s="4">
        <v>67</v>
      </c>
      <c r="B75" s="5" t="s">
        <v>133</v>
      </c>
      <c r="C75" s="5" t="s">
        <v>800</v>
      </c>
      <c r="D75" s="5" t="s">
        <v>804</v>
      </c>
      <c r="E75" s="7" t="s">
        <v>105</v>
      </c>
      <c r="F75" s="7" t="s">
        <v>105</v>
      </c>
      <c r="G75" s="4" t="s">
        <v>195</v>
      </c>
      <c r="H75" s="11" t="s">
        <v>196</v>
      </c>
      <c r="I75" s="5" t="s">
        <v>742</v>
      </c>
      <c r="J75" s="5"/>
      <c r="K75" s="6">
        <f t="shared" si="2"/>
        <v>1</v>
      </c>
    </row>
    <row r="76" spans="1:11" ht="15" customHeight="1">
      <c r="A76" s="4">
        <v>68</v>
      </c>
      <c r="B76" s="5" t="s">
        <v>133</v>
      </c>
      <c r="C76" s="5" t="s">
        <v>800</v>
      </c>
      <c r="D76" s="5" t="s">
        <v>805</v>
      </c>
      <c r="E76" s="7" t="s">
        <v>105</v>
      </c>
      <c r="F76" s="7" t="s">
        <v>105</v>
      </c>
      <c r="G76" s="4" t="s">
        <v>195</v>
      </c>
      <c r="H76" s="11" t="s">
        <v>196</v>
      </c>
      <c r="I76" s="5" t="s">
        <v>742</v>
      </c>
      <c r="J76" s="5"/>
      <c r="K76" s="6">
        <f t="shared" si="2"/>
        <v>1</v>
      </c>
    </row>
    <row r="77" spans="1:11" ht="15" customHeight="1">
      <c r="A77" s="4">
        <v>69</v>
      </c>
      <c r="B77" s="5" t="s">
        <v>133</v>
      </c>
      <c r="C77" s="5" t="s">
        <v>800</v>
      </c>
      <c r="D77" s="5" t="s">
        <v>806</v>
      </c>
      <c r="E77" s="7" t="s">
        <v>105</v>
      </c>
      <c r="F77" s="7" t="s">
        <v>105</v>
      </c>
      <c r="G77" s="4" t="s">
        <v>195</v>
      </c>
      <c r="H77" s="11" t="s">
        <v>196</v>
      </c>
      <c r="I77" s="5" t="s">
        <v>742</v>
      </c>
      <c r="J77" s="5"/>
      <c r="K77" s="6">
        <f t="shared" si="2"/>
        <v>1</v>
      </c>
    </row>
    <row r="78" spans="1:11" ht="15" customHeight="1">
      <c r="A78" s="4">
        <v>70</v>
      </c>
      <c r="B78" s="5" t="s">
        <v>133</v>
      </c>
      <c r="C78" s="5" t="s">
        <v>800</v>
      </c>
      <c r="D78" s="5" t="s">
        <v>807</v>
      </c>
      <c r="E78" s="7" t="s">
        <v>105</v>
      </c>
      <c r="F78" s="7" t="s">
        <v>105</v>
      </c>
      <c r="G78" s="4" t="s">
        <v>195</v>
      </c>
      <c r="H78" s="11" t="s">
        <v>196</v>
      </c>
      <c r="I78" s="5" t="s">
        <v>742</v>
      </c>
      <c r="J78" s="5"/>
      <c r="K78" s="6">
        <f t="shared" si="2"/>
        <v>1</v>
      </c>
    </row>
    <row r="79" spans="1:11" ht="15" customHeight="1">
      <c r="A79" s="4">
        <v>71</v>
      </c>
      <c r="B79" s="5" t="s">
        <v>133</v>
      </c>
      <c r="C79" s="5" t="s">
        <v>800</v>
      </c>
      <c r="D79" s="5" t="s">
        <v>808</v>
      </c>
      <c r="E79" s="7" t="s">
        <v>105</v>
      </c>
      <c r="F79" s="7" t="s">
        <v>105</v>
      </c>
      <c r="G79" s="4" t="s">
        <v>195</v>
      </c>
      <c r="H79" s="11" t="s">
        <v>196</v>
      </c>
      <c r="I79" s="5" t="s">
        <v>742</v>
      </c>
      <c r="J79" s="5"/>
      <c r="K79" s="6">
        <f t="shared" si="2"/>
        <v>1</v>
      </c>
    </row>
    <row r="80" spans="1:11" ht="15" customHeight="1">
      <c r="A80" s="4">
        <v>72</v>
      </c>
      <c r="B80" s="5" t="s">
        <v>133</v>
      </c>
      <c r="C80" s="5" t="s">
        <v>809</v>
      </c>
      <c r="D80" s="5" t="s">
        <v>810</v>
      </c>
      <c r="E80" s="7" t="s">
        <v>105</v>
      </c>
      <c r="F80" s="7" t="s">
        <v>105</v>
      </c>
      <c r="G80" s="4" t="s">
        <v>195</v>
      </c>
      <c r="H80" s="11" t="s">
        <v>196</v>
      </c>
      <c r="I80" s="5" t="s">
        <v>742</v>
      </c>
      <c r="J80" s="5"/>
      <c r="K80" s="6">
        <f t="shared" si="2"/>
        <v>1</v>
      </c>
    </row>
    <row r="81" spans="1:11" ht="15" customHeight="1">
      <c r="A81" s="4">
        <v>73</v>
      </c>
      <c r="B81" s="5" t="s">
        <v>133</v>
      </c>
      <c r="C81" s="5" t="s">
        <v>809</v>
      </c>
      <c r="D81" s="5" t="s">
        <v>811</v>
      </c>
      <c r="E81" s="7" t="s">
        <v>105</v>
      </c>
      <c r="F81" s="7" t="s">
        <v>105</v>
      </c>
      <c r="G81" s="4" t="s">
        <v>195</v>
      </c>
      <c r="H81" s="11" t="s">
        <v>196</v>
      </c>
      <c r="I81" s="5" t="s">
        <v>742</v>
      </c>
      <c r="J81" s="5"/>
      <c r="K81" s="6">
        <f t="shared" si="2"/>
        <v>1</v>
      </c>
    </row>
    <row r="82" spans="1:11" ht="15" customHeight="1">
      <c r="A82" s="4">
        <v>74</v>
      </c>
      <c r="B82" s="5" t="s">
        <v>133</v>
      </c>
      <c r="C82" s="5" t="s">
        <v>809</v>
      </c>
      <c r="D82" s="5" t="s">
        <v>812</v>
      </c>
      <c r="E82" s="7" t="s">
        <v>105</v>
      </c>
      <c r="F82" s="7" t="s">
        <v>105</v>
      </c>
      <c r="G82" s="4" t="s">
        <v>195</v>
      </c>
      <c r="H82" s="11" t="s">
        <v>196</v>
      </c>
      <c r="I82" s="5" t="s">
        <v>742</v>
      </c>
      <c r="J82" s="5"/>
      <c r="K82" s="6">
        <f t="shared" si="2"/>
        <v>1</v>
      </c>
    </row>
    <row r="83" spans="1:11" ht="15" customHeight="1">
      <c r="A83" s="4">
        <v>75</v>
      </c>
      <c r="B83" s="5" t="s">
        <v>133</v>
      </c>
      <c r="C83" s="5" t="s">
        <v>809</v>
      </c>
      <c r="D83" s="5" t="s">
        <v>813</v>
      </c>
      <c r="E83" s="7" t="s">
        <v>105</v>
      </c>
      <c r="F83" s="7" t="s">
        <v>105</v>
      </c>
      <c r="G83" s="4" t="s">
        <v>195</v>
      </c>
      <c r="H83" s="11" t="s">
        <v>196</v>
      </c>
      <c r="I83" s="5" t="s">
        <v>742</v>
      </c>
      <c r="J83" s="5"/>
      <c r="K83" s="6">
        <f t="shared" si="2"/>
        <v>1</v>
      </c>
    </row>
    <row r="84" spans="1:11" ht="15" customHeight="1">
      <c r="A84" s="4">
        <v>76</v>
      </c>
      <c r="B84" s="5" t="s">
        <v>133</v>
      </c>
      <c r="C84" s="5" t="s">
        <v>809</v>
      </c>
      <c r="D84" s="5" t="s">
        <v>769</v>
      </c>
      <c r="E84" s="7" t="s">
        <v>105</v>
      </c>
      <c r="F84" s="7" t="s">
        <v>105</v>
      </c>
      <c r="G84" s="4" t="s">
        <v>195</v>
      </c>
      <c r="H84" s="11" t="s">
        <v>196</v>
      </c>
      <c r="I84" s="5" t="s">
        <v>742</v>
      </c>
      <c r="J84" s="5"/>
      <c r="K84" s="6">
        <f t="shared" si="2"/>
        <v>1</v>
      </c>
    </row>
    <row r="85" spans="1:11" ht="15" customHeight="1">
      <c r="A85" s="4">
        <v>77</v>
      </c>
      <c r="B85" s="5" t="s">
        <v>133</v>
      </c>
      <c r="C85" s="5" t="s">
        <v>814</v>
      </c>
      <c r="D85" s="5" t="s">
        <v>815</v>
      </c>
      <c r="E85" s="7" t="s">
        <v>105</v>
      </c>
      <c r="F85" s="7" t="s">
        <v>105</v>
      </c>
      <c r="G85" s="4" t="s">
        <v>195</v>
      </c>
      <c r="H85" s="11" t="s">
        <v>196</v>
      </c>
      <c r="I85" s="5" t="s">
        <v>742</v>
      </c>
      <c r="J85" s="5"/>
      <c r="K85" s="6">
        <f t="shared" si="2"/>
        <v>1</v>
      </c>
    </row>
    <row r="86" spans="1:11" ht="15" customHeight="1">
      <c r="A86" s="4">
        <v>78</v>
      </c>
      <c r="B86" s="5" t="s">
        <v>133</v>
      </c>
      <c r="C86" s="5" t="s">
        <v>814</v>
      </c>
      <c r="D86" s="5" t="s">
        <v>816</v>
      </c>
      <c r="E86" s="7" t="s">
        <v>105</v>
      </c>
      <c r="F86" s="7" t="s">
        <v>105</v>
      </c>
      <c r="G86" s="4" t="s">
        <v>195</v>
      </c>
      <c r="H86" s="11" t="s">
        <v>196</v>
      </c>
      <c r="I86" s="5" t="s">
        <v>742</v>
      </c>
      <c r="J86" s="5"/>
      <c r="K86" s="6">
        <f t="shared" si="2"/>
        <v>1</v>
      </c>
    </row>
    <row r="87" spans="1:11" ht="15" customHeight="1">
      <c r="A87" s="4">
        <v>79</v>
      </c>
      <c r="B87" s="5" t="s">
        <v>133</v>
      </c>
      <c r="C87" s="5" t="s">
        <v>814</v>
      </c>
      <c r="D87" s="5" t="s">
        <v>817</v>
      </c>
      <c r="E87" s="7" t="s">
        <v>105</v>
      </c>
      <c r="F87" s="7" t="s">
        <v>105</v>
      </c>
      <c r="G87" s="4" t="s">
        <v>195</v>
      </c>
      <c r="H87" s="11" t="s">
        <v>196</v>
      </c>
      <c r="I87" s="5" t="s">
        <v>742</v>
      </c>
      <c r="J87" s="5"/>
      <c r="K87" s="6">
        <f t="shared" si="2"/>
        <v>1</v>
      </c>
    </row>
    <row r="88" spans="1:11" ht="15" customHeight="1">
      <c r="A88" s="4">
        <v>80</v>
      </c>
      <c r="B88" s="5" t="s">
        <v>133</v>
      </c>
      <c r="C88" s="5" t="s">
        <v>814</v>
      </c>
      <c r="D88" s="5" t="s">
        <v>818</v>
      </c>
      <c r="E88" s="7" t="s">
        <v>105</v>
      </c>
      <c r="F88" s="7" t="s">
        <v>105</v>
      </c>
      <c r="G88" s="4" t="s">
        <v>195</v>
      </c>
      <c r="H88" s="11" t="s">
        <v>196</v>
      </c>
      <c r="I88" s="5" t="s">
        <v>742</v>
      </c>
      <c r="J88" s="5"/>
      <c r="K88" s="6">
        <f t="shared" si="2"/>
        <v>1</v>
      </c>
    </row>
    <row r="89" spans="1:11" ht="15" customHeight="1">
      <c r="A89" s="4">
        <v>81</v>
      </c>
      <c r="B89" s="5" t="s">
        <v>133</v>
      </c>
      <c r="C89" s="5" t="s">
        <v>814</v>
      </c>
      <c r="D89" s="5" t="s">
        <v>819</v>
      </c>
      <c r="E89" s="7" t="s">
        <v>105</v>
      </c>
      <c r="F89" s="7" t="s">
        <v>105</v>
      </c>
      <c r="G89" s="4" t="s">
        <v>195</v>
      </c>
      <c r="H89" s="11" t="s">
        <v>196</v>
      </c>
      <c r="I89" s="5" t="s">
        <v>742</v>
      </c>
      <c r="J89" s="5"/>
      <c r="K89" s="6">
        <f t="shared" si="2"/>
        <v>1</v>
      </c>
    </row>
    <row r="90" spans="1:11" ht="15" customHeight="1">
      <c r="A90" s="4">
        <v>82</v>
      </c>
      <c r="B90" s="5" t="s">
        <v>133</v>
      </c>
      <c r="C90" s="5" t="s">
        <v>814</v>
      </c>
      <c r="D90" s="5" t="s">
        <v>806</v>
      </c>
      <c r="E90" s="7" t="s">
        <v>105</v>
      </c>
      <c r="F90" s="7" t="s">
        <v>105</v>
      </c>
      <c r="G90" s="4" t="s">
        <v>195</v>
      </c>
      <c r="H90" s="11" t="s">
        <v>196</v>
      </c>
      <c r="I90" s="5" t="s">
        <v>742</v>
      </c>
      <c r="J90" s="5"/>
      <c r="K90" s="6">
        <f t="shared" si="2"/>
        <v>1</v>
      </c>
    </row>
    <row r="91" spans="1:11" ht="15" customHeight="1">
      <c r="A91" s="4">
        <v>83</v>
      </c>
      <c r="B91" s="5" t="s">
        <v>133</v>
      </c>
      <c r="C91" s="5" t="s">
        <v>814</v>
      </c>
      <c r="D91" s="5" t="s">
        <v>807</v>
      </c>
      <c r="E91" s="7" t="s">
        <v>105</v>
      </c>
      <c r="F91" s="7" t="s">
        <v>105</v>
      </c>
      <c r="G91" s="4" t="s">
        <v>195</v>
      </c>
      <c r="H91" s="11" t="s">
        <v>196</v>
      </c>
      <c r="I91" s="5" t="s">
        <v>742</v>
      </c>
      <c r="J91" s="5"/>
      <c r="K91" s="6">
        <f t="shared" si="2"/>
        <v>1</v>
      </c>
    </row>
    <row r="92" spans="1:11" ht="15" customHeight="1">
      <c r="A92" s="4">
        <v>84</v>
      </c>
      <c r="B92" s="5" t="s">
        <v>133</v>
      </c>
      <c r="C92" s="5" t="s">
        <v>482</v>
      </c>
      <c r="D92" s="5" t="s">
        <v>810</v>
      </c>
      <c r="E92" s="7" t="s">
        <v>105</v>
      </c>
      <c r="F92" s="7" t="s">
        <v>105</v>
      </c>
      <c r="G92" s="4" t="s">
        <v>195</v>
      </c>
      <c r="H92" s="11" t="s">
        <v>196</v>
      </c>
      <c r="I92" s="5" t="s">
        <v>742</v>
      </c>
      <c r="J92" s="5"/>
      <c r="K92" s="6">
        <f t="shared" si="2"/>
        <v>1</v>
      </c>
    </row>
    <row r="93" spans="1:11" ht="15" customHeight="1">
      <c r="A93" s="4">
        <v>85</v>
      </c>
      <c r="B93" s="5" t="s">
        <v>133</v>
      </c>
      <c r="C93" s="5" t="s">
        <v>482</v>
      </c>
      <c r="D93" s="5" t="s">
        <v>820</v>
      </c>
      <c r="E93" s="7" t="s">
        <v>105</v>
      </c>
      <c r="F93" s="7" t="s">
        <v>105</v>
      </c>
      <c r="G93" s="4" t="s">
        <v>195</v>
      </c>
      <c r="H93" s="11" t="s">
        <v>196</v>
      </c>
      <c r="I93" s="5" t="s">
        <v>742</v>
      </c>
      <c r="J93" s="5"/>
      <c r="K93" s="6">
        <f t="shared" si="2"/>
        <v>1</v>
      </c>
    </row>
    <row r="94" spans="1:11" ht="15" customHeight="1">
      <c r="A94" s="4">
        <v>86</v>
      </c>
      <c r="B94" s="5" t="s">
        <v>133</v>
      </c>
      <c r="C94" s="5" t="s">
        <v>482</v>
      </c>
      <c r="D94" s="5" t="s">
        <v>769</v>
      </c>
      <c r="E94" s="7" t="s">
        <v>105</v>
      </c>
      <c r="F94" s="7" t="s">
        <v>105</v>
      </c>
      <c r="G94" s="4" t="s">
        <v>195</v>
      </c>
      <c r="H94" s="11" t="s">
        <v>196</v>
      </c>
      <c r="I94" s="5" t="s">
        <v>742</v>
      </c>
      <c r="J94" s="5"/>
      <c r="K94" s="6">
        <f t="shared" si="2"/>
        <v>1</v>
      </c>
    </row>
    <row r="95" spans="1:11" ht="15" customHeight="1">
      <c r="A95" s="4">
        <v>87</v>
      </c>
      <c r="B95" s="5" t="s">
        <v>133</v>
      </c>
      <c r="C95" s="5" t="s">
        <v>561</v>
      </c>
      <c r="D95" s="5" t="s">
        <v>821</v>
      </c>
      <c r="E95" s="7" t="s">
        <v>105</v>
      </c>
      <c r="F95" s="7" t="s">
        <v>105</v>
      </c>
      <c r="G95" s="4" t="s">
        <v>195</v>
      </c>
      <c r="H95" s="11" t="s">
        <v>196</v>
      </c>
      <c r="I95" s="5" t="s">
        <v>742</v>
      </c>
      <c r="J95" s="5"/>
      <c r="K95" s="6">
        <f t="shared" si="2"/>
        <v>1</v>
      </c>
    </row>
    <row r="96" spans="1:11" ht="15" customHeight="1">
      <c r="A96" s="4">
        <v>88</v>
      </c>
      <c r="B96" s="5" t="s">
        <v>133</v>
      </c>
      <c r="C96" s="5" t="s">
        <v>561</v>
      </c>
      <c r="D96" s="5" t="s">
        <v>822</v>
      </c>
      <c r="E96" s="7" t="s">
        <v>105</v>
      </c>
      <c r="F96" s="7" t="s">
        <v>105</v>
      </c>
      <c r="G96" s="4" t="s">
        <v>195</v>
      </c>
      <c r="H96" s="11" t="s">
        <v>196</v>
      </c>
      <c r="I96" s="5" t="s">
        <v>742</v>
      </c>
      <c r="J96" s="5"/>
      <c r="K96" s="6">
        <f t="shared" si="2"/>
        <v>1</v>
      </c>
    </row>
    <row r="97" spans="1:11" ht="15" customHeight="1">
      <c r="A97" s="4">
        <v>89</v>
      </c>
      <c r="B97" s="5" t="s">
        <v>133</v>
      </c>
      <c r="C97" s="5" t="s">
        <v>561</v>
      </c>
      <c r="D97" s="5" t="s">
        <v>823</v>
      </c>
      <c r="E97" s="7" t="s">
        <v>105</v>
      </c>
      <c r="F97" s="7" t="s">
        <v>105</v>
      </c>
      <c r="G97" s="4" t="s">
        <v>195</v>
      </c>
      <c r="H97" s="11" t="s">
        <v>196</v>
      </c>
      <c r="I97" s="5" t="s">
        <v>742</v>
      </c>
      <c r="J97" s="5"/>
      <c r="K97" s="6">
        <f t="shared" si="2"/>
        <v>1</v>
      </c>
    </row>
    <row r="98" spans="1:11" ht="15" customHeight="1">
      <c r="A98" s="4">
        <v>90</v>
      </c>
      <c r="B98" s="5" t="s">
        <v>133</v>
      </c>
      <c r="C98" s="5" t="s">
        <v>824</v>
      </c>
      <c r="D98" s="5" t="s">
        <v>825</v>
      </c>
      <c r="E98" s="7" t="s">
        <v>105</v>
      </c>
      <c r="F98" s="7" t="s">
        <v>105</v>
      </c>
      <c r="G98" s="4" t="s">
        <v>195</v>
      </c>
      <c r="H98" s="11" t="s">
        <v>196</v>
      </c>
      <c r="I98" s="5" t="s">
        <v>742</v>
      </c>
      <c r="J98" s="5"/>
      <c r="K98" s="6">
        <f t="shared" si="2"/>
        <v>1</v>
      </c>
    </row>
    <row r="99" spans="1:11" ht="15" customHeight="1">
      <c r="A99" s="4">
        <v>91</v>
      </c>
      <c r="B99" s="5" t="s">
        <v>133</v>
      </c>
      <c r="C99" s="5" t="s">
        <v>824</v>
      </c>
      <c r="D99" s="5" t="s">
        <v>826</v>
      </c>
      <c r="E99" s="7" t="s">
        <v>105</v>
      </c>
      <c r="F99" s="7" t="s">
        <v>105</v>
      </c>
      <c r="G99" s="4" t="s">
        <v>195</v>
      </c>
      <c r="H99" s="11" t="s">
        <v>196</v>
      </c>
      <c r="I99" s="5" t="s">
        <v>742</v>
      </c>
      <c r="J99" s="5"/>
      <c r="K99" s="6">
        <f t="shared" si="2"/>
        <v>1</v>
      </c>
    </row>
    <row r="100" spans="1:11" ht="15" customHeight="1">
      <c r="A100" s="4">
        <v>92</v>
      </c>
      <c r="B100" s="5" t="s">
        <v>133</v>
      </c>
      <c r="C100" s="5" t="s">
        <v>824</v>
      </c>
      <c r="D100" s="5" t="s">
        <v>827</v>
      </c>
      <c r="E100" s="7" t="s">
        <v>105</v>
      </c>
      <c r="F100" s="7" t="s">
        <v>105</v>
      </c>
      <c r="G100" s="4" t="s">
        <v>195</v>
      </c>
      <c r="H100" s="11" t="s">
        <v>196</v>
      </c>
      <c r="I100" s="5" t="s">
        <v>742</v>
      </c>
      <c r="J100" s="5"/>
      <c r="K100" s="6">
        <f t="shared" si="2"/>
        <v>1</v>
      </c>
    </row>
    <row r="101" spans="1:11" ht="15" customHeight="1">
      <c r="A101" s="4">
        <v>93</v>
      </c>
      <c r="B101" s="5" t="s">
        <v>133</v>
      </c>
      <c r="C101" s="5" t="s">
        <v>824</v>
      </c>
      <c r="D101" s="5" t="s">
        <v>828</v>
      </c>
      <c r="E101" s="7" t="s">
        <v>105</v>
      </c>
      <c r="F101" s="7" t="s">
        <v>105</v>
      </c>
      <c r="G101" s="4" t="s">
        <v>195</v>
      </c>
      <c r="H101" s="11" t="s">
        <v>196</v>
      </c>
      <c r="I101" s="5" t="s">
        <v>742</v>
      </c>
      <c r="J101" s="5"/>
      <c r="K101" s="6">
        <f t="shared" si="2"/>
        <v>1</v>
      </c>
    </row>
    <row r="102" spans="1:11" ht="15" customHeight="1">
      <c r="A102" s="4">
        <v>94</v>
      </c>
      <c r="B102" s="5" t="s">
        <v>133</v>
      </c>
      <c r="C102" s="5" t="s">
        <v>829</v>
      </c>
      <c r="D102" s="5" t="s">
        <v>790</v>
      </c>
      <c r="E102" s="7" t="s">
        <v>105</v>
      </c>
      <c r="F102" s="7" t="s">
        <v>105</v>
      </c>
      <c r="G102" s="4" t="s">
        <v>195</v>
      </c>
      <c r="H102" s="11" t="s">
        <v>196</v>
      </c>
      <c r="I102" s="5" t="s">
        <v>742</v>
      </c>
      <c r="J102" s="5"/>
      <c r="K102" s="6">
        <f t="shared" si="2"/>
        <v>1</v>
      </c>
    </row>
    <row r="103" spans="1:11" ht="15" customHeight="1">
      <c r="A103" s="4">
        <v>95</v>
      </c>
      <c r="B103" s="5" t="s">
        <v>133</v>
      </c>
      <c r="C103" s="5" t="s">
        <v>829</v>
      </c>
      <c r="D103" s="5" t="s">
        <v>830</v>
      </c>
      <c r="E103" s="7" t="s">
        <v>105</v>
      </c>
      <c r="F103" s="7" t="s">
        <v>105</v>
      </c>
      <c r="G103" s="4" t="s">
        <v>195</v>
      </c>
      <c r="H103" s="11" t="s">
        <v>196</v>
      </c>
      <c r="I103" s="5" t="s">
        <v>742</v>
      </c>
      <c r="J103" s="5"/>
      <c r="K103" s="6">
        <f t="shared" si="2"/>
        <v>1</v>
      </c>
    </row>
    <row r="104" spans="1:11" ht="15" customHeight="1">
      <c r="A104" s="4">
        <v>96</v>
      </c>
      <c r="B104" s="5" t="s">
        <v>133</v>
      </c>
      <c r="C104" s="5" t="s">
        <v>829</v>
      </c>
      <c r="D104" s="5" t="s">
        <v>831</v>
      </c>
      <c r="E104" s="7" t="s">
        <v>105</v>
      </c>
      <c r="F104" s="7" t="s">
        <v>105</v>
      </c>
      <c r="G104" s="4" t="s">
        <v>195</v>
      </c>
      <c r="H104" s="11" t="s">
        <v>196</v>
      </c>
      <c r="I104" s="5" t="s">
        <v>742</v>
      </c>
      <c r="J104" s="5"/>
      <c r="K104" s="6">
        <f t="shared" si="2"/>
        <v>1</v>
      </c>
    </row>
    <row r="105" spans="1:11" ht="15" customHeight="1">
      <c r="A105" s="4">
        <v>97</v>
      </c>
      <c r="B105" s="5" t="s">
        <v>133</v>
      </c>
      <c r="C105" s="5" t="s">
        <v>829</v>
      </c>
      <c r="D105" s="5" t="s">
        <v>832</v>
      </c>
      <c r="E105" s="7" t="s">
        <v>105</v>
      </c>
      <c r="F105" s="7" t="s">
        <v>105</v>
      </c>
      <c r="G105" s="4" t="s">
        <v>195</v>
      </c>
      <c r="H105" s="11" t="s">
        <v>196</v>
      </c>
      <c r="I105" s="5" t="s">
        <v>742</v>
      </c>
      <c r="J105" s="5"/>
      <c r="K105" s="6">
        <f t="shared" ref="K105:K136" si="3">IF(AND(E105="yes",F105="yes",H105="covered"),1,IF(H105="partial",0.5,0))</f>
        <v>1</v>
      </c>
    </row>
    <row r="106" spans="1:11" ht="15" customHeight="1">
      <c r="A106" s="4">
        <v>98</v>
      </c>
      <c r="B106" s="5" t="s">
        <v>133</v>
      </c>
      <c r="C106" s="5" t="s">
        <v>829</v>
      </c>
      <c r="D106" s="5" t="s">
        <v>833</v>
      </c>
      <c r="E106" s="7" t="s">
        <v>105</v>
      </c>
      <c r="F106" s="7" t="s">
        <v>105</v>
      </c>
      <c r="G106" s="4" t="s">
        <v>195</v>
      </c>
      <c r="H106" s="11" t="s">
        <v>196</v>
      </c>
      <c r="I106" s="5" t="s">
        <v>742</v>
      </c>
      <c r="J106" s="5"/>
      <c r="K106" s="6">
        <f t="shared" si="3"/>
        <v>1</v>
      </c>
    </row>
    <row r="107" spans="1:11" ht="15" customHeight="1">
      <c r="A107" s="4">
        <v>99</v>
      </c>
      <c r="B107" s="5" t="s">
        <v>133</v>
      </c>
      <c r="C107" s="5" t="s">
        <v>829</v>
      </c>
      <c r="D107" s="5" t="s">
        <v>834</v>
      </c>
      <c r="E107" s="7" t="s">
        <v>105</v>
      </c>
      <c r="F107" s="7" t="s">
        <v>105</v>
      </c>
      <c r="G107" s="4" t="s">
        <v>195</v>
      </c>
      <c r="H107" s="11" t="s">
        <v>196</v>
      </c>
      <c r="I107" s="5" t="s">
        <v>742</v>
      </c>
      <c r="J107" s="5"/>
      <c r="K107" s="6">
        <f t="shared" si="3"/>
        <v>1</v>
      </c>
    </row>
    <row r="108" spans="1:11" ht="15" customHeight="1">
      <c r="A108" s="4">
        <v>100</v>
      </c>
      <c r="B108" s="5" t="s">
        <v>133</v>
      </c>
      <c r="C108" s="5" t="s">
        <v>829</v>
      </c>
      <c r="D108" s="5" t="s">
        <v>835</v>
      </c>
      <c r="E108" s="7" t="s">
        <v>105</v>
      </c>
      <c r="F108" s="7" t="s">
        <v>105</v>
      </c>
      <c r="G108" s="4" t="s">
        <v>195</v>
      </c>
      <c r="H108" s="11" t="s">
        <v>196</v>
      </c>
      <c r="I108" s="5" t="s">
        <v>742</v>
      </c>
      <c r="J108" s="5"/>
      <c r="K108" s="6">
        <f t="shared" si="3"/>
        <v>1</v>
      </c>
    </row>
    <row r="109" spans="1:11" ht="15" customHeight="1">
      <c r="A109" s="4">
        <v>101</v>
      </c>
      <c r="B109" s="5" t="s">
        <v>133</v>
      </c>
      <c r="C109" s="5" t="s">
        <v>829</v>
      </c>
      <c r="D109" s="5" t="s">
        <v>836</v>
      </c>
      <c r="E109" s="7" t="s">
        <v>105</v>
      </c>
      <c r="F109" s="7" t="s">
        <v>105</v>
      </c>
      <c r="G109" s="4" t="s">
        <v>195</v>
      </c>
      <c r="H109" s="11" t="s">
        <v>196</v>
      </c>
      <c r="I109" s="5" t="s">
        <v>742</v>
      </c>
      <c r="J109" s="5"/>
      <c r="K109" s="6">
        <f t="shared" si="3"/>
        <v>1</v>
      </c>
    </row>
    <row r="110" spans="1:11" ht="15" customHeight="1">
      <c r="A110" s="4">
        <v>102</v>
      </c>
      <c r="B110" s="5" t="s">
        <v>133</v>
      </c>
      <c r="C110" s="5" t="s">
        <v>829</v>
      </c>
      <c r="D110" s="5" t="s">
        <v>837</v>
      </c>
      <c r="E110" s="7" t="s">
        <v>105</v>
      </c>
      <c r="F110" s="7" t="s">
        <v>105</v>
      </c>
      <c r="G110" s="4" t="s">
        <v>195</v>
      </c>
      <c r="H110" s="11" t="s">
        <v>196</v>
      </c>
      <c r="I110" s="5" t="s">
        <v>742</v>
      </c>
      <c r="J110" s="5"/>
      <c r="K110" s="6">
        <f t="shared" si="3"/>
        <v>1</v>
      </c>
    </row>
    <row r="111" spans="1:11" ht="15" customHeight="1">
      <c r="A111" s="4">
        <v>103</v>
      </c>
      <c r="B111" s="5" t="s">
        <v>133</v>
      </c>
      <c r="C111" s="5" t="s">
        <v>829</v>
      </c>
      <c r="D111" s="5" t="s">
        <v>838</v>
      </c>
      <c r="E111" s="7" t="s">
        <v>105</v>
      </c>
      <c r="F111" s="7" t="s">
        <v>105</v>
      </c>
      <c r="G111" s="4" t="s">
        <v>195</v>
      </c>
      <c r="H111" s="11" t="s">
        <v>196</v>
      </c>
      <c r="I111" s="5" t="s">
        <v>742</v>
      </c>
      <c r="J111" s="5"/>
      <c r="K111" s="6">
        <f t="shared" si="3"/>
        <v>1</v>
      </c>
    </row>
    <row r="112" spans="1:11" ht="30" customHeight="1">
      <c r="A112" s="4">
        <v>104</v>
      </c>
      <c r="B112" s="5" t="s">
        <v>133</v>
      </c>
      <c r="C112" s="5" t="s">
        <v>839</v>
      </c>
      <c r="D112" s="5" t="s">
        <v>840</v>
      </c>
      <c r="E112" s="7" t="s">
        <v>105</v>
      </c>
      <c r="F112" s="7" t="s">
        <v>105</v>
      </c>
      <c r="G112" s="4" t="s">
        <v>195</v>
      </c>
      <c r="H112" s="11" t="s">
        <v>196</v>
      </c>
      <c r="I112" s="5" t="s">
        <v>742</v>
      </c>
      <c r="J112" s="5"/>
      <c r="K112" s="6">
        <f t="shared" si="3"/>
        <v>1</v>
      </c>
    </row>
    <row r="113" spans="1:11" ht="15" customHeight="1">
      <c r="A113" s="4">
        <v>105</v>
      </c>
      <c r="B113" s="5" t="s">
        <v>133</v>
      </c>
      <c r="C113" s="5" t="s">
        <v>839</v>
      </c>
      <c r="D113" s="5" t="s">
        <v>841</v>
      </c>
      <c r="E113" s="7" t="s">
        <v>105</v>
      </c>
      <c r="F113" s="7" t="s">
        <v>105</v>
      </c>
      <c r="G113" s="4" t="s">
        <v>195</v>
      </c>
      <c r="H113" s="11" t="s">
        <v>196</v>
      </c>
      <c r="I113" s="5" t="s">
        <v>742</v>
      </c>
      <c r="J113" s="5"/>
      <c r="K113" s="6">
        <f t="shared" si="3"/>
        <v>1</v>
      </c>
    </row>
    <row r="114" spans="1:11" ht="15" customHeight="1">
      <c r="A114" s="4">
        <v>106</v>
      </c>
      <c r="B114" s="5" t="s">
        <v>133</v>
      </c>
      <c r="C114" s="5" t="s">
        <v>839</v>
      </c>
      <c r="D114" s="5" t="s">
        <v>842</v>
      </c>
      <c r="E114" s="7" t="s">
        <v>105</v>
      </c>
      <c r="F114" s="7" t="s">
        <v>105</v>
      </c>
      <c r="G114" s="4" t="s">
        <v>195</v>
      </c>
      <c r="H114" s="11" t="s">
        <v>196</v>
      </c>
      <c r="I114" s="5" t="s">
        <v>742</v>
      </c>
      <c r="J114" s="5"/>
      <c r="K114" s="6">
        <f t="shared" si="3"/>
        <v>1</v>
      </c>
    </row>
    <row r="115" spans="1:11" ht="15" customHeight="1">
      <c r="A115" s="4">
        <v>107</v>
      </c>
      <c r="B115" s="5" t="s">
        <v>133</v>
      </c>
      <c r="C115" s="5" t="s">
        <v>839</v>
      </c>
      <c r="D115" s="5" t="s">
        <v>843</v>
      </c>
      <c r="E115" s="7" t="s">
        <v>105</v>
      </c>
      <c r="F115" s="7" t="s">
        <v>105</v>
      </c>
      <c r="G115" s="4" t="s">
        <v>195</v>
      </c>
      <c r="H115" s="11" t="s">
        <v>196</v>
      </c>
      <c r="I115" s="5" t="s">
        <v>742</v>
      </c>
      <c r="J115" s="5"/>
      <c r="K115" s="6">
        <f t="shared" si="3"/>
        <v>1</v>
      </c>
    </row>
    <row r="116" spans="1:11" ht="15" customHeight="1">
      <c r="A116" s="4">
        <v>108</v>
      </c>
      <c r="B116" s="5" t="s">
        <v>133</v>
      </c>
      <c r="C116" s="5" t="s">
        <v>839</v>
      </c>
      <c r="D116" s="5" t="s">
        <v>782</v>
      </c>
      <c r="E116" s="7" t="s">
        <v>105</v>
      </c>
      <c r="F116" s="7" t="s">
        <v>105</v>
      </c>
      <c r="G116" s="4" t="s">
        <v>195</v>
      </c>
      <c r="H116" s="11" t="s">
        <v>196</v>
      </c>
      <c r="I116" s="5" t="s">
        <v>742</v>
      </c>
      <c r="J116" s="5"/>
      <c r="K116" s="6">
        <f t="shared" si="3"/>
        <v>1</v>
      </c>
    </row>
    <row r="117" spans="1:11" ht="15" customHeight="1">
      <c r="A117" s="4">
        <v>109</v>
      </c>
      <c r="B117" s="5" t="s">
        <v>133</v>
      </c>
      <c r="C117" s="5" t="s">
        <v>839</v>
      </c>
      <c r="D117" s="5" t="s">
        <v>783</v>
      </c>
      <c r="E117" s="7" t="s">
        <v>105</v>
      </c>
      <c r="F117" s="7" t="s">
        <v>105</v>
      </c>
      <c r="G117" s="4" t="s">
        <v>195</v>
      </c>
      <c r="H117" s="11" t="s">
        <v>196</v>
      </c>
      <c r="I117" s="5" t="s">
        <v>742</v>
      </c>
      <c r="J117" s="5"/>
      <c r="K117" s="6">
        <f t="shared" si="3"/>
        <v>1</v>
      </c>
    </row>
    <row r="118" spans="1:11" ht="15" customHeight="1">
      <c r="A118" s="4">
        <v>110</v>
      </c>
      <c r="B118" s="5" t="s">
        <v>133</v>
      </c>
      <c r="C118" s="5" t="s">
        <v>839</v>
      </c>
      <c r="D118" s="5" t="s">
        <v>285</v>
      </c>
      <c r="E118" s="7" t="s">
        <v>105</v>
      </c>
      <c r="F118" s="7" t="s">
        <v>105</v>
      </c>
      <c r="G118" s="4" t="s">
        <v>195</v>
      </c>
      <c r="H118" s="11" t="s">
        <v>196</v>
      </c>
      <c r="I118" s="5" t="s">
        <v>742</v>
      </c>
      <c r="J118" s="5"/>
      <c r="K118" s="6">
        <f t="shared" si="3"/>
        <v>1</v>
      </c>
    </row>
    <row r="119" spans="1:11" ht="15" customHeight="1">
      <c r="A119" s="4">
        <v>111</v>
      </c>
      <c r="B119" s="5" t="s">
        <v>133</v>
      </c>
      <c r="C119" s="5" t="s">
        <v>839</v>
      </c>
      <c r="D119" s="5" t="s">
        <v>844</v>
      </c>
      <c r="E119" s="7" t="s">
        <v>105</v>
      </c>
      <c r="F119" s="7" t="s">
        <v>105</v>
      </c>
      <c r="G119" s="4" t="s">
        <v>195</v>
      </c>
      <c r="H119" s="11" t="s">
        <v>196</v>
      </c>
      <c r="I119" s="5" t="s">
        <v>742</v>
      </c>
      <c r="J119" s="5"/>
      <c r="K119" s="6">
        <f t="shared" si="3"/>
        <v>1</v>
      </c>
    </row>
    <row r="120" spans="1:11" ht="15" customHeight="1">
      <c r="A120" s="4">
        <v>112</v>
      </c>
      <c r="B120" s="5" t="s">
        <v>133</v>
      </c>
      <c r="C120" s="5" t="s">
        <v>839</v>
      </c>
      <c r="D120" s="5" t="s">
        <v>845</v>
      </c>
      <c r="E120" s="7" t="s">
        <v>105</v>
      </c>
      <c r="F120" s="7" t="s">
        <v>105</v>
      </c>
      <c r="G120" s="4" t="s">
        <v>195</v>
      </c>
      <c r="H120" s="11" t="s">
        <v>196</v>
      </c>
      <c r="I120" s="5" t="s">
        <v>742</v>
      </c>
      <c r="J120" s="5"/>
      <c r="K120" s="6">
        <f t="shared" si="3"/>
        <v>1</v>
      </c>
    </row>
    <row r="121" spans="1:11" ht="15" customHeight="1">
      <c r="A121" s="4">
        <v>113</v>
      </c>
      <c r="B121" s="5" t="s">
        <v>172</v>
      </c>
      <c r="C121" s="5" t="s">
        <v>846</v>
      </c>
      <c r="D121" s="5" t="s">
        <v>847</v>
      </c>
      <c r="E121" s="7" t="s">
        <v>105</v>
      </c>
      <c r="F121" s="7" t="s">
        <v>105</v>
      </c>
      <c r="G121" s="4" t="s">
        <v>195</v>
      </c>
      <c r="H121" s="11" t="s">
        <v>196</v>
      </c>
      <c r="I121" s="5" t="s">
        <v>742</v>
      </c>
      <c r="J121" s="5"/>
      <c r="K121" s="6">
        <f t="shared" si="3"/>
        <v>1</v>
      </c>
    </row>
    <row r="122" spans="1:11" ht="15" customHeight="1">
      <c r="A122" s="4">
        <v>114</v>
      </c>
      <c r="B122" s="5" t="s">
        <v>172</v>
      </c>
      <c r="C122" s="5" t="s">
        <v>846</v>
      </c>
      <c r="D122" s="5" t="s">
        <v>848</v>
      </c>
      <c r="E122" s="7" t="s">
        <v>105</v>
      </c>
      <c r="F122" s="7" t="s">
        <v>105</v>
      </c>
      <c r="G122" s="4" t="s">
        <v>195</v>
      </c>
      <c r="H122" s="11" t="s">
        <v>196</v>
      </c>
      <c r="I122" s="5" t="s">
        <v>742</v>
      </c>
      <c r="J122" s="5"/>
      <c r="K122" s="6">
        <f t="shared" si="3"/>
        <v>1</v>
      </c>
    </row>
    <row r="123" spans="1:11" ht="15" customHeight="1">
      <c r="A123" s="4">
        <v>115</v>
      </c>
      <c r="B123" s="5" t="s">
        <v>172</v>
      </c>
      <c r="C123" s="5" t="s">
        <v>846</v>
      </c>
      <c r="D123" s="5" t="s">
        <v>849</v>
      </c>
      <c r="E123" s="7" t="s">
        <v>105</v>
      </c>
      <c r="F123" s="7" t="s">
        <v>105</v>
      </c>
      <c r="G123" s="4" t="s">
        <v>195</v>
      </c>
      <c r="H123" s="11" t="s">
        <v>196</v>
      </c>
      <c r="I123" s="5" t="s">
        <v>742</v>
      </c>
      <c r="J123" s="5"/>
      <c r="K123" s="6">
        <f t="shared" si="3"/>
        <v>1</v>
      </c>
    </row>
    <row r="124" spans="1:11" ht="30" customHeight="1">
      <c r="A124" s="4">
        <v>116</v>
      </c>
      <c r="B124" s="5" t="s">
        <v>172</v>
      </c>
      <c r="C124" s="5" t="s">
        <v>846</v>
      </c>
      <c r="D124" s="5" t="s">
        <v>850</v>
      </c>
      <c r="E124" s="7" t="s">
        <v>105</v>
      </c>
      <c r="F124" s="7" t="s">
        <v>105</v>
      </c>
      <c r="G124" s="4" t="s">
        <v>195</v>
      </c>
      <c r="H124" s="11" t="s">
        <v>196</v>
      </c>
      <c r="I124" s="5" t="s">
        <v>742</v>
      </c>
      <c r="J124" s="5"/>
      <c r="K124" s="6">
        <f t="shared" si="3"/>
        <v>1</v>
      </c>
    </row>
    <row r="125" spans="1:11" ht="15" customHeight="1">
      <c r="A125" s="4">
        <v>117</v>
      </c>
      <c r="B125" s="5" t="s">
        <v>172</v>
      </c>
      <c r="C125" s="5" t="s">
        <v>846</v>
      </c>
      <c r="D125" s="5" t="s">
        <v>851</v>
      </c>
      <c r="E125" s="7" t="s">
        <v>105</v>
      </c>
      <c r="F125" s="7" t="s">
        <v>105</v>
      </c>
      <c r="G125" s="4" t="s">
        <v>195</v>
      </c>
      <c r="H125" s="11" t="s">
        <v>196</v>
      </c>
      <c r="I125" s="5" t="s">
        <v>742</v>
      </c>
      <c r="J125" s="5"/>
      <c r="K125" s="6">
        <f t="shared" si="3"/>
        <v>1</v>
      </c>
    </row>
    <row r="126" spans="1:11" ht="15" customHeight="1">
      <c r="A126" s="4">
        <v>118</v>
      </c>
      <c r="B126" s="5" t="s">
        <v>172</v>
      </c>
      <c r="C126" s="5" t="s">
        <v>846</v>
      </c>
      <c r="D126" s="5" t="s">
        <v>852</v>
      </c>
      <c r="E126" s="7" t="s">
        <v>105</v>
      </c>
      <c r="F126" s="7" t="s">
        <v>105</v>
      </c>
      <c r="G126" s="4" t="s">
        <v>195</v>
      </c>
      <c r="H126" s="11" t="s">
        <v>196</v>
      </c>
      <c r="I126" s="5" t="s">
        <v>742</v>
      </c>
      <c r="J126" s="5"/>
      <c r="K126" s="6">
        <f t="shared" si="3"/>
        <v>1</v>
      </c>
    </row>
    <row r="127" spans="1:11" ht="15" customHeight="1">
      <c r="A127" s="4">
        <v>119</v>
      </c>
      <c r="B127" s="5" t="s">
        <v>172</v>
      </c>
      <c r="C127" s="5" t="s">
        <v>846</v>
      </c>
      <c r="D127" s="5" t="s">
        <v>853</v>
      </c>
      <c r="E127" s="7" t="s">
        <v>105</v>
      </c>
      <c r="F127" s="7" t="s">
        <v>105</v>
      </c>
      <c r="G127" s="4" t="s">
        <v>195</v>
      </c>
      <c r="H127" s="11" t="s">
        <v>196</v>
      </c>
      <c r="I127" s="5" t="s">
        <v>742</v>
      </c>
      <c r="J127" s="5"/>
      <c r="K127" s="6">
        <f t="shared" si="3"/>
        <v>1</v>
      </c>
    </row>
    <row r="128" spans="1:11" ht="15" customHeight="1">
      <c r="A128" s="4">
        <v>120</v>
      </c>
      <c r="B128" s="5" t="s">
        <v>172</v>
      </c>
      <c r="C128" s="5" t="s">
        <v>846</v>
      </c>
      <c r="D128" s="5" t="s">
        <v>854</v>
      </c>
      <c r="E128" s="7" t="s">
        <v>105</v>
      </c>
      <c r="F128" s="7" t="s">
        <v>105</v>
      </c>
      <c r="G128" s="4" t="s">
        <v>195</v>
      </c>
      <c r="H128" s="11" t="s">
        <v>196</v>
      </c>
      <c r="I128" s="5" t="s">
        <v>742</v>
      </c>
      <c r="J128" s="5"/>
      <c r="K128" s="6">
        <f t="shared" si="3"/>
        <v>1</v>
      </c>
    </row>
    <row r="129" spans="1:11" ht="15" customHeight="1">
      <c r="A129" s="4">
        <v>121</v>
      </c>
      <c r="B129" s="5" t="s">
        <v>172</v>
      </c>
      <c r="C129" s="5" t="s">
        <v>846</v>
      </c>
      <c r="D129" s="5" t="s">
        <v>855</v>
      </c>
      <c r="E129" s="7" t="s">
        <v>105</v>
      </c>
      <c r="F129" s="7" t="s">
        <v>105</v>
      </c>
      <c r="G129" s="4" t="s">
        <v>195</v>
      </c>
      <c r="H129" s="11" t="s">
        <v>196</v>
      </c>
      <c r="I129" s="5" t="s">
        <v>742</v>
      </c>
      <c r="J129" s="5"/>
      <c r="K129" s="6">
        <f t="shared" si="3"/>
        <v>1</v>
      </c>
    </row>
    <row r="130" spans="1:11" ht="15" customHeight="1">
      <c r="A130" s="4">
        <v>122</v>
      </c>
      <c r="B130" s="5" t="s">
        <v>179</v>
      </c>
      <c r="C130" s="5" t="s">
        <v>856</v>
      </c>
      <c r="D130" s="5" t="s">
        <v>857</v>
      </c>
      <c r="E130" s="7" t="s">
        <v>105</v>
      </c>
      <c r="F130" s="7" t="s">
        <v>105</v>
      </c>
      <c r="G130" s="4" t="s">
        <v>195</v>
      </c>
      <c r="H130" s="11" t="s">
        <v>196</v>
      </c>
      <c r="I130" s="5" t="s">
        <v>742</v>
      </c>
      <c r="J130" s="5"/>
      <c r="K130" s="6">
        <f t="shared" si="3"/>
        <v>1</v>
      </c>
    </row>
    <row r="131" spans="1:11" ht="15" customHeight="1">
      <c r="A131" s="4">
        <v>123</v>
      </c>
      <c r="B131" s="5" t="s">
        <v>179</v>
      </c>
      <c r="C131" s="5" t="s">
        <v>856</v>
      </c>
      <c r="D131" s="5" t="s">
        <v>858</v>
      </c>
      <c r="E131" s="7" t="s">
        <v>105</v>
      </c>
      <c r="F131" s="7" t="s">
        <v>105</v>
      </c>
      <c r="G131" s="4" t="s">
        <v>195</v>
      </c>
      <c r="H131" s="11" t="s">
        <v>196</v>
      </c>
      <c r="I131" s="5" t="s">
        <v>742</v>
      </c>
      <c r="J131" s="5"/>
      <c r="K131" s="6">
        <f t="shared" si="3"/>
        <v>1</v>
      </c>
    </row>
    <row r="132" spans="1:11" ht="15" customHeight="1">
      <c r="A132" s="4">
        <v>124</v>
      </c>
      <c r="B132" s="5" t="s">
        <v>179</v>
      </c>
      <c r="C132" s="5" t="s">
        <v>856</v>
      </c>
      <c r="D132" s="5" t="s">
        <v>859</v>
      </c>
      <c r="E132" s="7" t="s">
        <v>105</v>
      </c>
      <c r="F132" s="7" t="s">
        <v>105</v>
      </c>
      <c r="G132" s="4" t="s">
        <v>195</v>
      </c>
      <c r="H132" s="11" t="s">
        <v>196</v>
      </c>
      <c r="I132" s="5" t="s">
        <v>742</v>
      </c>
      <c r="J132" s="5"/>
      <c r="K132" s="6">
        <f t="shared" si="3"/>
        <v>1</v>
      </c>
    </row>
    <row r="133" spans="1:11" ht="15" customHeight="1">
      <c r="A133" s="4">
        <v>125</v>
      </c>
      <c r="B133" s="5" t="s">
        <v>179</v>
      </c>
      <c r="C133" s="5" t="s">
        <v>856</v>
      </c>
      <c r="D133" s="5" t="s">
        <v>860</v>
      </c>
      <c r="E133" s="7" t="s">
        <v>105</v>
      </c>
      <c r="F133" s="7" t="s">
        <v>105</v>
      </c>
      <c r="G133" s="4" t="s">
        <v>195</v>
      </c>
      <c r="H133" s="11" t="s">
        <v>196</v>
      </c>
      <c r="I133" s="5" t="s">
        <v>742</v>
      </c>
      <c r="J133" s="5"/>
      <c r="K133" s="6">
        <f t="shared" si="3"/>
        <v>1</v>
      </c>
    </row>
    <row r="134" spans="1:11" ht="15" customHeight="1">
      <c r="A134" s="4">
        <v>126</v>
      </c>
      <c r="B134" s="5" t="s">
        <v>179</v>
      </c>
      <c r="C134" s="5" t="s">
        <v>856</v>
      </c>
      <c r="D134" s="5" t="s">
        <v>861</v>
      </c>
      <c r="E134" s="7" t="s">
        <v>105</v>
      </c>
      <c r="F134" s="7" t="s">
        <v>105</v>
      </c>
      <c r="G134" s="4" t="s">
        <v>195</v>
      </c>
      <c r="H134" s="11" t="s">
        <v>196</v>
      </c>
      <c r="I134" s="5" t="s">
        <v>742</v>
      </c>
      <c r="J134" s="5"/>
      <c r="K134" s="6">
        <f t="shared" si="3"/>
        <v>1</v>
      </c>
    </row>
    <row r="135" spans="1:11" ht="15" customHeight="1">
      <c r="A135" s="4">
        <v>127</v>
      </c>
      <c r="B135" s="5" t="s">
        <v>179</v>
      </c>
      <c r="C135" s="5" t="s">
        <v>856</v>
      </c>
      <c r="D135" s="5" t="s">
        <v>862</v>
      </c>
      <c r="E135" s="7" t="s">
        <v>105</v>
      </c>
      <c r="F135" s="7" t="s">
        <v>105</v>
      </c>
      <c r="G135" s="4" t="s">
        <v>195</v>
      </c>
      <c r="H135" s="11" t="s">
        <v>196</v>
      </c>
      <c r="I135" s="5" t="s">
        <v>742</v>
      </c>
      <c r="J135" s="5"/>
      <c r="K135" s="6">
        <f t="shared" si="3"/>
        <v>1</v>
      </c>
    </row>
    <row r="136" spans="1:11" ht="15" customHeight="1">
      <c r="A136" s="4">
        <v>128</v>
      </c>
      <c r="B136" s="5" t="s">
        <v>179</v>
      </c>
      <c r="C136" s="5" t="s">
        <v>856</v>
      </c>
      <c r="D136" s="5" t="s">
        <v>863</v>
      </c>
      <c r="E136" s="7" t="s">
        <v>105</v>
      </c>
      <c r="F136" s="7" t="s">
        <v>105</v>
      </c>
      <c r="G136" s="4" t="s">
        <v>195</v>
      </c>
      <c r="H136" s="11" t="s">
        <v>196</v>
      </c>
      <c r="I136" s="5" t="s">
        <v>742</v>
      </c>
      <c r="J136" s="5"/>
      <c r="K136" s="6">
        <f t="shared" si="3"/>
        <v>1</v>
      </c>
    </row>
    <row r="137" spans="1:11" ht="15" customHeight="1">
      <c r="A137" s="4">
        <v>129</v>
      </c>
      <c r="B137" s="5" t="s">
        <v>179</v>
      </c>
      <c r="C137" s="5" t="s">
        <v>856</v>
      </c>
      <c r="D137" s="5" t="s">
        <v>864</v>
      </c>
      <c r="E137" s="7" t="s">
        <v>105</v>
      </c>
      <c r="F137" s="7" t="s">
        <v>105</v>
      </c>
      <c r="G137" s="4" t="s">
        <v>195</v>
      </c>
      <c r="H137" s="11" t="s">
        <v>196</v>
      </c>
      <c r="I137" s="5" t="s">
        <v>742</v>
      </c>
      <c r="J137" s="5"/>
      <c r="K137" s="6">
        <f t="shared" ref="K137:K168" si="4">IF(AND(E137="yes",F137="yes",H137="covered"),1,IF(H137="partial",0.5,0))</f>
        <v>1</v>
      </c>
    </row>
    <row r="138" spans="1:11" ht="15" customHeight="1">
      <c r="A138" s="4">
        <v>130</v>
      </c>
      <c r="B138" s="5" t="s">
        <v>179</v>
      </c>
      <c r="C138" s="5" t="s">
        <v>856</v>
      </c>
      <c r="D138" s="5" t="s">
        <v>865</v>
      </c>
      <c r="E138" s="7" t="s">
        <v>105</v>
      </c>
      <c r="F138" s="7" t="s">
        <v>105</v>
      </c>
      <c r="G138" s="4" t="s">
        <v>195</v>
      </c>
      <c r="H138" s="11" t="s">
        <v>196</v>
      </c>
      <c r="I138" s="5" t="s">
        <v>742</v>
      </c>
      <c r="J138" s="5"/>
      <c r="K138" s="6">
        <f t="shared" si="4"/>
        <v>1</v>
      </c>
    </row>
    <row r="139" spans="1:11" ht="15" customHeight="1">
      <c r="A139" s="4">
        <v>131</v>
      </c>
      <c r="B139" s="5" t="s">
        <v>179</v>
      </c>
      <c r="C139" s="5" t="s">
        <v>856</v>
      </c>
      <c r="D139" s="5" t="s">
        <v>866</v>
      </c>
      <c r="E139" s="7" t="s">
        <v>105</v>
      </c>
      <c r="F139" s="7" t="s">
        <v>105</v>
      </c>
      <c r="G139" s="4" t="s">
        <v>195</v>
      </c>
      <c r="H139" s="11" t="s">
        <v>196</v>
      </c>
      <c r="I139" s="5" t="s">
        <v>742</v>
      </c>
      <c r="J139" s="5"/>
      <c r="K139" s="6">
        <f t="shared" si="4"/>
        <v>1</v>
      </c>
    </row>
    <row r="140" spans="1:11" ht="15" customHeight="1">
      <c r="A140" s="4">
        <v>132</v>
      </c>
      <c r="B140" s="5" t="s">
        <v>179</v>
      </c>
      <c r="C140" s="5" t="s">
        <v>856</v>
      </c>
      <c r="D140" s="5" t="s">
        <v>867</v>
      </c>
      <c r="E140" s="7" t="s">
        <v>105</v>
      </c>
      <c r="F140" s="7" t="s">
        <v>105</v>
      </c>
      <c r="G140" s="4" t="s">
        <v>195</v>
      </c>
      <c r="H140" s="11" t="s">
        <v>196</v>
      </c>
      <c r="I140" s="5" t="s">
        <v>742</v>
      </c>
      <c r="J140" s="5"/>
      <c r="K140" s="6">
        <f t="shared" si="4"/>
        <v>1</v>
      </c>
    </row>
    <row r="141" spans="1:11" ht="15" customHeight="1">
      <c r="A141" s="4">
        <v>133</v>
      </c>
      <c r="B141" s="5" t="s">
        <v>179</v>
      </c>
      <c r="C141" s="5" t="s">
        <v>856</v>
      </c>
      <c r="D141" s="5" t="s">
        <v>868</v>
      </c>
      <c r="E141" s="7" t="s">
        <v>105</v>
      </c>
      <c r="F141" s="7" t="s">
        <v>105</v>
      </c>
      <c r="G141" s="4" t="s">
        <v>195</v>
      </c>
      <c r="H141" s="11" t="s">
        <v>196</v>
      </c>
      <c r="I141" s="5" t="s">
        <v>742</v>
      </c>
      <c r="J141" s="5"/>
      <c r="K141" s="6">
        <f t="shared" si="4"/>
        <v>1</v>
      </c>
    </row>
    <row r="142" spans="1:11" ht="15" customHeight="1">
      <c r="A142" s="4">
        <v>134</v>
      </c>
      <c r="B142" s="5" t="s">
        <v>179</v>
      </c>
      <c r="C142" s="5" t="s">
        <v>856</v>
      </c>
      <c r="D142" s="5" t="s">
        <v>869</v>
      </c>
      <c r="E142" s="7" t="s">
        <v>105</v>
      </c>
      <c r="F142" s="7" t="s">
        <v>105</v>
      </c>
      <c r="G142" s="4" t="s">
        <v>195</v>
      </c>
      <c r="H142" s="11" t="s">
        <v>196</v>
      </c>
      <c r="I142" s="5" t="s">
        <v>742</v>
      </c>
      <c r="J142" s="5"/>
      <c r="K142" s="6">
        <f t="shared" si="4"/>
        <v>1</v>
      </c>
    </row>
    <row r="143" spans="1:11" ht="15" customHeight="1">
      <c r="A143" s="4">
        <v>135</v>
      </c>
      <c r="B143" s="5" t="s">
        <v>179</v>
      </c>
      <c r="C143" s="5" t="s">
        <v>856</v>
      </c>
      <c r="D143" s="5" t="s">
        <v>870</v>
      </c>
      <c r="E143" s="7" t="s">
        <v>105</v>
      </c>
      <c r="F143" s="7" t="s">
        <v>105</v>
      </c>
      <c r="G143" s="4" t="s">
        <v>195</v>
      </c>
      <c r="H143" s="11" t="s">
        <v>196</v>
      </c>
      <c r="I143" s="5" t="s">
        <v>742</v>
      </c>
      <c r="J143" s="5"/>
      <c r="K143" s="6">
        <f t="shared" si="4"/>
        <v>1</v>
      </c>
    </row>
    <row r="144" spans="1:11" ht="15" customHeight="1">
      <c r="A144" s="4">
        <v>136</v>
      </c>
      <c r="B144" s="5" t="s">
        <v>179</v>
      </c>
      <c r="C144" s="5" t="s">
        <v>856</v>
      </c>
      <c r="D144" s="5" t="s">
        <v>871</v>
      </c>
      <c r="E144" s="7" t="s">
        <v>105</v>
      </c>
      <c r="F144" s="7" t="s">
        <v>105</v>
      </c>
      <c r="G144" s="4" t="s">
        <v>195</v>
      </c>
      <c r="H144" s="11" t="s">
        <v>196</v>
      </c>
      <c r="I144" s="5" t="s">
        <v>742</v>
      </c>
      <c r="J144" s="5"/>
      <c r="K144" s="6">
        <f t="shared" si="4"/>
        <v>1</v>
      </c>
    </row>
    <row r="145" spans="1:11" ht="15" customHeight="1">
      <c r="A145" s="4">
        <v>137</v>
      </c>
      <c r="B145" s="5" t="s">
        <v>179</v>
      </c>
      <c r="C145" s="5" t="s">
        <v>856</v>
      </c>
      <c r="D145" s="5" t="s">
        <v>872</v>
      </c>
      <c r="E145" s="7" t="s">
        <v>105</v>
      </c>
      <c r="F145" s="7" t="s">
        <v>105</v>
      </c>
      <c r="G145" s="4" t="s">
        <v>195</v>
      </c>
      <c r="H145" s="11" t="s">
        <v>196</v>
      </c>
      <c r="I145" s="5" t="s">
        <v>742</v>
      </c>
      <c r="J145" s="5"/>
      <c r="K145" s="6">
        <f t="shared" si="4"/>
        <v>1</v>
      </c>
    </row>
    <row r="146" spans="1:11" ht="15" customHeight="1">
      <c r="A146" s="4">
        <v>138</v>
      </c>
      <c r="B146" s="5" t="s">
        <v>179</v>
      </c>
      <c r="C146" s="5" t="s">
        <v>856</v>
      </c>
      <c r="D146" s="5" t="s">
        <v>873</v>
      </c>
      <c r="E146" s="7" t="s">
        <v>105</v>
      </c>
      <c r="F146" s="7" t="s">
        <v>105</v>
      </c>
      <c r="G146" s="4" t="s">
        <v>195</v>
      </c>
      <c r="H146" s="11" t="s">
        <v>196</v>
      </c>
      <c r="I146" s="5" t="s">
        <v>742</v>
      </c>
      <c r="J146" s="5"/>
      <c r="K146" s="6">
        <f t="shared" si="4"/>
        <v>1</v>
      </c>
    </row>
    <row r="147" spans="1:11" ht="15" customHeight="1">
      <c r="A147" s="4">
        <v>139</v>
      </c>
      <c r="B147" s="5" t="s">
        <v>874</v>
      </c>
      <c r="C147" s="5" t="s">
        <v>875</v>
      </c>
      <c r="D147" s="5" t="s">
        <v>876</v>
      </c>
      <c r="E147" s="7" t="s">
        <v>105</v>
      </c>
      <c r="F147" s="7" t="s">
        <v>105</v>
      </c>
      <c r="G147" s="4" t="s">
        <v>195</v>
      </c>
      <c r="H147" s="11" t="s">
        <v>196</v>
      </c>
      <c r="I147" s="5" t="s">
        <v>742</v>
      </c>
      <c r="J147" s="5"/>
      <c r="K147" s="6">
        <f t="shared" si="4"/>
        <v>1</v>
      </c>
    </row>
    <row r="148" spans="1:11" ht="15" customHeight="1">
      <c r="A148" s="4">
        <v>140</v>
      </c>
      <c r="B148" s="5" t="s">
        <v>874</v>
      </c>
      <c r="C148" s="5" t="s">
        <v>875</v>
      </c>
      <c r="D148" s="5" t="s">
        <v>877</v>
      </c>
      <c r="E148" s="7" t="s">
        <v>105</v>
      </c>
      <c r="F148" s="7" t="s">
        <v>105</v>
      </c>
      <c r="G148" s="4" t="s">
        <v>195</v>
      </c>
      <c r="H148" s="11" t="s">
        <v>196</v>
      </c>
      <c r="I148" s="5" t="s">
        <v>742</v>
      </c>
      <c r="J148" s="5"/>
      <c r="K148" s="6">
        <f t="shared" si="4"/>
        <v>1</v>
      </c>
    </row>
    <row r="149" spans="1:11" ht="30" customHeight="1">
      <c r="A149" s="4">
        <v>141</v>
      </c>
      <c r="B149" s="5" t="s">
        <v>874</v>
      </c>
      <c r="C149" s="5" t="s">
        <v>875</v>
      </c>
      <c r="D149" s="5" t="s">
        <v>878</v>
      </c>
      <c r="E149" s="7" t="s">
        <v>105</v>
      </c>
      <c r="F149" s="7" t="s">
        <v>105</v>
      </c>
      <c r="G149" s="4" t="s">
        <v>195</v>
      </c>
      <c r="H149" s="11" t="s">
        <v>196</v>
      </c>
      <c r="I149" s="5" t="s">
        <v>742</v>
      </c>
      <c r="J149" s="5"/>
      <c r="K149" s="6">
        <f t="shared" si="4"/>
        <v>1</v>
      </c>
    </row>
    <row r="150" spans="1:11" ht="15" customHeight="1">
      <c r="A150" s="4">
        <v>142</v>
      </c>
      <c r="B150" s="5" t="s">
        <v>874</v>
      </c>
      <c r="C150" s="5" t="s">
        <v>875</v>
      </c>
      <c r="D150" s="5" t="s">
        <v>879</v>
      </c>
      <c r="E150" s="7" t="s">
        <v>105</v>
      </c>
      <c r="F150" s="7" t="s">
        <v>105</v>
      </c>
      <c r="G150" s="4" t="s">
        <v>195</v>
      </c>
      <c r="H150" s="11" t="s">
        <v>196</v>
      </c>
      <c r="I150" s="5" t="s">
        <v>742</v>
      </c>
      <c r="J150" s="5"/>
      <c r="K150" s="6">
        <f t="shared" si="4"/>
        <v>1</v>
      </c>
    </row>
    <row r="151" spans="1:11" ht="15" customHeight="1">
      <c r="A151" s="4">
        <v>143</v>
      </c>
      <c r="B151" s="5" t="s">
        <v>874</v>
      </c>
      <c r="C151" s="5" t="s">
        <v>875</v>
      </c>
      <c r="D151" s="5" t="s">
        <v>880</v>
      </c>
      <c r="E151" s="7" t="s">
        <v>105</v>
      </c>
      <c r="F151" s="7" t="s">
        <v>105</v>
      </c>
      <c r="G151" s="4" t="s">
        <v>195</v>
      </c>
      <c r="H151" s="11" t="s">
        <v>196</v>
      </c>
      <c r="I151" s="5" t="s">
        <v>742</v>
      </c>
      <c r="J151" s="5"/>
      <c r="K151" s="6">
        <f t="shared" si="4"/>
        <v>1</v>
      </c>
    </row>
    <row r="152" spans="1:11" ht="15" customHeight="1">
      <c r="A152" s="4">
        <v>144</v>
      </c>
      <c r="B152" s="5" t="s">
        <v>539</v>
      </c>
      <c r="C152" s="5" t="s">
        <v>881</v>
      </c>
      <c r="D152" s="5" t="s">
        <v>882</v>
      </c>
      <c r="E152" s="7" t="s">
        <v>105</v>
      </c>
      <c r="F152" s="7" t="s">
        <v>105</v>
      </c>
      <c r="G152" s="4" t="s">
        <v>195</v>
      </c>
      <c r="H152" s="11" t="s">
        <v>196</v>
      </c>
      <c r="I152" s="5" t="s">
        <v>742</v>
      </c>
      <c r="J152" s="5"/>
      <c r="K152" s="6">
        <f t="shared" si="4"/>
        <v>1</v>
      </c>
    </row>
    <row r="153" spans="1:11" ht="15" customHeight="1">
      <c r="A153" s="4">
        <v>145</v>
      </c>
      <c r="B153" s="5" t="s">
        <v>539</v>
      </c>
      <c r="C153" s="5" t="s">
        <v>881</v>
      </c>
      <c r="D153" s="5" t="s">
        <v>883</v>
      </c>
      <c r="E153" s="7" t="s">
        <v>105</v>
      </c>
      <c r="F153" s="7" t="s">
        <v>105</v>
      </c>
      <c r="G153" s="4" t="s">
        <v>195</v>
      </c>
      <c r="H153" s="11" t="s">
        <v>196</v>
      </c>
      <c r="I153" s="5" t="s">
        <v>742</v>
      </c>
      <c r="J153" s="5"/>
      <c r="K153" s="6">
        <f t="shared" si="4"/>
        <v>1</v>
      </c>
    </row>
    <row r="154" spans="1:11" ht="15" customHeight="1">
      <c r="A154" s="4">
        <v>146</v>
      </c>
      <c r="B154" s="5" t="s">
        <v>539</v>
      </c>
      <c r="C154" s="5" t="s">
        <v>881</v>
      </c>
      <c r="D154" s="5" t="s">
        <v>884</v>
      </c>
      <c r="E154" s="7" t="s">
        <v>105</v>
      </c>
      <c r="F154" s="7" t="s">
        <v>105</v>
      </c>
      <c r="G154" s="4" t="s">
        <v>195</v>
      </c>
      <c r="H154" s="11" t="s">
        <v>196</v>
      </c>
      <c r="I154" s="5" t="s">
        <v>742</v>
      </c>
      <c r="J154" s="5"/>
      <c r="K154" s="6">
        <f t="shared" si="4"/>
        <v>1</v>
      </c>
    </row>
    <row r="155" spans="1:11" ht="15" customHeight="1">
      <c r="A155" s="4">
        <v>147</v>
      </c>
      <c r="B155" s="5" t="s">
        <v>539</v>
      </c>
      <c r="C155" s="5" t="s">
        <v>881</v>
      </c>
      <c r="D155" s="5" t="s">
        <v>885</v>
      </c>
      <c r="E155" s="7" t="s">
        <v>105</v>
      </c>
      <c r="F155" s="7" t="s">
        <v>105</v>
      </c>
      <c r="G155" s="4" t="s">
        <v>195</v>
      </c>
      <c r="H155" s="11" t="s">
        <v>196</v>
      </c>
      <c r="I155" s="5" t="s">
        <v>742</v>
      </c>
      <c r="J155" s="5"/>
      <c r="K155" s="6">
        <f t="shared" si="4"/>
        <v>1</v>
      </c>
    </row>
    <row r="156" spans="1:11" ht="15" customHeight="1">
      <c r="A156" s="4">
        <v>148</v>
      </c>
      <c r="B156" s="5" t="s">
        <v>539</v>
      </c>
      <c r="C156" s="5" t="s">
        <v>881</v>
      </c>
      <c r="D156" s="5" t="s">
        <v>886</v>
      </c>
      <c r="E156" s="7" t="s">
        <v>105</v>
      </c>
      <c r="F156" s="7" t="s">
        <v>105</v>
      </c>
      <c r="G156" s="4" t="s">
        <v>195</v>
      </c>
      <c r="H156" s="11" t="s">
        <v>196</v>
      </c>
      <c r="I156" s="5" t="s">
        <v>742</v>
      </c>
      <c r="J156" s="5"/>
      <c r="K156" s="6">
        <f t="shared" si="4"/>
        <v>1</v>
      </c>
    </row>
    <row r="157" spans="1:11" ht="15" customHeight="1">
      <c r="A157" s="4">
        <v>149</v>
      </c>
      <c r="B157" s="5" t="s">
        <v>539</v>
      </c>
      <c r="C157" s="5" t="s">
        <v>881</v>
      </c>
      <c r="D157" s="5" t="s">
        <v>887</v>
      </c>
      <c r="E157" s="7" t="s">
        <v>105</v>
      </c>
      <c r="F157" s="7" t="s">
        <v>105</v>
      </c>
      <c r="G157" s="4" t="s">
        <v>195</v>
      </c>
      <c r="H157" s="11" t="s">
        <v>196</v>
      </c>
      <c r="I157" s="5" t="s">
        <v>742</v>
      </c>
      <c r="J157" s="5"/>
      <c r="K157" s="6">
        <f t="shared" si="4"/>
        <v>1</v>
      </c>
    </row>
    <row r="158" spans="1:11" ht="15" customHeight="1">
      <c r="A158" s="4">
        <v>150</v>
      </c>
      <c r="B158" s="5" t="s">
        <v>539</v>
      </c>
      <c r="C158" s="5" t="s">
        <v>881</v>
      </c>
      <c r="D158" s="5" t="s">
        <v>888</v>
      </c>
      <c r="E158" s="7" t="s">
        <v>105</v>
      </c>
      <c r="F158" s="7" t="s">
        <v>105</v>
      </c>
      <c r="G158" s="4" t="s">
        <v>195</v>
      </c>
      <c r="H158" s="11" t="s">
        <v>196</v>
      </c>
      <c r="I158" s="5" t="s">
        <v>742</v>
      </c>
      <c r="J158" s="5"/>
      <c r="K158" s="6">
        <f t="shared" si="4"/>
        <v>1</v>
      </c>
    </row>
    <row r="159" spans="1:11" ht="15" customHeight="1">
      <c r="A159" s="4">
        <v>151</v>
      </c>
      <c r="B159" s="5" t="s">
        <v>130</v>
      </c>
      <c r="C159" s="5" t="s">
        <v>889</v>
      </c>
      <c r="D159" s="5" t="s">
        <v>890</v>
      </c>
      <c r="E159" s="7" t="s">
        <v>105</v>
      </c>
      <c r="F159" s="7" t="s">
        <v>105</v>
      </c>
      <c r="G159" s="4" t="s">
        <v>195</v>
      </c>
      <c r="H159" s="11" t="s">
        <v>196</v>
      </c>
      <c r="I159" s="5" t="s">
        <v>742</v>
      </c>
      <c r="J159" s="5"/>
      <c r="K159" s="6">
        <f t="shared" si="4"/>
        <v>1</v>
      </c>
    </row>
    <row r="160" spans="1:11" ht="15" customHeight="1">
      <c r="A160" s="4">
        <v>152</v>
      </c>
      <c r="B160" s="5" t="s">
        <v>130</v>
      </c>
      <c r="C160" s="5" t="s">
        <v>889</v>
      </c>
      <c r="D160" s="5" t="s">
        <v>891</v>
      </c>
      <c r="E160" s="7" t="s">
        <v>105</v>
      </c>
      <c r="F160" s="7" t="s">
        <v>105</v>
      </c>
      <c r="G160" s="4" t="s">
        <v>195</v>
      </c>
      <c r="H160" s="11" t="s">
        <v>196</v>
      </c>
      <c r="I160" s="5" t="s">
        <v>742</v>
      </c>
      <c r="J160" s="5"/>
      <c r="K160" s="6">
        <f t="shared" si="4"/>
        <v>1</v>
      </c>
    </row>
    <row r="161" spans="1:11" ht="15" customHeight="1">
      <c r="A161" s="4">
        <v>153</v>
      </c>
      <c r="B161" s="5" t="s">
        <v>130</v>
      </c>
      <c r="C161" s="5" t="s">
        <v>892</v>
      </c>
      <c r="D161" s="5" t="s">
        <v>893</v>
      </c>
      <c r="E161" s="7" t="s">
        <v>105</v>
      </c>
      <c r="F161" s="7" t="s">
        <v>105</v>
      </c>
      <c r="G161" s="4" t="s">
        <v>195</v>
      </c>
      <c r="H161" s="11" t="s">
        <v>196</v>
      </c>
      <c r="I161" s="5" t="s">
        <v>742</v>
      </c>
      <c r="J161" s="5"/>
      <c r="K161" s="6">
        <f t="shared" si="4"/>
        <v>1</v>
      </c>
    </row>
    <row r="162" spans="1:11" ht="15" customHeight="1">
      <c r="A162" s="4">
        <v>154</v>
      </c>
      <c r="B162" s="5" t="s">
        <v>130</v>
      </c>
      <c r="C162" s="5" t="s">
        <v>892</v>
      </c>
      <c r="D162" s="5" t="s">
        <v>894</v>
      </c>
      <c r="E162" s="7" t="s">
        <v>105</v>
      </c>
      <c r="F162" s="7" t="s">
        <v>105</v>
      </c>
      <c r="G162" s="4" t="s">
        <v>195</v>
      </c>
      <c r="H162" s="11" t="s">
        <v>196</v>
      </c>
      <c r="I162" s="5" t="s">
        <v>742</v>
      </c>
      <c r="J162" s="5"/>
      <c r="K162" s="6">
        <f t="shared" si="4"/>
        <v>1</v>
      </c>
    </row>
    <row r="163" spans="1:11" ht="15" customHeight="1">
      <c r="A163" s="4">
        <v>155</v>
      </c>
      <c r="B163" s="5" t="s">
        <v>130</v>
      </c>
      <c r="C163" s="5" t="s">
        <v>895</v>
      </c>
      <c r="D163" s="5" t="s">
        <v>896</v>
      </c>
      <c r="E163" s="7" t="s">
        <v>105</v>
      </c>
      <c r="F163" s="7" t="s">
        <v>105</v>
      </c>
      <c r="G163" s="4" t="s">
        <v>195</v>
      </c>
      <c r="H163" s="11" t="s">
        <v>196</v>
      </c>
      <c r="I163" s="5" t="s">
        <v>742</v>
      </c>
      <c r="J163" s="5"/>
      <c r="K163" s="6">
        <f t="shared" si="4"/>
        <v>1</v>
      </c>
    </row>
    <row r="164" spans="1:11" ht="15" customHeight="1">
      <c r="A164" s="4">
        <v>156</v>
      </c>
      <c r="B164" s="5" t="s">
        <v>130</v>
      </c>
      <c r="C164" s="5" t="s">
        <v>895</v>
      </c>
      <c r="D164" s="5" t="s">
        <v>897</v>
      </c>
      <c r="E164" s="7" t="s">
        <v>105</v>
      </c>
      <c r="F164" s="7" t="s">
        <v>105</v>
      </c>
      <c r="G164" s="4" t="s">
        <v>195</v>
      </c>
      <c r="H164" s="11" t="s">
        <v>196</v>
      </c>
      <c r="I164" s="5" t="s">
        <v>742</v>
      </c>
      <c r="J164" s="5"/>
      <c r="K164" s="6">
        <f t="shared" si="4"/>
        <v>1</v>
      </c>
    </row>
    <row r="165" spans="1:11" ht="15" customHeight="1">
      <c r="A165" s="4">
        <v>157</v>
      </c>
      <c r="B165" s="5" t="s">
        <v>130</v>
      </c>
      <c r="C165" s="5" t="s">
        <v>895</v>
      </c>
      <c r="D165" s="5" t="s">
        <v>898</v>
      </c>
      <c r="E165" s="7" t="s">
        <v>105</v>
      </c>
      <c r="F165" s="7" t="s">
        <v>105</v>
      </c>
      <c r="G165" s="4" t="s">
        <v>195</v>
      </c>
      <c r="H165" s="11" t="s">
        <v>196</v>
      </c>
      <c r="I165" s="5" t="s">
        <v>742</v>
      </c>
      <c r="J165" s="5"/>
      <c r="K165" s="6">
        <f t="shared" si="4"/>
        <v>1</v>
      </c>
    </row>
    <row r="166" spans="1:11" ht="15" customHeight="1">
      <c r="A166" s="4">
        <v>158</v>
      </c>
      <c r="B166" s="5" t="s">
        <v>130</v>
      </c>
      <c r="C166" s="5" t="s">
        <v>895</v>
      </c>
      <c r="D166" s="5" t="s">
        <v>899</v>
      </c>
      <c r="E166" s="7" t="s">
        <v>105</v>
      </c>
      <c r="F166" s="7" t="s">
        <v>105</v>
      </c>
      <c r="G166" s="4" t="s">
        <v>195</v>
      </c>
      <c r="H166" s="11" t="s">
        <v>196</v>
      </c>
      <c r="I166" s="5" t="s">
        <v>742</v>
      </c>
      <c r="J166" s="5"/>
      <c r="K166" s="6">
        <f t="shared" si="4"/>
        <v>1</v>
      </c>
    </row>
    <row r="167" spans="1:11" ht="15" customHeight="1">
      <c r="A167" s="4">
        <v>159</v>
      </c>
      <c r="B167" s="5" t="s">
        <v>130</v>
      </c>
      <c r="C167" s="5" t="s">
        <v>895</v>
      </c>
      <c r="D167" s="5" t="s">
        <v>900</v>
      </c>
      <c r="E167" s="7" t="s">
        <v>105</v>
      </c>
      <c r="F167" s="7" t="s">
        <v>105</v>
      </c>
      <c r="G167" s="4" t="s">
        <v>195</v>
      </c>
      <c r="H167" s="11" t="s">
        <v>196</v>
      </c>
      <c r="I167" s="5" t="s">
        <v>742</v>
      </c>
      <c r="J167" s="5"/>
      <c r="K167" s="6">
        <f t="shared" si="4"/>
        <v>1</v>
      </c>
    </row>
    <row r="168" spans="1:11" ht="15" customHeight="1">
      <c r="A168" s="4">
        <v>160</v>
      </c>
      <c r="B168" s="5" t="s">
        <v>130</v>
      </c>
      <c r="C168" s="5" t="s">
        <v>895</v>
      </c>
      <c r="D168" s="5" t="s">
        <v>901</v>
      </c>
      <c r="E168" s="7" t="s">
        <v>105</v>
      </c>
      <c r="F168" s="7" t="s">
        <v>105</v>
      </c>
      <c r="G168" s="4" t="s">
        <v>195</v>
      </c>
      <c r="H168" s="11" t="s">
        <v>196</v>
      </c>
      <c r="I168" s="5" t="s">
        <v>742</v>
      </c>
      <c r="J168" s="5"/>
      <c r="K168" s="6">
        <f t="shared" si="4"/>
        <v>1</v>
      </c>
    </row>
    <row r="169" spans="1:11" ht="15" customHeight="1">
      <c r="A169" s="4">
        <v>161</v>
      </c>
      <c r="B169" s="5" t="s">
        <v>130</v>
      </c>
      <c r="C169" s="5" t="s">
        <v>895</v>
      </c>
      <c r="D169" s="5" t="s">
        <v>902</v>
      </c>
      <c r="E169" s="7" t="s">
        <v>105</v>
      </c>
      <c r="F169" s="7" t="s">
        <v>105</v>
      </c>
      <c r="G169" s="4" t="s">
        <v>195</v>
      </c>
      <c r="H169" s="11" t="s">
        <v>196</v>
      </c>
      <c r="I169" s="5" t="s">
        <v>742</v>
      </c>
      <c r="J169" s="5"/>
      <c r="K169" s="6">
        <f t="shared" ref="K169:K197" si="5">IF(AND(E169="yes",F169="yes",H169="covered"),1,IF(H169="partial",0.5,0))</f>
        <v>1</v>
      </c>
    </row>
    <row r="170" spans="1:11" ht="15" customHeight="1">
      <c r="A170" s="4">
        <v>162</v>
      </c>
      <c r="B170" s="5" t="s">
        <v>130</v>
      </c>
      <c r="C170" s="5" t="s">
        <v>895</v>
      </c>
      <c r="D170" s="5" t="s">
        <v>903</v>
      </c>
      <c r="E170" s="7" t="s">
        <v>105</v>
      </c>
      <c r="F170" s="7" t="s">
        <v>105</v>
      </c>
      <c r="G170" s="4" t="s">
        <v>195</v>
      </c>
      <c r="H170" s="11" t="s">
        <v>196</v>
      </c>
      <c r="I170" s="5" t="s">
        <v>742</v>
      </c>
      <c r="J170" s="5"/>
      <c r="K170" s="6">
        <f t="shared" si="5"/>
        <v>1</v>
      </c>
    </row>
    <row r="171" spans="1:11" ht="15" customHeight="1">
      <c r="A171" s="4">
        <v>163</v>
      </c>
      <c r="B171" s="5" t="s">
        <v>904</v>
      </c>
      <c r="C171" s="5" t="s">
        <v>905</v>
      </c>
      <c r="D171" s="5" t="s">
        <v>906</v>
      </c>
      <c r="E171" s="7" t="s">
        <v>105</v>
      </c>
      <c r="F171" s="7" t="s">
        <v>105</v>
      </c>
      <c r="G171" s="4" t="s">
        <v>195</v>
      </c>
      <c r="H171" s="11" t="s">
        <v>196</v>
      </c>
      <c r="I171" s="5" t="s">
        <v>742</v>
      </c>
      <c r="J171" s="5"/>
      <c r="K171" s="6">
        <f t="shared" si="5"/>
        <v>1</v>
      </c>
    </row>
    <row r="172" spans="1:11" ht="15" customHeight="1">
      <c r="A172" s="4">
        <v>164</v>
      </c>
      <c r="B172" s="5" t="s">
        <v>904</v>
      </c>
      <c r="C172" s="5" t="s">
        <v>905</v>
      </c>
      <c r="D172" s="5" t="s">
        <v>907</v>
      </c>
      <c r="E172" s="7" t="s">
        <v>105</v>
      </c>
      <c r="F172" s="7" t="s">
        <v>105</v>
      </c>
      <c r="G172" s="4" t="s">
        <v>195</v>
      </c>
      <c r="H172" s="11" t="s">
        <v>196</v>
      </c>
      <c r="I172" s="5" t="s">
        <v>742</v>
      </c>
      <c r="J172" s="5"/>
      <c r="K172" s="6">
        <f t="shared" si="5"/>
        <v>1</v>
      </c>
    </row>
    <row r="173" spans="1:11" ht="15" customHeight="1">
      <c r="A173" s="4">
        <v>165</v>
      </c>
      <c r="B173" s="5" t="s">
        <v>904</v>
      </c>
      <c r="C173" s="5" t="s">
        <v>905</v>
      </c>
      <c r="D173" s="5" t="s">
        <v>908</v>
      </c>
      <c r="E173" s="7" t="s">
        <v>105</v>
      </c>
      <c r="F173" s="7" t="s">
        <v>105</v>
      </c>
      <c r="G173" s="4" t="s">
        <v>195</v>
      </c>
      <c r="H173" s="11" t="s">
        <v>196</v>
      </c>
      <c r="I173" s="5" t="s">
        <v>742</v>
      </c>
      <c r="J173" s="5"/>
      <c r="K173" s="6">
        <f t="shared" si="5"/>
        <v>1</v>
      </c>
    </row>
    <row r="174" spans="1:11" ht="15" customHeight="1">
      <c r="A174" s="4">
        <v>166</v>
      </c>
      <c r="B174" s="5" t="s">
        <v>904</v>
      </c>
      <c r="C174" s="5" t="s">
        <v>905</v>
      </c>
      <c r="D174" s="5" t="s">
        <v>909</v>
      </c>
      <c r="E174" s="7" t="s">
        <v>105</v>
      </c>
      <c r="F174" s="7" t="s">
        <v>105</v>
      </c>
      <c r="G174" s="4" t="s">
        <v>195</v>
      </c>
      <c r="H174" s="11" t="s">
        <v>196</v>
      </c>
      <c r="I174" s="5" t="s">
        <v>742</v>
      </c>
      <c r="J174" s="5"/>
      <c r="K174" s="6">
        <f t="shared" si="5"/>
        <v>1</v>
      </c>
    </row>
    <row r="175" spans="1:11" ht="30" customHeight="1">
      <c r="A175" s="4">
        <v>167</v>
      </c>
      <c r="B175" s="5" t="s">
        <v>904</v>
      </c>
      <c r="C175" s="5" t="s">
        <v>905</v>
      </c>
      <c r="D175" s="5" t="s">
        <v>910</v>
      </c>
      <c r="E175" s="7" t="s">
        <v>105</v>
      </c>
      <c r="F175" s="7" t="s">
        <v>105</v>
      </c>
      <c r="G175" s="4" t="s">
        <v>195</v>
      </c>
      <c r="H175" s="11" t="s">
        <v>196</v>
      </c>
      <c r="I175" s="5" t="s">
        <v>742</v>
      </c>
      <c r="J175" s="5"/>
      <c r="K175" s="6">
        <f t="shared" si="5"/>
        <v>1</v>
      </c>
    </row>
    <row r="176" spans="1:11" ht="30" customHeight="1">
      <c r="A176" s="4">
        <v>168</v>
      </c>
      <c r="B176" s="5" t="s">
        <v>904</v>
      </c>
      <c r="C176" s="5" t="s">
        <v>905</v>
      </c>
      <c r="D176" s="5" t="s">
        <v>911</v>
      </c>
      <c r="E176" s="7" t="s">
        <v>105</v>
      </c>
      <c r="F176" s="7" t="s">
        <v>105</v>
      </c>
      <c r="G176" s="4" t="s">
        <v>195</v>
      </c>
      <c r="H176" s="11" t="s">
        <v>196</v>
      </c>
      <c r="I176" s="5" t="s">
        <v>742</v>
      </c>
      <c r="J176" s="5"/>
      <c r="K176" s="6">
        <f t="shared" si="5"/>
        <v>1</v>
      </c>
    </row>
    <row r="177" spans="1:11" ht="30" customHeight="1">
      <c r="A177" s="4">
        <v>169</v>
      </c>
      <c r="B177" s="5" t="s">
        <v>912</v>
      </c>
      <c r="C177" s="5" t="s">
        <v>55</v>
      </c>
      <c r="D177" s="5" t="s">
        <v>913</v>
      </c>
      <c r="E177" s="7" t="s">
        <v>105</v>
      </c>
      <c r="F177" s="7" t="s">
        <v>105</v>
      </c>
      <c r="G177" s="4" t="s">
        <v>195</v>
      </c>
      <c r="H177" s="11" t="s">
        <v>196</v>
      </c>
      <c r="I177" s="5" t="s">
        <v>742</v>
      </c>
      <c r="J177" s="5"/>
      <c r="K177" s="6">
        <f t="shared" si="5"/>
        <v>1</v>
      </c>
    </row>
    <row r="178" spans="1:11" ht="30" customHeight="1">
      <c r="A178" s="4">
        <v>170</v>
      </c>
      <c r="B178" s="5" t="s">
        <v>912</v>
      </c>
      <c r="C178" s="5" t="s">
        <v>55</v>
      </c>
      <c r="D178" s="5" t="s">
        <v>914</v>
      </c>
      <c r="E178" s="7" t="s">
        <v>105</v>
      </c>
      <c r="F178" s="7" t="s">
        <v>105</v>
      </c>
      <c r="G178" s="4" t="s">
        <v>195</v>
      </c>
      <c r="H178" s="11" t="s">
        <v>196</v>
      </c>
      <c r="I178" s="5" t="s">
        <v>742</v>
      </c>
      <c r="J178" s="5"/>
      <c r="K178" s="6">
        <f t="shared" si="5"/>
        <v>1</v>
      </c>
    </row>
    <row r="179" spans="1:11" ht="30" customHeight="1">
      <c r="A179" s="4">
        <v>171</v>
      </c>
      <c r="B179" s="5" t="s">
        <v>912</v>
      </c>
      <c r="C179" s="5" t="s">
        <v>55</v>
      </c>
      <c r="D179" s="5" t="s">
        <v>915</v>
      </c>
      <c r="E179" s="7" t="s">
        <v>105</v>
      </c>
      <c r="F179" s="7" t="s">
        <v>105</v>
      </c>
      <c r="G179" s="4" t="s">
        <v>195</v>
      </c>
      <c r="H179" s="11" t="s">
        <v>196</v>
      </c>
      <c r="I179" s="5" t="s">
        <v>742</v>
      </c>
      <c r="J179" s="5"/>
      <c r="K179" s="6">
        <f t="shared" si="5"/>
        <v>1</v>
      </c>
    </row>
    <row r="180" spans="1:11" ht="15" customHeight="1">
      <c r="A180" s="4">
        <v>172</v>
      </c>
      <c r="B180" s="5" t="s">
        <v>912</v>
      </c>
      <c r="C180" s="5" t="s">
        <v>55</v>
      </c>
      <c r="D180" s="5" t="s">
        <v>916</v>
      </c>
      <c r="E180" s="7" t="s">
        <v>105</v>
      </c>
      <c r="F180" s="7" t="s">
        <v>105</v>
      </c>
      <c r="G180" s="4" t="s">
        <v>195</v>
      </c>
      <c r="H180" s="11" t="s">
        <v>196</v>
      </c>
      <c r="I180" s="5" t="s">
        <v>742</v>
      </c>
      <c r="J180" s="5"/>
      <c r="K180" s="6">
        <f t="shared" si="5"/>
        <v>1</v>
      </c>
    </row>
    <row r="181" spans="1:11" ht="15" customHeight="1">
      <c r="A181" s="4">
        <v>173</v>
      </c>
      <c r="B181" s="5" t="s">
        <v>912</v>
      </c>
      <c r="C181" s="5" t="s">
        <v>55</v>
      </c>
      <c r="D181" s="5" t="s">
        <v>917</v>
      </c>
      <c r="E181" s="7" t="s">
        <v>105</v>
      </c>
      <c r="F181" s="7" t="s">
        <v>105</v>
      </c>
      <c r="G181" s="4" t="s">
        <v>195</v>
      </c>
      <c r="H181" s="11" t="s">
        <v>196</v>
      </c>
      <c r="I181" s="5" t="s">
        <v>742</v>
      </c>
      <c r="J181" s="5"/>
      <c r="K181" s="6">
        <f t="shared" si="5"/>
        <v>1</v>
      </c>
    </row>
    <row r="182" spans="1:11" ht="15" customHeight="1">
      <c r="A182" s="4">
        <v>174</v>
      </c>
      <c r="B182" s="5" t="s">
        <v>918</v>
      </c>
      <c r="C182" s="5" t="s">
        <v>919</v>
      </c>
      <c r="D182" s="5" t="s">
        <v>920</v>
      </c>
      <c r="E182" s="7" t="s">
        <v>105</v>
      </c>
      <c r="F182" s="7" t="s">
        <v>105</v>
      </c>
      <c r="G182" s="4" t="s">
        <v>195</v>
      </c>
      <c r="H182" s="11" t="s">
        <v>196</v>
      </c>
      <c r="I182" s="5" t="s">
        <v>742</v>
      </c>
      <c r="J182" s="5"/>
      <c r="K182" s="6">
        <f t="shared" si="5"/>
        <v>1</v>
      </c>
    </row>
    <row r="183" spans="1:11" ht="15" customHeight="1">
      <c r="A183" s="4">
        <v>175</v>
      </c>
      <c r="B183" s="5" t="s">
        <v>918</v>
      </c>
      <c r="C183" s="5" t="s">
        <v>919</v>
      </c>
      <c r="D183" s="5" t="s">
        <v>921</v>
      </c>
      <c r="E183" s="7" t="s">
        <v>105</v>
      </c>
      <c r="F183" s="7" t="s">
        <v>105</v>
      </c>
      <c r="G183" s="4" t="s">
        <v>195</v>
      </c>
      <c r="H183" s="11" t="s">
        <v>196</v>
      </c>
      <c r="I183" s="5" t="s">
        <v>742</v>
      </c>
      <c r="J183" s="5"/>
      <c r="K183" s="6">
        <f t="shared" si="5"/>
        <v>1</v>
      </c>
    </row>
    <row r="184" spans="1:11" ht="15" customHeight="1">
      <c r="A184" s="4">
        <v>176</v>
      </c>
      <c r="B184" s="5" t="s">
        <v>918</v>
      </c>
      <c r="C184" s="5" t="s">
        <v>919</v>
      </c>
      <c r="D184" s="5" t="s">
        <v>922</v>
      </c>
      <c r="E184" s="7" t="s">
        <v>105</v>
      </c>
      <c r="F184" s="7" t="s">
        <v>105</v>
      </c>
      <c r="G184" s="4" t="s">
        <v>195</v>
      </c>
      <c r="H184" s="11" t="s">
        <v>196</v>
      </c>
      <c r="I184" s="5" t="s">
        <v>742</v>
      </c>
      <c r="J184" s="5"/>
      <c r="K184" s="6">
        <f t="shared" si="5"/>
        <v>1</v>
      </c>
    </row>
    <row r="185" spans="1:11" ht="15" customHeight="1">
      <c r="A185" s="4">
        <v>177</v>
      </c>
      <c r="B185" s="5" t="s">
        <v>918</v>
      </c>
      <c r="C185" s="5" t="s">
        <v>919</v>
      </c>
      <c r="D185" s="5" t="s">
        <v>923</v>
      </c>
      <c r="E185" s="7" t="s">
        <v>105</v>
      </c>
      <c r="F185" s="7" t="s">
        <v>105</v>
      </c>
      <c r="G185" s="4" t="s">
        <v>195</v>
      </c>
      <c r="H185" s="11" t="s">
        <v>196</v>
      </c>
      <c r="I185" s="5" t="s">
        <v>742</v>
      </c>
      <c r="J185" s="5"/>
      <c r="K185" s="6">
        <f t="shared" si="5"/>
        <v>1</v>
      </c>
    </row>
    <row r="186" spans="1:11" ht="30" customHeight="1">
      <c r="A186" s="4">
        <v>178</v>
      </c>
      <c r="B186" s="5" t="s">
        <v>918</v>
      </c>
      <c r="C186" s="5" t="s">
        <v>919</v>
      </c>
      <c r="D186" s="5" t="s">
        <v>924</v>
      </c>
      <c r="E186" s="7" t="s">
        <v>105</v>
      </c>
      <c r="F186" s="7" t="s">
        <v>105</v>
      </c>
      <c r="G186" s="4" t="s">
        <v>195</v>
      </c>
      <c r="H186" s="11" t="s">
        <v>196</v>
      </c>
      <c r="I186" s="5" t="s">
        <v>742</v>
      </c>
      <c r="J186" s="5"/>
      <c r="K186" s="6">
        <f t="shared" si="5"/>
        <v>1</v>
      </c>
    </row>
    <row r="187" spans="1:11" ht="45" customHeight="1">
      <c r="A187" s="4">
        <v>179</v>
      </c>
      <c r="B187" s="5" t="s">
        <v>918</v>
      </c>
      <c r="C187" s="5" t="s">
        <v>919</v>
      </c>
      <c r="D187" s="5" t="s">
        <v>925</v>
      </c>
      <c r="E187" s="7" t="s">
        <v>105</v>
      </c>
      <c r="F187" s="7" t="s">
        <v>105</v>
      </c>
      <c r="G187" s="4" t="s">
        <v>195</v>
      </c>
      <c r="H187" s="11" t="s">
        <v>196</v>
      </c>
      <c r="I187" s="5" t="s">
        <v>742</v>
      </c>
      <c r="J187" s="5"/>
      <c r="K187" s="6">
        <f t="shared" si="5"/>
        <v>1</v>
      </c>
    </row>
    <row r="188" spans="1:11" ht="15" customHeight="1">
      <c r="A188" s="4">
        <v>180</v>
      </c>
      <c r="B188" s="5" t="s">
        <v>918</v>
      </c>
      <c r="C188" s="5" t="s">
        <v>919</v>
      </c>
      <c r="D188" s="5" t="s">
        <v>926</v>
      </c>
      <c r="E188" s="7" t="s">
        <v>105</v>
      </c>
      <c r="F188" s="7" t="s">
        <v>105</v>
      </c>
      <c r="G188" s="4" t="s">
        <v>195</v>
      </c>
      <c r="H188" s="11" t="s">
        <v>196</v>
      </c>
      <c r="I188" s="5" t="s">
        <v>742</v>
      </c>
      <c r="J188" s="5"/>
      <c r="K188" s="6">
        <f t="shared" si="5"/>
        <v>1</v>
      </c>
    </row>
    <row r="189" spans="1:11" ht="15" customHeight="1">
      <c r="A189" s="4">
        <v>181</v>
      </c>
      <c r="B189" s="5" t="s">
        <v>927</v>
      </c>
      <c r="C189" s="5" t="s">
        <v>928</v>
      </c>
      <c r="D189" s="5" t="s">
        <v>929</v>
      </c>
      <c r="E189" s="7" t="s">
        <v>105</v>
      </c>
      <c r="F189" s="7" t="s">
        <v>105</v>
      </c>
      <c r="G189" s="4" t="s">
        <v>930</v>
      </c>
      <c r="H189" s="8" t="s">
        <v>931</v>
      </c>
      <c r="I189" s="5" t="s">
        <v>932</v>
      </c>
      <c r="J189" s="5" t="s">
        <v>933</v>
      </c>
      <c r="K189" s="6">
        <f t="shared" si="5"/>
        <v>0.5</v>
      </c>
    </row>
    <row r="190" spans="1:11" ht="15" customHeight="1">
      <c r="A190" s="4">
        <v>182</v>
      </c>
      <c r="B190" s="5" t="s">
        <v>927</v>
      </c>
      <c r="C190" s="5" t="s">
        <v>928</v>
      </c>
      <c r="D190" s="5" t="s">
        <v>934</v>
      </c>
      <c r="E190" s="7" t="s">
        <v>105</v>
      </c>
      <c r="F190" s="7" t="s">
        <v>105</v>
      </c>
      <c r="G190" s="4" t="s">
        <v>195</v>
      </c>
      <c r="H190" s="11" t="s">
        <v>196</v>
      </c>
      <c r="I190" s="5" t="s">
        <v>742</v>
      </c>
      <c r="J190" s="5"/>
      <c r="K190" s="6">
        <f t="shared" si="5"/>
        <v>1</v>
      </c>
    </row>
    <row r="191" spans="1:11" ht="15" customHeight="1">
      <c r="A191" s="4">
        <v>183</v>
      </c>
      <c r="B191" s="5" t="s">
        <v>927</v>
      </c>
      <c r="C191" s="5" t="s">
        <v>928</v>
      </c>
      <c r="D191" s="5" t="s">
        <v>935</v>
      </c>
      <c r="E191" s="7" t="s">
        <v>105</v>
      </c>
      <c r="F191" s="7" t="s">
        <v>105</v>
      </c>
      <c r="G191" s="4" t="s">
        <v>195</v>
      </c>
      <c r="H191" s="11" t="s">
        <v>196</v>
      </c>
      <c r="I191" s="5" t="s">
        <v>742</v>
      </c>
      <c r="J191" s="5"/>
      <c r="K191" s="6">
        <f t="shared" si="5"/>
        <v>1</v>
      </c>
    </row>
    <row r="192" spans="1:11" ht="15" customHeight="1">
      <c r="A192" s="4">
        <v>184</v>
      </c>
      <c r="B192" s="5" t="s">
        <v>927</v>
      </c>
      <c r="C192" s="5" t="s">
        <v>928</v>
      </c>
      <c r="D192" s="5" t="s">
        <v>936</v>
      </c>
      <c r="E192" s="7" t="s">
        <v>105</v>
      </c>
      <c r="F192" s="7" t="s">
        <v>105</v>
      </c>
      <c r="G192" s="4" t="s">
        <v>195</v>
      </c>
      <c r="H192" s="11" t="s">
        <v>196</v>
      </c>
      <c r="I192" s="5" t="s">
        <v>742</v>
      </c>
      <c r="J192" s="5"/>
      <c r="K192" s="6">
        <f t="shared" si="5"/>
        <v>1</v>
      </c>
    </row>
    <row r="193" spans="1:11" ht="30" customHeight="1">
      <c r="A193" s="4">
        <v>185</v>
      </c>
      <c r="B193" s="5" t="s">
        <v>927</v>
      </c>
      <c r="C193" s="5" t="s">
        <v>928</v>
      </c>
      <c r="D193" s="5" t="s">
        <v>937</v>
      </c>
      <c r="E193" s="7" t="s">
        <v>105</v>
      </c>
      <c r="F193" s="7" t="s">
        <v>105</v>
      </c>
      <c r="G193" s="4" t="s">
        <v>195</v>
      </c>
      <c r="H193" s="11" t="s">
        <v>196</v>
      </c>
      <c r="I193" s="5" t="s">
        <v>742</v>
      </c>
      <c r="J193" s="5"/>
      <c r="K193" s="6">
        <f t="shared" si="5"/>
        <v>1</v>
      </c>
    </row>
    <row r="194" spans="1:11" ht="30" customHeight="1">
      <c r="A194" s="4">
        <v>186</v>
      </c>
      <c r="B194" s="5" t="s">
        <v>927</v>
      </c>
      <c r="C194" s="5" t="s">
        <v>928</v>
      </c>
      <c r="D194" s="5" t="s">
        <v>938</v>
      </c>
      <c r="E194" s="7" t="s">
        <v>105</v>
      </c>
      <c r="F194" s="7" t="s">
        <v>105</v>
      </c>
      <c r="G194" s="4" t="s">
        <v>195</v>
      </c>
      <c r="H194" s="11" t="s">
        <v>196</v>
      </c>
      <c r="I194" s="5" t="s">
        <v>742</v>
      </c>
      <c r="J194" s="5"/>
      <c r="K194" s="6">
        <f t="shared" si="5"/>
        <v>1</v>
      </c>
    </row>
    <row r="195" spans="1:11" ht="30" customHeight="1">
      <c r="A195" s="4">
        <v>187</v>
      </c>
      <c r="B195" s="5" t="s">
        <v>31</v>
      </c>
      <c r="C195" s="5" t="s">
        <v>939</v>
      </c>
      <c r="D195" s="5" t="s">
        <v>940</v>
      </c>
      <c r="E195" s="10" t="s">
        <v>105</v>
      </c>
      <c r="F195" s="8" t="s">
        <v>105</v>
      </c>
      <c r="G195" s="4" t="s">
        <v>564</v>
      </c>
      <c r="H195" s="10" t="s">
        <v>196</v>
      </c>
      <c r="I195" s="5" t="s">
        <v>941</v>
      </c>
      <c r="J195" s="5" t="s">
        <v>566</v>
      </c>
      <c r="K195" s="6">
        <f t="shared" si="5"/>
        <v>1</v>
      </c>
    </row>
    <row r="196" spans="1:11" ht="30" customHeight="1">
      <c r="A196" s="4">
        <v>188</v>
      </c>
      <c r="B196" s="5" t="s">
        <v>31</v>
      </c>
      <c r="C196" s="5" t="s">
        <v>939</v>
      </c>
      <c r="D196" s="5" t="s">
        <v>942</v>
      </c>
      <c r="E196" s="10" t="s">
        <v>105</v>
      </c>
      <c r="F196" s="8" t="s">
        <v>105</v>
      </c>
      <c r="G196" s="4" t="s">
        <v>564</v>
      </c>
      <c r="H196" s="10" t="s">
        <v>196</v>
      </c>
      <c r="I196" s="5" t="s">
        <v>941</v>
      </c>
      <c r="J196" s="5" t="s">
        <v>566</v>
      </c>
      <c r="K196" s="6">
        <f t="shared" si="5"/>
        <v>1</v>
      </c>
    </row>
    <row r="197" spans="1:11" ht="30" customHeight="1">
      <c r="A197" s="4">
        <v>189</v>
      </c>
      <c r="B197" s="5" t="s">
        <v>94</v>
      </c>
      <c r="C197" s="5" t="s">
        <v>191</v>
      </c>
      <c r="D197" s="5" t="s">
        <v>192</v>
      </c>
      <c r="E197" s="10" t="s">
        <v>105</v>
      </c>
      <c r="F197" s="8" t="s">
        <v>105</v>
      </c>
      <c r="G197" s="4" t="s">
        <v>564</v>
      </c>
      <c r="H197" s="10" t="s">
        <v>196</v>
      </c>
      <c r="I197" s="5" t="s">
        <v>941</v>
      </c>
      <c r="J197" s="5" t="s">
        <v>566</v>
      </c>
      <c r="K197" s="6">
        <f t="shared" si="5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193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943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6</v>
      </c>
      <c r="I4" s="1" t="s">
        <v>11</v>
      </c>
      <c r="J4" s="2">
        <f>COUNTIFS(A9:A1000,"&lt;&gt;",E9:E1000,"yes",F9:F1000,"&lt;&gt;yes")+COUNTIFS(A9:A1000,"&lt;&gt;",E9:E1000,"yes",F9:F1000,"yes",H9:H1000,"untested")</f>
        <v>179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29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944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29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944</v>
      </c>
      <c r="J12" s="5" t="s">
        <v>109</v>
      </c>
      <c r="K12" s="6">
        <f t="shared" si="0"/>
        <v>0</v>
      </c>
    </row>
    <row r="13" spans="1:11" ht="30" customHeight="1">
      <c r="A13" s="4">
        <v>5</v>
      </c>
      <c r="B13" s="5" t="s">
        <v>94</v>
      </c>
      <c r="C13" s="5" t="s">
        <v>29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944</v>
      </c>
      <c r="J13" s="5" t="s">
        <v>109</v>
      </c>
      <c r="K13" s="6">
        <f t="shared" si="0"/>
        <v>0</v>
      </c>
    </row>
    <row r="14" spans="1:11" ht="30" customHeight="1">
      <c r="A14" s="4">
        <v>6</v>
      </c>
      <c r="B14" s="5" t="s">
        <v>94</v>
      </c>
      <c r="C14" s="5" t="s">
        <v>29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944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29</v>
      </c>
      <c r="D15" s="5" t="s">
        <v>945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944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29</v>
      </c>
      <c r="D16" s="5" t="s">
        <v>946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944</v>
      </c>
      <c r="J16" s="5" t="s">
        <v>109</v>
      </c>
      <c r="K16" s="6">
        <f t="shared" si="0"/>
        <v>0</v>
      </c>
    </row>
    <row r="17" spans="1:11" ht="30" customHeight="1">
      <c r="A17" s="4">
        <v>9</v>
      </c>
      <c r="B17" s="5" t="s">
        <v>113</v>
      </c>
      <c r="C17" s="5" t="s">
        <v>29</v>
      </c>
      <c r="D17" s="5" t="s">
        <v>947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944</v>
      </c>
      <c r="J17" s="5" t="s">
        <v>109</v>
      </c>
      <c r="K17" s="6">
        <f t="shared" si="0"/>
        <v>0</v>
      </c>
    </row>
    <row r="18" spans="1:11" ht="30" customHeight="1">
      <c r="A18" s="4">
        <v>10</v>
      </c>
      <c r="B18" s="5" t="s">
        <v>113</v>
      </c>
      <c r="C18" s="5" t="s">
        <v>29</v>
      </c>
      <c r="D18" s="5" t="s">
        <v>948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944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29</v>
      </c>
      <c r="D19" s="5" t="s">
        <v>949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944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29</v>
      </c>
      <c r="D20" s="5" t="s">
        <v>950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944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944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944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944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944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944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944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944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944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944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951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944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952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944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953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944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954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944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140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944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135</v>
      </c>
      <c r="C35" s="5" t="s">
        <v>121</v>
      </c>
      <c r="D35" s="5" t="s">
        <v>610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944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955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944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956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944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957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944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958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944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959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944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133</v>
      </c>
      <c r="C41" s="5" t="s">
        <v>121</v>
      </c>
      <c r="D41" s="5" t="s">
        <v>142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944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133</v>
      </c>
      <c r="C42" s="5" t="s">
        <v>121</v>
      </c>
      <c r="D42" s="5" t="s">
        <v>960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944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135</v>
      </c>
      <c r="C43" s="5" t="s">
        <v>121</v>
      </c>
      <c r="D43" s="5" t="s">
        <v>144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944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135</v>
      </c>
      <c r="C44" s="5" t="s">
        <v>121</v>
      </c>
      <c r="D44" s="5" t="s">
        <v>616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944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133</v>
      </c>
      <c r="C45" s="5" t="s">
        <v>121</v>
      </c>
      <c r="D45" s="5" t="s">
        <v>961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944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120</v>
      </c>
      <c r="C46" s="5" t="s">
        <v>962</v>
      </c>
      <c r="D46" s="5" t="s">
        <v>122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944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120</v>
      </c>
      <c r="C47" s="5" t="s">
        <v>962</v>
      </c>
      <c r="D47" s="5" t="s">
        <v>123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944</v>
      </c>
      <c r="J47" s="5" t="s">
        <v>109</v>
      </c>
      <c r="K47" s="6">
        <f t="shared" si="1"/>
        <v>0</v>
      </c>
    </row>
    <row r="48" spans="1:11" ht="30" customHeight="1">
      <c r="A48" s="4">
        <v>40</v>
      </c>
      <c r="B48" s="5" t="s">
        <v>124</v>
      </c>
      <c r="C48" s="5" t="s">
        <v>962</v>
      </c>
      <c r="D48" s="5" t="s">
        <v>125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944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124</v>
      </c>
      <c r="C49" s="5" t="s">
        <v>962</v>
      </c>
      <c r="D49" s="5" t="s">
        <v>126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944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95</v>
      </c>
      <c r="C50" s="5" t="s">
        <v>962</v>
      </c>
      <c r="D50" s="5" t="s">
        <v>127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944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128</v>
      </c>
      <c r="C51" s="5" t="s">
        <v>962</v>
      </c>
      <c r="D51" s="5" t="s">
        <v>129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944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120</v>
      </c>
      <c r="C52" s="5" t="s">
        <v>963</v>
      </c>
      <c r="D52" s="5" t="s">
        <v>122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944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120</v>
      </c>
      <c r="C53" s="5" t="s">
        <v>963</v>
      </c>
      <c r="D53" s="5" t="s">
        <v>123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944</v>
      </c>
      <c r="J53" s="5" t="s">
        <v>109</v>
      </c>
      <c r="K53" s="6">
        <f t="shared" si="1"/>
        <v>0</v>
      </c>
    </row>
    <row r="54" spans="1:11" ht="30" customHeight="1">
      <c r="A54" s="4">
        <v>46</v>
      </c>
      <c r="B54" s="5" t="s">
        <v>124</v>
      </c>
      <c r="C54" s="5" t="s">
        <v>963</v>
      </c>
      <c r="D54" s="5" t="s">
        <v>125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944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124</v>
      </c>
      <c r="C55" s="5" t="s">
        <v>963</v>
      </c>
      <c r="D55" s="5" t="s">
        <v>126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944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95</v>
      </c>
      <c r="C56" s="5" t="s">
        <v>963</v>
      </c>
      <c r="D56" s="5" t="s">
        <v>127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944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128</v>
      </c>
      <c r="C57" s="5" t="s">
        <v>963</v>
      </c>
      <c r="D57" s="5" t="s">
        <v>129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944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120</v>
      </c>
      <c r="C58" s="5" t="s">
        <v>964</v>
      </c>
      <c r="D58" s="5" t="s">
        <v>122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944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120</v>
      </c>
      <c r="C59" s="5" t="s">
        <v>964</v>
      </c>
      <c r="D59" s="5" t="s">
        <v>123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944</v>
      </c>
      <c r="J59" s="5" t="s">
        <v>109</v>
      </c>
      <c r="K59" s="6">
        <f t="shared" si="1"/>
        <v>0</v>
      </c>
    </row>
    <row r="60" spans="1:11" ht="30" customHeight="1">
      <c r="A60" s="4">
        <v>52</v>
      </c>
      <c r="B60" s="5" t="s">
        <v>124</v>
      </c>
      <c r="C60" s="5" t="s">
        <v>964</v>
      </c>
      <c r="D60" s="5" t="s">
        <v>125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944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124</v>
      </c>
      <c r="C61" s="5" t="s">
        <v>964</v>
      </c>
      <c r="D61" s="5" t="s">
        <v>126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944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95</v>
      </c>
      <c r="C62" s="5" t="s">
        <v>964</v>
      </c>
      <c r="D62" s="5" t="s">
        <v>127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944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128</v>
      </c>
      <c r="C63" s="5" t="s">
        <v>964</v>
      </c>
      <c r="D63" s="5" t="s">
        <v>129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944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133</v>
      </c>
      <c r="C64" s="5" t="s">
        <v>964</v>
      </c>
      <c r="D64" s="5" t="s">
        <v>965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944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133</v>
      </c>
      <c r="C65" s="5" t="s">
        <v>964</v>
      </c>
      <c r="D65" s="5" t="s">
        <v>966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944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135</v>
      </c>
      <c r="C66" s="5" t="s">
        <v>964</v>
      </c>
      <c r="D66" s="5" t="s">
        <v>140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944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133</v>
      </c>
      <c r="C67" s="5" t="s">
        <v>964</v>
      </c>
      <c r="D67" s="5" t="s">
        <v>545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944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135</v>
      </c>
      <c r="C68" s="5" t="s">
        <v>964</v>
      </c>
      <c r="D68" s="5" t="s">
        <v>967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944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135</v>
      </c>
      <c r="C69" s="5" t="s">
        <v>964</v>
      </c>
      <c r="D69" s="5" t="s">
        <v>144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944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120</v>
      </c>
      <c r="C70" s="5" t="s">
        <v>968</v>
      </c>
      <c r="D70" s="5" t="s">
        <v>122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944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120</v>
      </c>
      <c r="C71" s="5" t="s">
        <v>968</v>
      </c>
      <c r="D71" s="5" t="s">
        <v>123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944</v>
      </c>
      <c r="J71" s="5" t="s">
        <v>109</v>
      </c>
      <c r="K71" s="6">
        <f t="shared" si="1"/>
        <v>0</v>
      </c>
    </row>
    <row r="72" spans="1:11" ht="30" customHeight="1">
      <c r="A72" s="4">
        <v>64</v>
      </c>
      <c r="B72" s="5" t="s">
        <v>124</v>
      </c>
      <c r="C72" s="5" t="s">
        <v>968</v>
      </c>
      <c r="D72" s="5" t="s">
        <v>125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944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124</v>
      </c>
      <c r="C73" s="5" t="s">
        <v>968</v>
      </c>
      <c r="D73" s="5" t="s">
        <v>126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944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95</v>
      </c>
      <c r="C74" s="5" t="s">
        <v>968</v>
      </c>
      <c r="D74" s="5" t="s">
        <v>127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944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128</v>
      </c>
      <c r="C75" s="5" t="s">
        <v>968</v>
      </c>
      <c r="D75" s="5" t="s">
        <v>129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944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133</v>
      </c>
      <c r="C76" s="5" t="s">
        <v>968</v>
      </c>
      <c r="D76" s="5" t="s">
        <v>965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944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133</v>
      </c>
      <c r="C77" s="5" t="s">
        <v>968</v>
      </c>
      <c r="D77" s="5" t="s">
        <v>966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944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133</v>
      </c>
      <c r="C78" s="5" t="s">
        <v>968</v>
      </c>
      <c r="D78" s="5" t="s">
        <v>969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944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135</v>
      </c>
      <c r="C79" s="5" t="s">
        <v>968</v>
      </c>
      <c r="D79" s="5" t="s">
        <v>140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944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120</v>
      </c>
      <c r="C80" s="5" t="s">
        <v>970</v>
      </c>
      <c r="D80" s="5" t="s">
        <v>122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944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120</v>
      </c>
      <c r="C81" s="5" t="s">
        <v>970</v>
      </c>
      <c r="D81" s="5" t="s">
        <v>123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944</v>
      </c>
      <c r="J81" s="5" t="s">
        <v>109</v>
      </c>
      <c r="K81" s="6">
        <f t="shared" si="2"/>
        <v>0</v>
      </c>
    </row>
    <row r="82" spans="1:11" ht="30" customHeight="1">
      <c r="A82" s="4">
        <v>74</v>
      </c>
      <c r="B82" s="5" t="s">
        <v>124</v>
      </c>
      <c r="C82" s="5" t="s">
        <v>970</v>
      </c>
      <c r="D82" s="5" t="s">
        <v>125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944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124</v>
      </c>
      <c r="C83" s="5" t="s">
        <v>970</v>
      </c>
      <c r="D83" s="5" t="s">
        <v>126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944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95</v>
      </c>
      <c r="C84" s="5" t="s">
        <v>970</v>
      </c>
      <c r="D84" s="5" t="s">
        <v>127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944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128</v>
      </c>
      <c r="C85" s="5" t="s">
        <v>970</v>
      </c>
      <c r="D85" s="5" t="s">
        <v>129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944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120</v>
      </c>
      <c r="C86" s="5" t="s">
        <v>971</v>
      </c>
      <c r="D86" s="5" t="s">
        <v>122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944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120</v>
      </c>
      <c r="C87" s="5" t="s">
        <v>971</v>
      </c>
      <c r="D87" s="5" t="s">
        <v>123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944</v>
      </c>
      <c r="J87" s="5" t="s">
        <v>109</v>
      </c>
      <c r="K87" s="6">
        <f t="shared" si="2"/>
        <v>0</v>
      </c>
    </row>
    <row r="88" spans="1:11" ht="30" customHeight="1">
      <c r="A88" s="4">
        <v>80</v>
      </c>
      <c r="B88" s="5" t="s">
        <v>124</v>
      </c>
      <c r="C88" s="5" t="s">
        <v>971</v>
      </c>
      <c r="D88" s="5" t="s">
        <v>125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944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124</v>
      </c>
      <c r="C89" s="5" t="s">
        <v>971</v>
      </c>
      <c r="D89" s="5" t="s">
        <v>126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944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95</v>
      </c>
      <c r="C90" s="5" t="s">
        <v>971</v>
      </c>
      <c r="D90" s="5" t="s">
        <v>127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944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128</v>
      </c>
      <c r="C91" s="5" t="s">
        <v>971</v>
      </c>
      <c r="D91" s="5" t="s">
        <v>129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944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120</v>
      </c>
      <c r="C92" s="5" t="s">
        <v>972</v>
      </c>
      <c r="D92" s="5" t="s">
        <v>122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944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120</v>
      </c>
      <c r="C93" s="5" t="s">
        <v>972</v>
      </c>
      <c r="D93" s="5" t="s">
        <v>123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944</v>
      </c>
      <c r="J93" s="5" t="s">
        <v>109</v>
      </c>
      <c r="K93" s="6">
        <f t="shared" si="2"/>
        <v>0</v>
      </c>
    </row>
    <row r="94" spans="1:11" ht="30" customHeight="1">
      <c r="A94" s="4">
        <v>86</v>
      </c>
      <c r="B94" s="5" t="s">
        <v>124</v>
      </c>
      <c r="C94" s="5" t="s">
        <v>972</v>
      </c>
      <c r="D94" s="5" t="s">
        <v>125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944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124</v>
      </c>
      <c r="C95" s="5" t="s">
        <v>972</v>
      </c>
      <c r="D95" s="5" t="s">
        <v>126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944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95</v>
      </c>
      <c r="C96" s="5" t="s">
        <v>972</v>
      </c>
      <c r="D96" s="5" t="s">
        <v>127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944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128</v>
      </c>
      <c r="C97" s="5" t="s">
        <v>972</v>
      </c>
      <c r="D97" s="5" t="s">
        <v>129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944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120</v>
      </c>
      <c r="C98" s="5" t="s">
        <v>973</v>
      </c>
      <c r="D98" s="5" t="s">
        <v>122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944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120</v>
      </c>
      <c r="C99" s="5" t="s">
        <v>973</v>
      </c>
      <c r="D99" s="5" t="s">
        <v>123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944</v>
      </c>
      <c r="J99" s="5" t="s">
        <v>109</v>
      </c>
      <c r="K99" s="6">
        <f t="shared" si="2"/>
        <v>0</v>
      </c>
    </row>
    <row r="100" spans="1:11" ht="30" customHeight="1">
      <c r="A100" s="4">
        <v>92</v>
      </c>
      <c r="B100" s="5" t="s">
        <v>124</v>
      </c>
      <c r="C100" s="5" t="s">
        <v>973</v>
      </c>
      <c r="D100" s="5" t="s">
        <v>125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944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124</v>
      </c>
      <c r="C101" s="5" t="s">
        <v>973</v>
      </c>
      <c r="D101" s="5" t="s">
        <v>126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944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95</v>
      </c>
      <c r="C102" s="5" t="s">
        <v>973</v>
      </c>
      <c r="D102" s="5" t="s">
        <v>127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944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128</v>
      </c>
      <c r="C103" s="5" t="s">
        <v>973</v>
      </c>
      <c r="D103" s="5" t="s">
        <v>129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944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120</v>
      </c>
      <c r="C104" s="5" t="s">
        <v>974</v>
      </c>
      <c r="D104" s="5" t="s">
        <v>122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944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120</v>
      </c>
      <c r="C105" s="5" t="s">
        <v>974</v>
      </c>
      <c r="D105" s="5" t="s">
        <v>123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944</v>
      </c>
      <c r="J105" s="5" t="s">
        <v>109</v>
      </c>
      <c r="K105" s="6">
        <f t="shared" ref="K105:K136" si="3">IF(AND(E105="yes",F105="yes",H105="covered"),1,IF(H105="partial",0.5,0))</f>
        <v>0</v>
      </c>
    </row>
    <row r="106" spans="1:11" ht="30" customHeight="1">
      <c r="A106" s="4">
        <v>98</v>
      </c>
      <c r="B106" s="5" t="s">
        <v>124</v>
      </c>
      <c r="C106" s="5" t="s">
        <v>974</v>
      </c>
      <c r="D106" s="5" t="s">
        <v>125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944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124</v>
      </c>
      <c r="C107" s="5" t="s">
        <v>974</v>
      </c>
      <c r="D107" s="5" t="s">
        <v>126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944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95</v>
      </c>
      <c r="C108" s="5" t="s">
        <v>974</v>
      </c>
      <c r="D108" s="5" t="s">
        <v>127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944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128</v>
      </c>
      <c r="C109" s="5" t="s">
        <v>974</v>
      </c>
      <c r="D109" s="5" t="s">
        <v>129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944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120</v>
      </c>
      <c r="C110" s="5" t="s">
        <v>975</v>
      </c>
      <c r="D110" s="5" t="s">
        <v>122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944</v>
      </c>
      <c r="J110" s="5" t="s">
        <v>109</v>
      </c>
      <c r="K110" s="6">
        <f t="shared" si="3"/>
        <v>0</v>
      </c>
    </row>
    <row r="111" spans="1:11" ht="15" customHeight="1">
      <c r="A111" s="4">
        <v>103</v>
      </c>
      <c r="B111" s="5" t="s">
        <v>120</v>
      </c>
      <c r="C111" s="5" t="s">
        <v>975</v>
      </c>
      <c r="D111" s="5" t="s">
        <v>123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944</v>
      </c>
      <c r="J111" s="5" t="s">
        <v>109</v>
      </c>
      <c r="K111" s="6">
        <f t="shared" si="3"/>
        <v>0</v>
      </c>
    </row>
    <row r="112" spans="1:11" ht="30" customHeight="1">
      <c r="A112" s="4">
        <v>104</v>
      </c>
      <c r="B112" s="5" t="s">
        <v>124</v>
      </c>
      <c r="C112" s="5" t="s">
        <v>975</v>
      </c>
      <c r="D112" s="5" t="s">
        <v>125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944</v>
      </c>
      <c r="J112" s="5" t="s">
        <v>109</v>
      </c>
      <c r="K112" s="6">
        <f t="shared" si="3"/>
        <v>0</v>
      </c>
    </row>
    <row r="113" spans="1:11" ht="15" customHeight="1">
      <c r="A113" s="4">
        <v>105</v>
      </c>
      <c r="B113" s="5" t="s">
        <v>124</v>
      </c>
      <c r="C113" s="5" t="s">
        <v>975</v>
      </c>
      <c r="D113" s="5" t="s">
        <v>126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944</v>
      </c>
      <c r="J113" s="5" t="s">
        <v>109</v>
      </c>
      <c r="K113" s="6">
        <f t="shared" si="3"/>
        <v>0</v>
      </c>
    </row>
    <row r="114" spans="1:11" ht="15" customHeight="1">
      <c r="A114" s="4">
        <v>106</v>
      </c>
      <c r="B114" s="5" t="s">
        <v>95</v>
      </c>
      <c r="C114" s="5" t="s">
        <v>975</v>
      </c>
      <c r="D114" s="5" t="s">
        <v>127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944</v>
      </c>
      <c r="J114" s="5" t="s">
        <v>109</v>
      </c>
      <c r="K114" s="6">
        <f t="shared" si="3"/>
        <v>0</v>
      </c>
    </row>
    <row r="115" spans="1:11" ht="15" customHeight="1">
      <c r="A115" s="4">
        <v>107</v>
      </c>
      <c r="B115" s="5" t="s">
        <v>128</v>
      </c>
      <c r="C115" s="5" t="s">
        <v>975</v>
      </c>
      <c r="D115" s="5" t="s">
        <v>129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944</v>
      </c>
      <c r="J115" s="5" t="s">
        <v>109</v>
      </c>
      <c r="K115" s="6">
        <f t="shared" si="3"/>
        <v>0</v>
      </c>
    </row>
    <row r="116" spans="1:11" ht="15" customHeight="1">
      <c r="A116" s="4">
        <v>108</v>
      </c>
      <c r="B116" s="5" t="s">
        <v>120</v>
      </c>
      <c r="C116" s="5" t="s">
        <v>976</v>
      </c>
      <c r="D116" s="5" t="s">
        <v>122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944</v>
      </c>
      <c r="J116" s="5" t="s">
        <v>109</v>
      </c>
      <c r="K116" s="6">
        <f t="shared" si="3"/>
        <v>0</v>
      </c>
    </row>
    <row r="117" spans="1:11" ht="15" customHeight="1">
      <c r="A117" s="4">
        <v>109</v>
      </c>
      <c r="B117" s="5" t="s">
        <v>120</v>
      </c>
      <c r="C117" s="5" t="s">
        <v>976</v>
      </c>
      <c r="D117" s="5" t="s">
        <v>123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944</v>
      </c>
      <c r="J117" s="5" t="s">
        <v>109</v>
      </c>
      <c r="K117" s="6">
        <f t="shared" si="3"/>
        <v>0</v>
      </c>
    </row>
    <row r="118" spans="1:11" ht="30" customHeight="1">
      <c r="A118" s="4">
        <v>110</v>
      </c>
      <c r="B118" s="5" t="s">
        <v>124</v>
      </c>
      <c r="C118" s="5" t="s">
        <v>976</v>
      </c>
      <c r="D118" s="5" t="s">
        <v>125</v>
      </c>
      <c r="E118" s="7" t="s">
        <v>105</v>
      </c>
      <c r="F118" s="8" t="s">
        <v>97</v>
      </c>
      <c r="G118" s="4" t="s">
        <v>106</v>
      </c>
      <c r="H118" s="9" t="s">
        <v>107</v>
      </c>
      <c r="I118" s="5" t="s">
        <v>944</v>
      </c>
      <c r="J118" s="5" t="s">
        <v>109</v>
      </c>
      <c r="K118" s="6">
        <f t="shared" si="3"/>
        <v>0</v>
      </c>
    </row>
    <row r="119" spans="1:11" ht="15" customHeight="1">
      <c r="A119" s="4">
        <v>111</v>
      </c>
      <c r="B119" s="5" t="s">
        <v>124</v>
      </c>
      <c r="C119" s="5" t="s">
        <v>976</v>
      </c>
      <c r="D119" s="5" t="s">
        <v>126</v>
      </c>
      <c r="E119" s="7" t="s">
        <v>105</v>
      </c>
      <c r="F119" s="8" t="s">
        <v>97</v>
      </c>
      <c r="G119" s="4" t="s">
        <v>106</v>
      </c>
      <c r="H119" s="9" t="s">
        <v>107</v>
      </c>
      <c r="I119" s="5" t="s">
        <v>944</v>
      </c>
      <c r="J119" s="5" t="s">
        <v>109</v>
      </c>
      <c r="K119" s="6">
        <f t="shared" si="3"/>
        <v>0</v>
      </c>
    </row>
    <row r="120" spans="1:11" ht="15" customHeight="1">
      <c r="A120" s="4">
        <v>112</v>
      </c>
      <c r="B120" s="5" t="s">
        <v>95</v>
      </c>
      <c r="C120" s="5" t="s">
        <v>976</v>
      </c>
      <c r="D120" s="5" t="s">
        <v>127</v>
      </c>
      <c r="E120" s="7" t="s">
        <v>105</v>
      </c>
      <c r="F120" s="8" t="s">
        <v>97</v>
      </c>
      <c r="G120" s="4" t="s">
        <v>106</v>
      </c>
      <c r="H120" s="9" t="s">
        <v>107</v>
      </c>
      <c r="I120" s="5" t="s">
        <v>944</v>
      </c>
      <c r="J120" s="5" t="s">
        <v>109</v>
      </c>
      <c r="K120" s="6">
        <f t="shared" si="3"/>
        <v>0</v>
      </c>
    </row>
    <row r="121" spans="1:11" ht="15" customHeight="1">
      <c r="A121" s="4">
        <v>113</v>
      </c>
      <c r="B121" s="5" t="s">
        <v>128</v>
      </c>
      <c r="C121" s="5" t="s">
        <v>976</v>
      </c>
      <c r="D121" s="5" t="s">
        <v>129</v>
      </c>
      <c r="E121" s="7" t="s">
        <v>105</v>
      </c>
      <c r="F121" s="8" t="s">
        <v>97</v>
      </c>
      <c r="G121" s="4" t="s">
        <v>106</v>
      </c>
      <c r="H121" s="9" t="s">
        <v>107</v>
      </c>
      <c r="I121" s="5" t="s">
        <v>944</v>
      </c>
      <c r="J121" s="5" t="s">
        <v>109</v>
      </c>
      <c r="K121" s="6">
        <f t="shared" si="3"/>
        <v>0</v>
      </c>
    </row>
    <row r="122" spans="1:11" ht="15" customHeight="1">
      <c r="A122" s="4">
        <v>114</v>
      </c>
      <c r="B122" s="5" t="s">
        <v>120</v>
      </c>
      <c r="C122" s="5" t="s">
        <v>977</v>
      </c>
      <c r="D122" s="5" t="s">
        <v>122</v>
      </c>
      <c r="E122" s="7" t="s">
        <v>105</v>
      </c>
      <c r="F122" s="8" t="s">
        <v>97</v>
      </c>
      <c r="G122" s="4" t="s">
        <v>106</v>
      </c>
      <c r="H122" s="9" t="s">
        <v>107</v>
      </c>
      <c r="I122" s="5" t="s">
        <v>944</v>
      </c>
      <c r="J122" s="5" t="s">
        <v>109</v>
      </c>
      <c r="K122" s="6">
        <f t="shared" si="3"/>
        <v>0</v>
      </c>
    </row>
    <row r="123" spans="1:11" ht="15" customHeight="1">
      <c r="A123" s="4">
        <v>115</v>
      </c>
      <c r="B123" s="5" t="s">
        <v>120</v>
      </c>
      <c r="C123" s="5" t="s">
        <v>977</v>
      </c>
      <c r="D123" s="5" t="s">
        <v>123</v>
      </c>
      <c r="E123" s="7" t="s">
        <v>105</v>
      </c>
      <c r="F123" s="8" t="s">
        <v>97</v>
      </c>
      <c r="G123" s="4" t="s">
        <v>106</v>
      </c>
      <c r="H123" s="9" t="s">
        <v>107</v>
      </c>
      <c r="I123" s="5" t="s">
        <v>944</v>
      </c>
      <c r="J123" s="5" t="s">
        <v>109</v>
      </c>
      <c r="K123" s="6">
        <f t="shared" si="3"/>
        <v>0</v>
      </c>
    </row>
    <row r="124" spans="1:11" ht="30" customHeight="1">
      <c r="A124" s="4">
        <v>116</v>
      </c>
      <c r="B124" s="5" t="s">
        <v>124</v>
      </c>
      <c r="C124" s="5" t="s">
        <v>977</v>
      </c>
      <c r="D124" s="5" t="s">
        <v>125</v>
      </c>
      <c r="E124" s="7" t="s">
        <v>105</v>
      </c>
      <c r="F124" s="8" t="s">
        <v>97</v>
      </c>
      <c r="G124" s="4" t="s">
        <v>106</v>
      </c>
      <c r="H124" s="9" t="s">
        <v>107</v>
      </c>
      <c r="I124" s="5" t="s">
        <v>944</v>
      </c>
      <c r="J124" s="5" t="s">
        <v>109</v>
      </c>
      <c r="K124" s="6">
        <f t="shared" si="3"/>
        <v>0</v>
      </c>
    </row>
    <row r="125" spans="1:11" ht="15" customHeight="1">
      <c r="A125" s="4">
        <v>117</v>
      </c>
      <c r="B125" s="5" t="s">
        <v>124</v>
      </c>
      <c r="C125" s="5" t="s">
        <v>977</v>
      </c>
      <c r="D125" s="5" t="s">
        <v>126</v>
      </c>
      <c r="E125" s="7" t="s">
        <v>105</v>
      </c>
      <c r="F125" s="8" t="s">
        <v>97</v>
      </c>
      <c r="G125" s="4" t="s">
        <v>106</v>
      </c>
      <c r="H125" s="9" t="s">
        <v>107</v>
      </c>
      <c r="I125" s="5" t="s">
        <v>944</v>
      </c>
      <c r="J125" s="5" t="s">
        <v>109</v>
      </c>
      <c r="K125" s="6">
        <f t="shared" si="3"/>
        <v>0</v>
      </c>
    </row>
    <row r="126" spans="1:11" ht="15" customHeight="1">
      <c r="A126" s="4">
        <v>118</v>
      </c>
      <c r="B126" s="5" t="s">
        <v>95</v>
      </c>
      <c r="C126" s="5" t="s">
        <v>977</v>
      </c>
      <c r="D126" s="5" t="s">
        <v>127</v>
      </c>
      <c r="E126" s="7" t="s">
        <v>105</v>
      </c>
      <c r="F126" s="8" t="s">
        <v>97</v>
      </c>
      <c r="G126" s="4" t="s">
        <v>106</v>
      </c>
      <c r="H126" s="9" t="s">
        <v>107</v>
      </c>
      <c r="I126" s="5" t="s">
        <v>944</v>
      </c>
      <c r="J126" s="5" t="s">
        <v>109</v>
      </c>
      <c r="K126" s="6">
        <f t="shared" si="3"/>
        <v>0</v>
      </c>
    </row>
    <row r="127" spans="1:11" ht="15" customHeight="1">
      <c r="A127" s="4">
        <v>119</v>
      </c>
      <c r="B127" s="5" t="s">
        <v>128</v>
      </c>
      <c r="C127" s="5" t="s">
        <v>977</v>
      </c>
      <c r="D127" s="5" t="s">
        <v>129</v>
      </c>
      <c r="E127" s="7" t="s">
        <v>105</v>
      </c>
      <c r="F127" s="8" t="s">
        <v>97</v>
      </c>
      <c r="G127" s="4" t="s">
        <v>106</v>
      </c>
      <c r="H127" s="9" t="s">
        <v>107</v>
      </c>
      <c r="I127" s="5" t="s">
        <v>944</v>
      </c>
      <c r="J127" s="5" t="s">
        <v>109</v>
      </c>
      <c r="K127" s="6">
        <f t="shared" si="3"/>
        <v>0</v>
      </c>
    </row>
    <row r="128" spans="1:11" ht="15" customHeight="1">
      <c r="A128" s="4">
        <v>120</v>
      </c>
      <c r="B128" s="5" t="s">
        <v>120</v>
      </c>
      <c r="C128" s="5" t="s">
        <v>151</v>
      </c>
      <c r="D128" s="5" t="s">
        <v>122</v>
      </c>
      <c r="E128" s="7" t="s">
        <v>105</v>
      </c>
      <c r="F128" s="8" t="s">
        <v>97</v>
      </c>
      <c r="G128" s="4" t="s">
        <v>106</v>
      </c>
      <c r="H128" s="9" t="s">
        <v>107</v>
      </c>
      <c r="I128" s="5" t="s">
        <v>944</v>
      </c>
      <c r="J128" s="5" t="s">
        <v>109</v>
      </c>
      <c r="K128" s="6">
        <f t="shared" si="3"/>
        <v>0</v>
      </c>
    </row>
    <row r="129" spans="1:11" ht="15" customHeight="1">
      <c r="A129" s="4">
        <v>121</v>
      </c>
      <c r="B129" s="5" t="s">
        <v>120</v>
      </c>
      <c r="C129" s="5" t="s">
        <v>151</v>
      </c>
      <c r="D129" s="5" t="s">
        <v>123</v>
      </c>
      <c r="E129" s="7" t="s">
        <v>105</v>
      </c>
      <c r="F129" s="8" t="s">
        <v>97</v>
      </c>
      <c r="G129" s="4" t="s">
        <v>106</v>
      </c>
      <c r="H129" s="9" t="s">
        <v>107</v>
      </c>
      <c r="I129" s="5" t="s">
        <v>944</v>
      </c>
      <c r="J129" s="5" t="s">
        <v>109</v>
      </c>
      <c r="K129" s="6">
        <f t="shared" si="3"/>
        <v>0</v>
      </c>
    </row>
    <row r="130" spans="1:11" ht="30" customHeight="1">
      <c r="A130" s="4">
        <v>122</v>
      </c>
      <c r="B130" s="5" t="s">
        <v>124</v>
      </c>
      <c r="C130" s="5" t="s">
        <v>151</v>
      </c>
      <c r="D130" s="5" t="s">
        <v>125</v>
      </c>
      <c r="E130" s="7" t="s">
        <v>105</v>
      </c>
      <c r="F130" s="8" t="s">
        <v>97</v>
      </c>
      <c r="G130" s="4" t="s">
        <v>106</v>
      </c>
      <c r="H130" s="9" t="s">
        <v>107</v>
      </c>
      <c r="I130" s="5" t="s">
        <v>944</v>
      </c>
      <c r="J130" s="5" t="s">
        <v>109</v>
      </c>
      <c r="K130" s="6">
        <f t="shared" si="3"/>
        <v>0</v>
      </c>
    </row>
    <row r="131" spans="1:11" ht="15" customHeight="1">
      <c r="A131" s="4">
        <v>123</v>
      </c>
      <c r="B131" s="5" t="s">
        <v>124</v>
      </c>
      <c r="C131" s="5" t="s">
        <v>151</v>
      </c>
      <c r="D131" s="5" t="s">
        <v>126</v>
      </c>
      <c r="E131" s="7" t="s">
        <v>105</v>
      </c>
      <c r="F131" s="8" t="s">
        <v>97</v>
      </c>
      <c r="G131" s="4" t="s">
        <v>106</v>
      </c>
      <c r="H131" s="9" t="s">
        <v>107</v>
      </c>
      <c r="I131" s="5" t="s">
        <v>944</v>
      </c>
      <c r="J131" s="5" t="s">
        <v>109</v>
      </c>
      <c r="K131" s="6">
        <f t="shared" si="3"/>
        <v>0</v>
      </c>
    </row>
    <row r="132" spans="1:11" ht="15" customHeight="1">
      <c r="A132" s="4">
        <v>124</v>
      </c>
      <c r="B132" s="5" t="s">
        <v>95</v>
      </c>
      <c r="C132" s="5" t="s">
        <v>151</v>
      </c>
      <c r="D132" s="5" t="s">
        <v>127</v>
      </c>
      <c r="E132" s="7" t="s">
        <v>105</v>
      </c>
      <c r="F132" s="8" t="s">
        <v>97</v>
      </c>
      <c r="G132" s="4" t="s">
        <v>106</v>
      </c>
      <c r="H132" s="9" t="s">
        <v>107</v>
      </c>
      <c r="I132" s="5" t="s">
        <v>944</v>
      </c>
      <c r="J132" s="5" t="s">
        <v>109</v>
      </c>
      <c r="K132" s="6">
        <f t="shared" si="3"/>
        <v>0</v>
      </c>
    </row>
    <row r="133" spans="1:11" ht="15" customHeight="1">
      <c r="A133" s="4">
        <v>125</v>
      </c>
      <c r="B133" s="5" t="s">
        <v>128</v>
      </c>
      <c r="C133" s="5" t="s">
        <v>151</v>
      </c>
      <c r="D133" s="5" t="s">
        <v>129</v>
      </c>
      <c r="E133" s="7" t="s">
        <v>105</v>
      </c>
      <c r="F133" s="8" t="s">
        <v>97</v>
      </c>
      <c r="G133" s="4" t="s">
        <v>106</v>
      </c>
      <c r="H133" s="9" t="s">
        <v>107</v>
      </c>
      <c r="I133" s="5" t="s">
        <v>944</v>
      </c>
      <c r="J133" s="5" t="s">
        <v>109</v>
      </c>
      <c r="K133" s="6">
        <f t="shared" si="3"/>
        <v>0</v>
      </c>
    </row>
    <row r="134" spans="1:11" ht="15" customHeight="1">
      <c r="A134" s="4">
        <v>126</v>
      </c>
      <c r="B134" s="5" t="s">
        <v>120</v>
      </c>
      <c r="C134" s="5" t="s">
        <v>978</v>
      </c>
      <c r="D134" s="5" t="s">
        <v>122</v>
      </c>
      <c r="E134" s="7" t="s">
        <v>105</v>
      </c>
      <c r="F134" s="8" t="s">
        <v>97</v>
      </c>
      <c r="G134" s="4" t="s">
        <v>106</v>
      </c>
      <c r="H134" s="9" t="s">
        <v>107</v>
      </c>
      <c r="I134" s="5" t="s">
        <v>944</v>
      </c>
      <c r="J134" s="5" t="s">
        <v>109</v>
      </c>
      <c r="K134" s="6">
        <f t="shared" si="3"/>
        <v>0</v>
      </c>
    </row>
    <row r="135" spans="1:11" ht="15" customHeight="1">
      <c r="A135" s="4">
        <v>127</v>
      </c>
      <c r="B135" s="5" t="s">
        <v>120</v>
      </c>
      <c r="C135" s="5" t="s">
        <v>978</v>
      </c>
      <c r="D135" s="5" t="s">
        <v>123</v>
      </c>
      <c r="E135" s="7" t="s">
        <v>105</v>
      </c>
      <c r="F135" s="8" t="s">
        <v>97</v>
      </c>
      <c r="G135" s="4" t="s">
        <v>106</v>
      </c>
      <c r="H135" s="9" t="s">
        <v>107</v>
      </c>
      <c r="I135" s="5" t="s">
        <v>944</v>
      </c>
      <c r="J135" s="5" t="s">
        <v>109</v>
      </c>
      <c r="K135" s="6">
        <f t="shared" si="3"/>
        <v>0</v>
      </c>
    </row>
    <row r="136" spans="1:11" ht="30" customHeight="1">
      <c r="A136" s="4">
        <v>128</v>
      </c>
      <c r="B136" s="5" t="s">
        <v>124</v>
      </c>
      <c r="C136" s="5" t="s">
        <v>978</v>
      </c>
      <c r="D136" s="5" t="s">
        <v>125</v>
      </c>
      <c r="E136" s="7" t="s">
        <v>105</v>
      </c>
      <c r="F136" s="8" t="s">
        <v>97</v>
      </c>
      <c r="G136" s="4" t="s">
        <v>106</v>
      </c>
      <c r="H136" s="9" t="s">
        <v>107</v>
      </c>
      <c r="I136" s="5" t="s">
        <v>944</v>
      </c>
      <c r="J136" s="5" t="s">
        <v>109</v>
      </c>
      <c r="K136" s="6">
        <f t="shared" si="3"/>
        <v>0</v>
      </c>
    </row>
    <row r="137" spans="1:11" ht="15" customHeight="1">
      <c r="A137" s="4">
        <v>129</v>
      </c>
      <c r="B137" s="5" t="s">
        <v>124</v>
      </c>
      <c r="C137" s="5" t="s">
        <v>978</v>
      </c>
      <c r="D137" s="5" t="s">
        <v>126</v>
      </c>
      <c r="E137" s="7" t="s">
        <v>105</v>
      </c>
      <c r="F137" s="8" t="s">
        <v>97</v>
      </c>
      <c r="G137" s="4" t="s">
        <v>106</v>
      </c>
      <c r="H137" s="9" t="s">
        <v>107</v>
      </c>
      <c r="I137" s="5" t="s">
        <v>944</v>
      </c>
      <c r="J137" s="5" t="s">
        <v>109</v>
      </c>
      <c r="K137" s="6">
        <f t="shared" ref="K137:K168" si="4">IF(AND(E137="yes",F137="yes",H137="covered"),1,IF(H137="partial",0.5,0))</f>
        <v>0</v>
      </c>
    </row>
    <row r="138" spans="1:11" ht="15" customHeight="1">
      <c r="A138" s="4">
        <v>130</v>
      </c>
      <c r="B138" s="5" t="s">
        <v>95</v>
      </c>
      <c r="C138" s="5" t="s">
        <v>978</v>
      </c>
      <c r="D138" s="5" t="s">
        <v>127</v>
      </c>
      <c r="E138" s="7" t="s">
        <v>105</v>
      </c>
      <c r="F138" s="8" t="s">
        <v>97</v>
      </c>
      <c r="G138" s="4" t="s">
        <v>106</v>
      </c>
      <c r="H138" s="9" t="s">
        <v>107</v>
      </c>
      <c r="I138" s="5" t="s">
        <v>944</v>
      </c>
      <c r="J138" s="5" t="s">
        <v>109</v>
      </c>
      <c r="K138" s="6">
        <f t="shared" si="4"/>
        <v>0</v>
      </c>
    </row>
    <row r="139" spans="1:11" ht="15" customHeight="1">
      <c r="A139" s="4">
        <v>131</v>
      </c>
      <c r="B139" s="5" t="s">
        <v>128</v>
      </c>
      <c r="C139" s="5" t="s">
        <v>978</v>
      </c>
      <c r="D139" s="5" t="s">
        <v>129</v>
      </c>
      <c r="E139" s="7" t="s">
        <v>105</v>
      </c>
      <c r="F139" s="8" t="s">
        <v>97</v>
      </c>
      <c r="G139" s="4" t="s">
        <v>106</v>
      </c>
      <c r="H139" s="9" t="s">
        <v>107</v>
      </c>
      <c r="I139" s="5" t="s">
        <v>944</v>
      </c>
      <c r="J139" s="5" t="s">
        <v>109</v>
      </c>
      <c r="K139" s="6">
        <f t="shared" si="4"/>
        <v>0</v>
      </c>
    </row>
    <row r="140" spans="1:11" ht="15" customHeight="1">
      <c r="A140" s="4">
        <v>132</v>
      </c>
      <c r="B140" s="5" t="s">
        <v>133</v>
      </c>
      <c r="C140" s="5" t="s">
        <v>978</v>
      </c>
      <c r="D140" s="5" t="s">
        <v>979</v>
      </c>
      <c r="E140" s="7" t="s">
        <v>105</v>
      </c>
      <c r="F140" s="8" t="s">
        <v>97</v>
      </c>
      <c r="G140" s="4" t="s">
        <v>106</v>
      </c>
      <c r="H140" s="9" t="s">
        <v>107</v>
      </c>
      <c r="I140" s="5" t="s">
        <v>944</v>
      </c>
      <c r="J140" s="5" t="s">
        <v>109</v>
      </c>
      <c r="K140" s="6">
        <f t="shared" si="4"/>
        <v>0</v>
      </c>
    </row>
    <row r="141" spans="1:11" ht="15" customHeight="1">
      <c r="A141" s="4">
        <v>133</v>
      </c>
      <c r="B141" s="5" t="s">
        <v>133</v>
      </c>
      <c r="C141" s="5" t="s">
        <v>978</v>
      </c>
      <c r="D141" s="5" t="s">
        <v>966</v>
      </c>
      <c r="E141" s="7" t="s">
        <v>105</v>
      </c>
      <c r="F141" s="8" t="s">
        <v>97</v>
      </c>
      <c r="G141" s="4" t="s">
        <v>106</v>
      </c>
      <c r="H141" s="9" t="s">
        <v>107</v>
      </c>
      <c r="I141" s="5" t="s">
        <v>944</v>
      </c>
      <c r="J141" s="5" t="s">
        <v>109</v>
      </c>
      <c r="K141" s="6">
        <f t="shared" si="4"/>
        <v>0</v>
      </c>
    </row>
    <row r="142" spans="1:11" ht="15" customHeight="1">
      <c r="A142" s="4">
        <v>134</v>
      </c>
      <c r="B142" s="5" t="s">
        <v>135</v>
      </c>
      <c r="C142" s="5" t="s">
        <v>978</v>
      </c>
      <c r="D142" s="5" t="s">
        <v>136</v>
      </c>
      <c r="E142" s="7" t="s">
        <v>105</v>
      </c>
      <c r="F142" s="8" t="s">
        <v>97</v>
      </c>
      <c r="G142" s="4" t="s">
        <v>106</v>
      </c>
      <c r="H142" s="9" t="s">
        <v>107</v>
      </c>
      <c r="I142" s="5" t="s">
        <v>944</v>
      </c>
      <c r="J142" s="5" t="s">
        <v>109</v>
      </c>
      <c r="K142" s="6">
        <f t="shared" si="4"/>
        <v>0</v>
      </c>
    </row>
    <row r="143" spans="1:11" ht="15" customHeight="1">
      <c r="A143" s="4">
        <v>135</v>
      </c>
      <c r="B143" s="5" t="s">
        <v>135</v>
      </c>
      <c r="C143" s="5" t="s">
        <v>978</v>
      </c>
      <c r="D143" s="5" t="s">
        <v>140</v>
      </c>
      <c r="E143" s="7" t="s">
        <v>105</v>
      </c>
      <c r="F143" s="8" t="s">
        <v>97</v>
      </c>
      <c r="G143" s="4" t="s">
        <v>106</v>
      </c>
      <c r="H143" s="9" t="s">
        <v>107</v>
      </c>
      <c r="I143" s="5" t="s">
        <v>944</v>
      </c>
      <c r="J143" s="5" t="s">
        <v>109</v>
      </c>
      <c r="K143" s="6">
        <f t="shared" si="4"/>
        <v>0</v>
      </c>
    </row>
    <row r="144" spans="1:11" ht="15" customHeight="1">
      <c r="A144" s="4">
        <v>136</v>
      </c>
      <c r="B144" s="5" t="s">
        <v>133</v>
      </c>
      <c r="C144" s="5" t="s">
        <v>978</v>
      </c>
      <c r="D144" s="5" t="s">
        <v>980</v>
      </c>
      <c r="E144" s="7" t="s">
        <v>105</v>
      </c>
      <c r="F144" s="8" t="s">
        <v>97</v>
      </c>
      <c r="G144" s="4" t="s">
        <v>106</v>
      </c>
      <c r="H144" s="9" t="s">
        <v>107</v>
      </c>
      <c r="I144" s="5" t="s">
        <v>944</v>
      </c>
      <c r="J144" s="5" t="s">
        <v>109</v>
      </c>
      <c r="K144" s="6">
        <f t="shared" si="4"/>
        <v>0</v>
      </c>
    </row>
    <row r="145" spans="1:11" ht="15" customHeight="1">
      <c r="A145" s="4">
        <v>137</v>
      </c>
      <c r="B145" s="5" t="s">
        <v>153</v>
      </c>
      <c r="C145" s="5" t="s">
        <v>154</v>
      </c>
      <c r="D145" s="5" t="s">
        <v>724</v>
      </c>
      <c r="E145" s="7" t="s">
        <v>105</v>
      </c>
      <c r="F145" s="8" t="s">
        <v>97</v>
      </c>
      <c r="G145" s="4" t="s">
        <v>106</v>
      </c>
      <c r="H145" s="9" t="s">
        <v>107</v>
      </c>
      <c r="I145" s="5" t="s">
        <v>944</v>
      </c>
      <c r="J145" s="5" t="s">
        <v>109</v>
      </c>
      <c r="K145" s="6">
        <f t="shared" si="4"/>
        <v>0</v>
      </c>
    </row>
    <row r="146" spans="1:11" ht="15" customHeight="1">
      <c r="A146" s="4">
        <v>138</v>
      </c>
      <c r="B146" s="5" t="s">
        <v>153</v>
      </c>
      <c r="C146" s="5" t="s">
        <v>154</v>
      </c>
      <c r="D146" s="5" t="s">
        <v>981</v>
      </c>
      <c r="E146" s="7" t="s">
        <v>105</v>
      </c>
      <c r="F146" s="8" t="s">
        <v>97</v>
      </c>
      <c r="G146" s="4" t="s">
        <v>106</v>
      </c>
      <c r="H146" s="9" t="s">
        <v>107</v>
      </c>
      <c r="I146" s="5" t="s">
        <v>944</v>
      </c>
      <c r="J146" s="5" t="s">
        <v>109</v>
      </c>
      <c r="K146" s="6">
        <f t="shared" si="4"/>
        <v>0</v>
      </c>
    </row>
    <row r="147" spans="1:11" ht="15" customHeight="1">
      <c r="A147" s="4">
        <v>139</v>
      </c>
      <c r="B147" s="5" t="s">
        <v>153</v>
      </c>
      <c r="C147" s="5" t="s">
        <v>154</v>
      </c>
      <c r="D147" s="5" t="s">
        <v>982</v>
      </c>
      <c r="E147" s="7" t="s">
        <v>105</v>
      </c>
      <c r="F147" s="8" t="s">
        <v>97</v>
      </c>
      <c r="G147" s="4" t="s">
        <v>106</v>
      </c>
      <c r="H147" s="9" t="s">
        <v>107</v>
      </c>
      <c r="I147" s="5" t="s">
        <v>944</v>
      </c>
      <c r="J147" s="5" t="s">
        <v>109</v>
      </c>
      <c r="K147" s="6">
        <f t="shared" si="4"/>
        <v>0</v>
      </c>
    </row>
    <row r="148" spans="1:11" ht="15" customHeight="1">
      <c r="A148" s="4">
        <v>140</v>
      </c>
      <c r="B148" s="5" t="s">
        <v>153</v>
      </c>
      <c r="C148" s="5" t="s">
        <v>154</v>
      </c>
      <c r="D148" s="5" t="s">
        <v>156</v>
      </c>
      <c r="E148" s="7" t="s">
        <v>105</v>
      </c>
      <c r="F148" s="8" t="s">
        <v>97</v>
      </c>
      <c r="G148" s="4" t="s">
        <v>106</v>
      </c>
      <c r="H148" s="9" t="s">
        <v>107</v>
      </c>
      <c r="I148" s="5" t="s">
        <v>944</v>
      </c>
      <c r="J148" s="5" t="s">
        <v>109</v>
      </c>
      <c r="K148" s="6">
        <f t="shared" si="4"/>
        <v>0</v>
      </c>
    </row>
    <row r="149" spans="1:11" ht="15" customHeight="1">
      <c r="A149" s="4">
        <v>141</v>
      </c>
      <c r="B149" s="5" t="s">
        <v>153</v>
      </c>
      <c r="C149" s="5" t="s">
        <v>154</v>
      </c>
      <c r="D149" s="5" t="s">
        <v>983</v>
      </c>
      <c r="E149" s="7" t="s">
        <v>105</v>
      </c>
      <c r="F149" s="8" t="s">
        <v>97</v>
      </c>
      <c r="G149" s="4" t="s">
        <v>106</v>
      </c>
      <c r="H149" s="9" t="s">
        <v>107</v>
      </c>
      <c r="I149" s="5" t="s">
        <v>944</v>
      </c>
      <c r="J149" s="5" t="s">
        <v>109</v>
      </c>
      <c r="K149" s="6">
        <f t="shared" si="4"/>
        <v>0</v>
      </c>
    </row>
    <row r="150" spans="1:11" ht="15" customHeight="1">
      <c r="A150" s="4">
        <v>142</v>
      </c>
      <c r="B150" s="5" t="s">
        <v>153</v>
      </c>
      <c r="C150" s="5" t="s">
        <v>154</v>
      </c>
      <c r="D150" s="5" t="s">
        <v>622</v>
      </c>
      <c r="E150" s="7" t="s">
        <v>105</v>
      </c>
      <c r="F150" s="8" t="s">
        <v>97</v>
      </c>
      <c r="G150" s="4" t="s">
        <v>106</v>
      </c>
      <c r="H150" s="9" t="s">
        <v>107</v>
      </c>
      <c r="I150" s="5" t="s">
        <v>944</v>
      </c>
      <c r="J150" s="5" t="s">
        <v>109</v>
      </c>
      <c r="K150" s="6">
        <f t="shared" si="4"/>
        <v>0</v>
      </c>
    </row>
    <row r="151" spans="1:11" ht="15" customHeight="1">
      <c r="A151" s="4">
        <v>143</v>
      </c>
      <c r="B151" s="5" t="s">
        <v>153</v>
      </c>
      <c r="C151" s="5" t="s">
        <v>154</v>
      </c>
      <c r="D151" s="5" t="s">
        <v>984</v>
      </c>
      <c r="E151" s="7" t="s">
        <v>105</v>
      </c>
      <c r="F151" s="8" t="s">
        <v>97</v>
      </c>
      <c r="G151" s="4" t="s">
        <v>106</v>
      </c>
      <c r="H151" s="9" t="s">
        <v>107</v>
      </c>
      <c r="I151" s="5" t="s">
        <v>944</v>
      </c>
      <c r="J151" s="5" t="s">
        <v>109</v>
      </c>
      <c r="K151" s="6">
        <f t="shared" si="4"/>
        <v>0</v>
      </c>
    </row>
    <row r="152" spans="1:11" ht="15" customHeight="1">
      <c r="A152" s="4">
        <v>144</v>
      </c>
      <c r="B152" s="5" t="s">
        <v>153</v>
      </c>
      <c r="C152" s="5" t="s">
        <v>154</v>
      </c>
      <c r="D152" s="5" t="s">
        <v>985</v>
      </c>
      <c r="E152" s="7" t="s">
        <v>105</v>
      </c>
      <c r="F152" s="8" t="s">
        <v>97</v>
      </c>
      <c r="G152" s="4" t="s">
        <v>106</v>
      </c>
      <c r="H152" s="9" t="s">
        <v>107</v>
      </c>
      <c r="I152" s="5" t="s">
        <v>944</v>
      </c>
      <c r="J152" s="5" t="s">
        <v>109</v>
      </c>
      <c r="K152" s="6">
        <f t="shared" si="4"/>
        <v>0</v>
      </c>
    </row>
    <row r="153" spans="1:11" ht="15" customHeight="1">
      <c r="A153" s="4">
        <v>145</v>
      </c>
      <c r="B153" s="5" t="s">
        <v>153</v>
      </c>
      <c r="C153" s="5" t="s">
        <v>154</v>
      </c>
      <c r="D153" s="5" t="s">
        <v>727</v>
      </c>
      <c r="E153" s="7" t="s">
        <v>105</v>
      </c>
      <c r="F153" s="8" t="s">
        <v>97</v>
      </c>
      <c r="G153" s="4" t="s">
        <v>106</v>
      </c>
      <c r="H153" s="9" t="s">
        <v>107</v>
      </c>
      <c r="I153" s="5" t="s">
        <v>944</v>
      </c>
      <c r="J153" s="5" t="s">
        <v>109</v>
      </c>
      <c r="K153" s="6">
        <f t="shared" si="4"/>
        <v>0</v>
      </c>
    </row>
    <row r="154" spans="1:11" ht="15" customHeight="1">
      <c r="A154" s="4">
        <v>146</v>
      </c>
      <c r="B154" s="5" t="s">
        <v>153</v>
      </c>
      <c r="C154" s="5" t="s">
        <v>154</v>
      </c>
      <c r="D154" s="5" t="s">
        <v>986</v>
      </c>
      <c r="E154" s="7" t="s">
        <v>105</v>
      </c>
      <c r="F154" s="8" t="s">
        <v>97</v>
      </c>
      <c r="G154" s="4" t="s">
        <v>106</v>
      </c>
      <c r="H154" s="9" t="s">
        <v>107</v>
      </c>
      <c r="I154" s="5" t="s">
        <v>944</v>
      </c>
      <c r="J154" s="5" t="s">
        <v>109</v>
      </c>
      <c r="K154" s="6">
        <f t="shared" si="4"/>
        <v>0</v>
      </c>
    </row>
    <row r="155" spans="1:11" ht="15" customHeight="1">
      <c r="A155" s="4">
        <v>147</v>
      </c>
      <c r="B155" s="5" t="s">
        <v>159</v>
      </c>
      <c r="C155" s="5" t="s">
        <v>154</v>
      </c>
      <c r="D155" s="5" t="s">
        <v>549</v>
      </c>
      <c r="E155" s="7" t="s">
        <v>105</v>
      </c>
      <c r="F155" s="8" t="s">
        <v>97</v>
      </c>
      <c r="G155" s="4" t="s">
        <v>106</v>
      </c>
      <c r="H155" s="9" t="s">
        <v>107</v>
      </c>
      <c r="I155" s="5" t="s">
        <v>944</v>
      </c>
      <c r="J155" s="5" t="s">
        <v>109</v>
      </c>
      <c r="K155" s="6">
        <f t="shared" si="4"/>
        <v>0</v>
      </c>
    </row>
    <row r="156" spans="1:11" ht="15" customHeight="1">
      <c r="A156" s="4">
        <v>148</v>
      </c>
      <c r="B156" s="5" t="s">
        <v>159</v>
      </c>
      <c r="C156" s="5" t="s">
        <v>154</v>
      </c>
      <c r="D156" s="5" t="s">
        <v>987</v>
      </c>
      <c r="E156" s="7" t="s">
        <v>105</v>
      </c>
      <c r="F156" s="8" t="s">
        <v>97</v>
      </c>
      <c r="G156" s="4" t="s">
        <v>106</v>
      </c>
      <c r="H156" s="9" t="s">
        <v>107</v>
      </c>
      <c r="I156" s="5" t="s">
        <v>944</v>
      </c>
      <c r="J156" s="5" t="s">
        <v>109</v>
      </c>
      <c r="K156" s="6">
        <f t="shared" si="4"/>
        <v>0</v>
      </c>
    </row>
    <row r="157" spans="1:11" ht="15" customHeight="1">
      <c r="A157" s="4">
        <v>149</v>
      </c>
      <c r="B157" s="5" t="s">
        <v>159</v>
      </c>
      <c r="C157" s="5" t="s">
        <v>154</v>
      </c>
      <c r="D157" s="5" t="s">
        <v>988</v>
      </c>
      <c r="E157" s="7" t="s">
        <v>105</v>
      </c>
      <c r="F157" s="8" t="s">
        <v>97</v>
      </c>
      <c r="G157" s="4" t="s">
        <v>106</v>
      </c>
      <c r="H157" s="9" t="s">
        <v>107</v>
      </c>
      <c r="I157" s="5" t="s">
        <v>944</v>
      </c>
      <c r="J157" s="5" t="s">
        <v>109</v>
      </c>
      <c r="K157" s="6">
        <f t="shared" si="4"/>
        <v>0</v>
      </c>
    </row>
    <row r="158" spans="1:11" ht="15" customHeight="1">
      <c r="A158" s="4">
        <v>150</v>
      </c>
      <c r="B158" s="5" t="s">
        <v>159</v>
      </c>
      <c r="C158" s="5" t="s">
        <v>154</v>
      </c>
      <c r="D158" s="5" t="s">
        <v>160</v>
      </c>
      <c r="E158" s="7" t="s">
        <v>105</v>
      </c>
      <c r="F158" s="8" t="s">
        <v>97</v>
      </c>
      <c r="G158" s="4" t="s">
        <v>106</v>
      </c>
      <c r="H158" s="9" t="s">
        <v>107</v>
      </c>
      <c r="I158" s="5" t="s">
        <v>944</v>
      </c>
      <c r="J158" s="5" t="s">
        <v>109</v>
      </c>
      <c r="K158" s="6">
        <f t="shared" si="4"/>
        <v>0</v>
      </c>
    </row>
    <row r="159" spans="1:11" ht="15" customHeight="1">
      <c r="A159" s="4">
        <v>151</v>
      </c>
      <c r="B159" s="5" t="s">
        <v>159</v>
      </c>
      <c r="C159" s="5" t="s">
        <v>154</v>
      </c>
      <c r="D159" s="5" t="s">
        <v>989</v>
      </c>
      <c r="E159" s="7" t="s">
        <v>105</v>
      </c>
      <c r="F159" s="8" t="s">
        <v>97</v>
      </c>
      <c r="G159" s="4" t="s">
        <v>106</v>
      </c>
      <c r="H159" s="9" t="s">
        <v>107</v>
      </c>
      <c r="I159" s="5" t="s">
        <v>944</v>
      </c>
      <c r="J159" s="5" t="s">
        <v>109</v>
      </c>
      <c r="K159" s="6">
        <f t="shared" si="4"/>
        <v>0</v>
      </c>
    </row>
    <row r="160" spans="1:11" ht="15" customHeight="1">
      <c r="A160" s="4">
        <v>152</v>
      </c>
      <c r="B160" s="5" t="s">
        <v>159</v>
      </c>
      <c r="C160" s="5" t="s">
        <v>154</v>
      </c>
      <c r="D160" s="5" t="s">
        <v>990</v>
      </c>
      <c r="E160" s="7" t="s">
        <v>105</v>
      </c>
      <c r="F160" s="8" t="s">
        <v>97</v>
      </c>
      <c r="G160" s="4" t="s">
        <v>106</v>
      </c>
      <c r="H160" s="9" t="s">
        <v>107</v>
      </c>
      <c r="I160" s="5" t="s">
        <v>944</v>
      </c>
      <c r="J160" s="5" t="s">
        <v>109</v>
      </c>
      <c r="K160" s="6">
        <f t="shared" si="4"/>
        <v>0</v>
      </c>
    </row>
    <row r="161" spans="1:11" ht="15" customHeight="1">
      <c r="A161" s="4">
        <v>153</v>
      </c>
      <c r="B161" s="5" t="s">
        <v>159</v>
      </c>
      <c r="C161" s="5" t="s">
        <v>154</v>
      </c>
      <c r="D161" s="5" t="s">
        <v>991</v>
      </c>
      <c r="E161" s="7" t="s">
        <v>105</v>
      </c>
      <c r="F161" s="8" t="s">
        <v>97</v>
      </c>
      <c r="G161" s="4" t="s">
        <v>106</v>
      </c>
      <c r="H161" s="9" t="s">
        <v>107</v>
      </c>
      <c r="I161" s="5" t="s">
        <v>944</v>
      </c>
      <c r="J161" s="5" t="s">
        <v>109</v>
      </c>
      <c r="K161" s="6">
        <f t="shared" si="4"/>
        <v>0</v>
      </c>
    </row>
    <row r="162" spans="1:11" ht="15" customHeight="1">
      <c r="A162" s="4">
        <v>154</v>
      </c>
      <c r="B162" s="5" t="s">
        <v>159</v>
      </c>
      <c r="C162" s="5" t="s">
        <v>154</v>
      </c>
      <c r="D162" s="5" t="s">
        <v>992</v>
      </c>
      <c r="E162" s="7" t="s">
        <v>105</v>
      </c>
      <c r="F162" s="8" t="s">
        <v>97</v>
      </c>
      <c r="G162" s="4" t="s">
        <v>106</v>
      </c>
      <c r="H162" s="9" t="s">
        <v>107</v>
      </c>
      <c r="I162" s="5" t="s">
        <v>944</v>
      </c>
      <c r="J162" s="5" t="s">
        <v>109</v>
      </c>
      <c r="K162" s="6">
        <f t="shared" si="4"/>
        <v>0</v>
      </c>
    </row>
    <row r="163" spans="1:11" ht="15" customHeight="1">
      <c r="A163" s="4">
        <v>155</v>
      </c>
      <c r="B163" s="5" t="s">
        <v>159</v>
      </c>
      <c r="C163" s="5" t="s">
        <v>154</v>
      </c>
      <c r="D163" s="5" t="s">
        <v>993</v>
      </c>
      <c r="E163" s="7" t="s">
        <v>105</v>
      </c>
      <c r="F163" s="8" t="s">
        <v>97</v>
      </c>
      <c r="G163" s="4" t="s">
        <v>106</v>
      </c>
      <c r="H163" s="9" t="s">
        <v>107</v>
      </c>
      <c r="I163" s="5" t="s">
        <v>944</v>
      </c>
      <c r="J163" s="5" t="s">
        <v>109</v>
      </c>
      <c r="K163" s="6">
        <f t="shared" si="4"/>
        <v>0</v>
      </c>
    </row>
    <row r="164" spans="1:11" ht="15" customHeight="1">
      <c r="A164" s="4">
        <v>156</v>
      </c>
      <c r="B164" s="5" t="s">
        <v>159</v>
      </c>
      <c r="C164" s="5" t="s">
        <v>154</v>
      </c>
      <c r="D164" s="5" t="s">
        <v>994</v>
      </c>
      <c r="E164" s="7" t="s">
        <v>105</v>
      </c>
      <c r="F164" s="8" t="s">
        <v>97</v>
      </c>
      <c r="G164" s="4" t="s">
        <v>106</v>
      </c>
      <c r="H164" s="9" t="s">
        <v>107</v>
      </c>
      <c r="I164" s="5" t="s">
        <v>944</v>
      </c>
      <c r="J164" s="5" t="s">
        <v>109</v>
      </c>
      <c r="K164" s="6">
        <f t="shared" si="4"/>
        <v>0</v>
      </c>
    </row>
    <row r="165" spans="1:11" ht="15" customHeight="1">
      <c r="A165" s="4">
        <v>157</v>
      </c>
      <c r="B165" s="5" t="s">
        <v>159</v>
      </c>
      <c r="C165" s="5" t="s">
        <v>154</v>
      </c>
      <c r="D165" s="5" t="s">
        <v>995</v>
      </c>
      <c r="E165" s="7" t="s">
        <v>105</v>
      </c>
      <c r="F165" s="8" t="s">
        <v>97</v>
      </c>
      <c r="G165" s="4" t="s">
        <v>106</v>
      </c>
      <c r="H165" s="9" t="s">
        <v>107</v>
      </c>
      <c r="I165" s="5" t="s">
        <v>944</v>
      </c>
      <c r="J165" s="5" t="s">
        <v>109</v>
      </c>
      <c r="K165" s="6">
        <f t="shared" si="4"/>
        <v>0</v>
      </c>
    </row>
    <row r="166" spans="1:11" ht="15" customHeight="1">
      <c r="A166" s="4">
        <v>158</v>
      </c>
      <c r="B166" s="5" t="s">
        <v>159</v>
      </c>
      <c r="C166" s="5" t="s">
        <v>154</v>
      </c>
      <c r="D166" s="5" t="s">
        <v>996</v>
      </c>
      <c r="E166" s="7" t="s">
        <v>105</v>
      </c>
      <c r="F166" s="8" t="s">
        <v>97</v>
      </c>
      <c r="G166" s="4" t="s">
        <v>106</v>
      </c>
      <c r="H166" s="9" t="s">
        <v>107</v>
      </c>
      <c r="I166" s="5" t="s">
        <v>944</v>
      </c>
      <c r="J166" s="5" t="s">
        <v>109</v>
      </c>
      <c r="K166" s="6">
        <f t="shared" si="4"/>
        <v>0</v>
      </c>
    </row>
    <row r="167" spans="1:11" ht="15" customHeight="1">
      <c r="A167" s="4">
        <v>159</v>
      </c>
      <c r="B167" s="5" t="s">
        <v>159</v>
      </c>
      <c r="C167" s="5" t="s">
        <v>154</v>
      </c>
      <c r="D167" s="5" t="s">
        <v>997</v>
      </c>
      <c r="E167" s="7" t="s">
        <v>105</v>
      </c>
      <c r="F167" s="8" t="s">
        <v>97</v>
      </c>
      <c r="G167" s="4" t="s">
        <v>106</v>
      </c>
      <c r="H167" s="9" t="s">
        <v>107</v>
      </c>
      <c r="I167" s="5" t="s">
        <v>944</v>
      </c>
      <c r="J167" s="5" t="s">
        <v>109</v>
      </c>
      <c r="K167" s="6">
        <f t="shared" si="4"/>
        <v>0</v>
      </c>
    </row>
    <row r="168" spans="1:11" ht="15" customHeight="1">
      <c r="A168" s="4">
        <v>160</v>
      </c>
      <c r="B168" s="5" t="s">
        <v>159</v>
      </c>
      <c r="C168" s="5" t="s">
        <v>154</v>
      </c>
      <c r="D168" s="5" t="s">
        <v>998</v>
      </c>
      <c r="E168" s="7" t="s">
        <v>105</v>
      </c>
      <c r="F168" s="8" t="s">
        <v>97</v>
      </c>
      <c r="G168" s="4" t="s">
        <v>106</v>
      </c>
      <c r="H168" s="9" t="s">
        <v>107</v>
      </c>
      <c r="I168" s="5" t="s">
        <v>944</v>
      </c>
      <c r="J168" s="5" t="s">
        <v>109</v>
      </c>
      <c r="K168" s="6">
        <f t="shared" si="4"/>
        <v>0</v>
      </c>
    </row>
    <row r="169" spans="1:11" ht="15" customHeight="1">
      <c r="A169" s="4">
        <v>161</v>
      </c>
      <c r="B169" s="5" t="s">
        <v>159</v>
      </c>
      <c r="C169" s="5" t="s">
        <v>154</v>
      </c>
      <c r="D169" s="5" t="s">
        <v>625</v>
      </c>
      <c r="E169" s="7" t="s">
        <v>105</v>
      </c>
      <c r="F169" s="8" t="s">
        <v>97</v>
      </c>
      <c r="G169" s="4" t="s">
        <v>106</v>
      </c>
      <c r="H169" s="9" t="s">
        <v>107</v>
      </c>
      <c r="I169" s="5" t="s">
        <v>944</v>
      </c>
      <c r="J169" s="5" t="s">
        <v>109</v>
      </c>
      <c r="K169" s="6">
        <f t="shared" ref="K169:K193" si="5">IF(AND(E169="yes",F169="yes",H169="covered"),1,IF(H169="partial",0.5,0))</f>
        <v>0</v>
      </c>
    </row>
    <row r="170" spans="1:11" ht="15" customHeight="1">
      <c r="A170" s="4">
        <v>162</v>
      </c>
      <c r="B170" s="5" t="s">
        <v>159</v>
      </c>
      <c r="C170" s="5" t="s">
        <v>154</v>
      </c>
      <c r="D170" s="5" t="s">
        <v>999</v>
      </c>
      <c r="E170" s="7" t="s">
        <v>105</v>
      </c>
      <c r="F170" s="8" t="s">
        <v>97</v>
      </c>
      <c r="G170" s="4" t="s">
        <v>106</v>
      </c>
      <c r="H170" s="9" t="s">
        <v>107</v>
      </c>
      <c r="I170" s="5" t="s">
        <v>944</v>
      </c>
      <c r="J170" s="5" t="s">
        <v>109</v>
      </c>
      <c r="K170" s="6">
        <f t="shared" si="5"/>
        <v>0</v>
      </c>
    </row>
    <row r="171" spans="1:11" ht="15" customHeight="1">
      <c r="A171" s="4">
        <v>163</v>
      </c>
      <c r="B171" s="5" t="s">
        <v>159</v>
      </c>
      <c r="C171" s="5" t="s">
        <v>154</v>
      </c>
      <c r="D171" s="5" t="s">
        <v>1000</v>
      </c>
      <c r="E171" s="7" t="s">
        <v>105</v>
      </c>
      <c r="F171" s="8" t="s">
        <v>97</v>
      </c>
      <c r="G171" s="4" t="s">
        <v>106</v>
      </c>
      <c r="H171" s="9" t="s">
        <v>107</v>
      </c>
      <c r="I171" s="5" t="s">
        <v>944</v>
      </c>
      <c r="J171" s="5" t="s">
        <v>109</v>
      </c>
      <c r="K171" s="6">
        <f t="shared" si="5"/>
        <v>0</v>
      </c>
    </row>
    <row r="172" spans="1:11" ht="15" customHeight="1">
      <c r="A172" s="4">
        <v>164</v>
      </c>
      <c r="B172" s="5" t="s">
        <v>159</v>
      </c>
      <c r="C172" s="5" t="s">
        <v>154</v>
      </c>
      <c r="D172" s="5" t="s">
        <v>1001</v>
      </c>
      <c r="E172" s="7" t="s">
        <v>105</v>
      </c>
      <c r="F172" s="8" t="s">
        <v>97</v>
      </c>
      <c r="G172" s="4" t="s">
        <v>106</v>
      </c>
      <c r="H172" s="9" t="s">
        <v>107</v>
      </c>
      <c r="I172" s="5" t="s">
        <v>944</v>
      </c>
      <c r="J172" s="5" t="s">
        <v>109</v>
      </c>
      <c r="K172" s="6">
        <f t="shared" si="5"/>
        <v>0</v>
      </c>
    </row>
    <row r="173" spans="1:11" ht="15" customHeight="1">
      <c r="A173" s="4">
        <v>165</v>
      </c>
      <c r="B173" s="5" t="s">
        <v>159</v>
      </c>
      <c r="C173" s="5" t="s">
        <v>154</v>
      </c>
      <c r="D173" s="5" t="s">
        <v>1002</v>
      </c>
      <c r="E173" s="7" t="s">
        <v>105</v>
      </c>
      <c r="F173" s="8" t="s">
        <v>97</v>
      </c>
      <c r="G173" s="4" t="s">
        <v>106</v>
      </c>
      <c r="H173" s="9" t="s">
        <v>107</v>
      </c>
      <c r="I173" s="5" t="s">
        <v>944</v>
      </c>
      <c r="J173" s="5" t="s">
        <v>109</v>
      </c>
      <c r="K173" s="6">
        <f t="shared" si="5"/>
        <v>0</v>
      </c>
    </row>
    <row r="174" spans="1:11" ht="15" customHeight="1">
      <c r="A174" s="4">
        <v>166</v>
      </c>
      <c r="B174" s="5" t="s">
        <v>159</v>
      </c>
      <c r="C174" s="5" t="s">
        <v>154</v>
      </c>
      <c r="D174" s="5" t="s">
        <v>162</v>
      </c>
      <c r="E174" s="7" t="s">
        <v>105</v>
      </c>
      <c r="F174" s="8" t="s">
        <v>97</v>
      </c>
      <c r="G174" s="4" t="s">
        <v>106</v>
      </c>
      <c r="H174" s="9" t="s">
        <v>107</v>
      </c>
      <c r="I174" s="5" t="s">
        <v>944</v>
      </c>
      <c r="J174" s="5" t="s">
        <v>109</v>
      </c>
      <c r="K174" s="6">
        <f t="shared" si="5"/>
        <v>0</v>
      </c>
    </row>
    <row r="175" spans="1:11" ht="15" customHeight="1">
      <c r="A175" s="4">
        <v>167</v>
      </c>
      <c r="B175" s="5" t="s">
        <v>159</v>
      </c>
      <c r="C175" s="5" t="s">
        <v>154</v>
      </c>
      <c r="D175" s="5" t="s">
        <v>1003</v>
      </c>
      <c r="E175" s="7" t="s">
        <v>105</v>
      </c>
      <c r="F175" s="8" t="s">
        <v>97</v>
      </c>
      <c r="G175" s="4" t="s">
        <v>106</v>
      </c>
      <c r="H175" s="9" t="s">
        <v>107</v>
      </c>
      <c r="I175" s="5" t="s">
        <v>944</v>
      </c>
      <c r="J175" s="5" t="s">
        <v>109</v>
      </c>
      <c r="K175" s="6">
        <f t="shared" si="5"/>
        <v>0</v>
      </c>
    </row>
    <row r="176" spans="1:11" ht="15" customHeight="1">
      <c r="A176" s="4">
        <v>168</v>
      </c>
      <c r="B176" s="5" t="s">
        <v>159</v>
      </c>
      <c r="C176" s="5" t="s">
        <v>154</v>
      </c>
      <c r="D176" s="5" t="s">
        <v>551</v>
      </c>
      <c r="E176" s="7" t="s">
        <v>105</v>
      </c>
      <c r="F176" s="8" t="s">
        <v>97</v>
      </c>
      <c r="G176" s="4" t="s">
        <v>106</v>
      </c>
      <c r="H176" s="9" t="s">
        <v>107</v>
      </c>
      <c r="I176" s="5" t="s">
        <v>944</v>
      </c>
      <c r="J176" s="5" t="s">
        <v>109</v>
      </c>
      <c r="K176" s="6">
        <f t="shared" si="5"/>
        <v>0</v>
      </c>
    </row>
    <row r="177" spans="1:11" ht="30" customHeight="1">
      <c r="A177" s="4">
        <v>169</v>
      </c>
      <c r="B177" s="5" t="s">
        <v>130</v>
      </c>
      <c r="C177" s="5" t="s">
        <v>29</v>
      </c>
      <c r="D177" s="5" t="s">
        <v>164</v>
      </c>
      <c r="E177" s="7" t="s">
        <v>105</v>
      </c>
      <c r="F177" s="8" t="s">
        <v>97</v>
      </c>
      <c r="G177" s="4" t="s">
        <v>106</v>
      </c>
      <c r="H177" s="9" t="s">
        <v>107</v>
      </c>
      <c r="I177" s="5" t="s">
        <v>944</v>
      </c>
      <c r="J177" s="5" t="s">
        <v>109</v>
      </c>
      <c r="K177" s="6">
        <f t="shared" si="5"/>
        <v>0</v>
      </c>
    </row>
    <row r="178" spans="1:11" ht="15" customHeight="1">
      <c r="A178" s="4">
        <v>170</v>
      </c>
      <c r="B178" s="5" t="s">
        <v>130</v>
      </c>
      <c r="C178" s="5" t="s">
        <v>29</v>
      </c>
      <c r="D178" s="5" t="s">
        <v>165</v>
      </c>
      <c r="E178" s="7" t="s">
        <v>105</v>
      </c>
      <c r="F178" s="8" t="s">
        <v>97</v>
      </c>
      <c r="G178" s="4" t="s">
        <v>106</v>
      </c>
      <c r="H178" s="9" t="s">
        <v>107</v>
      </c>
      <c r="I178" s="5" t="s">
        <v>944</v>
      </c>
      <c r="J178" s="5" t="s">
        <v>109</v>
      </c>
      <c r="K178" s="6">
        <f t="shared" si="5"/>
        <v>0</v>
      </c>
    </row>
    <row r="179" spans="1:11" ht="15" customHeight="1">
      <c r="A179" s="4">
        <v>171</v>
      </c>
      <c r="B179" s="5" t="s">
        <v>130</v>
      </c>
      <c r="C179" s="5" t="s">
        <v>29</v>
      </c>
      <c r="D179" s="5" t="s">
        <v>166</v>
      </c>
      <c r="E179" s="7" t="s">
        <v>105</v>
      </c>
      <c r="F179" s="8" t="s">
        <v>97</v>
      </c>
      <c r="G179" s="4" t="s">
        <v>106</v>
      </c>
      <c r="H179" s="9" t="s">
        <v>107</v>
      </c>
      <c r="I179" s="5" t="s">
        <v>944</v>
      </c>
      <c r="J179" s="5" t="s">
        <v>109</v>
      </c>
      <c r="K179" s="6">
        <f t="shared" si="5"/>
        <v>0</v>
      </c>
    </row>
    <row r="180" spans="1:11" ht="15" customHeight="1">
      <c r="A180" s="4">
        <v>172</v>
      </c>
      <c r="B180" s="5" t="s">
        <v>130</v>
      </c>
      <c r="C180" s="5" t="s">
        <v>29</v>
      </c>
      <c r="D180" s="5" t="s">
        <v>167</v>
      </c>
      <c r="E180" s="7" t="s">
        <v>105</v>
      </c>
      <c r="F180" s="8" t="s">
        <v>97</v>
      </c>
      <c r="G180" s="4" t="s">
        <v>106</v>
      </c>
      <c r="H180" s="9" t="s">
        <v>107</v>
      </c>
      <c r="I180" s="5" t="s">
        <v>944</v>
      </c>
      <c r="J180" s="5" t="s">
        <v>109</v>
      </c>
      <c r="K180" s="6">
        <f t="shared" si="5"/>
        <v>0</v>
      </c>
    </row>
    <row r="181" spans="1:11" ht="15" customHeight="1">
      <c r="A181" s="4">
        <v>173</v>
      </c>
      <c r="B181" s="5" t="s">
        <v>130</v>
      </c>
      <c r="C181" s="5" t="s">
        <v>29</v>
      </c>
      <c r="D181" s="5" t="s">
        <v>168</v>
      </c>
      <c r="E181" s="7" t="s">
        <v>105</v>
      </c>
      <c r="F181" s="8" t="s">
        <v>97</v>
      </c>
      <c r="G181" s="4" t="s">
        <v>106</v>
      </c>
      <c r="H181" s="9" t="s">
        <v>107</v>
      </c>
      <c r="I181" s="5" t="s">
        <v>944</v>
      </c>
      <c r="J181" s="5" t="s">
        <v>109</v>
      </c>
      <c r="K181" s="6">
        <f t="shared" si="5"/>
        <v>0</v>
      </c>
    </row>
    <row r="182" spans="1:11" ht="15" customHeight="1">
      <c r="A182" s="4">
        <v>174</v>
      </c>
      <c r="B182" s="5" t="s">
        <v>135</v>
      </c>
      <c r="C182" s="5" t="s">
        <v>121</v>
      </c>
      <c r="D182" s="5" t="s">
        <v>169</v>
      </c>
      <c r="E182" s="7" t="s">
        <v>105</v>
      </c>
      <c r="F182" s="8" t="s">
        <v>97</v>
      </c>
      <c r="G182" s="4" t="s">
        <v>106</v>
      </c>
      <c r="H182" s="9" t="s">
        <v>107</v>
      </c>
      <c r="I182" s="5" t="s">
        <v>944</v>
      </c>
      <c r="J182" s="5" t="s">
        <v>109</v>
      </c>
      <c r="K182" s="6">
        <f t="shared" si="5"/>
        <v>0</v>
      </c>
    </row>
    <row r="183" spans="1:11" ht="15" customHeight="1">
      <c r="A183" s="4">
        <v>175</v>
      </c>
      <c r="B183" s="5" t="s">
        <v>135</v>
      </c>
      <c r="C183" s="5" t="s">
        <v>121</v>
      </c>
      <c r="D183" s="5" t="s">
        <v>170</v>
      </c>
      <c r="E183" s="7" t="s">
        <v>105</v>
      </c>
      <c r="F183" s="8" t="s">
        <v>97</v>
      </c>
      <c r="G183" s="4" t="s">
        <v>106</v>
      </c>
      <c r="H183" s="9" t="s">
        <v>107</v>
      </c>
      <c r="I183" s="5" t="s">
        <v>944</v>
      </c>
      <c r="J183" s="5" t="s">
        <v>109</v>
      </c>
      <c r="K183" s="6">
        <f t="shared" si="5"/>
        <v>0</v>
      </c>
    </row>
    <row r="184" spans="1:11" ht="15" customHeight="1">
      <c r="A184" s="4">
        <v>176</v>
      </c>
      <c r="B184" s="5" t="s">
        <v>135</v>
      </c>
      <c r="C184" s="5" t="s">
        <v>121</v>
      </c>
      <c r="D184" s="5" t="s">
        <v>171</v>
      </c>
      <c r="E184" s="7" t="s">
        <v>105</v>
      </c>
      <c r="F184" s="8" t="s">
        <v>97</v>
      </c>
      <c r="G184" s="4" t="s">
        <v>106</v>
      </c>
      <c r="H184" s="9" t="s">
        <v>107</v>
      </c>
      <c r="I184" s="5" t="s">
        <v>944</v>
      </c>
      <c r="J184" s="5" t="s">
        <v>109</v>
      </c>
      <c r="K184" s="6">
        <f t="shared" si="5"/>
        <v>0</v>
      </c>
    </row>
    <row r="185" spans="1:11" ht="15" customHeight="1">
      <c r="A185" s="4">
        <v>177</v>
      </c>
      <c r="B185" s="5" t="s">
        <v>179</v>
      </c>
      <c r="C185" s="5" t="s">
        <v>29</v>
      </c>
      <c r="D185" s="5" t="s">
        <v>182</v>
      </c>
      <c r="E185" s="7" t="s">
        <v>105</v>
      </c>
      <c r="F185" s="8" t="s">
        <v>97</v>
      </c>
      <c r="G185" s="4" t="s">
        <v>106</v>
      </c>
      <c r="H185" s="9" t="s">
        <v>107</v>
      </c>
      <c r="I185" s="5" t="s">
        <v>944</v>
      </c>
      <c r="J185" s="5" t="s">
        <v>109</v>
      </c>
      <c r="K185" s="6">
        <f t="shared" si="5"/>
        <v>0</v>
      </c>
    </row>
    <row r="186" spans="1:11" ht="15" customHeight="1">
      <c r="A186" s="4">
        <v>178</v>
      </c>
      <c r="B186" s="5" t="s">
        <v>179</v>
      </c>
      <c r="C186" s="5" t="s">
        <v>29</v>
      </c>
      <c r="D186" s="5" t="s">
        <v>183</v>
      </c>
      <c r="E186" s="7" t="s">
        <v>105</v>
      </c>
      <c r="F186" s="8" t="s">
        <v>97</v>
      </c>
      <c r="G186" s="4" t="s">
        <v>106</v>
      </c>
      <c r="H186" s="9" t="s">
        <v>107</v>
      </c>
      <c r="I186" s="5" t="s">
        <v>944</v>
      </c>
      <c r="J186" s="5" t="s">
        <v>109</v>
      </c>
      <c r="K186" s="6">
        <f t="shared" si="5"/>
        <v>0</v>
      </c>
    </row>
    <row r="187" spans="1:11" ht="15" customHeight="1">
      <c r="A187" s="4">
        <v>179</v>
      </c>
      <c r="B187" s="5" t="s">
        <v>179</v>
      </c>
      <c r="C187" s="5" t="s">
        <v>29</v>
      </c>
      <c r="D187" s="5" t="s">
        <v>184</v>
      </c>
      <c r="E187" s="7" t="s">
        <v>105</v>
      </c>
      <c r="F187" s="8" t="s">
        <v>97</v>
      </c>
      <c r="G187" s="4" t="s">
        <v>106</v>
      </c>
      <c r="H187" s="9" t="s">
        <v>107</v>
      </c>
      <c r="I187" s="5" t="s">
        <v>944</v>
      </c>
      <c r="J187" s="5" t="s">
        <v>109</v>
      </c>
      <c r="K187" s="6">
        <f t="shared" si="5"/>
        <v>0</v>
      </c>
    </row>
    <row r="188" spans="1:11" ht="30" customHeight="1">
      <c r="A188" s="4">
        <v>180</v>
      </c>
      <c r="B188" s="5" t="s">
        <v>179</v>
      </c>
      <c r="C188" s="5" t="s">
        <v>29</v>
      </c>
      <c r="D188" s="5" t="s">
        <v>185</v>
      </c>
      <c r="E188" s="7" t="s">
        <v>105</v>
      </c>
      <c r="F188" s="8" t="s">
        <v>97</v>
      </c>
      <c r="G188" s="4" t="s">
        <v>106</v>
      </c>
      <c r="H188" s="9" t="s">
        <v>107</v>
      </c>
      <c r="I188" s="5" t="s">
        <v>944</v>
      </c>
      <c r="J188" s="5" t="s">
        <v>109</v>
      </c>
      <c r="K188" s="6">
        <f t="shared" si="5"/>
        <v>0</v>
      </c>
    </row>
    <row r="189" spans="1:11" ht="15" customHeight="1">
      <c r="A189" s="4">
        <v>181</v>
      </c>
      <c r="B189" s="5" t="s">
        <v>177</v>
      </c>
      <c r="C189" s="5" t="s">
        <v>29</v>
      </c>
      <c r="D189" s="5" t="s">
        <v>186</v>
      </c>
      <c r="E189" s="7" t="s">
        <v>105</v>
      </c>
      <c r="F189" s="8" t="s">
        <v>97</v>
      </c>
      <c r="G189" s="4" t="s">
        <v>106</v>
      </c>
      <c r="H189" s="9" t="s">
        <v>107</v>
      </c>
      <c r="I189" s="5" t="s">
        <v>944</v>
      </c>
      <c r="J189" s="5" t="s">
        <v>109</v>
      </c>
      <c r="K189" s="6">
        <f t="shared" si="5"/>
        <v>0</v>
      </c>
    </row>
    <row r="190" spans="1:11" ht="30" customHeight="1">
      <c r="A190" s="4">
        <v>182</v>
      </c>
      <c r="B190" s="5" t="s">
        <v>31</v>
      </c>
      <c r="C190" s="5" t="s">
        <v>1004</v>
      </c>
      <c r="D190" s="5" t="s">
        <v>1005</v>
      </c>
      <c r="E190" s="10" t="s">
        <v>97</v>
      </c>
      <c r="F190" s="8" t="s">
        <v>97</v>
      </c>
      <c r="G190" s="4" t="s">
        <v>99</v>
      </c>
      <c r="H190" s="10" t="s">
        <v>99</v>
      </c>
      <c r="I190" s="5"/>
      <c r="J190" s="5" t="s">
        <v>1006</v>
      </c>
      <c r="K190" s="6">
        <f t="shared" si="5"/>
        <v>0</v>
      </c>
    </row>
    <row r="191" spans="1:11" ht="30" customHeight="1">
      <c r="A191" s="4">
        <v>183</v>
      </c>
      <c r="B191" s="5" t="s">
        <v>31</v>
      </c>
      <c r="C191" s="5" t="s">
        <v>1004</v>
      </c>
      <c r="D191" s="5" t="s">
        <v>1007</v>
      </c>
      <c r="E191" s="10" t="s">
        <v>97</v>
      </c>
      <c r="F191" s="8" t="s">
        <v>97</v>
      </c>
      <c r="G191" s="4" t="s">
        <v>99</v>
      </c>
      <c r="H191" s="10" t="s">
        <v>99</v>
      </c>
      <c r="I191" s="5"/>
      <c r="J191" s="5" t="s">
        <v>1008</v>
      </c>
      <c r="K191" s="6">
        <f t="shared" si="5"/>
        <v>0</v>
      </c>
    </row>
    <row r="192" spans="1:11" ht="30" customHeight="1">
      <c r="A192" s="4">
        <v>184</v>
      </c>
      <c r="B192" s="5" t="s">
        <v>31</v>
      </c>
      <c r="C192" s="5" t="s">
        <v>1004</v>
      </c>
      <c r="D192" s="5" t="s">
        <v>1009</v>
      </c>
      <c r="E192" s="10" t="s">
        <v>97</v>
      </c>
      <c r="F192" s="8" t="s">
        <v>97</v>
      </c>
      <c r="G192" s="4" t="s">
        <v>99</v>
      </c>
      <c r="H192" s="10" t="s">
        <v>99</v>
      </c>
      <c r="I192" s="5"/>
      <c r="J192" s="5" t="s">
        <v>1010</v>
      </c>
      <c r="K192" s="6">
        <f t="shared" si="5"/>
        <v>0</v>
      </c>
    </row>
    <row r="193" spans="1:11" ht="30" customHeight="1">
      <c r="A193" s="4">
        <v>185</v>
      </c>
      <c r="B193" s="5" t="s">
        <v>94</v>
      </c>
      <c r="C193" s="5" t="s">
        <v>191</v>
      </c>
      <c r="D193" s="5" t="s">
        <v>192</v>
      </c>
      <c r="E193" s="10" t="s">
        <v>97</v>
      </c>
      <c r="F193" s="8" t="s">
        <v>97</v>
      </c>
      <c r="G193" s="4" t="s">
        <v>99</v>
      </c>
      <c r="H193" s="10" t="s">
        <v>99</v>
      </c>
      <c r="I193" s="5"/>
      <c r="J193" s="5" t="s">
        <v>193</v>
      </c>
      <c r="K193" s="6">
        <f t="shared" si="5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103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1011</v>
      </c>
      <c r="B1" s="60"/>
      <c r="C1" s="60"/>
      <c r="D1" s="60"/>
      <c r="E1" s="60"/>
      <c r="F1" s="60"/>
      <c r="G1" s="60"/>
      <c r="H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95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7" t="s">
        <v>105</v>
      </c>
      <c r="G9" s="4" t="s">
        <v>597</v>
      </c>
      <c r="H9" s="12" t="s">
        <v>196</v>
      </c>
      <c r="I9" s="5" t="s">
        <v>100</v>
      </c>
      <c r="J9" s="5" t="s">
        <v>599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7" t="s">
        <v>105</v>
      </c>
      <c r="G10" s="4" t="s">
        <v>597</v>
      </c>
      <c r="H10" s="12" t="s">
        <v>196</v>
      </c>
      <c r="I10" s="5" t="s">
        <v>100</v>
      </c>
      <c r="J10" s="5" t="s">
        <v>599</v>
      </c>
      <c r="K10" s="6">
        <f t="shared" si="0"/>
        <v>1</v>
      </c>
    </row>
    <row r="11" spans="1:11" ht="15" customHeight="1">
      <c r="A11" s="4">
        <v>3</v>
      </c>
      <c r="B11" s="5" t="s">
        <v>133</v>
      </c>
      <c r="C11" s="5" t="s">
        <v>121</v>
      </c>
      <c r="D11" s="5" t="s">
        <v>1012</v>
      </c>
      <c r="E11" s="7" t="s">
        <v>105</v>
      </c>
      <c r="F11" s="7" t="s">
        <v>105</v>
      </c>
      <c r="G11" s="4" t="s">
        <v>597</v>
      </c>
      <c r="H11" s="11" t="s">
        <v>196</v>
      </c>
      <c r="I11" s="5" t="s">
        <v>1013</v>
      </c>
      <c r="J11" s="5" t="s">
        <v>599</v>
      </c>
      <c r="K11" s="6">
        <f t="shared" si="0"/>
        <v>1</v>
      </c>
    </row>
    <row r="12" spans="1:11" ht="15" customHeight="1">
      <c r="A12" s="4">
        <v>4</v>
      </c>
      <c r="B12" s="5" t="s">
        <v>133</v>
      </c>
      <c r="C12" s="5" t="s">
        <v>121</v>
      </c>
      <c r="D12" s="5" t="s">
        <v>1014</v>
      </c>
      <c r="E12" s="7" t="s">
        <v>105</v>
      </c>
      <c r="F12" s="7" t="s">
        <v>105</v>
      </c>
      <c r="G12" s="4" t="s">
        <v>597</v>
      </c>
      <c r="H12" s="11" t="s">
        <v>196</v>
      </c>
      <c r="I12" s="5" t="s">
        <v>1013</v>
      </c>
      <c r="J12" s="5" t="s">
        <v>599</v>
      </c>
      <c r="K12" s="6">
        <f t="shared" si="0"/>
        <v>1</v>
      </c>
    </row>
    <row r="13" spans="1:11" ht="15" customHeight="1">
      <c r="A13" s="4">
        <v>5</v>
      </c>
      <c r="B13" s="5" t="s">
        <v>133</v>
      </c>
      <c r="C13" s="5" t="s">
        <v>121</v>
      </c>
      <c r="D13" s="5" t="s">
        <v>1015</v>
      </c>
      <c r="E13" s="7" t="s">
        <v>105</v>
      </c>
      <c r="F13" s="7" t="s">
        <v>105</v>
      </c>
      <c r="G13" s="4" t="s">
        <v>597</v>
      </c>
      <c r="H13" s="11" t="s">
        <v>196</v>
      </c>
      <c r="I13" s="5" t="s">
        <v>1013</v>
      </c>
      <c r="J13" s="5" t="s">
        <v>599</v>
      </c>
      <c r="K13" s="6">
        <f t="shared" si="0"/>
        <v>1</v>
      </c>
    </row>
    <row r="14" spans="1:11" ht="15" customHeight="1">
      <c r="A14" s="4">
        <v>6</v>
      </c>
      <c r="B14" s="5" t="s">
        <v>133</v>
      </c>
      <c r="C14" s="5" t="s">
        <v>121</v>
      </c>
      <c r="D14" s="5" t="s">
        <v>1016</v>
      </c>
      <c r="E14" s="7" t="s">
        <v>105</v>
      </c>
      <c r="F14" s="7" t="s">
        <v>105</v>
      </c>
      <c r="G14" s="4" t="s">
        <v>597</v>
      </c>
      <c r="H14" s="11" t="s">
        <v>196</v>
      </c>
      <c r="I14" s="5" t="s">
        <v>1013</v>
      </c>
      <c r="J14" s="5" t="s">
        <v>599</v>
      </c>
      <c r="K14" s="6">
        <f t="shared" si="0"/>
        <v>1</v>
      </c>
    </row>
    <row r="15" spans="1:11" ht="15" customHeight="1">
      <c r="A15" s="4">
        <v>7</v>
      </c>
      <c r="B15" s="5" t="s">
        <v>133</v>
      </c>
      <c r="C15" s="5" t="s">
        <v>121</v>
      </c>
      <c r="D15" s="5" t="s">
        <v>1017</v>
      </c>
      <c r="E15" s="7" t="s">
        <v>105</v>
      </c>
      <c r="F15" s="7" t="s">
        <v>105</v>
      </c>
      <c r="G15" s="4" t="s">
        <v>597</v>
      </c>
      <c r="H15" s="11" t="s">
        <v>196</v>
      </c>
      <c r="I15" s="5" t="s">
        <v>1013</v>
      </c>
      <c r="J15" s="5" t="s">
        <v>599</v>
      </c>
      <c r="K15" s="6">
        <f t="shared" si="0"/>
        <v>1</v>
      </c>
    </row>
    <row r="16" spans="1:11" ht="15" customHeight="1">
      <c r="A16" s="4">
        <v>8</v>
      </c>
      <c r="B16" s="5" t="s">
        <v>133</v>
      </c>
      <c r="C16" s="5" t="s">
        <v>121</v>
      </c>
      <c r="D16" s="5" t="s">
        <v>1018</v>
      </c>
      <c r="E16" s="7" t="s">
        <v>105</v>
      </c>
      <c r="F16" s="7" t="s">
        <v>105</v>
      </c>
      <c r="G16" s="4" t="s">
        <v>597</v>
      </c>
      <c r="H16" s="11" t="s">
        <v>196</v>
      </c>
      <c r="I16" s="5" t="s">
        <v>1013</v>
      </c>
      <c r="J16" s="5" t="s">
        <v>599</v>
      </c>
      <c r="K16" s="6">
        <f t="shared" si="0"/>
        <v>1</v>
      </c>
    </row>
    <row r="17" spans="1:11" ht="15" customHeight="1">
      <c r="A17" s="4">
        <v>9</v>
      </c>
      <c r="B17" s="5" t="s">
        <v>133</v>
      </c>
      <c r="C17" s="5" t="s">
        <v>121</v>
      </c>
      <c r="D17" s="5" t="s">
        <v>1019</v>
      </c>
      <c r="E17" s="7" t="s">
        <v>105</v>
      </c>
      <c r="F17" s="7" t="s">
        <v>105</v>
      </c>
      <c r="G17" s="4" t="s">
        <v>597</v>
      </c>
      <c r="H17" s="11" t="s">
        <v>196</v>
      </c>
      <c r="I17" s="5" t="s">
        <v>1013</v>
      </c>
      <c r="J17" s="5" t="s">
        <v>599</v>
      </c>
      <c r="K17" s="6">
        <f t="shared" si="0"/>
        <v>1</v>
      </c>
    </row>
    <row r="18" spans="1:11" ht="15" customHeight="1">
      <c r="A18" s="4">
        <v>10</v>
      </c>
      <c r="B18" s="5" t="s">
        <v>133</v>
      </c>
      <c r="C18" s="5" t="s">
        <v>121</v>
      </c>
      <c r="D18" s="5" t="s">
        <v>1020</v>
      </c>
      <c r="E18" s="7" t="s">
        <v>105</v>
      </c>
      <c r="F18" s="7" t="s">
        <v>105</v>
      </c>
      <c r="G18" s="4" t="s">
        <v>597</v>
      </c>
      <c r="H18" s="11" t="s">
        <v>196</v>
      </c>
      <c r="I18" s="5" t="s">
        <v>1013</v>
      </c>
      <c r="J18" s="5" t="s">
        <v>599</v>
      </c>
      <c r="K18" s="6">
        <f t="shared" si="0"/>
        <v>1</v>
      </c>
    </row>
    <row r="19" spans="1:11" ht="15" customHeight="1">
      <c r="A19" s="4">
        <v>11</v>
      </c>
      <c r="B19" s="5" t="s">
        <v>133</v>
      </c>
      <c r="C19" s="5" t="s">
        <v>145</v>
      </c>
      <c r="D19" s="5" t="s">
        <v>1021</v>
      </c>
      <c r="E19" s="7" t="s">
        <v>105</v>
      </c>
      <c r="F19" s="7" t="s">
        <v>105</v>
      </c>
      <c r="G19" s="4" t="s">
        <v>597</v>
      </c>
      <c r="H19" s="11" t="s">
        <v>196</v>
      </c>
      <c r="I19" s="5" t="s">
        <v>1013</v>
      </c>
      <c r="J19" s="5" t="s">
        <v>599</v>
      </c>
      <c r="K19" s="6">
        <f t="shared" si="0"/>
        <v>1</v>
      </c>
    </row>
    <row r="20" spans="1:11" ht="15" customHeight="1">
      <c r="A20" s="4">
        <v>12</v>
      </c>
      <c r="B20" s="5" t="s">
        <v>133</v>
      </c>
      <c r="C20" s="5" t="s">
        <v>145</v>
      </c>
      <c r="D20" s="5" t="s">
        <v>1022</v>
      </c>
      <c r="E20" s="7" t="s">
        <v>105</v>
      </c>
      <c r="F20" s="7" t="s">
        <v>105</v>
      </c>
      <c r="G20" s="4" t="s">
        <v>597</v>
      </c>
      <c r="H20" s="11" t="s">
        <v>196</v>
      </c>
      <c r="I20" s="5" t="s">
        <v>1013</v>
      </c>
      <c r="J20" s="5" t="s">
        <v>599</v>
      </c>
      <c r="K20" s="6">
        <f t="shared" si="0"/>
        <v>1</v>
      </c>
    </row>
    <row r="21" spans="1:11" ht="15" customHeight="1">
      <c r="A21" s="4">
        <v>13</v>
      </c>
      <c r="B21" s="5" t="s">
        <v>133</v>
      </c>
      <c r="C21" s="5" t="s">
        <v>145</v>
      </c>
      <c r="D21" s="5" t="s">
        <v>1023</v>
      </c>
      <c r="E21" s="7" t="s">
        <v>105</v>
      </c>
      <c r="F21" s="7" t="s">
        <v>105</v>
      </c>
      <c r="G21" s="4" t="s">
        <v>597</v>
      </c>
      <c r="H21" s="11" t="s">
        <v>196</v>
      </c>
      <c r="I21" s="5" t="s">
        <v>1013</v>
      </c>
      <c r="J21" s="5" t="s">
        <v>599</v>
      </c>
      <c r="K21" s="6">
        <f t="shared" si="0"/>
        <v>1</v>
      </c>
    </row>
    <row r="22" spans="1:11" ht="15" customHeight="1">
      <c r="A22" s="4">
        <v>14</v>
      </c>
      <c r="B22" s="5" t="s">
        <v>133</v>
      </c>
      <c r="C22" s="5" t="s">
        <v>145</v>
      </c>
      <c r="D22" s="5" t="s">
        <v>1024</v>
      </c>
      <c r="E22" s="7" t="s">
        <v>105</v>
      </c>
      <c r="F22" s="7" t="s">
        <v>105</v>
      </c>
      <c r="G22" s="4" t="s">
        <v>597</v>
      </c>
      <c r="H22" s="11" t="s">
        <v>196</v>
      </c>
      <c r="I22" s="5" t="s">
        <v>1013</v>
      </c>
      <c r="J22" s="5" t="s">
        <v>599</v>
      </c>
      <c r="K22" s="6">
        <f t="shared" si="0"/>
        <v>1</v>
      </c>
    </row>
    <row r="23" spans="1:11" ht="15" customHeight="1">
      <c r="A23" s="4">
        <v>15</v>
      </c>
      <c r="B23" s="5" t="s">
        <v>133</v>
      </c>
      <c r="C23" s="5" t="s">
        <v>145</v>
      </c>
      <c r="D23" s="5" t="s">
        <v>1025</v>
      </c>
      <c r="E23" s="7" t="s">
        <v>105</v>
      </c>
      <c r="F23" s="7" t="s">
        <v>105</v>
      </c>
      <c r="G23" s="4" t="s">
        <v>597</v>
      </c>
      <c r="H23" s="11" t="s">
        <v>196</v>
      </c>
      <c r="I23" s="5" t="s">
        <v>1013</v>
      </c>
      <c r="J23" s="5" t="s">
        <v>599</v>
      </c>
      <c r="K23" s="6">
        <f t="shared" si="0"/>
        <v>1</v>
      </c>
    </row>
    <row r="24" spans="1:11" ht="15" customHeight="1">
      <c r="A24" s="4">
        <v>16</v>
      </c>
      <c r="B24" s="5" t="s">
        <v>133</v>
      </c>
      <c r="C24" s="5" t="s">
        <v>145</v>
      </c>
      <c r="D24" s="5" t="s">
        <v>1026</v>
      </c>
      <c r="E24" s="7" t="s">
        <v>105</v>
      </c>
      <c r="F24" s="7" t="s">
        <v>105</v>
      </c>
      <c r="G24" s="4" t="s">
        <v>597</v>
      </c>
      <c r="H24" s="11" t="s">
        <v>196</v>
      </c>
      <c r="I24" s="5" t="s">
        <v>1013</v>
      </c>
      <c r="J24" s="5" t="s">
        <v>599</v>
      </c>
      <c r="K24" s="6">
        <f t="shared" si="0"/>
        <v>1</v>
      </c>
    </row>
    <row r="25" spans="1:11" ht="15" customHeight="1">
      <c r="A25" s="4">
        <v>17</v>
      </c>
      <c r="B25" s="5" t="s">
        <v>133</v>
      </c>
      <c r="C25" s="5" t="s">
        <v>145</v>
      </c>
      <c r="D25" s="5" t="s">
        <v>1027</v>
      </c>
      <c r="E25" s="7" t="s">
        <v>105</v>
      </c>
      <c r="F25" s="7" t="s">
        <v>105</v>
      </c>
      <c r="G25" s="4" t="s">
        <v>597</v>
      </c>
      <c r="H25" s="11" t="s">
        <v>196</v>
      </c>
      <c r="I25" s="5" t="s">
        <v>1013</v>
      </c>
      <c r="J25" s="5" t="s">
        <v>599</v>
      </c>
      <c r="K25" s="6">
        <f t="shared" si="0"/>
        <v>1</v>
      </c>
    </row>
    <row r="26" spans="1:11" ht="15" customHeight="1">
      <c r="A26" s="4">
        <v>18</v>
      </c>
      <c r="B26" s="5" t="s">
        <v>133</v>
      </c>
      <c r="C26" s="5" t="s">
        <v>145</v>
      </c>
      <c r="D26" s="5" t="s">
        <v>1028</v>
      </c>
      <c r="E26" s="7" t="s">
        <v>105</v>
      </c>
      <c r="F26" s="7" t="s">
        <v>105</v>
      </c>
      <c r="G26" s="4" t="s">
        <v>597</v>
      </c>
      <c r="H26" s="11" t="s">
        <v>196</v>
      </c>
      <c r="I26" s="5" t="s">
        <v>1013</v>
      </c>
      <c r="J26" s="5" t="s">
        <v>599</v>
      </c>
      <c r="K26" s="6">
        <f t="shared" si="0"/>
        <v>1</v>
      </c>
    </row>
    <row r="27" spans="1:11" ht="15" customHeight="1">
      <c r="A27" s="4">
        <v>19</v>
      </c>
      <c r="B27" s="5" t="s">
        <v>130</v>
      </c>
      <c r="C27" s="5" t="s">
        <v>145</v>
      </c>
      <c r="D27" s="5" t="s">
        <v>1029</v>
      </c>
      <c r="E27" s="7" t="s">
        <v>105</v>
      </c>
      <c r="F27" s="7" t="s">
        <v>105</v>
      </c>
      <c r="G27" s="4" t="s">
        <v>597</v>
      </c>
      <c r="H27" s="11" t="s">
        <v>196</v>
      </c>
      <c r="I27" s="5" t="s">
        <v>1013</v>
      </c>
      <c r="J27" s="5" t="s">
        <v>599</v>
      </c>
      <c r="K27" s="6">
        <f t="shared" si="0"/>
        <v>1</v>
      </c>
    </row>
    <row r="28" spans="1:11" ht="15" customHeight="1">
      <c r="A28" s="4">
        <v>20</v>
      </c>
      <c r="B28" s="5" t="s">
        <v>130</v>
      </c>
      <c r="C28" s="5" t="s">
        <v>145</v>
      </c>
      <c r="D28" s="5" t="s">
        <v>1030</v>
      </c>
      <c r="E28" s="7" t="s">
        <v>105</v>
      </c>
      <c r="F28" s="7" t="s">
        <v>105</v>
      </c>
      <c r="G28" s="4" t="s">
        <v>597</v>
      </c>
      <c r="H28" s="11" t="s">
        <v>196</v>
      </c>
      <c r="I28" s="5" t="s">
        <v>1013</v>
      </c>
      <c r="J28" s="5" t="s">
        <v>599</v>
      </c>
      <c r="K28" s="6">
        <f t="shared" si="0"/>
        <v>1</v>
      </c>
    </row>
    <row r="29" spans="1:11" ht="15" customHeight="1">
      <c r="A29" s="4">
        <v>21</v>
      </c>
      <c r="B29" s="5" t="s">
        <v>130</v>
      </c>
      <c r="C29" s="5" t="s">
        <v>145</v>
      </c>
      <c r="D29" s="5" t="s">
        <v>1031</v>
      </c>
      <c r="E29" s="7" t="s">
        <v>105</v>
      </c>
      <c r="F29" s="7" t="s">
        <v>105</v>
      </c>
      <c r="G29" s="4" t="s">
        <v>597</v>
      </c>
      <c r="H29" s="11" t="s">
        <v>196</v>
      </c>
      <c r="I29" s="5" t="s">
        <v>1013</v>
      </c>
      <c r="J29" s="5" t="s">
        <v>599</v>
      </c>
      <c r="K29" s="6">
        <f t="shared" si="0"/>
        <v>1</v>
      </c>
    </row>
    <row r="30" spans="1:11" ht="45" customHeight="1">
      <c r="A30" s="4">
        <v>22</v>
      </c>
      <c r="B30" s="5" t="s">
        <v>130</v>
      </c>
      <c r="C30" s="5" t="s">
        <v>145</v>
      </c>
      <c r="D30" s="5" t="s">
        <v>1032</v>
      </c>
      <c r="E30" s="7" t="s">
        <v>105</v>
      </c>
      <c r="F30" s="7" t="s">
        <v>105</v>
      </c>
      <c r="G30" s="4" t="s">
        <v>597</v>
      </c>
      <c r="H30" s="11" t="s">
        <v>196</v>
      </c>
      <c r="I30" s="5" t="s">
        <v>1013</v>
      </c>
      <c r="J30" s="5" t="s">
        <v>599</v>
      </c>
      <c r="K30" s="6">
        <f t="shared" si="0"/>
        <v>1</v>
      </c>
    </row>
    <row r="31" spans="1:11" ht="15" customHeight="1">
      <c r="A31" s="4">
        <v>23</v>
      </c>
      <c r="B31" s="5" t="s">
        <v>128</v>
      </c>
      <c r="C31" s="5" t="s">
        <v>145</v>
      </c>
      <c r="D31" s="5" t="s">
        <v>1033</v>
      </c>
      <c r="E31" s="7" t="s">
        <v>105</v>
      </c>
      <c r="F31" s="7" t="s">
        <v>105</v>
      </c>
      <c r="G31" s="4" t="s">
        <v>597</v>
      </c>
      <c r="H31" s="11" t="s">
        <v>196</v>
      </c>
      <c r="I31" s="5" t="s">
        <v>1013</v>
      </c>
      <c r="J31" s="5" t="s">
        <v>599</v>
      </c>
      <c r="K31" s="6">
        <f t="shared" si="0"/>
        <v>1</v>
      </c>
    </row>
    <row r="32" spans="1:11" ht="15" customHeight="1">
      <c r="A32" s="4">
        <v>24</v>
      </c>
      <c r="B32" s="5" t="s">
        <v>95</v>
      </c>
      <c r="C32" s="5" t="s">
        <v>145</v>
      </c>
      <c r="D32" s="5" t="s">
        <v>1034</v>
      </c>
      <c r="E32" s="7" t="s">
        <v>105</v>
      </c>
      <c r="F32" s="7" t="s">
        <v>105</v>
      </c>
      <c r="G32" s="4" t="s">
        <v>597</v>
      </c>
      <c r="H32" s="11" t="s">
        <v>196</v>
      </c>
      <c r="I32" s="5" t="s">
        <v>1035</v>
      </c>
      <c r="J32" s="5" t="s">
        <v>599</v>
      </c>
      <c r="K32" s="6">
        <f t="shared" si="0"/>
        <v>1</v>
      </c>
    </row>
    <row r="33" spans="1:11" ht="15" customHeight="1">
      <c r="A33" s="4">
        <v>25</v>
      </c>
      <c r="B33" s="5" t="s">
        <v>1036</v>
      </c>
      <c r="C33" s="5" t="s">
        <v>145</v>
      </c>
      <c r="D33" s="5" t="s">
        <v>1037</v>
      </c>
      <c r="E33" s="7" t="s">
        <v>105</v>
      </c>
      <c r="F33" s="7" t="s">
        <v>105</v>
      </c>
      <c r="G33" s="4" t="s">
        <v>597</v>
      </c>
      <c r="H33" s="11" t="s">
        <v>196</v>
      </c>
      <c r="I33" s="5" t="s">
        <v>1013</v>
      </c>
      <c r="J33" s="5" t="s">
        <v>599</v>
      </c>
      <c r="K33" s="6">
        <f t="shared" si="0"/>
        <v>1</v>
      </c>
    </row>
    <row r="34" spans="1:11" ht="15" customHeight="1">
      <c r="A34" s="4">
        <v>26</v>
      </c>
      <c r="B34" s="5" t="s">
        <v>1036</v>
      </c>
      <c r="C34" s="5" t="s">
        <v>145</v>
      </c>
      <c r="D34" s="5" t="s">
        <v>1038</v>
      </c>
      <c r="E34" s="7" t="s">
        <v>105</v>
      </c>
      <c r="F34" s="7" t="s">
        <v>105</v>
      </c>
      <c r="G34" s="4" t="s">
        <v>597</v>
      </c>
      <c r="H34" s="11" t="s">
        <v>196</v>
      </c>
      <c r="I34" s="5" t="s">
        <v>1013</v>
      </c>
      <c r="J34" s="5" t="s">
        <v>599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55</v>
      </c>
      <c r="D35" s="5" t="s">
        <v>1039</v>
      </c>
      <c r="E35" s="7" t="s">
        <v>105</v>
      </c>
      <c r="F35" s="7" t="s">
        <v>105</v>
      </c>
      <c r="G35" s="4" t="s">
        <v>597</v>
      </c>
      <c r="H35" s="11" t="s">
        <v>196</v>
      </c>
      <c r="I35" s="5" t="s">
        <v>1013</v>
      </c>
      <c r="J35" s="5" t="s">
        <v>599</v>
      </c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55</v>
      </c>
      <c r="D36" s="5" t="s">
        <v>1040</v>
      </c>
      <c r="E36" s="7" t="s">
        <v>105</v>
      </c>
      <c r="F36" s="7" t="s">
        <v>105</v>
      </c>
      <c r="G36" s="4" t="s">
        <v>597</v>
      </c>
      <c r="H36" s="11" t="s">
        <v>196</v>
      </c>
      <c r="I36" s="5" t="s">
        <v>1013</v>
      </c>
      <c r="J36" s="5" t="s">
        <v>599</v>
      </c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55</v>
      </c>
      <c r="D37" s="5" t="s">
        <v>1041</v>
      </c>
      <c r="E37" s="7" t="s">
        <v>105</v>
      </c>
      <c r="F37" s="7" t="s">
        <v>105</v>
      </c>
      <c r="G37" s="4" t="s">
        <v>597</v>
      </c>
      <c r="H37" s="11" t="s">
        <v>196</v>
      </c>
      <c r="I37" s="5" t="s">
        <v>1013</v>
      </c>
      <c r="J37" s="5" t="s">
        <v>599</v>
      </c>
      <c r="K37" s="6">
        <f t="shared" si="0"/>
        <v>1</v>
      </c>
    </row>
    <row r="38" spans="1:11" ht="15" customHeight="1">
      <c r="A38" s="4">
        <v>30</v>
      </c>
      <c r="B38" s="5" t="s">
        <v>133</v>
      </c>
      <c r="C38" s="5" t="s">
        <v>55</v>
      </c>
      <c r="D38" s="5" t="s">
        <v>1042</v>
      </c>
      <c r="E38" s="7" t="s">
        <v>105</v>
      </c>
      <c r="F38" s="7" t="s">
        <v>105</v>
      </c>
      <c r="G38" s="4" t="s">
        <v>597</v>
      </c>
      <c r="H38" s="11" t="s">
        <v>196</v>
      </c>
      <c r="I38" s="5" t="s">
        <v>1013</v>
      </c>
      <c r="J38" s="5" t="s">
        <v>599</v>
      </c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273</v>
      </c>
      <c r="D39" s="5" t="s">
        <v>1043</v>
      </c>
      <c r="E39" s="7" t="s">
        <v>105</v>
      </c>
      <c r="F39" s="7" t="s">
        <v>105</v>
      </c>
      <c r="G39" s="4" t="s">
        <v>597</v>
      </c>
      <c r="H39" s="11" t="s">
        <v>196</v>
      </c>
      <c r="I39" s="5" t="s">
        <v>1013</v>
      </c>
      <c r="J39" s="5" t="s">
        <v>599</v>
      </c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273</v>
      </c>
      <c r="D40" s="5" t="s">
        <v>1026</v>
      </c>
      <c r="E40" s="7" t="s">
        <v>105</v>
      </c>
      <c r="F40" s="7" t="s">
        <v>105</v>
      </c>
      <c r="G40" s="4" t="s">
        <v>597</v>
      </c>
      <c r="H40" s="11" t="s">
        <v>196</v>
      </c>
      <c r="I40" s="5" t="s">
        <v>1013</v>
      </c>
      <c r="J40" s="5" t="s">
        <v>599</v>
      </c>
      <c r="K40" s="6">
        <f t="shared" si="0"/>
        <v>1</v>
      </c>
    </row>
    <row r="41" spans="1:11" ht="15" customHeight="1">
      <c r="A41" s="4">
        <v>33</v>
      </c>
      <c r="B41" s="5" t="s">
        <v>172</v>
      </c>
      <c r="C41" s="5" t="s">
        <v>273</v>
      </c>
      <c r="D41" s="5" t="s">
        <v>1044</v>
      </c>
      <c r="E41" s="7" t="s">
        <v>105</v>
      </c>
      <c r="F41" s="7" t="s">
        <v>105</v>
      </c>
      <c r="G41" s="4" t="s">
        <v>597</v>
      </c>
      <c r="H41" s="11" t="s">
        <v>196</v>
      </c>
      <c r="I41" s="5" t="s">
        <v>1013</v>
      </c>
      <c r="J41" s="5" t="s">
        <v>599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172</v>
      </c>
      <c r="C42" s="5" t="s">
        <v>273</v>
      </c>
      <c r="D42" s="5" t="s">
        <v>1045</v>
      </c>
      <c r="E42" s="7" t="s">
        <v>105</v>
      </c>
      <c r="F42" s="7" t="s">
        <v>105</v>
      </c>
      <c r="G42" s="4" t="s">
        <v>597</v>
      </c>
      <c r="H42" s="11" t="s">
        <v>196</v>
      </c>
      <c r="I42" s="5" t="s">
        <v>1013</v>
      </c>
      <c r="J42" s="5" t="s">
        <v>599</v>
      </c>
      <c r="K42" s="6">
        <f t="shared" si="1"/>
        <v>1</v>
      </c>
    </row>
    <row r="43" spans="1:11" ht="45" customHeight="1">
      <c r="A43" s="4">
        <v>35</v>
      </c>
      <c r="B43" s="5" t="s">
        <v>130</v>
      </c>
      <c r="C43" s="5" t="s">
        <v>273</v>
      </c>
      <c r="D43" s="5" t="s">
        <v>1046</v>
      </c>
      <c r="E43" s="7" t="s">
        <v>105</v>
      </c>
      <c r="F43" s="7" t="s">
        <v>105</v>
      </c>
      <c r="G43" s="4" t="s">
        <v>597</v>
      </c>
      <c r="H43" s="11" t="s">
        <v>196</v>
      </c>
      <c r="I43" s="5" t="s">
        <v>1013</v>
      </c>
      <c r="J43" s="5" t="s">
        <v>599</v>
      </c>
      <c r="K43" s="6">
        <f t="shared" si="1"/>
        <v>1</v>
      </c>
    </row>
    <row r="44" spans="1:11" ht="15" customHeight="1">
      <c r="A44" s="4">
        <v>36</v>
      </c>
      <c r="B44" s="5" t="s">
        <v>128</v>
      </c>
      <c r="C44" s="5" t="s">
        <v>273</v>
      </c>
      <c r="D44" s="5" t="s">
        <v>1033</v>
      </c>
      <c r="E44" s="7" t="s">
        <v>105</v>
      </c>
      <c r="F44" s="7" t="s">
        <v>105</v>
      </c>
      <c r="G44" s="4" t="s">
        <v>597</v>
      </c>
      <c r="H44" s="11" t="s">
        <v>196</v>
      </c>
      <c r="I44" s="5" t="s">
        <v>1013</v>
      </c>
      <c r="J44" s="5" t="s">
        <v>599</v>
      </c>
      <c r="K44" s="6">
        <f t="shared" si="1"/>
        <v>1</v>
      </c>
    </row>
    <row r="45" spans="1:11" ht="15" customHeight="1">
      <c r="A45" s="4">
        <v>37</v>
      </c>
      <c r="B45" s="5" t="s">
        <v>95</v>
      </c>
      <c r="C45" s="5" t="s">
        <v>273</v>
      </c>
      <c r="D45" s="5" t="s">
        <v>1047</v>
      </c>
      <c r="E45" s="7" t="s">
        <v>105</v>
      </c>
      <c r="F45" s="7" t="s">
        <v>105</v>
      </c>
      <c r="G45" s="4" t="s">
        <v>597</v>
      </c>
      <c r="H45" s="11" t="s">
        <v>196</v>
      </c>
      <c r="I45" s="5" t="s">
        <v>1035</v>
      </c>
      <c r="J45" s="5" t="s">
        <v>599</v>
      </c>
      <c r="K45" s="6">
        <f t="shared" si="1"/>
        <v>1</v>
      </c>
    </row>
    <row r="46" spans="1:11" ht="15" customHeight="1">
      <c r="A46" s="4">
        <v>38</v>
      </c>
      <c r="B46" s="5" t="s">
        <v>1036</v>
      </c>
      <c r="C46" s="5" t="s">
        <v>273</v>
      </c>
      <c r="D46" s="5" t="s">
        <v>1037</v>
      </c>
      <c r="E46" s="7" t="s">
        <v>105</v>
      </c>
      <c r="F46" s="7" t="s">
        <v>105</v>
      </c>
      <c r="G46" s="4" t="s">
        <v>597</v>
      </c>
      <c r="H46" s="11" t="s">
        <v>196</v>
      </c>
      <c r="I46" s="5" t="s">
        <v>1013</v>
      </c>
      <c r="J46" s="5" t="s">
        <v>599</v>
      </c>
      <c r="K46" s="6">
        <f t="shared" si="1"/>
        <v>1</v>
      </c>
    </row>
    <row r="47" spans="1:11" ht="15" customHeight="1">
      <c r="A47" s="4">
        <v>39</v>
      </c>
      <c r="B47" s="5" t="s">
        <v>1036</v>
      </c>
      <c r="C47" s="5" t="s">
        <v>273</v>
      </c>
      <c r="D47" s="5" t="s">
        <v>1038</v>
      </c>
      <c r="E47" s="7" t="s">
        <v>105</v>
      </c>
      <c r="F47" s="7" t="s">
        <v>105</v>
      </c>
      <c r="G47" s="4" t="s">
        <v>597</v>
      </c>
      <c r="H47" s="11" t="s">
        <v>196</v>
      </c>
      <c r="I47" s="5" t="s">
        <v>1013</v>
      </c>
      <c r="J47" s="5" t="s">
        <v>599</v>
      </c>
      <c r="K47" s="6">
        <f t="shared" si="1"/>
        <v>1</v>
      </c>
    </row>
    <row r="48" spans="1:11" ht="15" customHeight="1">
      <c r="A48" s="4">
        <v>40</v>
      </c>
      <c r="B48" s="5" t="s">
        <v>133</v>
      </c>
      <c r="C48" s="5" t="s">
        <v>147</v>
      </c>
      <c r="D48" s="5" t="s">
        <v>1043</v>
      </c>
      <c r="E48" s="7" t="s">
        <v>105</v>
      </c>
      <c r="F48" s="7" t="s">
        <v>105</v>
      </c>
      <c r="G48" s="4" t="s">
        <v>597</v>
      </c>
      <c r="H48" s="11" t="s">
        <v>196</v>
      </c>
      <c r="I48" s="5" t="s">
        <v>1013</v>
      </c>
      <c r="J48" s="5" t="s">
        <v>599</v>
      </c>
      <c r="K48" s="6">
        <f t="shared" si="1"/>
        <v>1</v>
      </c>
    </row>
    <row r="49" spans="1:11" ht="15" customHeight="1">
      <c r="A49" s="4">
        <v>41</v>
      </c>
      <c r="B49" s="5" t="s">
        <v>133</v>
      </c>
      <c r="C49" s="5" t="s">
        <v>147</v>
      </c>
      <c r="D49" s="5" t="s">
        <v>1048</v>
      </c>
      <c r="E49" s="7" t="s">
        <v>105</v>
      </c>
      <c r="F49" s="7" t="s">
        <v>105</v>
      </c>
      <c r="G49" s="4" t="s">
        <v>597</v>
      </c>
      <c r="H49" s="11" t="s">
        <v>196</v>
      </c>
      <c r="I49" s="5" t="s">
        <v>1013</v>
      </c>
      <c r="J49" s="5" t="s">
        <v>599</v>
      </c>
      <c r="K49" s="6">
        <f t="shared" si="1"/>
        <v>1</v>
      </c>
    </row>
    <row r="50" spans="1:11" ht="15" customHeight="1">
      <c r="A50" s="4">
        <v>42</v>
      </c>
      <c r="B50" s="5" t="s">
        <v>133</v>
      </c>
      <c r="C50" s="5" t="s">
        <v>147</v>
      </c>
      <c r="D50" s="5" t="s">
        <v>1049</v>
      </c>
      <c r="E50" s="7" t="s">
        <v>105</v>
      </c>
      <c r="F50" s="7" t="s">
        <v>105</v>
      </c>
      <c r="G50" s="4" t="s">
        <v>597</v>
      </c>
      <c r="H50" s="11" t="s">
        <v>196</v>
      </c>
      <c r="I50" s="5" t="s">
        <v>1013</v>
      </c>
      <c r="J50" s="5" t="s">
        <v>599</v>
      </c>
      <c r="K50" s="6">
        <f t="shared" si="1"/>
        <v>1</v>
      </c>
    </row>
    <row r="51" spans="1:11" ht="15" customHeight="1">
      <c r="A51" s="4">
        <v>43</v>
      </c>
      <c r="B51" s="5" t="s">
        <v>133</v>
      </c>
      <c r="C51" s="5" t="s">
        <v>147</v>
      </c>
      <c r="D51" s="5" t="s">
        <v>1050</v>
      </c>
      <c r="E51" s="7" t="s">
        <v>105</v>
      </c>
      <c r="F51" s="7" t="s">
        <v>105</v>
      </c>
      <c r="G51" s="4" t="s">
        <v>597</v>
      </c>
      <c r="H51" s="11" t="s">
        <v>196</v>
      </c>
      <c r="I51" s="5" t="s">
        <v>1013</v>
      </c>
      <c r="J51" s="5" t="s">
        <v>599</v>
      </c>
      <c r="K51" s="6">
        <f t="shared" si="1"/>
        <v>1</v>
      </c>
    </row>
    <row r="52" spans="1:11" ht="15" customHeight="1">
      <c r="A52" s="4">
        <v>44</v>
      </c>
      <c r="B52" s="5" t="s">
        <v>133</v>
      </c>
      <c r="C52" s="5" t="s">
        <v>147</v>
      </c>
      <c r="D52" s="5" t="s">
        <v>1051</v>
      </c>
      <c r="E52" s="7" t="s">
        <v>105</v>
      </c>
      <c r="F52" s="7" t="s">
        <v>105</v>
      </c>
      <c r="G52" s="4" t="s">
        <v>597</v>
      </c>
      <c r="H52" s="11" t="s">
        <v>196</v>
      </c>
      <c r="I52" s="5" t="s">
        <v>1013</v>
      </c>
      <c r="J52" s="5" t="s">
        <v>599</v>
      </c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147</v>
      </c>
      <c r="D53" s="5" t="s">
        <v>1052</v>
      </c>
      <c r="E53" s="7" t="s">
        <v>105</v>
      </c>
      <c r="F53" s="7" t="s">
        <v>105</v>
      </c>
      <c r="G53" s="4" t="s">
        <v>597</v>
      </c>
      <c r="H53" s="11" t="s">
        <v>196</v>
      </c>
      <c r="I53" s="5" t="s">
        <v>1013</v>
      </c>
      <c r="J53" s="5" t="s">
        <v>599</v>
      </c>
      <c r="K53" s="6">
        <f t="shared" si="1"/>
        <v>1</v>
      </c>
    </row>
    <row r="54" spans="1:11" ht="15" customHeight="1">
      <c r="A54" s="4">
        <v>46</v>
      </c>
      <c r="B54" s="5" t="s">
        <v>133</v>
      </c>
      <c r="C54" s="5" t="s">
        <v>147</v>
      </c>
      <c r="D54" s="5" t="s">
        <v>1026</v>
      </c>
      <c r="E54" s="7" t="s">
        <v>105</v>
      </c>
      <c r="F54" s="7" t="s">
        <v>105</v>
      </c>
      <c r="G54" s="4" t="s">
        <v>597</v>
      </c>
      <c r="H54" s="11" t="s">
        <v>196</v>
      </c>
      <c r="I54" s="5" t="s">
        <v>1013</v>
      </c>
      <c r="J54" s="5" t="s">
        <v>599</v>
      </c>
      <c r="K54" s="6">
        <f t="shared" si="1"/>
        <v>1</v>
      </c>
    </row>
    <row r="55" spans="1:11" ht="15" customHeight="1">
      <c r="A55" s="4">
        <v>47</v>
      </c>
      <c r="B55" s="5" t="s">
        <v>133</v>
      </c>
      <c r="C55" s="5" t="s">
        <v>147</v>
      </c>
      <c r="D55" s="5" t="s">
        <v>1053</v>
      </c>
      <c r="E55" s="7" t="s">
        <v>105</v>
      </c>
      <c r="F55" s="7" t="s">
        <v>105</v>
      </c>
      <c r="G55" s="4" t="s">
        <v>597</v>
      </c>
      <c r="H55" s="11" t="s">
        <v>196</v>
      </c>
      <c r="I55" s="5" t="s">
        <v>1013</v>
      </c>
      <c r="J55" s="5" t="s">
        <v>599</v>
      </c>
      <c r="K55" s="6">
        <f t="shared" si="1"/>
        <v>1</v>
      </c>
    </row>
    <row r="56" spans="1:11" ht="15" customHeight="1">
      <c r="A56" s="4">
        <v>48</v>
      </c>
      <c r="B56" s="5" t="s">
        <v>539</v>
      </c>
      <c r="C56" s="5" t="s">
        <v>147</v>
      </c>
      <c r="D56" s="5" t="s">
        <v>1054</v>
      </c>
      <c r="E56" s="7" t="s">
        <v>105</v>
      </c>
      <c r="F56" s="7" t="s">
        <v>105</v>
      </c>
      <c r="G56" s="4" t="s">
        <v>597</v>
      </c>
      <c r="H56" s="11" t="s">
        <v>196</v>
      </c>
      <c r="I56" s="5" t="s">
        <v>1013</v>
      </c>
      <c r="J56" s="5" t="s">
        <v>599</v>
      </c>
      <c r="K56" s="6">
        <f t="shared" si="1"/>
        <v>1</v>
      </c>
    </row>
    <row r="57" spans="1:11" ht="15" customHeight="1">
      <c r="A57" s="4">
        <v>49</v>
      </c>
      <c r="B57" s="5" t="s">
        <v>539</v>
      </c>
      <c r="C57" s="5" t="s">
        <v>147</v>
      </c>
      <c r="D57" s="5" t="s">
        <v>1055</v>
      </c>
      <c r="E57" s="7" t="s">
        <v>105</v>
      </c>
      <c r="F57" s="7" t="s">
        <v>105</v>
      </c>
      <c r="G57" s="4" t="s">
        <v>597</v>
      </c>
      <c r="H57" s="11" t="s">
        <v>196</v>
      </c>
      <c r="I57" s="5" t="s">
        <v>1013</v>
      </c>
      <c r="J57" s="5" t="s">
        <v>599</v>
      </c>
      <c r="K57" s="6">
        <f t="shared" si="1"/>
        <v>1</v>
      </c>
    </row>
    <row r="58" spans="1:11" ht="15" customHeight="1">
      <c r="A58" s="4">
        <v>50</v>
      </c>
      <c r="B58" s="5" t="s">
        <v>539</v>
      </c>
      <c r="C58" s="5" t="s">
        <v>147</v>
      </c>
      <c r="D58" s="5" t="s">
        <v>1056</v>
      </c>
      <c r="E58" s="7" t="s">
        <v>105</v>
      </c>
      <c r="F58" s="7" t="s">
        <v>105</v>
      </c>
      <c r="G58" s="4" t="s">
        <v>597</v>
      </c>
      <c r="H58" s="11" t="s">
        <v>196</v>
      </c>
      <c r="I58" s="5" t="s">
        <v>1013</v>
      </c>
      <c r="J58" s="5" t="s">
        <v>599</v>
      </c>
      <c r="K58" s="6">
        <f t="shared" si="1"/>
        <v>1</v>
      </c>
    </row>
    <row r="59" spans="1:11" ht="15" customHeight="1">
      <c r="A59" s="4">
        <v>51</v>
      </c>
      <c r="B59" s="5" t="s">
        <v>539</v>
      </c>
      <c r="C59" s="5" t="s">
        <v>147</v>
      </c>
      <c r="D59" s="5" t="s">
        <v>1057</v>
      </c>
      <c r="E59" s="7" t="s">
        <v>105</v>
      </c>
      <c r="F59" s="7" t="s">
        <v>105</v>
      </c>
      <c r="G59" s="4" t="s">
        <v>597</v>
      </c>
      <c r="H59" s="11" t="s">
        <v>196</v>
      </c>
      <c r="I59" s="5" t="s">
        <v>1013</v>
      </c>
      <c r="J59" s="5" t="s">
        <v>599</v>
      </c>
      <c r="K59" s="6">
        <f t="shared" si="1"/>
        <v>1</v>
      </c>
    </row>
    <row r="60" spans="1:11" ht="15" customHeight="1">
      <c r="A60" s="4">
        <v>52</v>
      </c>
      <c r="B60" s="5" t="s">
        <v>172</v>
      </c>
      <c r="C60" s="5" t="s">
        <v>147</v>
      </c>
      <c r="D60" s="5" t="s">
        <v>1058</v>
      </c>
      <c r="E60" s="7" t="s">
        <v>105</v>
      </c>
      <c r="F60" s="7" t="s">
        <v>105</v>
      </c>
      <c r="G60" s="4" t="s">
        <v>597</v>
      </c>
      <c r="H60" s="11" t="s">
        <v>196</v>
      </c>
      <c r="I60" s="5" t="s">
        <v>1013</v>
      </c>
      <c r="J60" s="5" t="s">
        <v>599</v>
      </c>
      <c r="K60" s="6">
        <f t="shared" si="1"/>
        <v>1</v>
      </c>
    </row>
    <row r="61" spans="1:11" ht="15" customHeight="1">
      <c r="A61" s="4">
        <v>53</v>
      </c>
      <c r="B61" s="5" t="s">
        <v>172</v>
      </c>
      <c r="C61" s="5" t="s">
        <v>147</v>
      </c>
      <c r="D61" s="5" t="s">
        <v>1059</v>
      </c>
      <c r="E61" s="7" t="s">
        <v>105</v>
      </c>
      <c r="F61" s="7" t="s">
        <v>105</v>
      </c>
      <c r="G61" s="4" t="s">
        <v>597</v>
      </c>
      <c r="H61" s="11" t="s">
        <v>196</v>
      </c>
      <c r="I61" s="5" t="s">
        <v>1013</v>
      </c>
      <c r="J61" s="5" t="s">
        <v>599</v>
      </c>
      <c r="K61" s="6">
        <f t="shared" si="1"/>
        <v>1</v>
      </c>
    </row>
    <row r="62" spans="1:11" ht="15" customHeight="1">
      <c r="A62" s="4">
        <v>54</v>
      </c>
      <c r="B62" s="5" t="s">
        <v>172</v>
      </c>
      <c r="C62" s="5" t="s">
        <v>147</v>
      </c>
      <c r="D62" s="5" t="s">
        <v>1060</v>
      </c>
      <c r="E62" s="7" t="s">
        <v>105</v>
      </c>
      <c r="F62" s="7" t="s">
        <v>105</v>
      </c>
      <c r="G62" s="4" t="s">
        <v>597</v>
      </c>
      <c r="H62" s="11" t="s">
        <v>196</v>
      </c>
      <c r="I62" s="5" t="s">
        <v>1013</v>
      </c>
      <c r="J62" s="5" t="s">
        <v>599</v>
      </c>
      <c r="K62" s="6">
        <f t="shared" si="1"/>
        <v>1</v>
      </c>
    </row>
    <row r="63" spans="1:11" ht="15" customHeight="1">
      <c r="A63" s="4">
        <v>55</v>
      </c>
      <c r="B63" s="5" t="s">
        <v>172</v>
      </c>
      <c r="C63" s="5" t="s">
        <v>147</v>
      </c>
      <c r="D63" s="5" t="s">
        <v>1061</v>
      </c>
      <c r="E63" s="7" t="s">
        <v>105</v>
      </c>
      <c r="F63" s="7" t="s">
        <v>105</v>
      </c>
      <c r="G63" s="4" t="s">
        <v>597</v>
      </c>
      <c r="H63" s="11" t="s">
        <v>196</v>
      </c>
      <c r="I63" s="5" t="s">
        <v>1013</v>
      </c>
      <c r="J63" s="5" t="s">
        <v>599</v>
      </c>
      <c r="K63" s="6">
        <f t="shared" si="1"/>
        <v>1</v>
      </c>
    </row>
    <row r="64" spans="1:11" ht="15" customHeight="1">
      <c r="A64" s="4">
        <v>56</v>
      </c>
      <c r="B64" s="5" t="s">
        <v>172</v>
      </c>
      <c r="C64" s="5" t="s">
        <v>147</v>
      </c>
      <c r="D64" s="5" t="s">
        <v>1062</v>
      </c>
      <c r="E64" s="7" t="s">
        <v>105</v>
      </c>
      <c r="F64" s="7" t="s">
        <v>105</v>
      </c>
      <c r="G64" s="4" t="s">
        <v>597</v>
      </c>
      <c r="H64" s="11" t="s">
        <v>196</v>
      </c>
      <c r="I64" s="5" t="s">
        <v>1013</v>
      </c>
      <c r="J64" s="5" t="s">
        <v>599</v>
      </c>
      <c r="K64" s="6">
        <f t="shared" si="1"/>
        <v>1</v>
      </c>
    </row>
    <row r="65" spans="1:11" ht="15" customHeight="1">
      <c r="A65" s="4">
        <v>57</v>
      </c>
      <c r="B65" s="5" t="s">
        <v>172</v>
      </c>
      <c r="C65" s="5" t="s">
        <v>147</v>
      </c>
      <c r="D65" s="5" t="s">
        <v>1063</v>
      </c>
      <c r="E65" s="7" t="s">
        <v>105</v>
      </c>
      <c r="F65" s="7" t="s">
        <v>105</v>
      </c>
      <c r="G65" s="4" t="s">
        <v>597</v>
      </c>
      <c r="H65" s="11" t="s">
        <v>196</v>
      </c>
      <c r="I65" s="5" t="s">
        <v>1013</v>
      </c>
      <c r="J65" s="5" t="s">
        <v>599</v>
      </c>
      <c r="K65" s="6">
        <f t="shared" si="1"/>
        <v>1</v>
      </c>
    </row>
    <row r="66" spans="1:11" ht="15" customHeight="1">
      <c r="A66" s="4">
        <v>58</v>
      </c>
      <c r="B66" s="5" t="s">
        <v>172</v>
      </c>
      <c r="C66" s="5" t="s">
        <v>147</v>
      </c>
      <c r="D66" s="5" t="s">
        <v>1064</v>
      </c>
      <c r="E66" s="7" t="s">
        <v>105</v>
      </c>
      <c r="F66" s="7" t="s">
        <v>105</v>
      </c>
      <c r="G66" s="4" t="s">
        <v>597</v>
      </c>
      <c r="H66" s="11" t="s">
        <v>196</v>
      </c>
      <c r="I66" s="5" t="s">
        <v>1013</v>
      </c>
      <c r="J66" s="5" t="s">
        <v>599</v>
      </c>
      <c r="K66" s="6">
        <f t="shared" si="1"/>
        <v>1</v>
      </c>
    </row>
    <row r="67" spans="1:11" ht="45" customHeight="1">
      <c r="A67" s="4">
        <v>59</v>
      </c>
      <c r="B67" s="5" t="s">
        <v>172</v>
      </c>
      <c r="C67" s="5" t="s">
        <v>147</v>
      </c>
      <c r="D67" s="5" t="s">
        <v>1065</v>
      </c>
      <c r="E67" s="7" t="s">
        <v>105</v>
      </c>
      <c r="F67" s="7" t="s">
        <v>105</v>
      </c>
      <c r="G67" s="4" t="s">
        <v>597</v>
      </c>
      <c r="H67" s="11" t="s">
        <v>196</v>
      </c>
      <c r="I67" s="5" t="s">
        <v>1013</v>
      </c>
      <c r="J67" s="5" t="s">
        <v>599</v>
      </c>
      <c r="K67" s="6">
        <f t="shared" si="1"/>
        <v>1</v>
      </c>
    </row>
    <row r="68" spans="1:11" ht="15" customHeight="1">
      <c r="A68" s="4">
        <v>60</v>
      </c>
      <c r="B68" s="5" t="s">
        <v>128</v>
      </c>
      <c r="C68" s="5" t="s">
        <v>147</v>
      </c>
      <c r="D68" s="5" t="s">
        <v>1033</v>
      </c>
      <c r="E68" s="7" t="s">
        <v>105</v>
      </c>
      <c r="F68" s="7" t="s">
        <v>105</v>
      </c>
      <c r="G68" s="4" t="s">
        <v>597</v>
      </c>
      <c r="H68" s="11" t="s">
        <v>196</v>
      </c>
      <c r="I68" s="5" t="s">
        <v>1013</v>
      </c>
      <c r="J68" s="5" t="s">
        <v>599</v>
      </c>
      <c r="K68" s="6">
        <f t="shared" si="1"/>
        <v>1</v>
      </c>
    </row>
    <row r="69" spans="1:11" ht="15" customHeight="1">
      <c r="A69" s="4">
        <v>61</v>
      </c>
      <c r="B69" s="5" t="s">
        <v>95</v>
      </c>
      <c r="C69" s="5" t="s">
        <v>147</v>
      </c>
      <c r="D69" s="5" t="s">
        <v>1047</v>
      </c>
      <c r="E69" s="7" t="s">
        <v>105</v>
      </c>
      <c r="F69" s="7" t="s">
        <v>105</v>
      </c>
      <c r="G69" s="4" t="s">
        <v>597</v>
      </c>
      <c r="H69" s="11" t="s">
        <v>196</v>
      </c>
      <c r="I69" s="5" t="s">
        <v>1035</v>
      </c>
      <c r="J69" s="5" t="s">
        <v>599</v>
      </c>
      <c r="K69" s="6">
        <f t="shared" si="1"/>
        <v>1</v>
      </c>
    </row>
    <row r="70" spans="1:11" ht="15" customHeight="1">
      <c r="A70" s="4">
        <v>62</v>
      </c>
      <c r="B70" s="5" t="s">
        <v>1036</v>
      </c>
      <c r="C70" s="5" t="s">
        <v>147</v>
      </c>
      <c r="D70" s="5" t="s">
        <v>1037</v>
      </c>
      <c r="E70" s="7" t="s">
        <v>105</v>
      </c>
      <c r="F70" s="7" t="s">
        <v>105</v>
      </c>
      <c r="G70" s="4" t="s">
        <v>597</v>
      </c>
      <c r="H70" s="11" t="s">
        <v>196</v>
      </c>
      <c r="I70" s="5" t="s">
        <v>1013</v>
      </c>
      <c r="J70" s="5" t="s">
        <v>599</v>
      </c>
      <c r="K70" s="6">
        <f t="shared" si="1"/>
        <v>1</v>
      </c>
    </row>
    <row r="71" spans="1:11" ht="15" customHeight="1">
      <c r="A71" s="4">
        <v>63</v>
      </c>
      <c r="B71" s="5" t="s">
        <v>1036</v>
      </c>
      <c r="C71" s="5" t="s">
        <v>147</v>
      </c>
      <c r="D71" s="5" t="s">
        <v>1038</v>
      </c>
      <c r="E71" s="7" t="s">
        <v>105</v>
      </c>
      <c r="F71" s="7" t="s">
        <v>105</v>
      </c>
      <c r="G71" s="4" t="s">
        <v>597</v>
      </c>
      <c r="H71" s="11" t="s">
        <v>196</v>
      </c>
      <c r="I71" s="5" t="s">
        <v>1013</v>
      </c>
      <c r="J71" s="5" t="s">
        <v>599</v>
      </c>
      <c r="K71" s="6">
        <f t="shared" si="1"/>
        <v>1</v>
      </c>
    </row>
    <row r="72" spans="1:11" ht="15" customHeight="1">
      <c r="A72" s="4">
        <v>64</v>
      </c>
      <c r="B72" s="5" t="s">
        <v>133</v>
      </c>
      <c r="C72" s="5" t="s">
        <v>322</v>
      </c>
      <c r="D72" s="5" t="s">
        <v>1066</v>
      </c>
      <c r="E72" s="7" t="s">
        <v>105</v>
      </c>
      <c r="F72" s="7" t="s">
        <v>105</v>
      </c>
      <c r="G72" s="4" t="s">
        <v>597</v>
      </c>
      <c r="H72" s="11" t="s">
        <v>196</v>
      </c>
      <c r="I72" s="5" t="s">
        <v>1013</v>
      </c>
      <c r="J72" s="5" t="s">
        <v>599</v>
      </c>
      <c r="K72" s="6">
        <f t="shared" si="1"/>
        <v>1</v>
      </c>
    </row>
    <row r="73" spans="1:11" ht="15" customHeight="1">
      <c r="A73" s="4">
        <v>65</v>
      </c>
      <c r="B73" s="5" t="s">
        <v>133</v>
      </c>
      <c r="C73" s="5" t="s">
        <v>322</v>
      </c>
      <c r="D73" s="5" t="s">
        <v>1067</v>
      </c>
      <c r="E73" s="7" t="s">
        <v>105</v>
      </c>
      <c r="F73" s="7" t="s">
        <v>105</v>
      </c>
      <c r="G73" s="4" t="s">
        <v>597</v>
      </c>
      <c r="H73" s="11" t="s">
        <v>196</v>
      </c>
      <c r="I73" s="5" t="s">
        <v>1013</v>
      </c>
      <c r="J73" s="5" t="s">
        <v>599</v>
      </c>
      <c r="K73" s="6">
        <f t="shared" ref="K73:K103" si="2">IF(AND(E73="yes",F73="yes",H73="covered"),1,IF(H73="partial",0.5,0))</f>
        <v>1</v>
      </c>
    </row>
    <row r="74" spans="1:11" ht="15" customHeight="1">
      <c r="A74" s="4">
        <v>66</v>
      </c>
      <c r="B74" s="5" t="s">
        <v>133</v>
      </c>
      <c r="C74" s="5" t="s">
        <v>322</v>
      </c>
      <c r="D74" s="5" t="s">
        <v>1068</v>
      </c>
      <c r="E74" s="7" t="s">
        <v>105</v>
      </c>
      <c r="F74" s="7" t="s">
        <v>105</v>
      </c>
      <c r="G74" s="4" t="s">
        <v>597</v>
      </c>
      <c r="H74" s="11" t="s">
        <v>196</v>
      </c>
      <c r="I74" s="5" t="s">
        <v>1013</v>
      </c>
      <c r="J74" s="5" t="s">
        <v>599</v>
      </c>
      <c r="K74" s="6">
        <f t="shared" si="2"/>
        <v>1</v>
      </c>
    </row>
    <row r="75" spans="1:11" ht="45" customHeight="1">
      <c r="A75" s="4">
        <v>67</v>
      </c>
      <c r="B75" s="5" t="s">
        <v>133</v>
      </c>
      <c r="C75" s="5" t="s">
        <v>322</v>
      </c>
      <c r="D75" s="5" t="s">
        <v>1069</v>
      </c>
      <c r="E75" s="7" t="s">
        <v>105</v>
      </c>
      <c r="F75" s="7" t="s">
        <v>105</v>
      </c>
      <c r="G75" s="4" t="s">
        <v>597</v>
      </c>
      <c r="H75" s="11" t="s">
        <v>196</v>
      </c>
      <c r="I75" s="5" t="s">
        <v>1013</v>
      </c>
      <c r="J75" s="5" t="s">
        <v>599</v>
      </c>
      <c r="K75" s="6">
        <f t="shared" si="2"/>
        <v>1</v>
      </c>
    </row>
    <row r="76" spans="1:11" ht="15" customHeight="1">
      <c r="A76" s="4">
        <v>68</v>
      </c>
      <c r="B76" s="5" t="s">
        <v>128</v>
      </c>
      <c r="C76" s="5" t="s">
        <v>322</v>
      </c>
      <c r="D76" s="5" t="s">
        <v>1070</v>
      </c>
      <c r="E76" s="7" t="s">
        <v>105</v>
      </c>
      <c r="F76" s="7" t="s">
        <v>105</v>
      </c>
      <c r="G76" s="4" t="s">
        <v>597</v>
      </c>
      <c r="H76" s="11" t="s">
        <v>196</v>
      </c>
      <c r="I76" s="5" t="s">
        <v>1013</v>
      </c>
      <c r="J76" s="5" t="s">
        <v>599</v>
      </c>
      <c r="K76" s="6">
        <f t="shared" si="2"/>
        <v>1</v>
      </c>
    </row>
    <row r="77" spans="1:11" ht="15" customHeight="1">
      <c r="A77" s="4">
        <v>69</v>
      </c>
      <c r="B77" s="5" t="s">
        <v>95</v>
      </c>
      <c r="C77" s="5" t="s">
        <v>322</v>
      </c>
      <c r="D77" s="5" t="s">
        <v>1071</v>
      </c>
      <c r="E77" s="7" t="s">
        <v>105</v>
      </c>
      <c r="F77" s="7" t="s">
        <v>105</v>
      </c>
      <c r="G77" s="4" t="s">
        <v>597</v>
      </c>
      <c r="H77" s="11" t="s">
        <v>196</v>
      </c>
      <c r="I77" s="5" t="s">
        <v>1035</v>
      </c>
      <c r="J77" s="5" t="s">
        <v>599</v>
      </c>
      <c r="K77" s="6">
        <f t="shared" si="2"/>
        <v>1</v>
      </c>
    </row>
    <row r="78" spans="1:11" ht="15" customHeight="1">
      <c r="A78" s="4">
        <v>70</v>
      </c>
      <c r="B78" s="5" t="s">
        <v>1036</v>
      </c>
      <c r="C78" s="5" t="s">
        <v>322</v>
      </c>
      <c r="D78" s="5" t="s">
        <v>1037</v>
      </c>
      <c r="E78" s="7" t="s">
        <v>105</v>
      </c>
      <c r="F78" s="7" t="s">
        <v>105</v>
      </c>
      <c r="G78" s="4" t="s">
        <v>597</v>
      </c>
      <c r="H78" s="11" t="s">
        <v>196</v>
      </c>
      <c r="I78" s="5" t="s">
        <v>1013</v>
      </c>
      <c r="J78" s="5" t="s">
        <v>599</v>
      </c>
      <c r="K78" s="6">
        <f t="shared" si="2"/>
        <v>1</v>
      </c>
    </row>
    <row r="79" spans="1:11" ht="15" customHeight="1">
      <c r="A79" s="4">
        <v>71</v>
      </c>
      <c r="B79" s="5" t="s">
        <v>1036</v>
      </c>
      <c r="C79" s="5" t="s">
        <v>322</v>
      </c>
      <c r="D79" s="5" t="s">
        <v>1038</v>
      </c>
      <c r="E79" s="7" t="s">
        <v>105</v>
      </c>
      <c r="F79" s="7" t="s">
        <v>105</v>
      </c>
      <c r="G79" s="4" t="s">
        <v>597</v>
      </c>
      <c r="H79" s="11" t="s">
        <v>196</v>
      </c>
      <c r="I79" s="5" t="s">
        <v>1013</v>
      </c>
      <c r="J79" s="5" t="s">
        <v>599</v>
      </c>
      <c r="K79" s="6">
        <f t="shared" si="2"/>
        <v>1</v>
      </c>
    </row>
    <row r="80" spans="1:11" ht="15" customHeight="1">
      <c r="A80" s="4">
        <v>72</v>
      </c>
      <c r="B80" s="5" t="s">
        <v>133</v>
      </c>
      <c r="C80" s="5" t="s">
        <v>340</v>
      </c>
      <c r="D80" s="5" t="s">
        <v>1072</v>
      </c>
      <c r="E80" s="7" t="s">
        <v>105</v>
      </c>
      <c r="F80" s="7" t="s">
        <v>105</v>
      </c>
      <c r="G80" s="4" t="s">
        <v>597</v>
      </c>
      <c r="H80" s="11" t="s">
        <v>196</v>
      </c>
      <c r="I80" s="5" t="s">
        <v>1013</v>
      </c>
      <c r="J80" s="5" t="s">
        <v>599</v>
      </c>
      <c r="K80" s="6">
        <f t="shared" si="2"/>
        <v>1</v>
      </c>
    </row>
    <row r="81" spans="1:11" ht="45" customHeight="1">
      <c r="A81" s="4">
        <v>73</v>
      </c>
      <c r="B81" s="5" t="s">
        <v>133</v>
      </c>
      <c r="C81" s="5" t="s">
        <v>340</v>
      </c>
      <c r="D81" s="5" t="s">
        <v>1073</v>
      </c>
      <c r="E81" s="7" t="s">
        <v>105</v>
      </c>
      <c r="F81" s="7" t="s">
        <v>105</v>
      </c>
      <c r="G81" s="4" t="s">
        <v>597</v>
      </c>
      <c r="H81" s="11" t="s">
        <v>196</v>
      </c>
      <c r="I81" s="5" t="s">
        <v>1013</v>
      </c>
      <c r="J81" s="5" t="s">
        <v>599</v>
      </c>
      <c r="K81" s="6">
        <f t="shared" si="2"/>
        <v>1</v>
      </c>
    </row>
    <row r="82" spans="1:11" ht="15" customHeight="1">
      <c r="A82" s="4">
        <v>74</v>
      </c>
      <c r="B82" s="5" t="s">
        <v>128</v>
      </c>
      <c r="C82" s="5" t="s">
        <v>340</v>
      </c>
      <c r="D82" s="5" t="s">
        <v>1074</v>
      </c>
      <c r="E82" s="7" t="s">
        <v>105</v>
      </c>
      <c r="F82" s="7" t="s">
        <v>105</v>
      </c>
      <c r="G82" s="4" t="s">
        <v>597</v>
      </c>
      <c r="H82" s="11" t="s">
        <v>196</v>
      </c>
      <c r="I82" s="5" t="s">
        <v>1013</v>
      </c>
      <c r="J82" s="5" t="s">
        <v>599</v>
      </c>
      <c r="K82" s="6">
        <f t="shared" si="2"/>
        <v>1</v>
      </c>
    </row>
    <row r="83" spans="1:11" ht="15" customHeight="1">
      <c r="A83" s="4">
        <v>75</v>
      </c>
      <c r="B83" s="5" t="s">
        <v>95</v>
      </c>
      <c r="C83" s="5" t="s">
        <v>340</v>
      </c>
      <c r="D83" s="5" t="s">
        <v>1075</v>
      </c>
      <c r="E83" s="7" t="s">
        <v>105</v>
      </c>
      <c r="F83" s="7" t="s">
        <v>105</v>
      </c>
      <c r="G83" s="4" t="s">
        <v>597</v>
      </c>
      <c r="H83" s="11" t="s">
        <v>196</v>
      </c>
      <c r="I83" s="5" t="s">
        <v>1035</v>
      </c>
      <c r="J83" s="5" t="s">
        <v>599</v>
      </c>
      <c r="K83" s="6">
        <f t="shared" si="2"/>
        <v>1</v>
      </c>
    </row>
    <row r="84" spans="1:11" ht="15" customHeight="1">
      <c r="A84" s="4">
        <v>76</v>
      </c>
      <c r="B84" s="5" t="s">
        <v>1036</v>
      </c>
      <c r="C84" s="5" t="s">
        <v>340</v>
      </c>
      <c r="D84" s="5" t="s">
        <v>1037</v>
      </c>
      <c r="E84" s="7" t="s">
        <v>105</v>
      </c>
      <c r="F84" s="7" t="s">
        <v>105</v>
      </c>
      <c r="G84" s="4" t="s">
        <v>597</v>
      </c>
      <c r="H84" s="11" t="s">
        <v>196</v>
      </c>
      <c r="I84" s="5" t="s">
        <v>1013</v>
      </c>
      <c r="J84" s="5" t="s">
        <v>599</v>
      </c>
      <c r="K84" s="6">
        <f t="shared" si="2"/>
        <v>1</v>
      </c>
    </row>
    <row r="85" spans="1:11" ht="15" customHeight="1">
      <c r="A85" s="4">
        <v>77</v>
      </c>
      <c r="B85" s="5" t="s">
        <v>1036</v>
      </c>
      <c r="C85" s="5" t="s">
        <v>340</v>
      </c>
      <c r="D85" s="5" t="s">
        <v>1038</v>
      </c>
      <c r="E85" s="7" t="s">
        <v>105</v>
      </c>
      <c r="F85" s="7" t="s">
        <v>105</v>
      </c>
      <c r="G85" s="4" t="s">
        <v>597</v>
      </c>
      <c r="H85" s="11" t="s">
        <v>196</v>
      </c>
      <c r="I85" s="5" t="s">
        <v>1013</v>
      </c>
      <c r="J85" s="5" t="s">
        <v>599</v>
      </c>
      <c r="K85" s="6">
        <f t="shared" si="2"/>
        <v>1</v>
      </c>
    </row>
    <row r="86" spans="1:11" ht="15" customHeight="1">
      <c r="A86" s="4">
        <v>78</v>
      </c>
      <c r="B86" s="5" t="s">
        <v>133</v>
      </c>
      <c r="C86" s="5" t="s">
        <v>1076</v>
      </c>
      <c r="D86" s="5" t="s">
        <v>1077</v>
      </c>
      <c r="E86" s="7" t="s">
        <v>105</v>
      </c>
      <c r="F86" s="7" t="s">
        <v>105</v>
      </c>
      <c r="G86" s="4" t="s">
        <v>597</v>
      </c>
      <c r="H86" s="11" t="s">
        <v>196</v>
      </c>
      <c r="I86" s="5" t="s">
        <v>1013</v>
      </c>
      <c r="J86" s="5" t="s">
        <v>599</v>
      </c>
      <c r="K86" s="6">
        <f t="shared" si="2"/>
        <v>1</v>
      </c>
    </row>
    <row r="87" spans="1:11" ht="15" customHeight="1">
      <c r="A87" s="4">
        <v>79</v>
      </c>
      <c r="B87" s="5" t="s">
        <v>133</v>
      </c>
      <c r="C87" s="5" t="s">
        <v>1076</v>
      </c>
      <c r="D87" s="5" t="s">
        <v>1078</v>
      </c>
      <c r="E87" s="7" t="s">
        <v>105</v>
      </c>
      <c r="F87" s="7" t="s">
        <v>105</v>
      </c>
      <c r="G87" s="4" t="s">
        <v>597</v>
      </c>
      <c r="H87" s="11" t="s">
        <v>196</v>
      </c>
      <c r="I87" s="5" t="s">
        <v>1013</v>
      </c>
      <c r="J87" s="5" t="s">
        <v>599</v>
      </c>
      <c r="K87" s="6">
        <f t="shared" si="2"/>
        <v>1</v>
      </c>
    </row>
    <row r="88" spans="1:11" ht="15" customHeight="1">
      <c r="A88" s="4">
        <v>80</v>
      </c>
      <c r="B88" s="5" t="s">
        <v>133</v>
      </c>
      <c r="C88" s="5" t="s">
        <v>1076</v>
      </c>
      <c r="D88" s="5" t="s">
        <v>1079</v>
      </c>
      <c r="E88" s="7" t="s">
        <v>105</v>
      </c>
      <c r="F88" s="7" t="s">
        <v>105</v>
      </c>
      <c r="G88" s="4" t="s">
        <v>597</v>
      </c>
      <c r="H88" s="11" t="s">
        <v>196</v>
      </c>
      <c r="I88" s="5" t="s">
        <v>1013</v>
      </c>
      <c r="J88" s="5" t="s">
        <v>599</v>
      </c>
      <c r="K88" s="6">
        <f t="shared" si="2"/>
        <v>1</v>
      </c>
    </row>
    <row r="89" spans="1:11" ht="15" customHeight="1">
      <c r="A89" s="4">
        <v>81</v>
      </c>
      <c r="B89" s="5" t="s">
        <v>130</v>
      </c>
      <c r="C89" s="5" t="s">
        <v>1076</v>
      </c>
      <c r="D89" s="5" t="s">
        <v>1029</v>
      </c>
      <c r="E89" s="7" t="s">
        <v>105</v>
      </c>
      <c r="F89" s="7" t="s">
        <v>105</v>
      </c>
      <c r="G89" s="4" t="s">
        <v>597</v>
      </c>
      <c r="H89" s="11" t="s">
        <v>196</v>
      </c>
      <c r="I89" s="5" t="s">
        <v>1013</v>
      </c>
      <c r="J89" s="5" t="s">
        <v>599</v>
      </c>
      <c r="K89" s="6">
        <f t="shared" si="2"/>
        <v>1</v>
      </c>
    </row>
    <row r="90" spans="1:11" ht="15" customHeight="1">
      <c r="A90" s="4">
        <v>82</v>
      </c>
      <c r="B90" s="5" t="s">
        <v>130</v>
      </c>
      <c r="C90" s="5" t="s">
        <v>1076</v>
      </c>
      <c r="D90" s="5" t="s">
        <v>1030</v>
      </c>
      <c r="E90" s="7" t="s">
        <v>105</v>
      </c>
      <c r="F90" s="7" t="s">
        <v>105</v>
      </c>
      <c r="G90" s="4" t="s">
        <v>597</v>
      </c>
      <c r="H90" s="11" t="s">
        <v>196</v>
      </c>
      <c r="I90" s="5" t="s">
        <v>1013</v>
      </c>
      <c r="J90" s="5" t="s">
        <v>599</v>
      </c>
      <c r="K90" s="6">
        <f t="shared" si="2"/>
        <v>1</v>
      </c>
    </row>
    <row r="91" spans="1:11" ht="45" customHeight="1">
      <c r="A91" s="4">
        <v>83</v>
      </c>
      <c r="B91" s="5" t="s">
        <v>130</v>
      </c>
      <c r="C91" s="5" t="s">
        <v>1076</v>
      </c>
      <c r="D91" s="5" t="s">
        <v>1031</v>
      </c>
      <c r="E91" s="7" t="s">
        <v>105</v>
      </c>
      <c r="F91" s="7" t="s">
        <v>105</v>
      </c>
      <c r="G91" s="4" t="s">
        <v>597</v>
      </c>
      <c r="H91" s="11" t="s">
        <v>196</v>
      </c>
      <c r="I91" s="5" t="s">
        <v>1013</v>
      </c>
      <c r="J91" s="5" t="s">
        <v>599</v>
      </c>
      <c r="K91" s="6">
        <f t="shared" si="2"/>
        <v>1</v>
      </c>
    </row>
    <row r="92" spans="1:11" ht="15" customHeight="1">
      <c r="A92" s="4">
        <v>84</v>
      </c>
      <c r="B92" s="5" t="s">
        <v>128</v>
      </c>
      <c r="C92" s="5" t="s">
        <v>1076</v>
      </c>
      <c r="D92" s="5" t="s">
        <v>1033</v>
      </c>
      <c r="E92" s="7" t="s">
        <v>105</v>
      </c>
      <c r="F92" s="7" t="s">
        <v>105</v>
      </c>
      <c r="G92" s="4" t="s">
        <v>597</v>
      </c>
      <c r="H92" s="11" t="s">
        <v>196</v>
      </c>
      <c r="I92" s="5" t="s">
        <v>1013</v>
      </c>
      <c r="J92" s="5" t="s">
        <v>599</v>
      </c>
      <c r="K92" s="6">
        <f t="shared" si="2"/>
        <v>1</v>
      </c>
    </row>
    <row r="93" spans="1:11" ht="15" customHeight="1">
      <c r="A93" s="4">
        <v>85</v>
      </c>
      <c r="B93" s="5" t="s">
        <v>95</v>
      </c>
      <c r="C93" s="5" t="s">
        <v>1076</v>
      </c>
      <c r="D93" s="5" t="s">
        <v>1034</v>
      </c>
      <c r="E93" s="7" t="s">
        <v>105</v>
      </c>
      <c r="F93" s="7" t="s">
        <v>105</v>
      </c>
      <c r="G93" s="4" t="s">
        <v>597</v>
      </c>
      <c r="H93" s="11" t="s">
        <v>196</v>
      </c>
      <c r="I93" s="5" t="s">
        <v>1035</v>
      </c>
      <c r="J93" s="5" t="s">
        <v>599</v>
      </c>
      <c r="K93" s="6">
        <f t="shared" si="2"/>
        <v>1</v>
      </c>
    </row>
    <row r="94" spans="1:11" ht="15" customHeight="1">
      <c r="A94" s="4">
        <v>86</v>
      </c>
      <c r="B94" s="5" t="s">
        <v>1036</v>
      </c>
      <c r="C94" s="5" t="s">
        <v>1076</v>
      </c>
      <c r="D94" s="5" t="s">
        <v>1037</v>
      </c>
      <c r="E94" s="7" t="s">
        <v>105</v>
      </c>
      <c r="F94" s="7" t="s">
        <v>105</v>
      </c>
      <c r="G94" s="4" t="s">
        <v>597</v>
      </c>
      <c r="H94" s="11" t="s">
        <v>196</v>
      </c>
      <c r="I94" s="5" t="s">
        <v>1013</v>
      </c>
      <c r="J94" s="5" t="s">
        <v>599</v>
      </c>
      <c r="K94" s="6">
        <f t="shared" si="2"/>
        <v>1</v>
      </c>
    </row>
    <row r="95" spans="1:11" ht="15" customHeight="1">
      <c r="A95" s="4">
        <v>87</v>
      </c>
      <c r="B95" s="5" t="s">
        <v>1036</v>
      </c>
      <c r="C95" s="5" t="s">
        <v>1076</v>
      </c>
      <c r="D95" s="5" t="s">
        <v>1038</v>
      </c>
      <c r="E95" s="7" t="s">
        <v>105</v>
      </c>
      <c r="F95" s="7" t="s">
        <v>105</v>
      </c>
      <c r="G95" s="4" t="s">
        <v>597</v>
      </c>
      <c r="H95" s="11" t="s">
        <v>196</v>
      </c>
      <c r="I95" s="5" t="s">
        <v>1013</v>
      </c>
      <c r="J95" s="5" t="s">
        <v>599</v>
      </c>
      <c r="K95" s="6">
        <f t="shared" si="2"/>
        <v>1</v>
      </c>
    </row>
    <row r="96" spans="1:11" ht="15" customHeight="1">
      <c r="A96" s="4">
        <v>88</v>
      </c>
      <c r="B96" s="5" t="s">
        <v>172</v>
      </c>
      <c r="C96" s="5" t="s">
        <v>179</v>
      </c>
      <c r="D96" s="5" t="s">
        <v>1080</v>
      </c>
      <c r="E96" s="7" t="s">
        <v>105</v>
      </c>
      <c r="F96" s="7" t="s">
        <v>105</v>
      </c>
      <c r="G96" s="4" t="s">
        <v>597</v>
      </c>
      <c r="H96" s="11" t="s">
        <v>196</v>
      </c>
      <c r="I96" s="5" t="s">
        <v>1013</v>
      </c>
      <c r="J96" s="5" t="s">
        <v>599</v>
      </c>
      <c r="K96" s="6">
        <f t="shared" si="2"/>
        <v>1</v>
      </c>
    </row>
    <row r="97" spans="1:11" ht="15" customHeight="1">
      <c r="A97" s="4">
        <v>89</v>
      </c>
      <c r="B97" s="5" t="s">
        <v>172</v>
      </c>
      <c r="C97" s="5" t="s">
        <v>179</v>
      </c>
      <c r="D97" s="5" t="s">
        <v>1081</v>
      </c>
      <c r="E97" s="7" t="s">
        <v>105</v>
      </c>
      <c r="F97" s="7" t="s">
        <v>105</v>
      </c>
      <c r="G97" s="4" t="s">
        <v>597</v>
      </c>
      <c r="H97" s="11" t="s">
        <v>196</v>
      </c>
      <c r="I97" s="5" t="s">
        <v>1013</v>
      </c>
      <c r="J97" s="5" t="s">
        <v>599</v>
      </c>
      <c r="K97" s="6">
        <f t="shared" si="2"/>
        <v>1</v>
      </c>
    </row>
    <row r="98" spans="1:11" ht="15" customHeight="1">
      <c r="A98" s="4">
        <v>90</v>
      </c>
      <c r="B98" s="5" t="s">
        <v>172</v>
      </c>
      <c r="C98" s="5" t="s">
        <v>179</v>
      </c>
      <c r="D98" s="5" t="s">
        <v>1082</v>
      </c>
      <c r="E98" s="7" t="s">
        <v>105</v>
      </c>
      <c r="F98" s="7" t="s">
        <v>105</v>
      </c>
      <c r="G98" s="4" t="s">
        <v>597</v>
      </c>
      <c r="H98" s="11" t="s">
        <v>196</v>
      </c>
      <c r="I98" s="5" t="s">
        <v>1013</v>
      </c>
      <c r="J98" s="5" t="s">
        <v>599</v>
      </c>
      <c r="K98" s="6">
        <f t="shared" si="2"/>
        <v>1</v>
      </c>
    </row>
    <row r="99" spans="1:11" ht="15" customHeight="1">
      <c r="A99" s="4">
        <v>91</v>
      </c>
      <c r="B99" s="5" t="s">
        <v>172</v>
      </c>
      <c r="C99" s="5" t="s">
        <v>1083</v>
      </c>
      <c r="D99" s="5" t="s">
        <v>1084</v>
      </c>
      <c r="E99" s="7" t="s">
        <v>105</v>
      </c>
      <c r="F99" s="7" t="s">
        <v>105</v>
      </c>
      <c r="G99" s="4" t="s">
        <v>597</v>
      </c>
      <c r="H99" s="11" t="s">
        <v>196</v>
      </c>
      <c r="I99" s="5" t="s">
        <v>1013</v>
      </c>
      <c r="J99" s="5" t="s">
        <v>599</v>
      </c>
      <c r="K99" s="6">
        <f t="shared" si="2"/>
        <v>1</v>
      </c>
    </row>
    <row r="100" spans="1:11" ht="15" customHeight="1">
      <c r="A100" s="4">
        <v>92</v>
      </c>
      <c r="B100" s="5" t="s">
        <v>172</v>
      </c>
      <c r="C100" s="5" t="s">
        <v>927</v>
      </c>
      <c r="D100" s="5" t="s">
        <v>1085</v>
      </c>
      <c r="E100" s="7" t="s">
        <v>105</v>
      </c>
      <c r="F100" s="7" t="s">
        <v>105</v>
      </c>
      <c r="G100" s="4" t="s">
        <v>597</v>
      </c>
      <c r="H100" s="11" t="s">
        <v>196</v>
      </c>
      <c r="I100" s="5" t="s">
        <v>1013</v>
      </c>
      <c r="J100" s="5" t="s">
        <v>599</v>
      </c>
      <c r="K100" s="6">
        <f t="shared" si="2"/>
        <v>1</v>
      </c>
    </row>
    <row r="101" spans="1:11" ht="15" customHeight="1">
      <c r="A101" s="4">
        <v>93</v>
      </c>
      <c r="B101" s="5" t="s">
        <v>172</v>
      </c>
      <c r="C101" s="5" t="s">
        <v>927</v>
      </c>
      <c r="D101" s="5" t="s">
        <v>1086</v>
      </c>
      <c r="E101" s="7" t="s">
        <v>105</v>
      </c>
      <c r="F101" s="7" t="s">
        <v>105</v>
      </c>
      <c r="G101" s="4" t="s">
        <v>597</v>
      </c>
      <c r="H101" s="11" t="s">
        <v>196</v>
      </c>
      <c r="I101" s="5" t="s">
        <v>1013</v>
      </c>
      <c r="J101" s="5" t="s">
        <v>599</v>
      </c>
      <c r="K101" s="6">
        <f t="shared" si="2"/>
        <v>1</v>
      </c>
    </row>
    <row r="102" spans="1:11" ht="15" customHeight="1">
      <c r="A102" s="4">
        <v>94</v>
      </c>
      <c r="B102" s="5" t="s">
        <v>172</v>
      </c>
      <c r="C102" s="5" t="s">
        <v>927</v>
      </c>
      <c r="D102" s="5" t="s">
        <v>1087</v>
      </c>
      <c r="E102" s="7" t="s">
        <v>105</v>
      </c>
      <c r="F102" s="7" t="s">
        <v>105</v>
      </c>
      <c r="G102" s="4" t="s">
        <v>597</v>
      </c>
      <c r="H102" s="11" t="s">
        <v>196</v>
      </c>
      <c r="I102" s="5" t="s">
        <v>1013</v>
      </c>
      <c r="J102" s="5" t="s">
        <v>599</v>
      </c>
      <c r="K102" s="6">
        <f t="shared" si="2"/>
        <v>1</v>
      </c>
    </row>
    <row r="103" spans="1:11" ht="15" customHeight="1">
      <c r="A103" s="4">
        <v>95</v>
      </c>
      <c r="B103" s="5" t="s">
        <v>172</v>
      </c>
      <c r="C103" s="5" t="s">
        <v>927</v>
      </c>
      <c r="D103" s="5" t="s">
        <v>1088</v>
      </c>
      <c r="E103" s="7" t="s">
        <v>105</v>
      </c>
      <c r="F103" s="7" t="s">
        <v>105</v>
      </c>
      <c r="G103" s="4" t="s">
        <v>597</v>
      </c>
      <c r="H103" s="11" t="s">
        <v>196</v>
      </c>
      <c r="I103" s="5" t="s">
        <v>1013</v>
      </c>
      <c r="J103" s="5" t="s">
        <v>599</v>
      </c>
      <c r="K103" s="6">
        <f t="shared" si="2"/>
        <v>1</v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34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1089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IFERROR(SUM(K9:K34)/COUNTA(A9:A34),0)</f>
        <v>1</v>
      </c>
      <c r="C4" s="1" t="s">
        <v>8</v>
      </c>
      <c r="D4" s="2">
        <f>COUNTIF(H9:H34,"covered")</f>
        <v>26</v>
      </c>
      <c r="E4" s="1" t="s">
        <v>9</v>
      </c>
      <c r="F4" s="2">
        <f>COUNTIF(H9:H34,"partial")</f>
        <v>0</v>
      </c>
      <c r="G4" s="1" t="s">
        <v>10</v>
      </c>
      <c r="H4" s="2">
        <f>COUNTIF(H9:H34,"missing")</f>
        <v>0</v>
      </c>
      <c r="I4" s="1" t="s">
        <v>11</v>
      </c>
      <c r="J4" s="2">
        <f>COUNTIF(F9:F34,"no")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19">
        <v>1</v>
      </c>
      <c r="B9" s="20" t="s">
        <v>94</v>
      </c>
      <c r="C9" s="20" t="s">
        <v>95</v>
      </c>
      <c r="D9" s="20" t="s">
        <v>96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100</v>
      </c>
      <c r="J9" s="20" t="s">
        <v>109</v>
      </c>
      <c r="K9" s="21">
        <f t="shared" ref="K9:K34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95</v>
      </c>
      <c r="D10" s="20" t="s">
        <v>102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100</v>
      </c>
      <c r="J10" s="20" t="s">
        <v>1090</v>
      </c>
      <c r="K10" s="21">
        <f t="shared" si="0"/>
        <v>1</v>
      </c>
    </row>
    <row r="11" spans="1:11" ht="15" customHeight="1">
      <c r="A11" s="19">
        <v>3</v>
      </c>
      <c r="B11" s="20" t="s">
        <v>94</v>
      </c>
      <c r="C11" s="20" t="s">
        <v>31</v>
      </c>
      <c r="D11" s="20" t="s">
        <v>104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1091</v>
      </c>
      <c r="J11" s="20" t="s">
        <v>444</v>
      </c>
      <c r="K11" s="21">
        <f t="shared" si="0"/>
        <v>1</v>
      </c>
    </row>
    <row r="12" spans="1:11" ht="15" customHeight="1">
      <c r="A12" s="19">
        <v>4</v>
      </c>
      <c r="B12" s="20" t="s">
        <v>94</v>
      </c>
      <c r="C12" s="20" t="s">
        <v>31</v>
      </c>
      <c r="D12" s="20" t="s">
        <v>110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1091</v>
      </c>
      <c r="J12" s="20" t="s">
        <v>444</v>
      </c>
      <c r="K12" s="21">
        <f t="shared" si="0"/>
        <v>1</v>
      </c>
    </row>
    <row r="13" spans="1:11" ht="15" customHeight="1">
      <c r="A13" s="19">
        <v>5</v>
      </c>
      <c r="B13" s="20" t="s">
        <v>94</v>
      </c>
      <c r="C13" s="20" t="s">
        <v>31</v>
      </c>
      <c r="D13" s="20" t="s">
        <v>111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1091</v>
      </c>
      <c r="J13" s="20" t="s">
        <v>444</v>
      </c>
      <c r="K13" s="21">
        <f t="shared" si="0"/>
        <v>1</v>
      </c>
    </row>
    <row r="14" spans="1:11" ht="15" customHeight="1">
      <c r="A14" s="19">
        <v>6</v>
      </c>
      <c r="B14" s="20" t="s">
        <v>94</v>
      </c>
      <c r="C14" s="20" t="s">
        <v>31</v>
      </c>
      <c r="D14" s="20" t="s">
        <v>112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1091</v>
      </c>
      <c r="J14" s="20" t="s">
        <v>444</v>
      </c>
      <c r="K14" s="21">
        <f t="shared" si="0"/>
        <v>1</v>
      </c>
    </row>
    <row r="15" spans="1:11" ht="15" customHeight="1">
      <c r="A15" s="19">
        <v>7</v>
      </c>
      <c r="B15" s="20" t="s">
        <v>113</v>
      </c>
      <c r="C15" s="20" t="s">
        <v>31</v>
      </c>
      <c r="D15" s="20" t="s">
        <v>1092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1091</v>
      </c>
      <c r="J15" s="20" t="s">
        <v>444</v>
      </c>
      <c r="K15" s="21">
        <f t="shared" si="0"/>
        <v>1</v>
      </c>
    </row>
    <row r="16" spans="1:11" ht="15" customHeight="1">
      <c r="A16" s="19">
        <v>8</v>
      </c>
      <c r="B16" s="20" t="s">
        <v>113</v>
      </c>
      <c r="C16" s="20" t="s">
        <v>31</v>
      </c>
      <c r="D16" s="20" t="s">
        <v>1093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1091</v>
      </c>
      <c r="J16" s="20" t="s">
        <v>444</v>
      </c>
      <c r="K16" s="21">
        <f t="shared" si="0"/>
        <v>1</v>
      </c>
    </row>
    <row r="17" spans="1:11" ht="15" customHeight="1">
      <c r="A17" s="19">
        <v>9</v>
      </c>
      <c r="B17" s="20" t="s">
        <v>113</v>
      </c>
      <c r="C17" s="20" t="s">
        <v>31</v>
      </c>
      <c r="D17" s="20" t="s">
        <v>1094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1091</v>
      </c>
      <c r="J17" s="20" t="s">
        <v>444</v>
      </c>
      <c r="K17" s="21">
        <f t="shared" si="0"/>
        <v>1</v>
      </c>
    </row>
    <row r="18" spans="1:11" ht="15" customHeight="1">
      <c r="A18" s="19">
        <v>10</v>
      </c>
      <c r="B18" s="20" t="s">
        <v>113</v>
      </c>
      <c r="C18" s="20" t="s">
        <v>31</v>
      </c>
      <c r="D18" s="20" t="s">
        <v>1095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1091</v>
      </c>
      <c r="J18" s="20" t="s">
        <v>444</v>
      </c>
      <c r="K18" s="21">
        <f t="shared" si="0"/>
        <v>1</v>
      </c>
    </row>
    <row r="19" spans="1:11" ht="15" customHeight="1">
      <c r="A19" s="19">
        <v>11</v>
      </c>
      <c r="B19" s="20" t="s">
        <v>120</v>
      </c>
      <c r="C19" s="20" t="s">
        <v>121</v>
      </c>
      <c r="D19" s="20" t="s">
        <v>122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1091</v>
      </c>
      <c r="J19" s="20" t="s">
        <v>444</v>
      </c>
      <c r="K19" s="21">
        <f t="shared" si="0"/>
        <v>1</v>
      </c>
    </row>
    <row r="20" spans="1:11" ht="15" customHeight="1">
      <c r="A20" s="19">
        <v>12</v>
      </c>
      <c r="B20" s="20" t="s">
        <v>120</v>
      </c>
      <c r="C20" s="20" t="s">
        <v>121</v>
      </c>
      <c r="D20" s="20" t="s">
        <v>123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1091</v>
      </c>
      <c r="J20" s="20" t="s">
        <v>444</v>
      </c>
      <c r="K20" s="21">
        <f t="shared" si="0"/>
        <v>1</v>
      </c>
    </row>
    <row r="21" spans="1:11" ht="30" customHeight="1">
      <c r="A21" s="19">
        <v>13</v>
      </c>
      <c r="B21" s="20" t="s">
        <v>124</v>
      </c>
      <c r="C21" s="20" t="s">
        <v>121</v>
      </c>
      <c r="D21" s="20" t="s">
        <v>125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1091</v>
      </c>
      <c r="J21" s="20" t="s">
        <v>444</v>
      </c>
      <c r="K21" s="21">
        <f t="shared" si="0"/>
        <v>1</v>
      </c>
    </row>
    <row r="22" spans="1:11" ht="15" customHeight="1">
      <c r="A22" s="19">
        <v>14</v>
      </c>
      <c r="B22" s="20" t="s">
        <v>124</v>
      </c>
      <c r="C22" s="20" t="s">
        <v>121</v>
      </c>
      <c r="D22" s="20" t="s">
        <v>126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1091</v>
      </c>
      <c r="J22" s="20" t="s">
        <v>444</v>
      </c>
      <c r="K22" s="21">
        <f t="shared" si="0"/>
        <v>1</v>
      </c>
    </row>
    <row r="23" spans="1:11" ht="15" customHeight="1">
      <c r="A23" s="19">
        <v>15</v>
      </c>
      <c r="B23" s="20" t="s">
        <v>95</v>
      </c>
      <c r="C23" s="20" t="s">
        <v>121</v>
      </c>
      <c r="D23" s="20" t="s">
        <v>127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1091</v>
      </c>
      <c r="J23" s="20" t="s">
        <v>444</v>
      </c>
      <c r="K23" s="21">
        <f t="shared" si="0"/>
        <v>1</v>
      </c>
    </row>
    <row r="24" spans="1:11" ht="15" customHeight="1">
      <c r="A24" s="19">
        <v>16</v>
      </c>
      <c r="B24" s="20" t="s">
        <v>120</v>
      </c>
      <c r="C24" s="20" t="s">
        <v>1096</v>
      </c>
      <c r="D24" s="20" t="s">
        <v>122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1091</v>
      </c>
      <c r="J24" s="20" t="s">
        <v>444</v>
      </c>
      <c r="K24" s="21">
        <f t="shared" si="0"/>
        <v>1</v>
      </c>
    </row>
    <row r="25" spans="1:11" ht="15" customHeight="1">
      <c r="A25" s="19">
        <v>17</v>
      </c>
      <c r="B25" s="20" t="s">
        <v>120</v>
      </c>
      <c r="C25" s="20" t="s">
        <v>1096</v>
      </c>
      <c r="D25" s="20" t="s">
        <v>123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1091</v>
      </c>
      <c r="J25" s="20" t="s">
        <v>444</v>
      </c>
      <c r="K25" s="21">
        <f t="shared" si="0"/>
        <v>1</v>
      </c>
    </row>
    <row r="26" spans="1:11" ht="30" customHeight="1">
      <c r="A26" s="19">
        <v>18</v>
      </c>
      <c r="B26" s="20" t="s">
        <v>124</v>
      </c>
      <c r="C26" s="20" t="s">
        <v>1096</v>
      </c>
      <c r="D26" s="20" t="s">
        <v>125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1091</v>
      </c>
      <c r="J26" s="20" t="s">
        <v>444</v>
      </c>
      <c r="K26" s="21">
        <f t="shared" si="0"/>
        <v>1</v>
      </c>
    </row>
    <row r="27" spans="1:11" ht="15" customHeight="1">
      <c r="A27" s="19">
        <v>19</v>
      </c>
      <c r="B27" s="20" t="s">
        <v>124</v>
      </c>
      <c r="C27" s="20" t="s">
        <v>1096</v>
      </c>
      <c r="D27" s="20" t="s">
        <v>126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1091</v>
      </c>
      <c r="J27" s="20" t="s">
        <v>444</v>
      </c>
      <c r="K27" s="21">
        <f t="shared" si="0"/>
        <v>1</v>
      </c>
    </row>
    <row r="28" spans="1:11" ht="15" customHeight="1">
      <c r="A28" s="19">
        <v>20</v>
      </c>
      <c r="B28" s="20" t="s">
        <v>95</v>
      </c>
      <c r="C28" s="20" t="s">
        <v>1096</v>
      </c>
      <c r="D28" s="20" t="s">
        <v>127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1091</v>
      </c>
      <c r="J28" s="20" t="s">
        <v>444</v>
      </c>
      <c r="K28" s="21">
        <f t="shared" si="0"/>
        <v>1</v>
      </c>
    </row>
    <row r="29" spans="1:11" ht="15" customHeight="1">
      <c r="A29" s="19">
        <v>21</v>
      </c>
      <c r="B29" s="20" t="s">
        <v>133</v>
      </c>
      <c r="C29" s="20" t="s">
        <v>1096</v>
      </c>
      <c r="D29" s="20" t="s">
        <v>1097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1091</v>
      </c>
      <c r="J29" s="20" t="s">
        <v>444</v>
      </c>
      <c r="K29" s="21">
        <f t="shared" si="0"/>
        <v>1</v>
      </c>
    </row>
    <row r="30" spans="1:11" ht="15" customHeight="1">
      <c r="A30" s="19">
        <v>22</v>
      </c>
      <c r="B30" s="20" t="s">
        <v>135</v>
      </c>
      <c r="C30" s="20" t="s">
        <v>121</v>
      </c>
      <c r="D30" s="20" t="s">
        <v>169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1091</v>
      </c>
      <c r="J30" s="20" t="s">
        <v>444</v>
      </c>
      <c r="K30" s="21">
        <f t="shared" si="0"/>
        <v>1</v>
      </c>
    </row>
    <row r="31" spans="1:11" ht="15" customHeight="1">
      <c r="A31" s="19">
        <v>23</v>
      </c>
      <c r="B31" s="20" t="s">
        <v>135</v>
      </c>
      <c r="C31" s="20" t="s">
        <v>121</v>
      </c>
      <c r="D31" s="20" t="s">
        <v>170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1091</v>
      </c>
      <c r="J31" s="20" t="s">
        <v>444</v>
      </c>
      <c r="K31" s="21">
        <f t="shared" si="0"/>
        <v>1</v>
      </c>
    </row>
    <row r="32" spans="1:11" ht="30" customHeight="1">
      <c r="A32" s="19">
        <v>24</v>
      </c>
      <c r="B32" s="20" t="s">
        <v>135</v>
      </c>
      <c r="C32" s="20" t="s">
        <v>121</v>
      </c>
      <c r="D32" s="20" t="s">
        <v>171</v>
      </c>
      <c r="E32" s="19" t="s">
        <v>105</v>
      </c>
      <c r="F32" s="19" t="s">
        <v>105</v>
      </c>
      <c r="G32" s="19" t="s">
        <v>442</v>
      </c>
      <c r="H32" s="19" t="s">
        <v>196</v>
      </c>
      <c r="I32" s="20" t="s">
        <v>1091</v>
      </c>
      <c r="J32" s="20" t="s">
        <v>444</v>
      </c>
      <c r="K32" s="21">
        <f t="shared" si="0"/>
        <v>1</v>
      </c>
    </row>
    <row r="33" spans="1:11" ht="15" customHeight="1">
      <c r="A33" s="19">
        <v>25</v>
      </c>
      <c r="B33" s="20" t="s">
        <v>451</v>
      </c>
      <c r="C33" s="20" t="s">
        <v>31</v>
      </c>
      <c r="D33" s="20" t="s">
        <v>1098</v>
      </c>
      <c r="E33" s="19" t="s">
        <v>105</v>
      </c>
      <c r="F33" s="19" t="s">
        <v>105</v>
      </c>
      <c r="G33" s="19" t="s">
        <v>442</v>
      </c>
      <c r="H33" s="19" t="s">
        <v>196</v>
      </c>
      <c r="I33" s="20" t="s">
        <v>1091</v>
      </c>
      <c r="J33" s="20" t="s">
        <v>444</v>
      </c>
      <c r="K33" s="21">
        <f t="shared" si="0"/>
        <v>1</v>
      </c>
    </row>
    <row r="34" spans="1:11" ht="30" customHeight="1">
      <c r="A34" s="19">
        <v>26</v>
      </c>
      <c r="B34" s="20" t="s">
        <v>451</v>
      </c>
      <c r="C34" s="20" t="s">
        <v>31</v>
      </c>
      <c r="D34" s="20" t="s">
        <v>1099</v>
      </c>
      <c r="E34" s="19" t="s">
        <v>105</v>
      </c>
      <c r="F34" s="19" t="s">
        <v>105</v>
      </c>
      <c r="G34" s="19" t="s">
        <v>442</v>
      </c>
      <c r="H34" s="19" t="s">
        <v>196</v>
      </c>
      <c r="I34" s="20" t="s">
        <v>1091</v>
      </c>
      <c r="J34" s="20" t="s">
        <v>444</v>
      </c>
      <c r="K34" s="21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3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1100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27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19">
        <v>1</v>
      </c>
      <c r="B9" s="20" t="s">
        <v>94</v>
      </c>
      <c r="C9" s="20" t="s">
        <v>95</v>
      </c>
      <c r="D9" s="20" t="s">
        <v>96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1101</v>
      </c>
      <c r="J9" s="20" t="s">
        <v>444</v>
      </c>
      <c r="K9" s="21">
        <f t="shared" ref="K9:K35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95</v>
      </c>
      <c r="D10" s="20" t="s">
        <v>102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1101</v>
      </c>
      <c r="J10" s="20" t="s">
        <v>444</v>
      </c>
      <c r="K10" s="21">
        <f t="shared" si="0"/>
        <v>1</v>
      </c>
    </row>
    <row r="11" spans="1:11" ht="15" customHeight="1">
      <c r="A11" s="19">
        <v>3</v>
      </c>
      <c r="B11" s="20" t="s">
        <v>94</v>
      </c>
      <c r="C11" s="20" t="s">
        <v>32</v>
      </c>
      <c r="D11" s="20" t="s">
        <v>104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1102</v>
      </c>
      <c r="J11" s="20" t="s">
        <v>444</v>
      </c>
      <c r="K11" s="21">
        <f t="shared" si="0"/>
        <v>1</v>
      </c>
    </row>
    <row r="12" spans="1:11" ht="15" customHeight="1">
      <c r="A12" s="19">
        <v>4</v>
      </c>
      <c r="B12" s="20" t="s">
        <v>94</v>
      </c>
      <c r="C12" s="20" t="s">
        <v>32</v>
      </c>
      <c r="D12" s="20" t="s">
        <v>110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1102</v>
      </c>
      <c r="J12" s="20" t="s">
        <v>444</v>
      </c>
      <c r="K12" s="21">
        <f t="shared" si="0"/>
        <v>1</v>
      </c>
    </row>
    <row r="13" spans="1:11" ht="30" customHeight="1">
      <c r="A13" s="19">
        <v>5</v>
      </c>
      <c r="B13" s="20" t="s">
        <v>94</v>
      </c>
      <c r="C13" s="20" t="s">
        <v>32</v>
      </c>
      <c r="D13" s="20" t="s">
        <v>111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1102</v>
      </c>
      <c r="J13" s="20" t="s">
        <v>444</v>
      </c>
      <c r="K13" s="21">
        <f t="shared" si="0"/>
        <v>1</v>
      </c>
    </row>
    <row r="14" spans="1:11" ht="15" customHeight="1">
      <c r="A14" s="19">
        <v>6</v>
      </c>
      <c r="B14" s="20" t="s">
        <v>94</v>
      </c>
      <c r="C14" s="20" t="s">
        <v>32</v>
      </c>
      <c r="D14" s="20" t="s">
        <v>112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1102</v>
      </c>
      <c r="J14" s="20" t="s">
        <v>444</v>
      </c>
      <c r="K14" s="21">
        <f t="shared" si="0"/>
        <v>1</v>
      </c>
    </row>
    <row r="15" spans="1:11" ht="15" customHeight="1">
      <c r="A15" s="19">
        <v>7</v>
      </c>
      <c r="B15" s="20" t="s">
        <v>113</v>
      </c>
      <c r="C15" s="20" t="s">
        <v>32</v>
      </c>
      <c r="D15" s="20" t="s">
        <v>1103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1102</v>
      </c>
      <c r="J15" s="20" t="s">
        <v>444</v>
      </c>
      <c r="K15" s="21">
        <f t="shared" si="0"/>
        <v>1</v>
      </c>
    </row>
    <row r="16" spans="1:11" ht="15" customHeight="1">
      <c r="A16" s="19">
        <v>8</v>
      </c>
      <c r="B16" s="20" t="s">
        <v>113</v>
      </c>
      <c r="C16" s="20" t="s">
        <v>32</v>
      </c>
      <c r="D16" s="20" t="s">
        <v>1104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1102</v>
      </c>
      <c r="J16" s="20" t="s">
        <v>444</v>
      </c>
      <c r="K16" s="21">
        <f t="shared" si="0"/>
        <v>1</v>
      </c>
    </row>
    <row r="17" spans="1:11" ht="15" customHeight="1">
      <c r="A17" s="19">
        <v>9</v>
      </c>
      <c r="B17" s="20" t="s">
        <v>113</v>
      </c>
      <c r="C17" s="20" t="s">
        <v>32</v>
      </c>
      <c r="D17" s="20" t="s">
        <v>1105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1102</v>
      </c>
      <c r="J17" s="20" t="s">
        <v>444</v>
      </c>
      <c r="K17" s="21">
        <f t="shared" si="0"/>
        <v>1</v>
      </c>
    </row>
    <row r="18" spans="1:11" ht="15" customHeight="1">
      <c r="A18" s="19">
        <v>10</v>
      </c>
      <c r="B18" s="20" t="s">
        <v>113</v>
      </c>
      <c r="C18" s="20" t="s">
        <v>32</v>
      </c>
      <c r="D18" s="20" t="s">
        <v>449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1102</v>
      </c>
      <c r="J18" s="20" t="s">
        <v>444</v>
      </c>
      <c r="K18" s="21">
        <f t="shared" si="0"/>
        <v>1</v>
      </c>
    </row>
    <row r="19" spans="1:11" ht="15" customHeight="1">
      <c r="A19" s="19">
        <v>11</v>
      </c>
      <c r="B19" s="20" t="s">
        <v>120</v>
      </c>
      <c r="C19" s="20" t="s">
        <v>121</v>
      </c>
      <c r="D19" s="20" t="s">
        <v>122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1102</v>
      </c>
      <c r="J19" s="20" t="s">
        <v>444</v>
      </c>
      <c r="K19" s="21">
        <f t="shared" si="0"/>
        <v>1</v>
      </c>
    </row>
    <row r="20" spans="1:11" ht="15" customHeight="1">
      <c r="A20" s="19">
        <v>12</v>
      </c>
      <c r="B20" s="20" t="s">
        <v>120</v>
      </c>
      <c r="C20" s="20" t="s">
        <v>121</v>
      </c>
      <c r="D20" s="20" t="s">
        <v>123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1102</v>
      </c>
      <c r="J20" s="20" t="s">
        <v>444</v>
      </c>
      <c r="K20" s="21">
        <f t="shared" si="0"/>
        <v>1</v>
      </c>
    </row>
    <row r="21" spans="1:11" ht="30" customHeight="1">
      <c r="A21" s="19">
        <v>13</v>
      </c>
      <c r="B21" s="20" t="s">
        <v>124</v>
      </c>
      <c r="C21" s="20" t="s">
        <v>121</v>
      </c>
      <c r="D21" s="20" t="s">
        <v>125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1102</v>
      </c>
      <c r="J21" s="20" t="s">
        <v>444</v>
      </c>
      <c r="K21" s="21">
        <f t="shared" si="0"/>
        <v>1</v>
      </c>
    </row>
    <row r="22" spans="1:11" ht="15" customHeight="1">
      <c r="A22" s="19">
        <v>14</v>
      </c>
      <c r="B22" s="20" t="s">
        <v>124</v>
      </c>
      <c r="C22" s="20" t="s">
        <v>121</v>
      </c>
      <c r="D22" s="20" t="s">
        <v>126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1102</v>
      </c>
      <c r="J22" s="20" t="s">
        <v>444</v>
      </c>
      <c r="K22" s="21">
        <f t="shared" si="0"/>
        <v>1</v>
      </c>
    </row>
    <row r="23" spans="1:11" ht="15" customHeight="1">
      <c r="A23" s="19">
        <v>15</v>
      </c>
      <c r="B23" s="20" t="s">
        <v>95</v>
      </c>
      <c r="C23" s="20" t="s">
        <v>121</v>
      </c>
      <c r="D23" s="20" t="s">
        <v>127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1102</v>
      </c>
      <c r="J23" s="20" t="s">
        <v>444</v>
      </c>
      <c r="K23" s="21">
        <f t="shared" si="0"/>
        <v>1</v>
      </c>
    </row>
    <row r="24" spans="1:11" ht="15" customHeight="1">
      <c r="A24" s="19">
        <v>16</v>
      </c>
      <c r="B24" s="20" t="s">
        <v>128</v>
      </c>
      <c r="C24" s="20" t="s">
        <v>121</v>
      </c>
      <c r="D24" s="20" t="s">
        <v>129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1102</v>
      </c>
      <c r="J24" s="20" t="s">
        <v>444</v>
      </c>
      <c r="K24" s="21">
        <f t="shared" si="0"/>
        <v>1</v>
      </c>
    </row>
    <row r="25" spans="1:11" ht="15" customHeight="1">
      <c r="A25" s="19">
        <v>17</v>
      </c>
      <c r="B25" s="20" t="s">
        <v>130</v>
      </c>
      <c r="C25" s="20" t="s">
        <v>121</v>
      </c>
      <c r="D25" s="20" t="s">
        <v>131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1102</v>
      </c>
      <c r="J25" s="20" t="s">
        <v>444</v>
      </c>
      <c r="K25" s="21">
        <f t="shared" si="0"/>
        <v>1</v>
      </c>
    </row>
    <row r="26" spans="1:11" ht="15" customHeight="1">
      <c r="A26" s="19">
        <v>18</v>
      </c>
      <c r="B26" s="20" t="s">
        <v>130</v>
      </c>
      <c r="C26" s="20" t="s">
        <v>121</v>
      </c>
      <c r="D26" s="20" t="s">
        <v>132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1102</v>
      </c>
      <c r="J26" s="20" t="s">
        <v>444</v>
      </c>
      <c r="K26" s="21">
        <f t="shared" si="0"/>
        <v>1</v>
      </c>
    </row>
    <row r="27" spans="1:11" ht="15" customHeight="1">
      <c r="A27" s="19">
        <v>19</v>
      </c>
      <c r="B27" s="20" t="s">
        <v>133</v>
      </c>
      <c r="C27" s="20" t="s">
        <v>121</v>
      </c>
      <c r="D27" s="20" t="s">
        <v>141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1102</v>
      </c>
      <c r="J27" s="20" t="s">
        <v>444</v>
      </c>
      <c r="K27" s="21">
        <f t="shared" si="0"/>
        <v>1</v>
      </c>
    </row>
    <row r="28" spans="1:11" ht="15" customHeight="1">
      <c r="A28" s="19">
        <v>20</v>
      </c>
      <c r="B28" s="20" t="s">
        <v>133</v>
      </c>
      <c r="C28" s="20" t="s">
        <v>121</v>
      </c>
      <c r="D28" s="20" t="s">
        <v>1106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1102</v>
      </c>
      <c r="J28" s="20" t="s">
        <v>444</v>
      </c>
      <c r="K28" s="21">
        <f t="shared" si="0"/>
        <v>1</v>
      </c>
    </row>
    <row r="29" spans="1:11" ht="15" customHeight="1">
      <c r="A29" s="19">
        <v>21</v>
      </c>
      <c r="B29" s="20" t="s">
        <v>133</v>
      </c>
      <c r="C29" s="20" t="s">
        <v>121</v>
      </c>
      <c r="D29" s="20" t="s">
        <v>142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1102</v>
      </c>
      <c r="J29" s="20" t="s">
        <v>444</v>
      </c>
      <c r="K29" s="21">
        <f t="shared" si="0"/>
        <v>1</v>
      </c>
    </row>
    <row r="30" spans="1:11" ht="15" customHeight="1">
      <c r="A30" s="19">
        <v>22</v>
      </c>
      <c r="B30" s="20" t="s">
        <v>153</v>
      </c>
      <c r="C30" s="20" t="s">
        <v>154</v>
      </c>
      <c r="D30" s="20" t="s">
        <v>1107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1102</v>
      </c>
      <c r="J30" s="20" t="s">
        <v>444</v>
      </c>
      <c r="K30" s="21">
        <f t="shared" si="0"/>
        <v>1</v>
      </c>
    </row>
    <row r="31" spans="1:11" ht="15" customHeight="1">
      <c r="A31" s="19">
        <v>23</v>
      </c>
      <c r="B31" s="20" t="s">
        <v>159</v>
      </c>
      <c r="C31" s="20" t="s">
        <v>154</v>
      </c>
      <c r="D31" s="20" t="s">
        <v>162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1102</v>
      </c>
      <c r="J31" s="20" t="s">
        <v>444</v>
      </c>
      <c r="K31" s="21">
        <f t="shared" si="0"/>
        <v>1</v>
      </c>
    </row>
    <row r="32" spans="1:11" ht="15" customHeight="1">
      <c r="A32" s="19">
        <v>24</v>
      </c>
      <c r="B32" s="20" t="s">
        <v>130</v>
      </c>
      <c r="C32" s="20" t="s">
        <v>32</v>
      </c>
      <c r="D32" s="20" t="s">
        <v>164</v>
      </c>
      <c r="E32" s="19" t="s">
        <v>105</v>
      </c>
      <c r="F32" s="19" t="s">
        <v>105</v>
      </c>
      <c r="G32" s="19" t="s">
        <v>442</v>
      </c>
      <c r="H32" s="19" t="s">
        <v>196</v>
      </c>
      <c r="I32" s="20" t="s">
        <v>1102</v>
      </c>
      <c r="J32" s="20" t="s">
        <v>444</v>
      </c>
      <c r="K32" s="21">
        <f t="shared" si="0"/>
        <v>1</v>
      </c>
    </row>
    <row r="33" spans="1:11" ht="15" customHeight="1">
      <c r="A33" s="19">
        <v>25</v>
      </c>
      <c r="B33" s="20" t="s">
        <v>130</v>
      </c>
      <c r="C33" s="20" t="s">
        <v>32</v>
      </c>
      <c r="D33" s="20" t="s">
        <v>165</v>
      </c>
      <c r="E33" s="19" t="s">
        <v>105</v>
      </c>
      <c r="F33" s="19" t="s">
        <v>105</v>
      </c>
      <c r="G33" s="19" t="s">
        <v>442</v>
      </c>
      <c r="H33" s="19" t="s">
        <v>196</v>
      </c>
      <c r="I33" s="20" t="s">
        <v>1102</v>
      </c>
      <c r="J33" s="20" t="s">
        <v>444</v>
      </c>
      <c r="K33" s="21">
        <f t="shared" si="0"/>
        <v>1</v>
      </c>
    </row>
    <row r="34" spans="1:11" ht="15" customHeight="1">
      <c r="A34" s="19">
        <v>26</v>
      </c>
      <c r="B34" s="20" t="s">
        <v>130</v>
      </c>
      <c r="C34" s="20" t="s">
        <v>32</v>
      </c>
      <c r="D34" s="20" t="s">
        <v>167</v>
      </c>
      <c r="E34" s="19" t="s">
        <v>105</v>
      </c>
      <c r="F34" s="19" t="s">
        <v>105</v>
      </c>
      <c r="G34" s="19" t="s">
        <v>442</v>
      </c>
      <c r="H34" s="19" t="s">
        <v>196</v>
      </c>
      <c r="I34" s="20" t="s">
        <v>1102</v>
      </c>
      <c r="J34" s="20" t="s">
        <v>444</v>
      </c>
      <c r="K34" s="21">
        <f t="shared" si="0"/>
        <v>1</v>
      </c>
    </row>
    <row r="35" spans="1:11" ht="15" customHeight="1">
      <c r="A35" s="19">
        <v>27</v>
      </c>
      <c r="B35" s="20" t="s">
        <v>130</v>
      </c>
      <c r="C35" s="20" t="s">
        <v>32</v>
      </c>
      <c r="D35" s="20" t="s">
        <v>168</v>
      </c>
      <c r="E35" s="19" t="s">
        <v>105</v>
      </c>
      <c r="F35" s="19" t="s">
        <v>105</v>
      </c>
      <c r="G35" s="19" t="s">
        <v>442</v>
      </c>
      <c r="H35" s="19" t="s">
        <v>196</v>
      </c>
      <c r="I35" s="20" t="s">
        <v>1102</v>
      </c>
      <c r="J35" s="20" t="s">
        <v>444</v>
      </c>
      <c r="K35" s="21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27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1108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117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33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1109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33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1109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33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1109</v>
      </c>
      <c r="J13" s="5" t="s">
        <v>109</v>
      </c>
      <c r="K13" s="6">
        <f t="shared" si="0"/>
        <v>0</v>
      </c>
    </row>
    <row r="14" spans="1:11" ht="30" customHeight="1">
      <c r="A14" s="4">
        <v>6</v>
      </c>
      <c r="B14" s="5" t="s">
        <v>94</v>
      </c>
      <c r="C14" s="5" t="s">
        <v>33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1109</v>
      </c>
      <c r="J14" s="5" t="s">
        <v>109</v>
      </c>
      <c r="K14" s="6">
        <f t="shared" si="0"/>
        <v>0</v>
      </c>
    </row>
    <row r="15" spans="1:11" ht="30" customHeight="1">
      <c r="A15" s="4">
        <v>7</v>
      </c>
      <c r="B15" s="5" t="s">
        <v>113</v>
      </c>
      <c r="C15" s="5" t="s">
        <v>33</v>
      </c>
      <c r="D15" s="5" t="s">
        <v>701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1109</v>
      </c>
      <c r="J15" s="5" t="s">
        <v>109</v>
      </c>
      <c r="K15" s="6">
        <f t="shared" si="0"/>
        <v>0</v>
      </c>
    </row>
    <row r="16" spans="1:11" ht="30" customHeight="1">
      <c r="A16" s="4">
        <v>8</v>
      </c>
      <c r="B16" s="5" t="s">
        <v>113</v>
      </c>
      <c r="C16" s="5" t="s">
        <v>33</v>
      </c>
      <c r="D16" s="5" t="s">
        <v>1110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1109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33</v>
      </c>
      <c r="D17" s="5" t="s">
        <v>1111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1109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33</v>
      </c>
      <c r="D18" s="5" t="s">
        <v>1112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1109</v>
      </c>
      <c r="J18" s="5" t="s">
        <v>109</v>
      </c>
      <c r="K18" s="6">
        <f t="shared" si="0"/>
        <v>0</v>
      </c>
    </row>
    <row r="19" spans="1:11" ht="30" customHeight="1">
      <c r="A19" s="4">
        <v>11</v>
      </c>
      <c r="B19" s="5" t="s">
        <v>113</v>
      </c>
      <c r="C19" s="5" t="s">
        <v>33</v>
      </c>
      <c r="D19" s="5" t="s">
        <v>1113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1109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33</v>
      </c>
      <c r="D20" s="5" t="s">
        <v>1114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1109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113</v>
      </c>
      <c r="C21" s="5" t="s">
        <v>33</v>
      </c>
      <c r="D21" s="5" t="s">
        <v>1115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1109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122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1109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120</v>
      </c>
      <c r="C23" s="5" t="s">
        <v>121</v>
      </c>
      <c r="D23" s="5" t="s">
        <v>123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1109</v>
      </c>
      <c r="J23" s="5" t="s">
        <v>109</v>
      </c>
      <c r="K23" s="6">
        <f t="shared" si="0"/>
        <v>0</v>
      </c>
    </row>
    <row r="24" spans="1:11" ht="30" customHeight="1">
      <c r="A24" s="4">
        <v>16</v>
      </c>
      <c r="B24" s="5" t="s">
        <v>124</v>
      </c>
      <c r="C24" s="5" t="s">
        <v>121</v>
      </c>
      <c r="D24" s="5" t="s">
        <v>125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1109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124</v>
      </c>
      <c r="C25" s="5" t="s">
        <v>121</v>
      </c>
      <c r="D25" s="5" t="s">
        <v>126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1109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95</v>
      </c>
      <c r="C26" s="5" t="s">
        <v>121</v>
      </c>
      <c r="D26" s="5" t="s">
        <v>127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1109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128</v>
      </c>
      <c r="C27" s="5" t="s">
        <v>121</v>
      </c>
      <c r="D27" s="5" t="s">
        <v>129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1109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657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1109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658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1109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659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1109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1116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1109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1117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1109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140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1109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148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1109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120</v>
      </c>
      <c r="C35" s="5" t="s">
        <v>55</v>
      </c>
      <c r="D35" s="5" t="s">
        <v>122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1109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120</v>
      </c>
      <c r="C36" s="5" t="s">
        <v>55</v>
      </c>
      <c r="D36" s="5" t="s">
        <v>123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1109</v>
      </c>
      <c r="J36" s="5" t="s">
        <v>109</v>
      </c>
      <c r="K36" s="6">
        <f t="shared" si="0"/>
        <v>0</v>
      </c>
    </row>
    <row r="37" spans="1:11" ht="30" customHeight="1">
      <c r="A37" s="4">
        <v>29</v>
      </c>
      <c r="B37" s="5" t="s">
        <v>124</v>
      </c>
      <c r="C37" s="5" t="s">
        <v>55</v>
      </c>
      <c r="D37" s="5" t="s">
        <v>125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1109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124</v>
      </c>
      <c r="C38" s="5" t="s">
        <v>55</v>
      </c>
      <c r="D38" s="5" t="s">
        <v>126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1109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95</v>
      </c>
      <c r="C39" s="5" t="s">
        <v>55</v>
      </c>
      <c r="D39" s="5" t="s">
        <v>127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1109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128</v>
      </c>
      <c r="C40" s="5" t="s">
        <v>55</v>
      </c>
      <c r="D40" s="5" t="s">
        <v>129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1109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713</v>
      </c>
      <c r="C41" s="5" t="s">
        <v>55</v>
      </c>
      <c r="D41" s="5" t="s">
        <v>714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1109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135</v>
      </c>
      <c r="C42" s="5" t="s">
        <v>55</v>
      </c>
      <c r="D42" s="5" t="s">
        <v>140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1109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120</v>
      </c>
      <c r="C43" s="5" t="s">
        <v>273</v>
      </c>
      <c r="D43" s="5" t="s">
        <v>122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1109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120</v>
      </c>
      <c r="C44" s="5" t="s">
        <v>273</v>
      </c>
      <c r="D44" s="5" t="s">
        <v>123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1109</v>
      </c>
      <c r="J44" s="5" t="s">
        <v>109</v>
      </c>
      <c r="K44" s="6">
        <f t="shared" si="1"/>
        <v>0</v>
      </c>
    </row>
    <row r="45" spans="1:11" ht="30" customHeight="1">
      <c r="A45" s="4">
        <v>37</v>
      </c>
      <c r="B45" s="5" t="s">
        <v>124</v>
      </c>
      <c r="C45" s="5" t="s">
        <v>273</v>
      </c>
      <c r="D45" s="5" t="s">
        <v>125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1109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124</v>
      </c>
      <c r="C46" s="5" t="s">
        <v>273</v>
      </c>
      <c r="D46" s="5" t="s">
        <v>126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1109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95</v>
      </c>
      <c r="C47" s="5" t="s">
        <v>273</v>
      </c>
      <c r="D47" s="5" t="s">
        <v>127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1109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128</v>
      </c>
      <c r="C48" s="5" t="s">
        <v>273</v>
      </c>
      <c r="D48" s="5" t="s">
        <v>129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1109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135</v>
      </c>
      <c r="C49" s="5" t="s">
        <v>273</v>
      </c>
      <c r="D49" s="5" t="s">
        <v>140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1109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133</v>
      </c>
      <c r="C50" s="5" t="s">
        <v>273</v>
      </c>
      <c r="D50" s="5" t="s">
        <v>719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1109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133</v>
      </c>
      <c r="C51" s="5" t="s">
        <v>273</v>
      </c>
      <c r="D51" s="5" t="s">
        <v>142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1109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133</v>
      </c>
      <c r="C52" s="5" t="s">
        <v>273</v>
      </c>
      <c r="D52" s="5" t="s">
        <v>146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1109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133</v>
      </c>
      <c r="C53" s="5" t="s">
        <v>273</v>
      </c>
      <c r="D53" s="5" t="s">
        <v>1118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1109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120</v>
      </c>
      <c r="C54" s="5" t="s">
        <v>145</v>
      </c>
      <c r="D54" s="5" t="s">
        <v>122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1109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120</v>
      </c>
      <c r="C55" s="5" t="s">
        <v>145</v>
      </c>
      <c r="D55" s="5" t="s">
        <v>123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1109</v>
      </c>
      <c r="J55" s="5" t="s">
        <v>109</v>
      </c>
      <c r="K55" s="6">
        <f t="shared" si="1"/>
        <v>0</v>
      </c>
    </row>
    <row r="56" spans="1:11" ht="30" customHeight="1">
      <c r="A56" s="4">
        <v>48</v>
      </c>
      <c r="B56" s="5" t="s">
        <v>124</v>
      </c>
      <c r="C56" s="5" t="s">
        <v>145</v>
      </c>
      <c r="D56" s="5" t="s">
        <v>125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1109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124</v>
      </c>
      <c r="C57" s="5" t="s">
        <v>145</v>
      </c>
      <c r="D57" s="5" t="s">
        <v>126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1109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95</v>
      </c>
      <c r="C58" s="5" t="s">
        <v>145</v>
      </c>
      <c r="D58" s="5" t="s">
        <v>127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1109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128</v>
      </c>
      <c r="C59" s="5" t="s">
        <v>145</v>
      </c>
      <c r="D59" s="5" t="s">
        <v>129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1109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130</v>
      </c>
      <c r="C60" s="5" t="s">
        <v>145</v>
      </c>
      <c r="D60" s="5" t="s">
        <v>131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1109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130</v>
      </c>
      <c r="C61" s="5" t="s">
        <v>145</v>
      </c>
      <c r="D61" s="5" t="s">
        <v>132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1109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133</v>
      </c>
      <c r="C62" s="5" t="s">
        <v>145</v>
      </c>
      <c r="D62" s="5" t="s">
        <v>719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1109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133</v>
      </c>
      <c r="C63" s="5" t="s">
        <v>145</v>
      </c>
      <c r="D63" s="5" t="s">
        <v>142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1109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133</v>
      </c>
      <c r="C64" s="5" t="s">
        <v>145</v>
      </c>
      <c r="D64" s="5" t="s">
        <v>146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1109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135</v>
      </c>
      <c r="C65" s="5" t="s">
        <v>145</v>
      </c>
      <c r="D65" s="5" t="s">
        <v>144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1109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120</v>
      </c>
      <c r="C66" s="5" t="s">
        <v>147</v>
      </c>
      <c r="D66" s="5" t="s">
        <v>122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1109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120</v>
      </c>
      <c r="C67" s="5" t="s">
        <v>147</v>
      </c>
      <c r="D67" s="5" t="s">
        <v>123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1109</v>
      </c>
      <c r="J67" s="5" t="s">
        <v>109</v>
      </c>
      <c r="K67" s="6">
        <f t="shared" si="1"/>
        <v>0</v>
      </c>
    </row>
    <row r="68" spans="1:11" ht="30" customHeight="1">
      <c r="A68" s="4">
        <v>60</v>
      </c>
      <c r="B68" s="5" t="s">
        <v>124</v>
      </c>
      <c r="C68" s="5" t="s">
        <v>147</v>
      </c>
      <c r="D68" s="5" t="s">
        <v>125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1109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124</v>
      </c>
      <c r="C69" s="5" t="s">
        <v>147</v>
      </c>
      <c r="D69" s="5" t="s">
        <v>126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1109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95</v>
      </c>
      <c r="C70" s="5" t="s">
        <v>147</v>
      </c>
      <c r="D70" s="5" t="s">
        <v>127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1109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128</v>
      </c>
      <c r="C71" s="5" t="s">
        <v>147</v>
      </c>
      <c r="D71" s="5" t="s">
        <v>129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1109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133</v>
      </c>
      <c r="C72" s="5" t="s">
        <v>147</v>
      </c>
      <c r="D72" s="5" t="s">
        <v>1119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1109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539</v>
      </c>
      <c r="C73" s="5" t="s">
        <v>147</v>
      </c>
      <c r="D73" s="5" t="s">
        <v>615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1109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133</v>
      </c>
      <c r="C74" s="5" t="s">
        <v>147</v>
      </c>
      <c r="D74" s="5" t="s">
        <v>719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1109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133</v>
      </c>
      <c r="C75" s="5" t="s">
        <v>147</v>
      </c>
      <c r="D75" s="5" t="s">
        <v>142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1109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133</v>
      </c>
      <c r="C76" s="5" t="s">
        <v>147</v>
      </c>
      <c r="D76" s="5" t="s">
        <v>146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1109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133</v>
      </c>
      <c r="C77" s="5" t="s">
        <v>147</v>
      </c>
      <c r="D77" s="5" t="s">
        <v>1120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1109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133</v>
      </c>
      <c r="C78" s="5" t="s">
        <v>147</v>
      </c>
      <c r="D78" s="5" t="s">
        <v>1118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1109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120</v>
      </c>
      <c r="C79" s="5" t="s">
        <v>322</v>
      </c>
      <c r="D79" s="5" t="s">
        <v>122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1109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120</v>
      </c>
      <c r="C80" s="5" t="s">
        <v>322</v>
      </c>
      <c r="D80" s="5" t="s">
        <v>123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1109</v>
      </c>
      <c r="J80" s="5" t="s">
        <v>109</v>
      </c>
      <c r="K80" s="6">
        <f t="shared" si="2"/>
        <v>0</v>
      </c>
    </row>
    <row r="81" spans="1:11" ht="30" customHeight="1">
      <c r="A81" s="4">
        <v>73</v>
      </c>
      <c r="B81" s="5" t="s">
        <v>124</v>
      </c>
      <c r="C81" s="5" t="s">
        <v>322</v>
      </c>
      <c r="D81" s="5" t="s">
        <v>125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1109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124</v>
      </c>
      <c r="C82" s="5" t="s">
        <v>322</v>
      </c>
      <c r="D82" s="5" t="s">
        <v>126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1109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95</v>
      </c>
      <c r="C83" s="5" t="s">
        <v>322</v>
      </c>
      <c r="D83" s="5" t="s">
        <v>127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1109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128</v>
      </c>
      <c r="C84" s="5" t="s">
        <v>322</v>
      </c>
      <c r="D84" s="5" t="s">
        <v>129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1109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133</v>
      </c>
      <c r="C85" s="5" t="s">
        <v>322</v>
      </c>
      <c r="D85" s="5" t="s">
        <v>152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1109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133</v>
      </c>
      <c r="C86" s="5" t="s">
        <v>322</v>
      </c>
      <c r="D86" s="5" t="s">
        <v>719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1109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120</v>
      </c>
      <c r="C87" s="5" t="s">
        <v>340</v>
      </c>
      <c r="D87" s="5" t="s">
        <v>122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1109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120</v>
      </c>
      <c r="C88" s="5" t="s">
        <v>340</v>
      </c>
      <c r="D88" s="5" t="s">
        <v>123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1109</v>
      </c>
      <c r="J88" s="5" t="s">
        <v>109</v>
      </c>
      <c r="K88" s="6">
        <f t="shared" si="2"/>
        <v>0</v>
      </c>
    </row>
    <row r="89" spans="1:11" ht="30" customHeight="1">
      <c r="A89" s="4">
        <v>81</v>
      </c>
      <c r="B89" s="5" t="s">
        <v>124</v>
      </c>
      <c r="C89" s="5" t="s">
        <v>340</v>
      </c>
      <c r="D89" s="5" t="s">
        <v>125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1109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124</v>
      </c>
      <c r="C90" s="5" t="s">
        <v>340</v>
      </c>
      <c r="D90" s="5" t="s">
        <v>126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1109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95</v>
      </c>
      <c r="C91" s="5" t="s">
        <v>340</v>
      </c>
      <c r="D91" s="5" t="s">
        <v>127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1109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128</v>
      </c>
      <c r="C92" s="5" t="s">
        <v>340</v>
      </c>
      <c r="D92" s="5" t="s">
        <v>129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1109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133</v>
      </c>
      <c r="C93" s="5" t="s">
        <v>340</v>
      </c>
      <c r="D93" s="5" t="s">
        <v>719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1109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120</v>
      </c>
      <c r="C94" s="5" t="s">
        <v>1076</v>
      </c>
      <c r="D94" s="5" t="s">
        <v>122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1109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120</v>
      </c>
      <c r="C95" s="5" t="s">
        <v>1076</v>
      </c>
      <c r="D95" s="5" t="s">
        <v>123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1109</v>
      </c>
      <c r="J95" s="5" t="s">
        <v>109</v>
      </c>
      <c r="K95" s="6">
        <f t="shared" si="2"/>
        <v>0</v>
      </c>
    </row>
    <row r="96" spans="1:11" ht="30" customHeight="1">
      <c r="A96" s="4">
        <v>88</v>
      </c>
      <c r="B96" s="5" t="s">
        <v>124</v>
      </c>
      <c r="C96" s="5" t="s">
        <v>1076</v>
      </c>
      <c r="D96" s="5" t="s">
        <v>125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1109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124</v>
      </c>
      <c r="C97" s="5" t="s">
        <v>1076</v>
      </c>
      <c r="D97" s="5" t="s">
        <v>126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1109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95</v>
      </c>
      <c r="C98" s="5" t="s">
        <v>1076</v>
      </c>
      <c r="D98" s="5" t="s">
        <v>127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1109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128</v>
      </c>
      <c r="C99" s="5" t="s">
        <v>1076</v>
      </c>
      <c r="D99" s="5" t="s">
        <v>129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1109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130</v>
      </c>
      <c r="C100" s="5" t="s">
        <v>1076</v>
      </c>
      <c r="D100" s="5" t="s">
        <v>131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1109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130</v>
      </c>
      <c r="C101" s="5" t="s">
        <v>1076</v>
      </c>
      <c r="D101" s="5" t="s">
        <v>132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1109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133</v>
      </c>
      <c r="C102" s="5" t="s">
        <v>1076</v>
      </c>
      <c r="D102" s="5" t="s">
        <v>719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1109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153</v>
      </c>
      <c r="C103" s="5" t="s">
        <v>154</v>
      </c>
      <c r="D103" s="5" t="s">
        <v>562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1109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159</v>
      </c>
      <c r="C104" s="5" t="s">
        <v>154</v>
      </c>
      <c r="D104" s="5" t="s">
        <v>1121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1109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159</v>
      </c>
      <c r="C105" s="5" t="s">
        <v>154</v>
      </c>
      <c r="D105" s="5" t="s">
        <v>730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1109</v>
      </c>
      <c r="J105" s="5" t="s">
        <v>109</v>
      </c>
      <c r="K105" s="6">
        <f t="shared" ref="K105:K127" si="3">IF(AND(E105="yes",F105="yes",H105="covered"),1,IF(H105="partial",0.5,0))</f>
        <v>0</v>
      </c>
    </row>
    <row r="106" spans="1:11" ht="15" customHeight="1">
      <c r="A106" s="4">
        <v>98</v>
      </c>
      <c r="B106" s="5" t="s">
        <v>159</v>
      </c>
      <c r="C106" s="5" t="s">
        <v>154</v>
      </c>
      <c r="D106" s="5" t="s">
        <v>162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1109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159</v>
      </c>
      <c r="C107" s="5" t="s">
        <v>154</v>
      </c>
      <c r="D107" s="5" t="s">
        <v>163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1109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135</v>
      </c>
      <c r="C108" s="5" t="s">
        <v>121</v>
      </c>
      <c r="D108" s="5" t="s">
        <v>169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1109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135</v>
      </c>
      <c r="C109" s="5" t="s">
        <v>121</v>
      </c>
      <c r="D109" s="5" t="s">
        <v>170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1109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135</v>
      </c>
      <c r="C110" s="5" t="s">
        <v>121</v>
      </c>
      <c r="D110" s="5" t="s">
        <v>171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1109</v>
      </c>
      <c r="J110" s="5" t="s">
        <v>109</v>
      </c>
      <c r="K110" s="6">
        <f t="shared" si="3"/>
        <v>0</v>
      </c>
    </row>
    <row r="111" spans="1:11" ht="15" customHeight="1">
      <c r="A111" s="4">
        <v>103</v>
      </c>
      <c r="B111" s="5" t="s">
        <v>172</v>
      </c>
      <c r="C111" s="5" t="s">
        <v>145</v>
      </c>
      <c r="D111" s="5" t="s">
        <v>173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1109</v>
      </c>
      <c r="J111" s="5" t="s">
        <v>109</v>
      </c>
      <c r="K111" s="6">
        <f t="shared" si="3"/>
        <v>0</v>
      </c>
    </row>
    <row r="112" spans="1:11" ht="15" customHeight="1">
      <c r="A112" s="4">
        <v>104</v>
      </c>
      <c r="B112" s="5" t="s">
        <v>172</v>
      </c>
      <c r="C112" s="5" t="s">
        <v>145</v>
      </c>
      <c r="D112" s="5" t="s">
        <v>174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1109</v>
      </c>
      <c r="J112" s="5" t="s">
        <v>109</v>
      </c>
      <c r="K112" s="6">
        <f t="shared" si="3"/>
        <v>0</v>
      </c>
    </row>
    <row r="113" spans="1:11" ht="15" customHeight="1">
      <c r="A113" s="4">
        <v>105</v>
      </c>
      <c r="B113" s="5" t="s">
        <v>172</v>
      </c>
      <c r="C113" s="5" t="s">
        <v>145</v>
      </c>
      <c r="D113" s="5" t="s">
        <v>175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1109</v>
      </c>
      <c r="J113" s="5" t="s">
        <v>109</v>
      </c>
      <c r="K113" s="6">
        <f t="shared" si="3"/>
        <v>0</v>
      </c>
    </row>
    <row r="114" spans="1:11" ht="15" customHeight="1">
      <c r="A114" s="4">
        <v>106</v>
      </c>
      <c r="B114" s="5" t="s">
        <v>172</v>
      </c>
      <c r="C114" s="5" t="s">
        <v>145</v>
      </c>
      <c r="D114" s="5" t="s">
        <v>176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1109</v>
      </c>
      <c r="J114" s="5" t="s">
        <v>109</v>
      </c>
      <c r="K114" s="6">
        <f t="shared" si="3"/>
        <v>0</v>
      </c>
    </row>
    <row r="115" spans="1:11" ht="15" customHeight="1">
      <c r="A115" s="4">
        <v>107</v>
      </c>
      <c r="B115" s="5" t="s">
        <v>177</v>
      </c>
      <c r="C115" s="5" t="s">
        <v>145</v>
      </c>
      <c r="D115" s="5" t="s">
        <v>178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1109</v>
      </c>
      <c r="J115" s="5" t="s">
        <v>109</v>
      </c>
      <c r="K115" s="6">
        <f t="shared" si="3"/>
        <v>0</v>
      </c>
    </row>
    <row r="116" spans="1:11" ht="15" customHeight="1">
      <c r="A116" s="4">
        <v>108</v>
      </c>
      <c r="B116" s="5" t="s">
        <v>405</v>
      </c>
      <c r="C116" s="5" t="s">
        <v>33</v>
      </c>
      <c r="D116" s="5" t="s">
        <v>1122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1109</v>
      </c>
      <c r="J116" s="5" t="s">
        <v>109</v>
      </c>
      <c r="K116" s="6">
        <f t="shared" si="3"/>
        <v>0</v>
      </c>
    </row>
    <row r="117" spans="1:11" ht="15" customHeight="1">
      <c r="A117" s="4">
        <v>109</v>
      </c>
      <c r="B117" s="5" t="s">
        <v>405</v>
      </c>
      <c r="C117" s="5" t="s">
        <v>33</v>
      </c>
      <c r="D117" s="5" t="s">
        <v>1123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1109</v>
      </c>
      <c r="J117" s="5" t="s">
        <v>109</v>
      </c>
      <c r="K117" s="6">
        <f t="shared" si="3"/>
        <v>0</v>
      </c>
    </row>
    <row r="118" spans="1:11" ht="15" customHeight="1">
      <c r="A118" s="4">
        <v>110</v>
      </c>
      <c r="B118" s="5" t="s">
        <v>405</v>
      </c>
      <c r="C118" s="5" t="s">
        <v>33</v>
      </c>
      <c r="D118" s="5" t="s">
        <v>1124</v>
      </c>
      <c r="E118" s="7" t="s">
        <v>105</v>
      </c>
      <c r="F118" s="8" t="s">
        <v>97</v>
      </c>
      <c r="G118" s="4" t="s">
        <v>106</v>
      </c>
      <c r="H118" s="9" t="s">
        <v>107</v>
      </c>
      <c r="I118" s="5" t="s">
        <v>1109</v>
      </c>
      <c r="J118" s="5" t="s">
        <v>109</v>
      </c>
      <c r="K118" s="6">
        <f t="shared" si="3"/>
        <v>0</v>
      </c>
    </row>
    <row r="119" spans="1:11" ht="15" customHeight="1">
      <c r="A119" s="4">
        <v>111</v>
      </c>
      <c r="B119" s="5" t="s">
        <v>177</v>
      </c>
      <c r="C119" s="5" t="s">
        <v>33</v>
      </c>
      <c r="D119" s="5" t="s">
        <v>1125</v>
      </c>
      <c r="E119" s="7" t="s">
        <v>105</v>
      </c>
      <c r="F119" s="8" t="s">
        <v>97</v>
      </c>
      <c r="G119" s="4" t="s">
        <v>106</v>
      </c>
      <c r="H119" s="9" t="s">
        <v>107</v>
      </c>
      <c r="I119" s="5" t="s">
        <v>1109</v>
      </c>
      <c r="J119" s="5" t="s">
        <v>109</v>
      </c>
      <c r="K119" s="6">
        <f t="shared" si="3"/>
        <v>0</v>
      </c>
    </row>
    <row r="120" spans="1:11" ht="15" customHeight="1">
      <c r="A120" s="4">
        <v>112</v>
      </c>
      <c r="B120" s="5" t="s">
        <v>177</v>
      </c>
      <c r="C120" s="5" t="s">
        <v>33</v>
      </c>
      <c r="D120" s="5" t="s">
        <v>1126</v>
      </c>
      <c r="E120" s="7" t="s">
        <v>105</v>
      </c>
      <c r="F120" s="8" t="s">
        <v>97</v>
      </c>
      <c r="G120" s="4" t="s">
        <v>106</v>
      </c>
      <c r="H120" s="9" t="s">
        <v>107</v>
      </c>
      <c r="I120" s="5" t="s">
        <v>1109</v>
      </c>
      <c r="J120" s="5" t="s">
        <v>109</v>
      </c>
      <c r="K120" s="6">
        <f t="shared" si="3"/>
        <v>0</v>
      </c>
    </row>
    <row r="121" spans="1:11" ht="15" customHeight="1">
      <c r="A121" s="4">
        <v>113</v>
      </c>
      <c r="B121" s="5" t="s">
        <v>927</v>
      </c>
      <c r="C121" s="5" t="s">
        <v>33</v>
      </c>
      <c r="D121" s="5" t="s">
        <v>1127</v>
      </c>
      <c r="E121" s="7" t="s">
        <v>105</v>
      </c>
      <c r="F121" s="8" t="s">
        <v>97</v>
      </c>
      <c r="G121" s="4" t="s">
        <v>106</v>
      </c>
      <c r="H121" s="9" t="s">
        <v>107</v>
      </c>
      <c r="I121" s="5" t="s">
        <v>1109</v>
      </c>
      <c r="J121" s="5" t="s">
        <v>109</v>
      </c>
      <c r="K121" s="6">
        <f t="shared" si="3"/>
        <v>0</v>
      </c>
    </row>
    <row r="122" spans="1:11" ht="15" customHeight="1">
      <c r="A122" s="4">
        <v>114</v>
      </c>
      <c r="B122" s="5" t="s">
        <v>55</v>
      </c>
      <c r="C122" s="5" t="s">
        <v>33</v>
      </c>
      <c r="D122" s="5" t="s">
        <v>731</v>
      </c>
      <c r="E122" s="7" t="s">
        <v>105</v>
      </c>
      <c r="F122" s="8" t="s">
        <v>97</v>
      </c>
      <c r="G122" s="4" t="s">
        <v>106</v>
      </c>
      <c r="H122" s="9" t="s">
        <v>107</v>
      </c>
      <c r="I122" s="5" t="s">
        <v>1109</v>
      </c>
      <c r="J122" s="5" t="s">
        <v>109</v>
      </c>
      <c r="K122" s="6">
        <f t="shared" si="3"/>
        <v>0</v>
      </c>
    </row>
    <row r="123" spans="1:11" ht="15" customHeight="1">
      <c r="A123" s="4">
        <v>115</v>
      </c>
      <c r="B123" s="5" t="s">
        <v>55</v>
      </c>
      <c r="C123" s="5" t="s">
        <v>33</v>
      </c>
      <c r="D123" s="5" t="s">
        <v>732</v>
      </c>
      <c r="E123" s="7" t="s">
        <v>105</v>
      </c>
      <c r="F123" s="8" t="s">
        <v>97</v>
      </c>
      <c r="G123" s="4" t="s">
        <v>106</v>
      </c>
      <c r="H123" s="9" t="s">
        <v>107</v>
      </c>
      <c r="I123" s="5" t="s">
        <v>1109</v>
      </c>
      <c r="J123" s="5" t="s">
        <v>109</v>
      </c>
      <c r="K123" s="6">
        <f t="shared" si="3"/>
        <v>0</v>
      </c>
    </row>
    <row r="124" spans="1:11" ht="15" customHeight="1">
      <c r="A124" s="4">
        <v>116</v>
      </c>
      <c r="B124" s="5" t="s">
        <v>713</v>
      </c>
      <c r="C124" s="5" t="s">
        <v>33</v>
      </c>
      <c r="D124" s="5" t="s">
        <v>733</v>
      </c>
      <c r="E124" s="7" t="s">
        <v>105</v>
      </c>
      <c r="F124" s="8" t="s">
        <v>97</v>
      </c>
      <c r="G124" s="4" t="s">
        <v>106</v>
      </c>
      <c r="H124" s="9" t="s">
        <v>107</v>
      </c>
      <c r="I124" s="5" t="s">
        <v>1109</v>
      </c>
      <c r="J124" s="5" t="s">
        <v>109</v>
      </c>
      <c r="K124" s="6">
        <f t="shared" si="3"/>
        <v>0</v>
      </c>
    </row>
    <row r="125" spans="1:11" ht="30" customHeight="1">
      <c r="A125" s="4">
        <v>117</v>
      </c>
      <c r="B125" s="5" t="s">
        <v>713</v>
      </c>
      <c r="C125" s="5" t="s">
        <v>33</v>
      </c>
      <c r="D125" s="5" t="s">
        <v>734</v>
      </c>
      <c r="E125" s="7" t="s">
        <v>105</v>
      </c>
      <c r="F125" s="8" t="s">
        <v>97</v>
      </c>
      <c r="G125" s="4" t="s">
        <v>106</v>
      </c>
      <c r="H125" s="9" t="s">
        <v>107</v>
      </c>
      <c r="I125" s="5" t="s">
        <v>1109</v>
      </c>
      <c r="J125" s="5" t="s">
        <v>109</v>
      </c>
      <c r="K125" s="6">
        <f t="shared" si="3"/>
        <v>0</v>
      </c>
    </row>
    <row r="126" spans="1:11" ht="15" customHeight="1">
      <c r="A126" s="4">
        <v>118</v>
      </c>
      <c r="B126" s="5" t="s">
        <v>713</v>
      </c>
      <c r="C126" s="5" t="s">
        <v>33</v>
      </c>
      <c r="D126" s="5" t="s">
        <v>735</v>
      </c>
      <c r="E126" s="7" t="s">
        <v>105</v>
      </c>
      <c r="F126" s="8" t="s">
        <v>97</v>
      </c>
      <c r="G126" s="4" t="s">
        <v>106</v>
      </c>
      <c r="H126" s="9" t="s">
        <v>107</v>
      </c>
      <c r="I126" s="5" t="s">
        <v>1109</v>
      </c>
      <c r="J126" s="5" t="s">
        <v>109</v>
      </c>
      <c r="K126" s="6">
        <f t="shared" si="3"/>
        <v>0</v>
      </c>
    </row>
    <row r="127" spans="1:11" ht="15" customHeight="1">
      <c r="A127" s="4">
        <v>119</v>
      </c>
      <c r="B127" s="5" t="s">
        <v>713</v>
      </c>
      <c r="C127" s="5" t="s">
        <v>33</v>
      </c>
      <c r="D127" s="5" t="s">
        <v>736</v>
      </c>
      <c r="E127" s="7" t="s">
        <v>105</v>
      </c>
      <c r="F127" s="8" t="s">
        <v>97</v>
      </c>
      <c r="G127" s="4" t="s">
        <v>106</v>
      </c>
      <c r="H127" s="9" t="s">
        <v>107</v>
      </c>
      <c r="I127" s="5" t="s">
        <v>1109</v>
      </c>
      <c r="J127" s="5" t="s">
        <v>109</v>
      </c>
      <c r="K127" s="6">
        <f t="shared" si="3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K238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1128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230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32" customHeight="1">
      <c r="A9" s="37">
        <v>1</v>
      </c>
      <c r="B9" s="38" t="s">
        <v>94</v>
      </c>
      <c r="C9" s="38" t="s">
        <v>95</v>
      </c>
      <c r="D9" s="38" t="s">
        <v>96</v>
      </c>
      <c r="E9" s="37" t="s">
        <v>105</v>
      </c>
      <c r="F9" s="37" t="s">
        <v>105</v>
      </c>
      <c r="G9" s="37" t="s">
        <v>564</v>
      </c>
      <c r="H9" s="37" t="s">
        <v>196</v>
      </c>
      <c r="I9" s="38" t="s">
        <v>1129</v>
      </c>
      <c r="J9" s="38" t="s">
        <v>566</v>
      </c>
      <c r="K9" s="39">
        <f t="shared" ref="K9:K72" si="0">IF(AND(E9="yes",F9="yes",H9="covered"),1,IF(H9="partial",0.5,0))</f>
        <v>1</v>
      </c>
    </row>
    <row r="10" spans="1:11" ht="32" customHeight="1">
      <c r="A10" s="37">
        <v>2</v>
      </c>
      <c r="B10" s="38" t="s">
        <v>94</v>
      </c>
      <c r="C10" s="38" t="s">
        <v>95</v>
      </c>
      <c r="D10" s="38" t="s">
        <v>102</v>
      </c>
      <c r="E10" s="37" t="s">
        <v>105</v>
      </c>
      <c r="F10" s="37" t="s">
        <v>105</v>
      </c>
      <c r="G10" s="37" t="s">
        <v>564</v>
      </c>
      <c r="H10" s="37" t="s">
        <v>196</v>
      </c>
      <c r="I10" s="38" t="s">
        <v>1129</v>
      </c>
      <c r="J10" s="38" t="s">
        <v>566</v>
      </c>
      <c r="K10" s="39">
        <f t="shared" si="0"/>
        <v>1</v>
      </c>
    </row>
    <row r="11" spans="1:11" ht="32" customHeight="1">
      <c r="A11" s="37">
        <v>3</v>
      </c>
      <c r="B11" s="38" t="s">
        <v>133</v>
      </c>
      <c r="C11" s="38" t="s">
        <v>121</v>
      </c>
      <c r="D11" s="38" t="s">
        <v>1130</v>
      </c>
      <c r="E11" s="37" t="s">
        <v>105</v>
      </c>
      <c r="F11" s="37" t="s">
        <v>105</v>
      </c>
      <c r="G11" s="37" t="s">
        <v>564</v>
      </c>
      <c r="H11" s="37" t="s">
        <v>196</v>
      </c>
      <c r="I11" s="38" t="s">
        <v>1129</v>
      </c>
      <c r="J11" s="38" t="s">
        <v>566</v>
      </c>
      <c r="K11" s="39">
        <f t="shared" si="0"/>
        <v>1</v>
      </c>
    </row>
    <row r="12" spans="1:11" ht="32" customHeight="1">
      <c r="A12" s="37">
        <v>4</v>
      </c>
      <c r="B12" s="38" t="s">
        <v>133</v>
      </c>
      <c r="C12" s="38" t="s">
        <v>121</v>
      </c>
      <c r="D12" s="38" t="s">
        <v>743</v>
      </c>
      <c r="E12" s="37" t="s">
        <v>105</v>
      </c>
      <c r="F12" s="37" t="s">
        <v>105</v>
      </c>
      <c r="G12" s="37" t="s">
        <v>564</v>
      </c>
      <c r="H12" s="37" t="s">
        <v>196</v>
      </c>
      <c r="I12" s="38" t="s">
        <v>1129</v>
      </c>
      <c r="J12" s="38" t="s">
        <v>566</v>
      </c>
      <c r="K12" s="39">
        <f t="shared" si="0"/>
        <v>1</v>
      </c>
    </row>
    <row r="13" spans="1:11" ht="32" customHeight="1">
      <c r="A13" s="37">
        <v>5</v>
      </c>
      <c r="B13" s="38" t="s">
        <v>133</v>
      </c>
      <c r="C13" s="38" t="s">
        <v>121</v>
      </c>
      <c r="D13" s="38" t="s">
        <v>744</v>
      </c>
      <c r="E13" s="37" t="s">
        <v>105</v>
      </c>
      <c r="F13" s="37" t="s">
        <v>105</v>
      </c>
      <c r="G13" s="37" t="s">
        <v>564</v>
      </c>
      <c r="H13" s="37" t="s">
        <v>196</v>
      </c>
      <c r="I13" s="38" t="s">
        <v>1129</v>
      </c>
      <c r="J13" s="38" t="s">
        <v>566</v>
      </c>
      <c r="K13" s="39">
        <f t="shared" si="0"/>
        <v>1</v>
      </c>
    </row>
    <row r="14" spans="1:11" ht="32" customHeight="1">
      <c r="A14" s="37">
        <v>6</v>
      </c>
      <c r="B14" s="38" t="s">
        <v>133</v>
      </c>
      <c r="C14" s="38" t="s">
        <v>121</v>
      </c>
      <c r="D14" s="38" t="s">
        <v>747</v>
      </c>
      <c r="E14" s="37" t="s">
        <v>105</v>
      </c>
      <c r="F14" s="37" t="s">
        <v>105</v>
      </c>
      <c r="G14" s="37" t="s">
        <v>564</v>
      </c>
      <c r="H14" s="37" t="s">
        <v>196</v>
      </c>
      <c r="I14" s="38" t="s">
        <v>1129</v>
      </c>
      <c r="J14" s="38" t="s">
        <v>566</v>
      </c>
      <c r="K14" s="39">
        <f t="shared" si="0"/>
        <v>1</v>
      </c>
    </row>
    <row r="15" spans="1:11" ht="32" customHeight="1">
      <c r="A15" s="37">
        <v>7</v>
      </c>
      <c r="B15" s="38" t="s">
        <v>133</v>
      </c>
      <c r="C15" s="38" t="s">
        <v>121</v>
      </c>
      <c r="D15" s="38" t="s">
        <v>1131</v>
      </c>
      <c r="E15" s="37" t="s">
        <v>105</v>
      </c>
      <c r="F15" s="37" t="s">
        <v>105</v>
      </c>
      <c r="G15" s="37" t="s">
        <v>564</v>
      </c>
      <c r="H15" s="37" t="s">
        <v>196</v>
      </c>
      <c r="I15" s="38" t="s">
        <v>1129</v>
      </c>
      <c r="J15" s="38" t="s">
        <v>566</v>
      </c>
      <c r="K15" s="39">
        <f t="shared" si="0"/>
        <v>1</v>
      </c>
    </row>
    <row r="16" spans="1:11" ht="32" customHeight="1">
      <c r="A16" s="37">
        <v>8</v>
      </c>
      <c r="B16" s="38" t="s">
        <v>133</v>
      </c>
      <c r="C16" s="38" t="s">
        <v>121</v>
      </c>
      <c r="D16" s="38" t="s">
        <v>749</v>
      </c>
      <c r="E16" s="37" t="s">
        <v>105</v>
      </c>
      <c r="F16" s="37" t="s">
        <v>105</v>
      </c>
      <c r="G16" s="37" t="s">
        <v>564</v>
      </c>
      <c r="H16" s="37" t="s">
        <v>196</v>
      </c>
      <c r="I16" s="38" t="s">
        <v>1129</v>
      </c>
      <c r="J16" s="38" t="s">
        <v>566</v>
      </c>
      <c r="K16" s="39">
        <f t="shared" si="0"/>
        <v>1</v>
      </c>
    </row>
    <row r="17" spans="1:11" ht="32" customHeight="1">
      <c r="A17" s="37">
        <v>9</v>
      </c>
      <c r="B17" s="38" t="s">
        <v>133</v>
      </c>
      <c r="C17" s="38" t="s">
        <v>121</v>
      </c>
      <c r="D17" s="38" t="s">
        <v>750</v>
      </c>
      <c r="E17" s="37" t="s">
        <v>105</v>
      </c>
      <c r="F17" s="37" t="s">
        <v>105</v>
      </c>
      <c r="G17" s="37" t="s">
        <v>564</v>
      </c>
      <c r="H17" s="37" t="s">
        <v>196</v>
      </c>
      <c r="I17" s="38" t="s">
        <v>1129</v>
      </c>
      <c r="J17" s="38" t="s">
        <v>566</v>
      </c>
      <c r="K17" s="39">
        <f t="shared" si="0"/>
        <v>1</v>
      </c>
    </row>
    <row r="18" spans="1:11" ht="32" customHeight="1">
      <c r="A18" s="37">
        <v>10</v>
      </c>
      <c r="B18" s="38" t="s">
        <v>133</v>
      </c>
      <c r="C18" s="38" t="s">
        <v>121</v>
      </c>
      <c r="D18" s="38" t="s">
        <v>1132</v>
      </c>
      <c r="E18" s="37" t="s">
        <v>105</v>
      </c>
      <c r="F18" s="37" t="s">
        <v>105</v>
      </c>
      <c r="G18" s="37" t="s">
        <v>564</v>
      </c>
      <c r="H18" s="37" t="s">
        <v>196</v>
      </c>
      <c r="I18" s="38" t="s">
        <v>1129</v>
      </c>
      <c r="J18" s="38" t="s">
        <v>566</v>
      </c>
      <c r="K18" s="39">
        <f t="shared" si="0"/>
        <v>1</v>
      </c>
    </row>
    <row r="19" spans="1:11" ht="32" customHeight="1">
      <c r="A19" s="37">
        <v>11</v>
      </c>
      <c r="B19" s="38" t="s">
        <v>133</v>
      </c>
      <c r="C19" s="38" t="s">
        <v>121</v>
      </c>
      <c r="D19" s="38" t="s">
        <v>1133</v>
      </c>
      <c r="E19" s="37" t="s">
        <v>105</v>
      </c>
      <c r="F19" s="37" t="s">
        <v>105</v>
      </c>
      <c r="G19" s="37" t="s">
        <v>564</v>
      </c>
      <c r="H19" s="37" t="s">
        <v>196</v>
      </c>
      <c r="I19" s="38" t="s">
        <v>1129</v>
      </c>
      <c r="J19" s="38" t="s">
        <v>566</v>
      </c>
      <c r="K19" s="39">
        <f t="shared" si="0"/>
        <v>1</v>
      </c>
    </row>
    <row r="20" spans="1:11" ht="32" customHeight="1">
      <c r="A20" s="37">
        <v>12</v>
      </c>
      <c r="B20" s="38" t="s">
        <v>133</v>
      </c>
      <c r="C20" s="38" t="s">
        <v>121</v>
      </c>
      <c r="D20" s="38" t="s">
        <v>1134</v>
      </c>
      <c r="E20" s="37" t="s">
        <v>105</v>
      </c>
      <c r="F20" s="37" t="s">
        <v>105</v>
      </c>
      <c r="G20" s="37" t="s">
        <v>564</v>
      </c>
      <c r="H20" s="37" t="s">
        <v>196</v>
      </c>
      <c r="I20" s="38" t="s">
        <v>1129</v>
      </c>
      <c r="J20" s="38" t="s">
        <v>566</v>
      </c>
      <c r="K20" s="39">
        <f t="shared" si="0"/>
        <v>1</v>
      </c>
    </row>
    <row r="21" spans="1:11" ht="32" customHeight="1">
      <c r="A21" s="37">
        <v>13</v>
      </c>
      <c r="B21" s="38" t="s">
        <v>133</v>
      </c>
      <c r="C21" s="38" t="s">
        <v>145</v>
      </c>
      <c r="D21" s="38" t="s">
        <v>1135</v>
      </c>
      <c r="E21" s="37" t="s">
        <v>105</v>
      </c>
      <c r="F21" s="37" t="s">
        <v>105</v>
      </c>
      <c r="G21" s="37" t="s">
        <v>564</v>
      </c>
      <c r="H21" s="37" t="s">
        <v>196</v>
      </c>
      <c r="I21" s="38" t="s">
        <v>1129</v>
      </c>
      <c r="J21" s="38" t="s">
        <v>566</v>
      </c>
      <c r="K21" s="39">
        <f t="shared" si="0"/>
        <v>1</v>
      </c>
    </row>
    <row r="22" spans="1:11" ht="32" customHeight="1">
      <c r="A22" s="37">
        <v>14</v>
      </c>
      <c r="B22" s="38" t="s">
        <v>133</v>
      </c>
      <c r="C22" s="38" t="s">
        <v>145</v>
      </c>
      <c r="D22" s="38" t="s">
        <v>1136</v>
      </c>
      <c r="E22" s="37" t="s">
        <v>105</v>
      </c>
      <c r="F22" s="37" t="s">
        <v>105</v>
      </c>
      <c r="G22" s="37" t="s">
        <v>564</v>
      </c>
      <c r="H22" s="37" t="s">
        <v>196</v>
      </c>
      <c r="I22" s="38" t="s">
        <v>1129</v>
      </c>
      <c r="J22" s="38" t="s">
        <v>566</v>
      </c>
      <c r="K22" s="39">
        <f t="shared" si="0"/>
        <v>1</v>
      </c>
    </row>
    <row r="23" spans="1:11" ht="32" customHeight="1">
      <c r="A23" s="37">
        <v>15</v>
      </c>
      <c r="B23" s="38" t="s">
        <v>133</v>
      </c>
      <c r="C23" s="38" t="s">
        <v>145</v>
      </c>
      <c r="D23" s="38" t="s">
        <v>757</v>
      </c>
      <c r="E23" s="37" t="s">
        <v>105</v>
      </c>
      <c r="F23" s="37" t="s">
        <v>105</v>
      </c>
      <c r="G23" s="37" t="s">
        <v>564</v>
      </c>
      <c r="H23" s="37" t="s">
        <v>196</v>
      </c>
      <c r="I23" s="38" t="s">
        <v>1129</v>
      </c>
      <c r="J23" s="38" t="s">
        <v>566</v>
      </c>
      <c r="K23" s="39">
        <f t="shared" si="0"/>
        <v>1</v>
      </c>
    </row>
    <row r="24" spans="1:11" ht="32" customHeight="1">
      <c r="A24" s="37">
        <v>16</v>
      </c>
      <c r="B24" s="38" t="s">
        <v>133</v>
      </c>
      <c r="C24" s="38" t="s">
        <v>145</v>
      </c>
      <c r="D24" s="38" t="s">
        <v>1137</v>
      </c>
      <c r="E24" s="37" t="s">
        <v>105</v>
      </c>
      <c r="F24" s="37" t="s">
        <v>105</v>
      </c>
      <c r="G24" s="37" t="s">
        <v>564</v>
      </c>
      <c r="H24" s="37" t="s">
        <v>196</v>
      </c>
      <c r="I24" s="38" t="s">
        <v>1129</v>
      </c>
      <c r="J24" s="38" t="s">
        <v>566</v>
      </c>
      <c r="K24" s="39">
        <f t="shared" si="0"/>
        <v>1</v>
      </c>
    </row>
    <row r="25" spans="1:11" ht="32" customHeight="1">
      <c r="A25" s="37">
        <v>17</v>
      </c>
      <c r="B25" s="38" t="s">
        <v>133</v>
      </c>
      <c r="C25" s="38" t="s">
        <v>145</v>
      </c>
      <c r="D25" s="38" t="s">
        <v>1138</v>
      </c>
      <c r="E25" s="37" t="s">
        <v>105</v>
      </c>
      <c r="F25" s="37" t="s">
        <v>105</v>
      </c>
      <c r="G25" s="37" t="s">
        <v>564</v>
      </c>
      <c r="H25" s="37" t="s">
        <v>196</v>
      </c>
      <c r="I25" s="38" t="s">
        <v>1129</v>
      </c>
      <c r="J25" s="38" t="s">
        <v>566</v>
      </c>
      <c r="K25" s="39">
        <f t="shared" si="0"/>
        <v>1</v>
      </c>
    </row>
    <row r="26" spans="1:11" ht="32" customHeight="1">
      <c r="A26" s="37">
        <v>18</v>
      </c>
      <c r="B26" s="38" t="s">
        <v>133</v>
      </c>
      <c r="C26" s="38" t="s">
        <v>145</v>
      </c>
      <c r="D26" s="38" t="s">
        <v>1139</v>
      </c>
      <c r="E26" s="37" t="s">
        <v>105</v>
      </c>
      <c r="F26" s="37" t="s">
        <v>105</v>
      </c>
      <c r="G26" s="37" t="s">
        <v>564</v>
      </c>
      <c r="H26" s="37" t="s">
        <v>196</v>
      </c>
      <c r="I26" s="38" t="s">
        <v>1129</v>
      </c>
      <c r="J26" s="38" t="s">
        <v>566</v>
      </c>
      <c r="K26" s="39">
        <f t="shared" si="0"/>
        <v>1</v>
      </c>
    </row>
    <row r="27" spans="1:11" ht="32" customHeight="1">
      <c r="A27" s="37">
        <v>19</v>
      </c>
      <c r="B27" s="38" t="s">
        <v>133</v>
      </c>
      <c r="C27" s="38" t="s">
        <v>145</v>
      </c>
      <c r="D27" s="38" t="s">
        <v>1140</v>
      </c>
      <c r="E27" s="37" t="s">
        <v>105</v>
      </c>
      <c r="F27" s="37" t="s">
        <v>105</v>
      </c>
      <c r="G27" s="37" t="s">
        <v>564</v>
      </c>
      <c r="H27" s="37" t="s">
        <v>196</v>
      </c>
      <c r="I27" s="38" t="s">
        <v>1129</v>
      </c>
      <c r="J27" s="38" t="s">
        <v>566</v>
      </c>
      <c r="K27" s="39">
        <f t="shared" si="0"/>
        <v>1</v>
      </c>
    </row>
    <row r="28" spans="1:11" ht="32" customHeight="1">
      <c r="A28" s="37">
        <v>20</v>
      </c>
      <c r="B28" s="38" t="s">
        <v>133</v>
      </c>
      <c r="C28" s="38" t="s">
        <v>145</v>
      </c>
      <c r="D28" s="38" t="s">
        <v>1141</v>
      </c>
      <c r="E28" s="37" t="s">
        <v>105</v>
      </c>
      <c r="F28" s="37" t="s">
        <v>105</v>
      </c>
      <c r="G28" s="37" t="s">
        <v>564</v>
      </c>
      <c r="H28" s="37" t="s">
        <v>196</v>
      </c>
      <c r="I28" s="38" t="s">
        <v>1129</v>
      </c>
      <c r="J28" s="38" t="s">
        <v>566</v>
      </c>
      <c r="K28" s="39">
        <f t="shared" si="0"/>
        <v>1</v>
      </c>
    </row>
    <row r="29" spans="1:11" ht="32" customHeight="1">
      <c r="A29" s="37">
        <v>21</v>
      </c>
      <c r="B29" s="38" t="s">
        <v>133</v>
      </c>
      <c r="C29" s="38" t="s">
        <v>145</v>
      </c>
      <c r="D29" s="38" t="s">
        <v>1142</v>
      </c>
      <c r="E29" s="37" t="s">
        <v>105</v>
      </c>
      <c r="F29" s="37" t="s">
        <v>105</v>
      </c>
      <c r="G29" s="37" t="s">
        <v>564</v>
      </c>
      <c r="H29" s="37" t="s">
        <v>196</v>
      </c>
      <c r="I29" s="38" t="s">
        <v>1129</v>
      </c>
      <c r="J29" s="38" t="s">
        <v>566</v>
      </c>
      <c r="K29" s="39">
        <f t="shared" si="0"/>
        <v>1</v>
      </c>
    </row>
    <row r="30" spans="1:11" ht="32" customHeight="1">
      <c r="A30" s="37">
        <v>22</v>
      </c>
      <c r="B30" s="38" t="s">
        <v>133</v>
      </c>
      <c r="C30" s="38" t="s">
        <v>145</v>
      </c>
      <c r="D30" s="38" t="s">
        <v>1143</v>
      </c>
      <c r="E30" s="37" t="s">
        <v>105</v>
      </c>
      <c r="F30" s="37" t="s">
        <v>105</v>
      </c>
      <c r="G30" s="37" t="s">
        <v>564</v>
      </c>
      <c r="H30" s="37" t="s">
        <v>196</v>
      </c>
      <c r="I30" s="38" t="s">
        <v>1129</v>
      </c>
      <c r="J30" s="38" t="s">
        <v>566</v>
      </c>
      <c r="K30" s="39">
        <f t="shared" si="0"/>
        <v>1</v>
      </c>
    </row>
    <row r="31" spans="1:11" ht="32" customHeight="1">
      <c r="A31" s="37">
        <v>23</v>
      </c>
      <c r="B31" s="38" t="s">
        <v>133</v>
      </c>
      <c r="C31" s="38" t="s">
        <v>145</v>
      </c>
      <c r="D31" s="38" t="s">
        <v>1144</v>
      </c>
      <c r="E31" s="37" t="s">
        <v>105</v>
      </c>
      <c r="F31" s="37" t="s">
        <v>105</v>
      </c>
      <c r="G31" s="37" t="s">
        <v>564</v>
      </c>
      <c r="H31" s="37" t="s">
        <v>196</v>
      </c>
      <c r="I31" s="38" t="s">
        <v>1129</v>
      </c>
      <c r="J31" s="38" t="s">
        <v>566</v>
      </c>
      <c r="K31" s="39">
        <f t="shared" si="0"/>
        <v>1</v>
      </c>
    </row>
    <row r="32" spans="1:11" ht="32" customHeight="1">
      <c r="A32" s="37">
        <v>24</v>
      </c>
      <c r="B32" s="38" t="s">
        <v>133</v>
      </c>
      <c r="C32" s="38" t="s">
        <v>145</v>
      </c>
      <c r="D32" s="38" t="s">
        <v>1145</v>
      </c>
      <c r="E32" s="37" t="s">
        <v>105</v>
      </c>
      <c r="F32" s="37" t="s">
        <v>105</v>
      </c>
      <c r="G32" s="37" t="s">
        <v>564</v>
      </c>
      <c r="H32" s="37" t="s">
        <v>196</v>
      </c>
      <c r="I32" s="38" t="s">
        <v>1129</v>
      </c>
      <c r="J32" s="38" t="s">
        <v>566</v>
      </c>
      <c r="K32" s="39">
        <f t="shared" si="0"/>
        <v>1</v>
      </c>
    </row>
    <row r="33" spans="1:11" ht="32" customHeight="1">
      <c r="A33" s="37">
        <v>25</v>
      </c>
      <c r="B33" s="38" t="s">
        <v>133</v>
      </c>
      <c r="C33" s="38" t="s">
        <v>145</v>
      </c>
      <c r="D33" s="38" t="s">
        <v>760</v>
      </c>
      <c r="E33" s="37" t="s">
        <v>105</v>
      </c>
      <c r="F33" s="37" t="s">
        <v>105</v>
      </c>
      <c r="G33" s="37" t="s">
        <v>564</v>
      </c>
      <c r="H33" s="37" t="s">
        <v>196</v>
      </c>
      <c r="I33" s="38" t="s">
        <v>1129</v>
      </c>
      <c r="J33" s="38" t="s">
        <v>566</v>
      </c>
      <c r="K33" s="39">
        <f t="shared" si="0"/>
        <v>1</v>
      </c>
    </row>
    <row r="34" spans="1:11" ht="32" customHeight="1">
      <c r="A34" s="37">
        <v>26</v>
      </c>
      <c r="B34" s="38" t="s">
        <v>133</v>
      </c>
      <c r="C34" s="38" t="s">
        <v>145</v>
      </c>
      <c r="D34" s="38" t="s">
        <v>1146</v>
      </c>
      <c r="E34" s="37" t="s">
        <v>105</v>
      </c>
      <c r="F34" s="37" t="s">
        <v>105</v>
      </c>
      <c r="G34" s="37" t="s">
        <v>564</v>
      </c>
      <c r="H34" s="37" t="s">
        <v>196</v>
      </c>
      <c r="I34" s="38" t="s">
        <v>1129</v>
      </c>
      <c r="J34" s="38" t="s">
        <v>566</v>
      </c>
      <c r="K34" s="39">
        <f t="shared" si="0"/>
        <v>1</v>
      </c>
    </row>
    <row r="35" spans="1:11" ht="32" customHeight="1">
      <c r="A35" s="37">
        <v>27</v>
      </c>
      <c r="B35" s="38" t="s">
        <v>133</v>
      </c>
      <c r="C35" s="38" t="s">
        <v>145</v>
      </c>
      <c r="D35" s="38" t="s">
        <v>1147</v>
      </c>
      <c r="E35" s="37" t="s">
        <v>105</v>
      </c>
      <c r="F35" s="37" t="s">
        <v>105</v>
      </c>
      <c r="G35" s="37" t="s">
        <v>564</v>
      </c>
      <c r="H35" s="37" t="s">
        <v>196</v>
      </c>
      <c r="I35" s="38" t="s">
        <v>1129</v>
      </c>
      <c r="J35" s="38" t="s">
        <v>566</v>
      </c>
      <c r="K35" s="39">
        <f t="shared" si="0"/>
        <v>1</v>
      </c>
    </row>
    <row r="36" spans="1:11" ht="32" customHeight="1">
      <c r="A36" s="37">
        <v>28</v>
      </c>
      <c r="B36" s="38" t="s">
        <v>133</v>
      </c>
      <c r="C36" s="38" t="s">
        <v>145</v>
      </c>
      <c r="D36" s="38" t="s">
        <v>769</v>
      </c>
      <c r="E36" s="37" t="s">
        <v>105</v>
      </c>
      <c r="F36" s="37" t="s">
        <v>105</v>
      </c>
      <c r="G36" s="37" t="s">
        <v>564</v>
      </c>
      <c r="H36" s="37" t="s">
        <v>196</v>
      </c>
      <c r="I36" s="38" t="s">
        <v>1129</v>
      </c>
      <c r="J36" s="38" t="s">
        <v>566</v>
      </c>
      <c r="K36" s="39">
        <f t="shared" si="0"/>
        <v>1</v>
      </c>
    </row>
    <row r="37" spans="1:11" ht="32" customHeight="1">
      <c r="A37" s="37">
        <v>29</v>
      </c>
      <c r="B37" s="38" t="s">
        <v>133</v>
      </c>
      <c r="C37" s="38" t="s">
        <v>145</v>
      </c>
      <c r="D37" s="38" t="s">
        <v>1148</v>
      </c>
      <c r="E37" s="37" t="s">
        <v>105</v>
      </c>
      <c r="F37" s="37" t="s">
        <v>105</v>
      </c>
      <c r="G37" s="37" t="s">
        <v>564</v>
      </c>
      <c r="H37" s="37" t="s">
        <v>196</v>
      </c>
      <c r="I37" s="38" t="s">
        <v>1129</v>
      </c>
      <c r="J37" s="38" t="s">
        <v>566</v>
      </c>
      <c r="K37" s="39">
        <f t="shared" si="0"/>
        <v>1</v>
      </c>
    </row>
    <row r="38" spans="1:11" ht="32" customHeight="1">
      <c r="A38" s="37">
        <v>30</v>
      </c>
      <c r="B38" s="38" t="s">
        <v>133</v>
      </c>
      <c r="C38" s="38" t="s">
        <v>145</v>
      </c>
      <c r="D38" s="38" t="s">
        <v>1149</v>
      </c>
      <c r="E38" s="37" t="s">
        <v>105</v>
      </c>
      <c r="F38" s="37" t="s">
        <v>105</v>
      </c>
      <c r="G38" s="37" t="s">
        <v>564</v>
      </c>
      <c r="H38" s="37" t="s">
        <v>196</v>
      </c>
      <c r="I38" s="38" t="s">
        <v>1129</v>
      </c>
      <c r="J38" s="38" t="s">
        <v>566</v>
      </c>
      <c r="K38" s="39">
        <f t="shared" si="0"/>
        <v>1</v>
      </c>
    </row>
    <row r="39" spans="1:11" ht="32" customHeight="1">
      <c r="A39" s="37">
        <v>31</v>
      </c>
      <c r="B39" s="38" t="s">
        <v>133</v>
      </c>
      <c r="C39" s="38" t="s">
        <v>145</v>
      </c>
      <c r="D39" s="38" t="s">
        <v>1150</v>
      </c>
      <c r="E39" s="37" t="s">
        <v>105</v>
      </c>
      <c r="F39" s="37" t="s">
        <v>105</v>
      </c>
      <c r="G39" s="37" t="s">
        <v>564</v>
      </c>
      <c r="H39" s="37" t="s">
        <v>196</v>
      </c>
      <c r="I39" s="38" t="s">
        <v>1129</v>
      </c>
      <c r="J39" s="38" t="s">
        <v>566</v>
      </c>
      <c r="K39" s="39">
        <f t="shared" si="0"/>
        <v>1</v>
      </c>
    </row>
    <row r="40" spans="1:11" ht="32" customHeight="1">
      <c r="A40" s="37">
        <v>32</v>
      </c>
      <c r="B40" s="38" t="s">
        <v>133</v>
      </c>
      <c r="C40" s="38" t="s">
        <v>145</v>
      </c>
      <c r="D40" s="38" t="s">
        <v>1151</v>
      </c>
      <c r="E40" s="37" t="s">
        <v>105</v>
      </c>
      <c r="F40" s="37" t="s">
        <v>105</v>
      </c>
      <c r="G40" s="37" t="s">
        <v>564</v>
      </c>
      <c r="H40" s="37" t="s">
        <v>196</v>
      </c>
      <c r="I40" s="38" t="s">
        <v>1129</v>
      </c>
      <c r="J40" s="38" t="s">
        <v>566</v>
      </c>
      <c r="K40" s="39">
        <f t="shared" si="0"/>
        <v>1</v>
      </c>
    </row>
    <row r="41" spans="1:11" ht="32" customHeight="1">
      <c r="A41" s="37">
        <v>33</v>
      </c>
      <c r="B41" s="38" t="s">
        <v>133</v>
      </c>
      <c r="C41" s="38" t="s">
        <v>145</v>
      </c>
      <c r="D41" s="38" t="s">
        <v>1152</v>
      </c>
      <c r="E41" s="37" t="s">
        <v>105</v>
      </c>
      <c r="F41" s="37" t="s">
        <v>105</v>
      </c>
      <c r="G41" s="37" t="s">
        <v>564</v>
      </c>
      <c r="H41" s="37" t="s">
        <v>196</v>
      </c>
      <c r="I41" s="38" t="s">
        <v>1129</v>
      </c>
      <c r="J41" s="38" t="s">
        <v>566</v>
      </c>
      <c r="K41" s="39">
        <f t="shared" si="0"/>
        <v>1</v>
      </c>
    </row>
    <row r="42" spans="1:11" ht="32" customHeight="1">
      <c r="A42" s="37">
        <v>34</v>
      </c>
      <c r="B42" s="38" t="s">
        <v>133</v>
      </c>
      <c r="C42" s="38" t="s">
        <v>145</v>
      </c>
      <c r="D42" s="38" t="s">
        <v>1153</v>
      </c>
      <c r="E42" s="37" t="s">
        <v>105</v>
      </c>
      <c r="F42" s="37" t="s">
        <v>105</v>
      </c>
      <c r="G42" s="37" t="s">
        <v>564</v>
      </c>
      <c r="H42" s="37" t="s">
        <v>196</v>
      </c>
      <c r="I42" s="38" t="s">
        <v>1129</v>
      </c>
      <c r="J42" s="38" t="s">
        <v>566</v>
      </c>
      <c r="K42" s="39">
        <f t="shared" si="0"/>
        <v>1</v>
      </c>
    </row>
    <row r="43" spans="1:11" ht="32" customHeight="1">
      <c r="A43" s="37">
        <v>35</v>
      </c>
      <c r="B43" s="38" t="s">
        <v>133</v>
      </c>
      <c r="C43" s="38" t="s">
        <v>145</v>
      </c>
      <c r="D43" s="38" t="s">
        <v>1154</v>
      </c>
      <c r="E43" s="37" t="s">
        <v>105</v>
      </c>
      <c r="F43" s="37" t="s">
        <v>105</v>
      </c>
      <c r="G43" s="37" t="s">
        <v>564</v>
      </c>
      <c r="H43" s="37" t="s">
        <v>196</v>
      </c>
      <c r="I43" s="38" t="s">
        <v>1129</v>
      </c>
      <c r="J43" s="38" t="s">
        <v>566</v>
      </c>
      <c r="K43" s="39">
        <f t="shared" si="0"/>
        <v>1</v>
      </c>
    </row>
    <row r="44" spans="1:11" ht="32" customHeight="1">
      <c r="A44" s="37">
        <v>36</v>
      </c>
      <c r="B44" s="38" t="s">
        <v>133</v>
      </c>
      <c r="C44" s="38" t="s">
        <v>145</v>
      </c>
      <c r="D44" s="38" t="s">
        <v>1155</v>
      </c>
      <c r="E44" s="37" t="s">
        <v>105</v>
      </c>
      <c r="F44" s="37" t="s">
        <v>105</v>
      </c>
      <c r="G44" s="37" t="s">
        <v>564</v>
      </c>
      <c r="H44" s="37" t="s">
        <v>196</v>
      </c>
      <c r="I44" s="38" t="s">
        <v>1129</v>
      </c>
      <c r="J44" s="38" t="s">
        <v>566</v>
      </c>
      <c r="K44" s="39">
        <f t="shared" si="0"/>
        <v>1</v>
      </c>
    </row>
    <row r="45" spans="1:11" ht="32" customHeight="1">
      <c r="A45" s="37">
        <v>37</v>
      </c>
      <c r="B45" s="38" t="s">
        <v>133</v>
      </c>
      <c r="C45" s="38" t="s">
        <v>145</v>
      </c>
      <c r="D45" s="38" t="s">
        <v>1156</v>
      </c>
      <c r="E45" s="37" t="s">
        <v>105</v>
      </c>
      <c r="F45" s="37" t="s">
        <v>105</v>
      </c>
      <c r="G45" s="37" t="s">
        <v>564</v>
      </c>
      <c r="H45" s="37" t="s">
        <v>196</v>
      </c>
      <c r="I45" s="38" t="s">
        <v>1129</v>
      </c>
      <c r="J45" s="38" t="s">
        <v>566</v>
      </c>
      <c r="K45" s="39">
        <f t="shared" si="0"/>
        <v>1</v>
      </c>
    </row>
    <row r="46" spans="1:11" ht="32" customHeight="1">
      <c r="A46" s="37">
        <v>38</v>
      </c>
      <c r="B46" s="38" t="s">
        <v>133</v>
      </c>
      <c r="C46" s="38" t="s">
        <v>145</v>
      </c>
      <c r="D46" s="38" t="s">
        <v>1157</v>
      </c>
      <c r="E46" s="37" t="s">
        <v>105</v>
      </c>
      <c r="F46" s="37" t="s">
        <v>105</v>
      </c>
      <c r="G46" s="37" t="s">
        <v>564</v>
      </c>
      <c r="H46" s="37" t="s">
        <v>196</v>
      </c>
      <c r="I46" s="38" t="s">
        <v>1129</v>
      </c>
      <c r="J46" s="38" t="s">
        <v>566</v>
      </c>
      <c r="K46" s="39">
        <f t="shared" si="0"/>
        <v>1</v>
      </c>
    </row>
    <row r="47" spans="1:11" ht="32" customHeight="1">
      <c r="A47" s="37">
        <v>39</v>
      </c>
      <c r="B47" s="38" t="s">
        <v>133</v>
      </c>
      <c r="C47" s="38" t="s">
        <v>145</v>
      </c>
      <c r="D47" s="38" t="s">
        <v>1158</v>
      </c>
      <c r="E47" s="37" t="s">
        <v>105</v>
      </c>
      <c r="F47" s="37" t="s">
        <v>105</v>
      </c>
      <c r="G47" s="37" t="s">
        <v>564</v>
      </c>
      <c r="H47" s="37" t="s">
        <v>196</v>
      </c>
      <c r="I47" s="38" t="s">
        <v>1129</v>
      </c>
      <c r="J47" s="38" t="s">
        <v>566</v>
      </c>
      <c r="K47" s="39">
        <f t="shared" si="0"/>
        <v>1</v>
      </c>
    </row>
    <row r="48" spans="1:11" ht="32" customHeight="1">
      <c r="A48" s="37">
        <v>40</v>
      </c>
      <c r="B48" s="38" t="s">
        <v>133</v>
      </c>
      <c r="C48" s="38" t="s">
        <v>145</v>
      </c>
      <c r="D48" s="38" t="s">
        <v>1159</v>
      </c>
      <c r="E48" s="37" t="s">
        <v>105</v>
      </c>
      <c r="F48" s="37" t="s">
        <v>105</v>
      </c>
      <c r="G48" s="37" t="s">
        <v>564</v>
      </c>
      <c r="H48" s="37" t="s">
        <v>196</v>
      </c>
      <c r="I48" s="38" t="s">
        <v>1129</v>
      </c>
      <c r="J48" s="38" t="s">
        <v>566</v>
      </c>
      <c r="K48" s="39">
        <f t="shared" si="0"/>
        <v>1</v>
      </c>
    </row>
    <row r="49" spans="1:11" ht="32" customHeight="1">
      <c r="A49" s="37">
        <v>41</v>
      </c>
      <c r="B49" s="38" t="s">
        <v>133</v>
      </c>
      <c r="C49" s="38" t="s">
        <v>145</v>
      </c>
      <c r="D49" s="38" t="s">
        <v>1160</v>
      </c>
      <c r="E49" s="37" t="s">
        <v>105</v>
      </c>
      <c r="F49" s="37" t="s">
        <v>105</v>
      </c>
      <c r="G49" s="37" t="s">
        <v>564</v>
      </c>
      <c r="H49" s="37" t="s">
        <v>196</v>
      </c>
      <c r="I49" s="38" t="s">
        <v>1129</v>
      </c>
      <c r="J49" s="38" t="s">
        <v>566</v>
      </c>
      <c r="K49" s="39">
        <f t="shared" si="0"/>
        <v>1</v>
      </c>
    </row>
    <row r="50" spans="1:11" ht="32" customHeight="1">
      <c r="A50" s="37">
        <v>42</v>
      </c>
      <c r="B50" s="38" t="s">
        <v>133</v>
      </c>
      <c r="C50" s="38" t="s">
        <v>145</v>
      </c>
      <c r="D50" s="38" t="s">
        <v>770</v>
      </c>
      <c r="E50" s="37" t="s">
        <v>105</v>
      </c>
      <c r="F50" s="37" t="s">
        <v>105</v>
      </c>
      <c r="G50" s="37" t="s">
        <v>564</v>
      </c>
      <c r="H50" s="37" t="s">
        <v>196</v>
      </c>
      <c r="I50" s="38" t="s">
        <v>1129</v>
      </c>
      <c r="J50" s="38" t="s">
        <v>566</v>
      </c>
      <c r="K50" s="39">
        <f t="shared" si="0"/>
        <v>1</v>
      </c>
    </row>
    <row r="51" spans="1:11" ht="32" customHeight="1">
      <c r="A51" s="37">
        <v>43</v>
      </c>
      <c r="B51" s="38" t="s">
        <v>133</v>
      </c>
      <c r="C51" s="38" t="s">
        <v>145</v>
      </c>
      <c r="D51" s="38" t="s">
        <v>1161</v>
      </c>
      <c r="E51" s="37" t="s">
        <v>105</v>
      </c>
      <c r="F51" s="37" t="s">
        <v>105</v>
      </c>
      <c r="G51" s="37" t="s">
        <v>564</v>
      </c>
      <c r="H51" s="37" t="s">
        <v>196</v>
      </c>
      <c r="I51" s="38" t="s">
        <v>1129</v>
      </c>
      <c r="J51" s="38" t="s">
        <v>566</v>
      </c>
      <c r="K51" s="39">
        <f t="shared" si="0"/>
        <v>1</v>
      </c>
    </row>
    <row r="52" spans="1:11" ht="32" customHeight="1">
      <c r="A52" s="37">
        <v>44</v>
      </c>
      <c r="B52" s="38" t="s">
        <v>133</v>
      </c>
      <c r="C52" s="38" t="s">
        <v>145</v>
      </c>
      <c r="D52" s="38" t="s">
        <v>1162</v>
      </c>
      <c r="E52" s="37" t="s">
        <v>105</v>
      </c>
      <c r="F52" s="37" t="s">
        <v>105</v>
      </c>
      <c r="G52" s="37" t="s">
        <v>564</v>
      </c>
      <c r="H52" s="37" t="s">
        <v>196</v>
      </c>
      <c r="I52" s="38" t="s">
        <v>1129</v>
      </c>
      <c r="J52" s="38" t="s">
        <v>566</v>
      </c>
      <c r="K52" s="39">
        <f t="shared" si="0"/>
        <v>1</v>
      </c>
    </row>
    <row r="53" spans="1:11" ht="32" customHeight="1">
      <c r="A53" s="37">
        <v>45</v>
      </c>
      <c r="B53" s="38" t="s">
        <v>133</v>
      </c>
      <c r="C53" s="38" t="s">
        <v>145</v>
      </c>
      <c r="D53" s="38" t="s">
        <v>1163</v>
      </c>
      <c r="E53" s="37" t="s">
        <v>105</v>
      </c>
      <c r="F53" s="37" t="s">
        <v>105</v>
      </c>
      <c r="G53" s="37" t="s">
        <v>564</v>
      </c>
      <c r="H53" s="37" t="s">
        <v>196</v>
      </c>
      <c r="I53" s="38" t="s">
        <v>1129</v>
      </c>
      <c r="J53" s="38" t="s">
        <v>566</v>
      </c>
      <c r="K53" s="39">
        <f t="shared" si="0"/>
        <v>1</v>
      </c>
    </row>
    <row r="54" spans="1:11" ht="32" customHeight="1">
      <c r="A54" s="37">
        <v>46</v>
      </c>
      <c r="B54" s="38" t="s">
        <v>133</v>
      </c>
      <c r="C54" s="38" t="s">
        <v>145</v>
      </c>
      <c r="D54" s="38" t="s">
        <v>772</v>
      </c>
      <c r="E54" s="37" t="s">
        <v>105</v>
      </c>
      <c r="F54" s="37" t="s">
        <v>105</v>
      </c>
      <c r="G54" s="37" t="s">
        <v>564</v>
      </c>
      <c r="H54" s="37" t="s">
        <v>196</v>
      </c>
      <c r="I54" s="38" t="s">
        <v>1129</v>
      </c>
      <c r="J54" s="38" t="s">
        <v>566</v>
      </c>
      <c r="K54" s="39">
        <f t="shared" si="0"/>
        <v>1</v>
      </c>
    </row>
    <row r="55" spans="1:11" ht="32" customHeight="1">
      <c r="A55" s="37">
        <v>47</v>
      </c>
      <c r="B55" s="38" t="s">
        <v>133</v>
      </c>
      <c r="C55" s="38" t="s">
        <v>145</v>
      </c>
      <c r="D55" s="38" t="s">
        <v>1164</v>
      </c>
      <c r="E55" s="37" t="s">
        <v>105</v>
      </c>
      <c r="F55" s="37" t="s">
        <v>105</v>
      </c>
      <c r="G55" s="37" t="s">
        <v>564</v>
      </c>
      <c r="H55" s="37" t="s">
        <v>196</v>
      </c>
      <c r="I55" s="38" t="s">
        <v>1129</v>
      </c>
      <c r="J55" s="38" t="s">
        <v>566</v>
      </c>
      <c r="K55" s="39">
        <f t="shared" si="0"/>
        <v>1</v>
      </c>
    </row>
    <row r="56" spans="1:11" ht="32" customHeight="1">
      <c r="A56" s="37">
        <v>48</v>
      </c>
      <c r="B56" s="38" t="s">
        <v>133</v>
      </c>
      <c r="C56" s="38" t="s">
        <v>145</v>
      </c>
      <c r="D56" s="38" t="s">
        <v>1165</v>
      </c>
      <c r="E56" s="37" t="s">
        <v>105</v>
      </c>
      <c r="F56" s="37" t="s">
        <v>105</v>
      </c>
      <c r="G56" s="37" t="s">
        <v>564</v>
      </c>
      <c r="H56" s="37" t="s">
        <v>196</v>
      </c>
      <c r="I56" s="38" t="s">
        <v>1129</v>
      </c>
      <c r="J56" s="38" t="s">
        <v>566</v>
      </c>
      <c r="K56" s="39">
        <f t="shared" si="0"/>
        <v>1</v>
      </c>
    </row>
    <row r="57" spans="1:11" ht="32" customHeight="1">
      <c r="A57" s="37">
        <v>49</v>
      </c>
      <c r="B57" s="38" t="s">
        <v>133</v>
      </c>
      <c r="C57" s="38" t="s">
        <v>145</v>
      </c>
      <c r="D57" s="38" t="s">
        <v>1166</v>
      </c>
      <c r="E57" s="37" t="s">
        <v>105</v>
      </c>
      <c r="F57" s="37" t="s">
        <v>105</v>
      </c>
      <c r="G57" s="37" t="s">
        <v>564</v>
      </c>
      <c r="H57" s="37" t="s">
        <v>196</v>
      </c>
      <c r="I57" s="38" t="s">
        <v>1129</v>
      </c>
      <c r="J57" s="38" t="s">
        <v>566</v>
      </c>
      <c r="K57" s="39">
        <f t="shared" si="0"/>
        <v>1</v>
      </c>
    </row>
    <row r="58" spans="1:11" ht="32" customHeight="1">
      <c r="A58" s="37">
        <v>50</v>
      </c>
      <c r="B58" s="38" t="s">
        <v>133</v>
      </c>
      <c r="C58" s="38" t="s">
        <v>145</v>
      </c>
      <c r="D58" s="38" t="s">
        <v>1167</v>
      </c>
      <c r="E58" s="37" t="s">
        <v>105</v>
      </c>
      <c r="F58" s="37" t="s">
        <v>105</v>
      </c>
      <c r="G58" s="37" t="s">
        <v>564</v>
      </c>
      <c r="H58" s="37" t="s">
        <v>196</v>
      </c>
      <c r="I58" s="38" t="s">
        <v>1129</v>
      </c>
      <c r="J58" s="38" t="s">
        <v>566</v>
      </c>
      <c r="K58" s="39">
        <f t="shared" si="0"/>
        <v>1</v>
      </c>
    </row>
    <row r="59" spans="1:11" ht="32" customHeight="1">
      <c r="A59" s="37">
        <v>51</v>
      </c>
      <c r="B59" s="38" t="s">
        <v>133</v>
      </c>
      <c r="C59" s="38" t="s">
        <v>147</v>
      </c>
      <c r="D59" s="38" t="s">
        <v>774</v>
      </c>
      <c r="E59" s="37" t="s">
        <v>105</v>
      </c>
      <c r="F59" s="37" t="s">
        <v>105</v>
      </c>
      <c r="G59" s="37" t="s">
        <v>564</v>
      </c>
      <c r="H59" s="37" t="s">
        <v>196</v>
      </c>
      <c r="I59" s="38" t="s">
        <v>1129</v>
      </c>
      <c r="J59" s="38" t="s">
        <v>566</v>
      </c>
      <c r="K59" s="39">
        <f t="shared" si="0"/>
        <v>1</v>
      </c>
    </row>
    <row r="60" spans="1:11" ht="32" customHeight="1">
      <c r="A60" s="37">
        <v>52</v>
      </c>
      <c r="B60" s="38" t="s">
        <v>133</v>
      </c>
      <c r="C60" s="38" t="s">
        <v>147</v>
      </c>
      <c r="D60" s="38" t="s">
        <v>775</v>
      </c>
      <c r="E60" s="37" t="s">
        <v>105</v>
      </c>
      <c r="F60" s="37" t="s">
        <v>105</v>
      </c>
      <c r="G60" s="37" t="s">
        <v>564</v>
      </c>
      <c r="H60" s="37" t="s">
        <v>196</v>
      </c>
      <c r="I60" s="38" t="s">
        <v>1129</v>
      </c>
      <c r="J60" s="38" t="s">
        <v>566</v>
      </c>
      <c r="K60" s="39">
        <f t="shared" si="0"/>
        <v>1</v>
      </c>
    </row>
    <row r="61" spans="1:11" ht="32" customHeight="1">
      <c r="A61" s="37">
        <v>53</v>
      </c>
      <c r="B61" s="38" t="s">
        <v>133</v>
      </c>
      <c r="C61" s="38" t="s">
        <v>147</v>
      </c>
      <c r="D61" s="38" t="s">
        <v>776</v>
      </c>
      <c r="E61" s="37" t="s">
        <v>105</v>
      </c>
      <c r="F61" s="37" t="s">
        <v>105</v>
      </c>
      <c r="G61" s="37" t="s">
        <v>564</v>
      </c>
      <c r="H61" s="37" t="s">
        <v>196</v>
      </c>
      <c r="I61" s="38" t="s">
        <v>1129</v>
      </c>
      <c r="J61" s="38" t="s">
        <v>566</v>
      </c>
      <c r="K61" s="39">
        <f t="shared" si="0"/>
        <v>1</v>
      </c>
    </row>
    <row r="62" spans="1:11" ht="32" customHeight="1">
      <c r="A62" s="37">
        <v>54</v>
      </c>
      <c r="B62" s="38" t="s">
        <v>133</v>
      </c>
      <c r="C62" s="38" t="s">
        <v>147</v>
      </c>
      <c r="D62" s="38" t="s">
        <v>777</v>
      </c>
      <c r="E62" s="37" t="s">
        <v>105</v>
      </c>
      <c r="F62" s="37" t="s">
        <v>105</v>
      </c>
      <c r="G62" s="37" t="s">
        <v>564</v>
      </c>
      <c r="H62" s="37" t="s">
        <v>196</v>
      </c>
      <c r="I62" s="38" t="s">
        <v>1129</v>
      </c>
      <c r="J62" s="38" t="s">
        <v>566</v>
      </c>
      <c r="K62" s="39">
        <f t="shared" si="0"/>
        <v>1</v>
      </c>
    </row>
    <row r="63" spans="1:11" ht="32" customHeight="1">
      <c r="A63" s="37">
        <v>55</v>
      </c>
      <c r="B63" s="38" t="s">
        <v>133</v>
      </c>
      <c r="C63" s="38" t="s">
        <v>147</v>
      </c>
      <c r="D63" s="38" t="s">
        <v>778</v>
      </c>
      <c r="E63" s="37" t="s">
        <v>105</v>
      </c>
      <c r="F63" s="37" t="s">
        <v>105</v>
      </c>
      <c r="G63" s="37" t="s">
        <v>564</v>
      </c>
      <c r="H63" s="37" t="s">
        <v>196</v>
      </c>
      <c r="I63" s="38" t="s">
        <v>1129</v>
      </c>
      <c r="J63" s="38" t="s">
        <v>566</v>
      </c>
      <c r="K63" s="39">
        <f t="shared" si="0"/>
        <v>1</v>
      </c>
    </row>
    <row r="64" spans="1:11" ht="32" customHeight="1">
      <c r="A64" s="37">
        <v>56</v>
      </c>
      <c r="B64" s="38" t="s">
        <v>133</v>
      </c>
      <c r="C64" s="38" t="s">
        <v>147</v>
      </c>
      <c r="D64" s="38" t="s">
        <v>779</v>
      </c>
      <c r="E64" s="37" t="s">
        <v>105</v>
      </c>
      <c r="F64" s="37" t="s">
        <v>105</v>
      </c>
      <c r="G64" s="37" t="s">
        <v>564</v>
      </c>
      <c r="H64" s="37" t="s">
        <v>196</v>
      </c>
      <c r="I64" s="38" t="s">
        <v>1129</v>
      </c>
      <c r="J64" s="38" t="s">
        <v>566</v>
      </c>
      <c r="K64" s="39">
        <f t="shared" si="0"/>
        <v>1</v>
      </c>
    </row>
    <row r="65" spans="1:11" ht="32" customHeight="1">
      <c r="A65" s="37">
        <v>57</v>
      </c>
      <c r="B65" s="38" t="s">
        <v>133</v>
      </c>
      <c r="C65" s="38" t="s">
        <v>147</v>
      </c>
      <c r="D65" s="38" t="s">
        <v>1168</v>
      </c>
      <c r="E65" s="37" t="s">
        <v>105</v>
      </c>
      <c r="F65" s="37" t="s">
        <v>105</v>
      </c>
      <c r="G65" s="37" t="s">
        <v>564</v>
      </c>
      <c r="H65" s="37" t="s">
        <v>196</v>
      </c>
      <c r="I65" s="38" t="s">
        <v>1129</v>
      </c>
      <c r="J65" s="38" t="s">
        <v>566</v>
      </c>
      <c r="K65" s="39">
        <f t="shared" si="0"/>
        <v>1</v>
      </c>
    </row>
    <row r="66" spans="1:11" ht="32" customHeight="1">
      <c r="A66" s="37">
        <v>58</v>
      </c>
      <c r="B66" s="38" t="s">
        <v>133</v>
      </c>
      <c r="C66" s="38" t="s">
        <v>147</v>
      </c>
      <c r="D66" s="38" t="s">
        <v>781</v>
      </c>
      <c r="E66" s="37" t="s">
        <v>105</v>
      </c>
      <c r="F66" s="37" t="s">
        <v>105</v>
      </c>
      <c r="G66" s="37" t="s">
        <v>564</v>
      </c>
      <c r="H66" s="37" t="s">
        <v>196</v>
      </c>
      <c r="I66" s="38" t="s">
        <v>1129</v>
      </c>
      <c r="J66" s="38" t="s">
        <v>566</v>
      </c>
      <c r="K66" s="39">
        <f t="shared" si="0"/>
        <v>1</v>
      </c>
    </row>
    <row r="67" spans="1:11" ht="32" customHeight="1">
      <c r="A67" s="37">
        <v>59</v>
      </c>
      <c r="B67" s="38" t="s">
        <v>133</v>
      </c>
      <c r="C67" s="38" t="s">
        <v>147</v>
      </c>
      <c r="D67" s="38" t="s">
        <v>782</v>
      </c>
      <c r="E67" s="37" t="s">
        <v>105</v>
      </c>
      <c r="F67" s="37" t="s">
        <v>105</v>
      </c>
      <c r="G67" s="37" t="s">
        <v>564</v>
      </c>
      <c r="H67" s="37" t="s">
        <v>196</v>
      </c>
      <c r="I67" s="38" t="s">
        <v>1129</v>
      </c>
      <c r="J67" s="38" t="s">
        <v>566</v>
      </c>
      <c r="K67" s="39">
        <f t="shared" si="0"/>
        <v>1</v>
      </c>
    </row>
    <row r="68" spans="1:11" ht="32" customHeight="1">
      <c r="A68" s="37">
        <v>60</v>
      </c>
      <c r="B68" s="38" t="s">
        <v>133</v>
      </c>
      <c r="C68" s="38" t="s">
        <v>147</v>
      </c>
      <c r="D68" s="38" t="s">
        <v>783</v>
      </c>
      <c r="E68" s="37" t="s">
        <v>105</v>
      </c>
      <c r="F68" s="37" t="s">
        <v>105</v>
      </c>
      <c r="G68" s="37" t="s">
        <v>564</v>
      </c>
      <c r="H68" s="37" t="s">
        <v>196</v>
      </c>
      <c r="I68" s="38" t="s">
        <v>1129</v>
      </c>
      <c r="J68" s="38" t="s">
        <v>566</v>
      </c>
      <c r="K68" s="39">
        <f t="shared" si="0"/>
        <v>1</v>
      </c>
    </row>
    <row r="69" spans="1:11" ht="32" customHeight="1">
      <c r="A69" s="37">
        <v>61</v>
      </c>
      <c r="B69" s="38" t="s">
        <v>133</v>
      </c>
      <c r="C69" s="38" t="s">
        <v>147</v>
      </c>
      <c r="D69" s="38" t="s">
        <v>784</v>
      </c>
      <c r="E69" s="37" t="s">
        <v>105</v>
      </c>
      <c r="F69" s="37" t="s">
        <v>105</v>
      </c>
      <c r="G69" s="37" t="s">
        <v>564</v>
      </c>
      <c r="H69" s="37" t="s">
        <v>196</v>
      </c>
      <c r="I69" s="38" t="s">
        <v>1129</v>
      </c>
      <c r="J69" s="38" t="s">
        <v>566</v>
      </c>
      <c r="K69" s="39">
        <f t="shared" si="0"/>
        <v>1</v>
      </c>
    </row>
    <row r="70" spans="1:11" ht="32" customHeight="1">
      <c r="A70" s="37">
        <v>62</v>
      </c>
      <c r="B70" s="38" t="s">
        <v>133</v>
      </c>
      <c r="C70" s="38" t="s">
        <v>147</v>
      </c>
      <c r="D70" s="38" t="s">
        <v>285</v>
      </c>
      <c r="E70" s="37" t="s">
        <v>105</v>
      </c>
      <c r="F70" s="37" t="s">
        <v>105</v>
      </c>
      <c r="G70" s="37" t="s">
        <v>564</v>
      </c>
      <c r="H70" s="37" t="s">
        <v>196</v>
      </c>
      <c r="I70" s="38" t="s">
        <v>1129</v>
      </c>
      <c r="J70" s="38" t="s">
        <v>566</v>
      </c>
      <c r="K70" s="39">
        <f t="shared" si="0"/>
        <v>1</v>
      </c>
    </row>
    <row r="71" spans="1:11" ht="32" customHeight="1">
      <c r="A71" s="37">
        <v>63</v>
      </c>
      <c r="B71" s="38" t="s">
        <v>133</v>
      </c>
      <c r="C71" s="38" t="s">
        <v>147</v>
      </c>
      <c r="D71" s="38" t="s">
        <v>785</v>
      </c>
      <c r="E71" s="37" t="s">
        <v>105</v>
      </c>
      <c r="F71" s="37" t="s">
        <v>105</v>
      </c>
      <c r="G71" s="37" t="s">
        <v>564</v>
      </c>
      <c r="H71" s="37" t="s">
        <v>196</v>
      </c>
      <c r="I71" s="38" t="s">
        <v>1129</v>
      </c>
      <c r="J71" s="38" t="s">
        <v>566</v>
      </c>
      <c r="K71" s="39">
        <f t="shared" si="0"/>
        <v>1</v>
      </c>
    </row>
    <row r="72" spans="1:11" ht="32" customHeight="1">
      <c r="A72" s="37">
        <v>64</v>
      </c>
      <c r="B72" s="38" t="s">
        <v>133</v>
      </c>
      <c r="C72" s="38" t="s">
        <v>147</v>
      </c>
      <c r="D72" s="38" t="s">
        <v>786</v>
      </c>
      <c r="E72" s="37" t="s">
        <v>105</v>
      </c>
      <c r="F72" s="37" t="s">
        <v>105</v>
      </c>
      <c r="G72" s="37" t="s">
        <v>564</v>
      </c>
      <c r="H72" s="37" t="s">
        <v>196</v>
      </c>
      <c r="I72" s="38" t="s">
        <v>1129</v>
      </c>
      <c r="J72" s="38" t="s">
        <v>566</v>
      </c>
      <c r="K72" s="39">
        <f t="shared" si="0"/>
        <v>1</v>
      </c>
    </row>
    <row r="73" spans="1:11" ht="32" customHeight="1">
      <c r="A73" s="37">
        <v>65</v>
      </c>
      <c r="B73" s="38" t="s">
        <v>133</v>
      </c>
      <c r="C73" s="38" t="s">
        <v>147</v>
      </c>
      <c r="D73" s="38" t="s">
        <v>787</v>
      </c>
      <c r="E73" s="37" t="s">
        <v>105</v>
      </c>
      <c r="F73" s="37" t="s">
        <v>105</v>
      </c>
      <c r="G73" s="37" t="s">
        <v>564</v>
      </c>
      <c r="H73" s="37" t="s">
        <v>196</v>
      </c>
      <c r="I73" s="38" t="s">
        <v>1129</v>
      </c>
      <c r="J73" s="38" t="s">
        <v>566</v>
      </c>
      <c r="K73" s="39">
        <f t="shared" ref="K73:K136" si="1">IF(AND(E73="yes",F73="yes",H73="covered"),1,IF(H73="partial",0.5,0))</f>
        <v>1</v>
      </c>
    </row>
    <row r="74" spans="1:11" ht="32" customHeight="1">
      <c r="A74" s="37">
        <v>66</v>
      </c>
      <c r="B74" s="38" t="s">
        <v>133</v>
      </c>
      <c r="C74" s="38" t="s">
        <v>147</v>
      </c>
      <c r="D74" s="38" t="s">
        <v>788</v>
      </c>
      <c r="E74" s="37" t="s">
        <v>105</v>
      </c>
      <c r="F74" s="37" t="s">
        <v>105</v>
      </c>
      <c r="G74" s="37" t="s">
        <v>564</v>
      </c>
      <c r="H74" s="37" t="s">
        <v>196</v>
      </c>
      <c r="I74" s="38" t="s">
        <v>1129</v>
      </c>
      <c r="J74" s="38" t="s">
        <v>566</v>
      </c>
      <c r="K74" s="39">
        <f t="shared" si="1"/>
        <v>1</v>
      </c>
    </row>
    <row r="75" spans="1:11" ht="32" customHeight="1">
      <c r="A75" s="37">
        <v>67</v>
      </c>
      <c r="B75" s="38" t="s">
        <v>133</v>
      </c>
      <c r="C75" s="38" t="s">
        <v>147</v>
      </c>
      <c r="D75" s="38" t="s">
        <v>769</v>
      </c>
      <c r="E75" s="37" t="s">
        <v>105</v>
      </c>
      <c r="F75" s="37" t="s">
        <v>105</v>
      </c>
      <c r="G75" s="37" t="s">
        <v>564</v>
      </c>
      <c r="H75" s="37" t="s">
        <v>196</v>
      </c>
      <c r="I75" s="38" t="s">
        <v>1129</v>
      </c>
      <c r="J75" s="38" t="s">
        <v>566</v>
      </c>
      <c r="K75" s="39">
        <f t="shared" si="1"/>
        <v>1</v>
      </c>
    </row>
    <row r="76" spans="1:11" ht="32" customHeight="1">
      <c r="A76" s="37">
        <v>68</v>
      </c>
      <c r="B76" s="38" t="s">
        <v>133</v>
      </c>
      <c r="C76" s="38" t="s">
        <v>147</v>
      </c>
      <c r="D76" s="38" t="s">
        <v>789</v>
      </c>
      <c r="E76" s="37" t="s">
        <v>105</v>
      </c>
      <c r="F76" s="37" t="s">
        <v>105</v>
      </c>
      <c r="G76" s="37" t="s">
        <v>564</v>
      </c>
      <c r="H76" s="37" t="s">
        <v>196</v>
      </c>
      <c r="I76" s="38" t="s">
        <v>1129</v>
      </c>
      <c r="J76" s="38" t="s">
        <v>566</v>
      </c>
      <c r="K76" s="39">
        <f t="shared" si="1"/>
        <v>1</v>
      </c>
    </row>
    <row r="77" spans="1:11" ht="32" customHeight="1">
      <c r="A77" s="37">
        <v>69</v>
      </c>
      <c r="B77" s="38" t="s">
        <v>133</v>
      </c>
      <c r="C77" s="38" t="s">
        <v>150</v>
      </c>
      <c r="D77" s="38" t="s">
        <v>790</v>
      </c>
      <c r="E77" s="37" t="s">
        <v>105</v>
      </c>
      <c r="F77" s="37" t="s">
        <v>105</v>
      </c>
      <c r="G77" s="37" t="s">
        <v>564</v>
      </c>
      <c r="H77" s="37" t="s">
        <v>196</v>
      </c>
      <c r="I77" s="38" t="s">
        <v>1129</v>
      </c>
      <c r="J77" s="38" t="s">
        <v>566</v>
      </c>
      <c r="K77" s="39">
        <f t="shared" si="1"/>
        <v>1</v>
      </c>
    </row>
    <row r="78" spans="1:11" ht="32" customHeight="1">
      <c r="A78" s="37">
        <v>70</v>
      </c>
      <c r="B78" s="38" t="s">
        <v>133</v>
      </c>
      <c r="C78" s="38" t="s">
        <v>150</v>
      </c>
      <c r="D78" s="38" t="s">
        <v>791</v>
      </c>
      <c r="E78" s="37" t="s">
        <v>105</v>
      </c>
      <c r="F78" s="37" t="s">
        <v>105</v>
      </c>
      <c r="G78" s="37" t="s">
        <v>564</v>
      </c>
      <c r="H78" s="37" t="s">
        <v>196</v>
      </c>
      <c r="I78" s="38" t="s">
        <v>1129</v>
      </c>
      <c r="J78" s="38" t="s">
        <v>566</v>
      </c>
      <c r="K78" s="39">
        <f t="shared" si="1"/>
        <v>1</v>
      </c>
    </row>
    <row r="79" spans="1:11" ht="32" customHeight="1">
      <c r="A79" s="37">
        <v>71</v>
      </c>
      <c r="B79" s="38" t="s">
        <v>133</v>
      </c>
      <c r="C79" s="38" t="s">
        <v>150</v>
      </c>
      <c r="D79" s="38" t="s">
        <v>838</v>
      </c>
      <c r="E79" s="37" t="s">
        <v>105</v>
      </c>
      <c r="F79" s="37" t="s">
        <v>105</v>
      </c>
      <c r="G79" s="37" t="s">
        <v>564</v>
      </c>
      <c r="H79" s="37" t="s">
        <v>196</v>
      </c>
      <c r="I79" s="38" t="s">
        <v>1129</v>
      </c>
      <c r="J79" s="38" t="s">
        <v>566</v>
      </c>
      <c r="K79" s="39">
        <f t="shared" si="1"/>
        <v>1</v>
      </c>
    </row>
    <row r="80" spans="1:11" ht="32" customHeight="1">
      <c r="A80" s="37">
        <v>72</v>
      </c>
      <c r="B80" s="38" t="s">
        <v>133</v>
      </c>
      <c r="C80" s="38" t="s">
        <v>150</v>
      </c>
      <c r="D80" s="38" t="s">
        <v>793</v>
      </c>
      <c r="E80" s="37" t="s">
        <v>105</v>
      </c>
      <c r="F80" s="37" t="s">
        <v>105</v>
      </c>
      <c r="G80" s="37" t="s">
        <v>564</v>
      </c>
      <c r="H80" s="37" t="s">
        <v>196</v>
      </c>
      <c r="I80" s="38" t="s">
        <v>1129</v>
      </c>
      <c r="J80" s="38" t="s">
        <v>566</v>
      </c>
      <c r="K80" s="39">
        <f t="shared" si="1"/>
        <v>1</v>
      </c>
    </row>
    <row r="81" spans="1:11" ht="32" customHeight="1">
      <c r="A81" s="37">
        <v>73</v>
      </c>
      <c r="B81" s="38" t="s">
        <v>133</v>
      </c>
      <c r="C81" s="38" t="s">
        <v>150</v>
      </c>
      <c r="D81" s="38" t="s">
        <v>1169</v>
      </c>
      <c r="E81" s="37" t="s">
        <v>105</v>
      </c>
      <c r="F81" s="37" t="s">
        <v>105</v>
      </c>
      <c r="G81" s="37" t="s">
        <v>564</v>
      </c>
      <c r="H81" s="37" t="s">
        <v>196</v>
      </c>
      <c r="I81" s="38" t="s">
        <v>1129</v>
      </c>
      <c r="J81" s="38" t="s">
        <v>566</v>
      </c>
      <c r="K81" s="39">
        <f t="shared" si="1"/>
        <v>1</v>
      </c>
    </row>
    <row r="82" spans="1:11" ht="32" customHeight="1">
      <c r="A82" s="37">
        <v>74</v>
      </c>
      <c r="B82" s="38" t="s">
        <v>133</v>
      </c>
      <c r="C82" s="38" t="s">
        <v>150</v>
      </c>
      <c r="D82" s="38" t="s">
        <v>1170</v>
      </c>
      <c r="E82" s="37" t="s">
        <v>105</v>
      </c>
      <c r="F82" s="37" t="s">
        <v>105</v>
      </c>
      <c r="G82" s="37" t="s">
        <v>564</v>
      </c>
      <c r="H82" s="37" t="s">
        <v>196</v>
      </c>
      <c r="I82" s="38" t="s">
        <v>1129</v>
      </c>
      <c r="J82" s="38" t="s">
        <v>566</v>
      </c>
      <c r="K82" s="39">
        <f t="shared" si="1"/>
        <v>1</v>
      </c>
    </row>
    <row r="83" spans="1:11" ht="32" customHeight="1">
      <c r="A83" s="37">
        <v>75</v>
      </c>
      <c r="B83" s="38" t="s">
        <v>133</v>
      </c>
      <c r="C83" s="38" t="s">
        <v>150</v>
      </c>
      <c r="D83" s="38" t="s">
        <v>1171</v>
      </c>
      <c r="E83" s="37" t="s">
        <v>105</v>
      </c>
      <c r="F83" s="37" t="s">
        <v>105</v>
      </c>
      <c r="G83" s="37" t="s">
        <v>564</v>
      </c>
      <c r="H83" s="37" t="s">
        <v>196</v>
      </c>
      <c r="I83" s="38" t="s">
        <v>1129</v>
      </c>
      <c r="J83" s="38" t="s">
        <v>566</v>
      </c>
      <c r="K83" s="39">
        <f t="shared" si="1"/>
        <v>1</v>
      </c>
    </row>
    <row r="84" spans="1:11" ht="32" customHeight="1">
      <c r="A84" s="37">
        <v>76</v>
      </c>
      <c r="B84" s="38" t="s">
        <v>133</v>
      </c>
      <c r="C84" s="38" t="s">
        <v>150</v>
      </c>
      <c r="D84" s="38" t="s">
        <v>1172</v>
      </c>
      <c r="E84" s="37" t="s">
        <v>105</v>
      </c>
      <c r="F84" s="37" t="s">
        <v>105</v>
      </c>
      <c r="G84" s="37" t="s">
        <v>564</v>
      </c>
      <c r="H84" s="37" t="s">
        <v>196</v>
      </c>
      <c r="I84" s="38" t="s">
        <v>1129</v>
      </c>
      <c r="J84" s="38" t="s">
        <v>566</v>
      </c>
      <c r="K84" s="39">
        <f t="shared" si="1"/>
        <v>1</v>
      </c>
    </row>
    <row r="85" spans="1:11" ht="32" customHeight="1">
      <c r="A85" s="37">
        <v>77</v>
      </c>
      <c r="B85" s="38" t="s">
        <v>133</v>
      </c>
      <c r="C85" s="38" t="s">
        <v>150</v>
      </c>
      <c r="D85" s="38" t="s">
        <v>1173</v>
      </c>
      <c r="E85" s="37" t="s">
        <v>105</v>
      </c>
      <c r="F85" s="37" t="s">
        <v>105</v>
      </c>
      <c r="G85" s="37" t="s">
        <v>564</v>
      </c>
      <c r="H85" s="37" t="s">
        <v>196</v>
      </c>
      <c r="I85" s="38" t="s">
        <v>1129</v>
      </c>
      <c r="J85" s="38" t="s">
        <v>566</v>
      </c>
      <c r="K85" s="39">
        <f t="shared" si="1"/>
        <v>1</v>
      </c>
    </row>
    <row r="86" spans="1:11" ht="32" customHeight="1">
      <c r="A86" s="37">
        <v>78</v>
      </c>
      <c r="B86" s="38" t="s">
        <v>133</v>
      </c>
      <c r="C86" s="38" t="s">
        <v>150</v>
      </c>
      <c r="D86" s="38" t="s">
        <v>1174</v>
      </c>
      <c r="E86" s="37" t="s">
        <v>105</v>
      </c>
      <c r="F86" s="37" t="s">
        <v>105</v>
      </c>
      <c r="G86" s="37" t="s">
        <v>564</v>
      </c>
      <c r="H86" s="37" t="s">
        <v>196</v>
      </c>
      <c r="I86" s="38" t="s">
        <v>1129</v>
      </c>
      <c r="J86" s="38" t="s">
        <v>566</v>
      </c>
      <c r="K86" s="39">
        <f t="shared" si="1"/>
        <v>1</v>
      </c>
    </row>
    <row r="87" spans="1:11" ht="32" customHeight="1">
      <c r="A87" s="37">
        <v>79</v>
      </c>
      <c r="B87" s="38" t="s">
        <v>133</v>
      </c>
      <c r="C87" s="38" t="s">
        <v>150</v>
      </c>
      <c r="D87" s="38" t="s">
        <v>1175</v>
      </c>
      <c r="E87" s="37" t="s">
        <v>105</v>
      </c>
      <c r="F87" s="37" t="s">
        <v>105</v>
      </c>
      <c r="G87" s="37" t="s">
        <v>564</v>
      </c>
      <c r="H87" s="37" t="s">
        <v>196</v>
      </c>
      <c r="I87" s="38" t="s">
        <v>1129</v>
      </c>
      <c r="J87" s="38" t="s">
        <v>566</v>
      </c>
      <c r="K87" s="39">
        <f t="shared" si="1"/>
        <v>1</v>
      </c>
    </row>
    <row r="88" spans="1:11" ht="32" customHeight="1">
      <c r="A88" s="37">
        <v>80</v>
      </c>
      <c r="B88" s="38" t="s">
        <v>133</v>
      </c>
      <c r="C88" s="38" t="s">
        <v>150</v>
      </c>
      <c r="D88" s="38" t="s">
        <v>1176</v>
      </c>
      <c r="E88" s="37" t="s">
        <v>105</v>
      </c>
      <c r="F88" s="37" t="s">
        <v>105</v>
      </c>
      <c r="G88" s="37" t="s">
        <v>564</v>
      </c>
      <c r="H88" s="37" t="s">
        <v>196</v>
      </c>
      <c r="I88" s="38" t="s">
        <v>1129</v>
      </c>
      <c r="J88" s="38" t="s">
        <v>566</v>
      </c>
      <c r="K88" s="39">
        <f t="shared" si="1"/>
        <v>1</v>
      </c>
    </row>
    <row r="89" spans="1:11" ht="32" customHeight="1">
      <c r="A89" s="37">
        <v>81</v>
      </c>
      <c r="B89" s="38" t="s">
        <v>133</v>
      </c>
      <c r="C89" s="38" t="s">
        <v>150</v>
      </c>
      <c r="D89" s="38" t="s">
        <v>799</v>
      </c>
      <c r="E89" s="37" t="s">
        <v>105</v>
      </c>
      <c r="F89" s="37" t="s">
        <v>105</v>
      </c>
      <c r="G89" s="37" t="s">
        <v>564</v>
      </c>
      <c r="H89" s="37" t="s">
        <v>196</v>
      </c>
      <c r="I89" s="38" t="s">
        <v>1129</v>
      </c>
      <c r="J89" s="38" t="s">
        <v>566</v>
      </c>
      <c r="K89" s="39">
        <f t="shared" si="1"/>
        <v>1</v>
      </c>
    </row>
    <row r="90" spans="1:11" ht="32" customHeight="1">
      <c r="A90" s="37">
        <v>82</v>
      </c>
      <c r="B90" s="38" t="s">
        <v>133</v>
      </c>
      <c r="C90" s="38" t="s">
        <v>150</v>
      </c>
      <c r="D90" s="38" t="s">
        <v>769</v>
      </c>
      <c r="E90" s="37" t="s">
        <v>105</v>
      </c>
      <c r="F90" s="37" t="s">
        <v>105</v>
      </c>
      <c r="G90" s="37" t="s">
        <v>564</v>
      </c>
      <c r="H90" s="37" t="s">
        <v>196</v>
      </c>
      <c r="I90" s="38" t="s">
        <v>1129</v>
      </c>
      <c r="J90" s="38" t="s">
        <v>566</v>
      </c>
      <c r="K90" s="39">
        <f t="shared" si="1"/>
        <v>1</v>
      </c>
    </row>
    <row r="91" spans="1:11" ht="32" customHeight="1">
      <c r="A91" s="37">
        <v>83</v>
      </c>
      <c r="B91" s="38" t="s">
        <v>133</v>
      </c>
      <c r="C91" s="38" t="s">
        <v>800</v>
      </c>
      <c r="D91" s="38" t="s">
        <v>801</v>
      </c>
      <c r="E91" s="37" t="s">
        <v>105</v>
      </c>
      <c r="F91" s="37" t="s">
        <v>105</v>
      </c>
      <c r="G91" s="37" t="s">
        <v>564</v>
      </c>
      <c r="H91" s="37" t="s">
        <v>196</v>
      </c>
      <c r="I91" s="38" t="s">
        <v>1129</v>
      </c>
      <c r="J91" s="38" t="s">
        <v>566</v>
      </c>
      <c r="K91" s="39">
        <f t="shared" si="1"/>
        <v>1</v>
      </c>
    </row>
    <row r="92" spans="1:11" ht="32" customHeight="1">
      <c r="A92" s="37">
        <v>84</v>
      </c>
      <c r="B92" s="38" t="s">
        <v>133</v>
      </c>
      <c r="C92" s="38" t="s">
        <v>800</v>
      </c>
      <c r="D92" s="38" t="s">
        <v>1177</v>
      </c>
      <c r="E92" s="37" t="s">
        <v>105</v>
      </c>
      <c r="F92" s="37" t="s">
        <v>105</v>
      </c>
      <c r="G92" s="37" t="s">
        <v>564</v>
      </c>
      <c r="H92" s="37" t="s">
        <v>196</v>
      </c>
      <c r="I92" s="38" t="s">
        <v>1129</v>
      </c>
      <c r="J92" s="38" t="s">
        <v>566</v>
      </c>
      <c r="K92" s="39">
        <f t="shared" si="1"/>
        <v>1</v>
      </c>
    </row>
    <row r="93" spans="1:11" ht="32" customHeight="1">
      <c r="A93" s="37">
        <v>85</v>
      </c>
      <c r="B93" s="38" t="s">
        <v>133</v>
      </c>
      <c r="C93" s="38" t="s">
        <v>800</v>
      </c>
      <c r="D93" s="38" t="s">
        <v>1178</v>
      </c>
      <c r="E93" s="37" t="s">
        <v>105</v>
      </c>
      <c r="F93" s="37" t="s">
        <v>105</v>
      </c>
      <c r="G93" s="37" t="s">
        <v>564</v>
      </c>
      <c r="H93" s="37" t="s">
        <v>196</v>
      </c>
      <c r="I93" s="38" t="s">
        <v>1129</v>
      </c>
      <c r="J93" s="38" t="s">
        <v>566</v>
      </c>
      <c r="K93" s="39">
        <f t="shared" si="1"/>
        <v>1</v>
      </c>
    </row>
    <row r="94" spans="1:11" ht="32" customHeight="1">
      <c r="A94" s="37">
        <v>86</v>
      </c>
      <c r="B94" s="38" t="s">
        <v>133</v>
      </c>
      <c r="C94" s="38" t="s">
        <v>800</v>
      </c>
      <c r="D94" s="38" t="s">
        <v>1179</v>
      </c>
      <c r="E94" s="37" t="s">
        <v>105</v>
      </c>
      <c r="F94" s="37" t="s">
        <v>105</v>
      </c>
      <c r="G94" s="37" t="s">
        <v>564</v>
      </c>
      <c r="H94" s="37" t="s">
        <v>196</v>
      </c>
      <c r="I94" s="38" t="s">
        <v>1129</v>
      </c>
      <c r="J94" s="38" t="s">
        <v>566</v>
      </c>
      <c r="K94" s="39">
        <f t="shared" si="1"/>
        <v>1</v>
      </c>
    </row>
    <row r="95" spans="1:11" ht="32" customHeight="1">
      <c r="A95" s="37">
        <v>87</v>
      </c>
      <c r="B95" s="38" t="s">
        <v>133</v>
      </c>
      <c r="C95" s="38" t="s">
        <v>800</v>
      </c>
      <c r="D95" s="38" t="s">
        <v>1180</v>
      </c>
      <c r="E95" s="37" t="s">
        <v>105</v>
      </c>
      <c r="F95" s="37" t="s">
        <v>105</v>
      </c>
      <c r="G95" s="37" t="s">
        <v>564</v>
      </c>
      <c r="H95" s="37" t="s">
        <v>196</v>
      </c>
      <c r="I95" s="38" t="s">
        <v>1129</v>
      </c>
      <c r="J95" s="38" t="s">
        <v>566</v>
      </c>
      <c r="K95" s="39">
        <f t="shared" si="1"/>
        <v>1</v>
      </c>
    </row>
    <row r="96" spans="1:11" ht="32" customHeight="1">
      <c r="A96" s="37">
        <v>88</v>
      </c>
      <c r="B96" s="38" t="s">
        <v>133</v>
      </c>
      <c r="C96" s="38" t="s">
        <v>800</v>
      </c>
      <c r="D96" s="38" t="s">
        <v>1181</v>
      </c>
      <c r="E96" s="37" t="s">
        <v>105</v>
      </c>
      <c r="F96" s="37" t="s">
        <v>105</v>
      </c>
      <c r="G96" s="37" t="s">
        <v>564</v>
      </c>
      <c r="H96" s="37" t="s">
        <v>196</v>
      </c>
      <c r="I96" s="38" t="s">
        <v>1129</v>
      </c>
      <c r="J96" s="38" t="s">
        <v>566</v>
      </c>
      <c r="K96" s="39">
        <f t="shared" si="1"/>
        <v>1</v>
      </c>
    </row>
    <row r="97" spans="1:11" ht="32" customHeight="1">
      <c r="A97" s="37">
        <v>89</v>
      </c>
      <c r="B97" s="38" t="s">
        <v>133</v>
      </c>
      <c r="C97" s="38" t="s">
        <v>800</v>
      </c>
      <c r="D97" s="38" t="s">
        <v>807</v>
      </c>
      <c r="E97" s="37" t="s">
        <v>105</v>
      </c>
      <c r="F97" s="37" t="s">
        <v>105</v>
      </c>
      <c r="G97" s="37" t="s">
        <v>564</v>
      </c>
      <c r="H97" s="37" t="s">
        <v>196</v>
      </c>
      <c r="I97" s="38" t="s">
        <v>1129</v>
      </c>
      <c r="J97" s="38" t="s">
        <v>566</v>
      </c>
      <c r="K97" s="39">
        <f t="shared" si="1"/>
        <v>1</v>
      </c>
    </row>
    <row r="98" spans="1:11" ht="32" customHeight="1">
      <c r="A98" s="37">
        <v>90</v>
      </c>
      <c r="B98" s="38" t="s">
        <v>133</v>
      </c>
      <c r="C98" s="38" t="s">
        <v>800</v>
      </c>
      <c r="D98" s="38" t="s">
        <v>808</v>
      </c>
      <c r="E98" s="37" t="s">
        <v>105</v>
      </c>
      <c r="F98" s="37" t="s">
        <v>105</v>
      </c>
      <c r="G98" s="37" t="s">
        <v>564</v>
      </c>
      <c r="H98" s="37" t="s">
        <v>196</v>
      </c>
      <c r="I98" s="38" t="s">
        <v>1129</v>
      </c>
      <c r="J98" s="38" t="s">
        <v>566</v>
      </c>
      <c r="K98" s="39">
        <f t="shared" si="1"/>
        <v>1</v>
      </c>
    </row>
    <row r="99" spans="1:11" ht="32" customHeight="1">
      <c r="A99" s="37">
        <v>91</v>
      </c>
      <c r="B99" s="38" t="s">
        <v>133</v>
      </c>
      <c r="C99" s="38" t="s">
        <v>800</v>
      </c>
      <c r="D99" s="38" t="s">
        <v>838</v>
      </c>
      <c r="E99" s="37" t="s">
        <v>105</v>
      </c>
      <c r="F99" s="37" t="s">
        <v>105</v>
      </c>
      <c r="G99" s="37" t="s">
        <v>564</v>
      </c>
      <c r="H99" s="37" t="s">
        <v>196</v>
      </c>
      <c r="I99" s="38" t="s">
        <v>1129</v>
      </c>
      <c r="J99" s="38" t="s">
        <v>566</v>
      </c>
      <c r="K99" s="39">
        <f t="shared" si="1"/>
        <v>1</v>
      </c>
    </row>
    <row r="100" spans="1:11" ht="32" customHeight="1">
      <c r="A100" s="37">
        <v>92</v>
      </c>
      <c r="B100" s="38" t="s">
        <v>133</v>
      </c>
      <c r="C100" s="38" t="s">
        <v>809</v>
      </c>
      <c r="D100" s="38" t="s">
        <v>810</v>
      </c>
      <c r="E100" s="37" t="s">
        <v>105</v>
      </c>
      <c r="F100" s="37" t="s">
        <v>105</v>
      </c>
      <c r="G100" s="37" t="s">
        <v>564</v>
      </c>
      <c r="H100" s="37" t="s">
        <v>196</v>
      </c>
      <c r="I100" s="38" t="s">
        <v>1129</v>
      </c>
      <c r="J100" s="38" t="s">
        <v>566</v>
      </c>
      <c r="K100" s="39">
        <f t="shared" si="1"/>
        <v>1</v>
      </c>
    </row>
    <row r="101" spans="1:11" ht="32" customHeight="1">
      <c r="A101" s="37">
        <v>93</v>
      </c>
      <c r="B101" s="38" t="s">
        <v>133</v>
      </c>
      <c r="C101" s="38" t="s">
        <v>809</v>
      </c>
      <c r="D101" s="38" t="s">
        <v>811</v>
      </c>
      <c r="E101" s="37" t="s">
        <v>105</v>
      </c>
      <c r="F101" s="37" t="s">
        <v>105</v>
      </c>
      <c r="G101" s="37" t="s">
        <v>564</v>
      </c>
      <c r="H101" s="37" t="s">
        <v>196</v>
      </c>
      <c r="I101" s="38" t="s">
        <v>1129</v>
      </c>
      <c r="J101" s="38" t="s">
        <v>566</v>
      </c>
      <c r="K101" s="39">
        <f t="shared" si="1"/>
        <v>1</v>
      </c>
    </row>
    <row r="102" spans="1:11" ht="32" customHeight="1">
      <c r="A102" s="37">
        <v>94</v>
      </c>
      <c r="B102" s="38" t="s">
        <v>133</v>
      </c>
      <c r="C102" s="38" t="s">
        <v>809</v>
      </c>
      <c r="D102" s="38" t="s">
        <v>1182</v>
      </c>
      <c r="E102" s="37" t="s">
        <v>105</v>
      </c>
      <c r="F102" s="37" t="s">
        <v>105</v>
      </c>
      <c r="G102" s="37" t="s">
        <v>564</v>
      </c>
      <c r="H102" s="37" t="s">
        <v>196</v>
      </c>
      <c r="I102" s="38" t="s">
        <v>1129</v>
      </c>
      <c r="J102" s="38" t="s">
        <v>566</v>
      </c>
      <c r="K102" s="39">
        <f t="shared" si="1"/>
        <v>1</v>
      </c>
    </row>
    <row r="103" spans="1:11" ht="32" customHeight="1">
      <c r="A103" s="37">
        <v>95</v>
      </c>
      <c r="B103" s="38" t="s">
        <v>133</v>
      </c>
      <c r="C103" s="38" t="s">
        <v>809</v>
      </c>
      <c r="D103" s="38" t="s">
        <v>1183</v>
      </c>
      <c r="E103" s="37" t="s">
        <v>105</v>
      </c>
      <c r="F103" s="37" t="s">
        <v>105</v>
      </c>
      <c r="G103" s="37" t="s">
        <v>564</v>
      </c>
      <c r="H103" s="37" t="s">
        <v>196</v>
      </c>
      <c r="I103" s="38" t="s">
        <v>1129</v>
      </c>
      <c r="J103" s="38" t="s">
        <v>566</v>
      </c>
      <c r="K103" s="39">
        <f t="shared" si="1"/>
        <v>1</v>
      </c>
    </row>
    <row r="104" spans="1:11" ht="32" customHeight="1">
      <c r="A104" s="37">
        <v>96</v>
      </c>
      <c r="B104" s="38" t="s">
        <v>133</v>
      </c>
      <c r="C104" s="38" t="s">
        <v>809</v>
      </c>
      <c r="D104" s="38" t="s">
        <v>1184</v>
      </c>
      <c r="E104" s="37" t="s">
        <v>105</v>
      </c>
      <c r="F104" s="37" t="s">
        <v>105</v>
      </c>
      <c r="G104" s="37" t="s">
        <v>564</v>
      </c>
      <c r="H104" s="37" t="s">
        <v>196</v>
      </c>
      <c r="I104" s="38" t="s">
        <v>1129</v>
      </c>
      <c r="J104" s="38" t="s">
        <v>566</v>
      </c>
      <c r="K104" s="39">
        <f t="shared" si="1"/>
        <v>1</v>
      </c>
    </row>
    <row r="105" spans="1:11" ht="32" customHeight="1">
      <c r="A105" s="37">
        <v>97</v>
      </c>
      <c r="B105" s="38" t="s">
        <v>133</v>
      </c>
      <c r="C105" s="38" t="s">
        <v>809</v>
      </c>
      <c r="D105" s="38" t="s">
        <v>769</v>
      </c>
      <c r="E105" s="37" t="s">
        <v>105</v>
      </c>
      <c r="F105" s="37" t="s">
        <v>105</v>
      </c>
      <c r="G105" s="37" t="s">
        <v>564</v>
      </c>
      <c r="H105" s="37" t="s">
        <v>196</v>
      </c>
      <c r="I105" s="38" t="s">
        <v>1129</v>
      </c>
      <c r="J105" s="38" t="s">
        <v>566</v>
      </c>
      <c r="K105" s="39">
        <f t="shared" si="1"/>
        <v>1</v>
      </c>
    </row>
    <row r="106" spans="1:11" ht="32" customHeight="1">
      <c r="A106" s="37">
        <v>98</v>
      </c>
      <c r="B106" s="38" t="s">
        <v>133</v>
      </c>
      <c r="C106" s="38" t="s">
        <v>814</v>
      </c>
      <c r="D106" s="38" t="s">
        <v>815</v>
      </c>
      <c r="E106" s="37" t="s">
        <v>105</v>
      </c>
      <c r="F106" s="37" t="s">
        <v>105</v>
      </c>
      <c r="G106" s="37" t="s">
        <v>564</v>
      </c>
      <c r="H106" s="37" t="s">
        <v>196</v>
      </c>
      <c r="I106" s="38" t="s">
        <v>1129</v>
      </c>
      <c r="J106" s="38" t="s">
        <v>566</v>
      </c>
      <c r="K106" s="39">
        <f t="shared" si="1"/>
        <v>1</v>
      </c>
    </row>
    <row r="107" spans="1:11" ht="32" customHeight="1">
      <c r="A107" s="37">
        <v>99</v>
      </c>
      <c r="B107" s="38" t="s">
        <v>133</v>
      </c>
      <c r="C107" s="38" t="s">
        <v>814</v>
      </c>
      <c r="D107" s="38" t="s">
        <v>1185</v>
      </c>
      <c r="E107" s="37" t="s">
        <v>105</v>
      </c>
      <c r="F107" s="37" t="s">
        <v>105</v>
      </c>
      <c r="G107" s="37" t="s">
        <v>564</v>
      </c>
      <c r="H107" s="37" t="s">
        <v>196</v>
      </c>
      <c r="I107" s="38" t="s">
        <v>1129</v>
      </c>
      <c r="J107" s="38" t="s">
        <v>566</v>
      </c>
      <c r="K107" s="39">
        <f t="shared" si="1"/>
        <v>1</v>
      </c>
    </row>
    <row r="108" spans="1:11" ht="32" customHeight="1">
      <c r="A108" s="37">
        <v>100</v>
      </c>
      <c r="B108" s="38" t="s">
        <v>133</v>
      </c>
      <c r="C108" s="38" t="s">
        <v>814</v>
      </c>
      <c r="D108" s="38" t="s">
        <v>1186</v>
      </c>
      <c r="E108" s="37" t="s">
        <v>105</v>
      </c>
      <c r="F108" s="37" t="s">
        <v>105</v>
      </c>
      <c r="G108" s="37" t="s">
        <v>564</v>
      </c>
      <c r="H108" s="37" t="s">
        <v>196</v>
      </c>
      <c r="I108" s="38" t="s">
        <v>1129</v>
      </c>
      <c r="J108" s="38" t="s">
        <v>566</v>
      </c>
      <c r="K108" s="39">
        <f t="shared" si="1"/>
        <v>1</v>
      </c>
    </row>
    <row r="109" spans="1:11" ht="32" customHeight="1">
      <c r="A109" s="37">
        <v>101</v>
      </c>
      <c r="B109" s="38" t="s">
        <v>133</v>
      </c>
      <c r="C109" s="38" t="s">
        <v>814</v>
      </c>
      <c r="D109" s="38" t="s">
        <v>1187</v>
      </c>
      <c r="E109" s="37" t="s">
        <v>105</v>
      </c>
      <c r="F109" s="37" t="s">
        <v>105</v>
      </c>
      <c r="G109" s="37" t="s">
        <v>564</v>
      </c>
      <c r="H109" s="37" t="s">
        <v>196</v>
      </c>
      <c r="I109" s="38" t="s">
        <v>1129</v>
      </c>
      <c r="J109" s="38" t="s">
        <v>566</v>
      </c>
      <c r="K109" s="39">
        <f t="shared" si="1"/>
        <v>1</v>
      </c>
    </row>
    <row r="110" spans="1:11" ht="32" customHeight="1">
      <c r="A110" s="37">
        <v>102</v>
      </c>
      <c r="B110" s="38" t="s">
        <v>133</v>
      </c>
      <c r="C110" s="38" t="s">
        <v>814</v>
      </c>
      <c r="D110" s="38" t="s">
        <v>818</v>
      </c>
      <c r="E110" s="37" t="s">
        <v>105</v>
      </c>
      <c r="F110" s="37" t="s">
        <v>105</v>
      </c>
      <c r="G110" s="37" t="s">
        <v>564</v>
      </c>
      <c r="H110" s="37" t="s">
        <v>196</v>
      </c>
      <c r="I110" s="38" t="s">
        <v>1129</v>
      </c>
      <c r="J110" s="38" t="s">
        <v>566</v>
      </c>
      <c r="K110" s="39">
        <f t="shared" si="1"/>
        <v>1</v>
      </c>
    </row>
    <row r="111" spans="1:11" ht="32" customHeight="1">
      <c r="A111" s="37">
        <v>103</v>
      </c>
      <c r="B111" s="38" t="s">
        <v>133</v>
      </c>
      <c r="C111" s="38" t="s">
        <v>814</v>
      </c>
      <c r="D111" s="38" t="s">
        <v>819</v>
      </c>
      <c r="E111" s="37" t="s">
        <v>105</v>
      </c>
      <c r="F111" s="37" t="s">
        <v>105</v>
      </c>
      <c r="G111" s="37" t="s">
        <v>564</v>
      </c>
      <c r="H111" s="37" t="s">
        <v>196</v>
      </c>
      <c r="I111" s="38" t="s">
        <v>1129</v>
      </c>
      <c r="J111" s="38" t="s">
        <v>566</v>
      </c>
      <c r="K111" s="39">
        <f t="shared" si="1"/>
        <v>1</v>
      </c>
    </row>
    <row r="112" spans="1:11" ht="32" customHeight="1">
      <c r="A112" s="37">
        <v>104</v>
      </c>
      <c r="B112" s="38" t="s">
        <v>133</v>
      </c>
      <c r="C112" s="38" t="s">
        <v>814</v>
      </c>
      <c r="D112" s="38" t="s">
        <v>1181</v>
      </c>
      <c r="E112" s="37" t="s">
        <v>105</v>
      </c>
      <c r="F112" s="37" t="s">
        <v>105</v>
      </c>
      <c r="G112" s="37" t="s">
        <v>564</v>
      </c>
      <c r="H112" s="37" t="s">
        <v>196</v>
      </c>
      <c r="I112" s="38" t="s">
        <v>1129</v>
      </c>
      <c r="J112" s="38" t="s">
        <v>566</v>
      </c>
      <c r="K112" s="39">
        <f t="shared" si="1"/>
        <v>1</v>
      </c>
    </row>
    <row r="113" spans="1:11" ht="32" customHeight="1">
      <c r="A113" s="37">
        <v>105</v>
      </c>
      <c r="B113" s="38" t="s">
        <v>133</v>
      </c>
      <c r="C113" s="38" t="s">
        <v>814</v>
      </c>
      <c r="D113" s="38" t="s">
        <v>807</v>
      </c>
      <c r="E113" s="37" t="s">
        <v>105</v>
      </c>
      <c r="F113" s="37" t="s">
        <v>105</v>
      </c>
      <c r="G113" s="37" t="s">
        <v>564</v>
      </c>
      <c r="H113" s="37" t="s">
        <v>196</v>
      </c>
      <c r="I113" s="38" t="s">
        <v>1129</v>
      </c>
      <c r="J113" s="38" t="s">
        <v>566</v>
      </c>
      <c r="K113" s="39">
        <f t="shared" si="1"/>
        <v>1</v>
      </c>
    </row>
    <row r="114" spans="1:11" ht="32" customHeight="1">
      <c r="A114" s="37">
        <v>106</v>
      </c>
      <c r="B114" s="38" t="s">
        <v>133</v>
      </c>
      <c r="C114" s="38" t="s">
        <v>814</v>
      </c>
      <c r="D114" s="38" t="s">
        <v>838</v>
      </c>
      <c r="E114" s="37" t="s">
        <v>105</v>
      </c>
      <c r="F114" s="37" t="s">
        <v>105</v>
      </c>
      <c r="G114" s="37" t="s">
        <v>564</v>
      </c>
      <c r="H114" s="37" t="s">
        <v>196</v>
      </c>
      <c r="I114" s="38" t="s">
        <v>1129</v>
      </c>
      <c r="J114" s="38" t="s">
        <v>566</v>
      </c>
      <c r="K114" s="39">
        <f t="shared" si="1"/>
        <v>1</v>
      </c>
    </row>
    <row r="115" spans="1:11" ht="32" customHeight="1">
      <c r="A115" s="37">
        <v>107</v>
      </c>
      <c r="B115" s="38" t="s">
        <v>133</v>
      </c>
      <c r="C115" s="38" t="s">
        <v>482</v>
      </c>
      <c r="D115" s="38" t="s">
        <v>810</v>
      </c>
      <c r="E115" s="37" t="s">
        <v>105</v>
      </c>
      <c r="F115" s="37" t="s">
        <v>105</v>
      </c>
      <c r="G115" s="37" t="s">
        <v>564</v>
      </c>
      <c r="H115" s="37" t="s">
        <v>196</v>
      </c>
      <c r="I115" s="38" t="s">
        <v>1129</v>
      </c>
      <c r="J115" s="38" t="s">
        <v>566</v>
      </c>
      <c r="K115" s="39">
        <f t="shared" si="1"/>
        <v>1</v>
      </c>
    </row>
    <row r="116" spans="1:11" ht="32" customHeight="1">
      <c r="A116" s="37">
        <v>108</v>
      </c>
      <c r="B116" s="38" t="s">
        <v>133</v>
      </c>
      <c r="C116" s="38" t="s">
        <v>482</v>
      </c>
      <c r="D116" s="38" t="s">
        <v>820</v>
      </c>
      <c r="E116" s="37" t="s">
        <v>105</v>
      </c>
      <c r="F116" s="37" t="s">
        <v>105</v>
      </c>
      <c r="G116" s="37" t="s">
        <v>564</v>
      </c>
      <c r="H116" s="37" t="s">
        <v>196</v>
      </c>
      <c r="I116" s="38" t="s">
        <v>1129</v>
      </c>
      <c r="J116" s="38" t="s">
        <v>566</v>
      </c>
      <c r="K116" s="39">
        <f t="shared" si="1"/>
        <v>1</v>
      </c>
    </row>
    <row r="117" spans="1:11" ht="32" customHeight="1">
      <c r="A117" s="37">
        <v>109</v>
      </c>
      <c r="B117" s="38" t="s">
        <v>133</v>
      </c>
      <c r="C117" s="38" t="s">
        <v>482</v>
      </c>
      <c r="D117" s="38" t="s">
        <v>769</v>
      </c>
      <c r="E117" s="37" t="s">
        <v>105</v>
      </c>
      <c r="F117" s="37" t="s">
        <v>105</v>
      </c>
      <c r="G117" s="37" t="s">
        <v>564</v>
      </c>
      <c r="H117" s="37" t="s">
        <v>196</v>
      </c>
      <c r="I117" s="38" t="s">
        <v>1129</v>
      </c>
      <c r="J117" s="38" t="s">
        <v>566</v>
      </c>
      <c r="K117" s="39">
        <f t="shared" si="1"/>
        <v>1</v>
      </c>
    </row>
    <row r="118" spans="1:11" ht="32" customHeight="1">
      <c r="A118" s="37">
        <v>110</v>
      </c>
      <c r="B118" s="38" t="s">
        <v>133</v>
      </c>
      <c r="C118" s="38" t="s">
        <v>561</v>
      </c>
      <c r="D118" s="38" t="s">
        <v>821</v>
      </c>
      <c r="E118" s="37" t="s">
        <v>105</v>
      </c>
      <c r="F118" s="37" t="s">
        <v>105</v>
      </c>
      <c r="G118" s="37" t="s">
        <v>564</v>
      </c>
      <c r="H118" s="37" t="s">
        <v>196</v>
      </c>
      <c r="I118" s="38" t="s">
        <v>1129</v>
      </c>
      <c r="J118" s="38" t="s">
        <v>566</v>
      </c>
      <c r="K118" s="39">
        <f t="shared" si="1"/>
        <v>1</v>
      </c>
    </row>
    <row r="119" spans="1:11" ht="32" customHeight="1">
      <c r="A119" s="37">
        <v>111</v>
      </c>
      <c r="B119" s="38" t="s">
        <v>133</v>
      </c>
      <c r="C119" s="38" t="s">
        <v>561</v>
      </c>
      <c r="D119" s="38" t="s">
        <v>822</v>
      </c>
      <c r="E119" s="37" t="s">
        <v>105</v>
      </c>
      <c r="F119" s="37" t="s">
        <v>105</v>
      </c>
      <c r="G119" s="37" t="s">
        <v>564</v>
      </c>
      <c r="H119" s="37" t="s">
        <v>196</v>
      </c>
      <c r="I119" s="38" t="s">
        <v>1129</v>
      </c>
      <c r="J119" s="38" t="s">
        <v>566</v>
      </c>
      <c r="K119" s="39">
        <f t="shared" si="1"/>
        <v>1</v>
      </c>
    </row>
    <row r="120" spans="1:11" ht="32" customHeight="1">
      <c r="A120" s="37">
        <v>112</v>
      </c>
      <c r="B120" s="38" t="s">
        <v>133</v>
      </c>
      <c r="C120" s="38" t="s">
        <v>561</v>
      </c>
      <c r="D120" s="38" t="s">
        <v>823</v>
      </c>
      <c r="E120" s="37" t="s">
        <v>105</v>
      </c>
      <c r="F120" s="37" t="s">
        <v>105</v>
      </c>
      <c r="G120" s="37" t="s">
        <v>564</v>
      </c>
      <c r="H120" s="37" t="s">
        <v>196</v>
      </c>
      <c r="I120" s="38" t="s">
        <v>1129</v>
      </c>
      <c r="J120" s="38" t="s">
        <v>566</v>
      </c>
      <c r="K120" s="39">
        <f t="shared" si="1"/>
        <v>1</v>
      </c>
    </row>
    <row r="121" spans="1:11" ht="32" customHeight="1">
      <c r="A121" s="37">
        <v>113</v>
      </c>
      <c r="B121" s="38" t="s">
        <v>133</v>
      </c>
      <c r="C121" s="38" t="s">
        <v>561</v>
      </c>
      <c r="D121" s="38" t="s">
        <v>1188</v>
      </c>
      <c r="E121" s="37" t="s">
        <v>105</v>
      </c>
      <c r="F121" s="37" t="s">
        <v>105</v>
      </c>
      <c r="G121" s="37" t="s">
        <v>564</v>
      </c>
      <c r="H121" s="37" t="s">
        <v>196</v>
      </c>
      <c r="I121" s="38" t="s">
        <v>1129</v>
      </c>
      <c r="J121" s="38" t="s">
        <v>566</v>
      </c>
      <c r="K121" s="39">
        <f t="shared" si="1"/>
        <v>1</v>
      </c>
    </row>
    <row r="122" spans="1:11" ht="32" customHeight="1">
      <c r="A122" s="37">
        <v>114</v>
      </c>
      <c r="B122" s="38" t="s">
        <v>133</v>
      </c>
      <c r="C122" s="38" t="s">
        <v>824</v>
      </c>
      <c r="D122" s="38" t="s">
        <v>825</v>
      </c>
      <c r="E122" s="37" t="s">
        <v>105</v>
      </c>
      <c r="F122" s="37" t="s">
        <v>105</v>
      </c>
      <c r="G122" s="37" t="s">
        <v>564</v>
      </c>
      <c r="H122" s="37" t="s">
        <v>196</v>
      </c>
      <c r="I122" s="38" t="s">
        <v>1129</v>
      </c>
      <c r="J122" s="38" t="s">
        <v>566</v>
      </c>
      <c r="K122" s="39">
        <f t="shared" si="1"/>
        <v>1</v>
      </c>
    </row>
    <row r="123" spans="1:11" ht="32" customHeight="1">
      <c r="A123" s="37">
        <v>115</v>
      </c>
      <c r="B123" s="38" t="s">
        <v>133</v>
      </c>
      <c r="C123" s="38" t="s">
        <v>824</v>
      </c>
      <c r="D123" s="38" t="s">
        <v>826</v>
      </c>
      <c r="E123" s="37" t="s">
        <v>105</v>
      </c>
      <c r="F123" s="37" t="s">
        <v>105</v>
      </c>
      <c r="G123" s="37" t="s">
        <v>564</v>
      </c>
      <c r="H123" s="37" t="s">
        <v>196</v>
      </c>
      <c r="I123" s="38" t="s">
        <v>1129</v>
      </c>
      <c r="J123" s="38" t="s">
        <v>566</v>
      </c>
      <c r="K123" s="39">
        <f t="shared" si="1"/>
        <v>1</v>
      </c>
    </row>
    <row r="124" spans="1:11" ht="32" customHeight="1">
      <c r="A124" s="37">
        <v>116</v>
      </c>
      <c r="B124" s="38" t="s">
        <v>133</v>
      </c>
      <c r="C124" s="38" t="s">
        <v>824</v>
      </c>
      <c r="D124" s="38" t="s">
        <v>827</v>
      </c>
      <c r="E124" s="37" t="s">
        <v>105</v>
      </c>
      <c r="F124" s="37" t="s">
        <v>105</v>
      </c>
      <c r="G124" s="37" t="s">
        <v>564</v>
      </c>
      <c r="H124" s="37" t="s">
        <v>196</v>
      </c>
      <c r="I124" s="38" t="s">
        <v>1129</v>
      </c>
      <c r="J124" s="38" t="s">
        <v>566</v>
      </c>
      <c r="K124" s="39">
        <f t="shared" si="1"/>
        <v>1</v>
      </c>
    </row>
    <row r="125" spans="1:11" ht="32" customHeight="1">
      <c r="A125" s="37">
        <v>117</v>
      </c>
      <c r="B125" s="38" t="s">
        <v>133</v>
      </c>
      <c r="C125" s="38" t="s">
        <v>824</v>
      </c>
      <c r="D125" s="38" t="s">
        <v>828</v>
      </c>
      <c r="E125" s="37" t="s">
        <v>105</v>
      </c>
      <c r="F125" s="37" t="s">
        <v>105</v>
      </c>
      <c r="G125" s="37" t="s">
        <v>564</v>
      </c>
      <c r="H125" s="37" t="s">
        <v>196</v>
      </c>
      <c r="I125" s="38" t="s">
        <v>1129</v>
      </c>
      <c r="J125" s="38" t="s">
        <v>566</v>
      </c>
      <c r="K125" s="39">
        <f t="shared" si="1"/>
        <v>1</v>
      </c>
    </row>
    <row r="126" spans="1:11" ht="32" customHeight="1">
      <c r="A126" s="37">
        <v>118</v>
      </c>
      <c r="B126" s="38" t="s">
        <v>133</v>
      </c>
      <c r="C126" s="38" t="s">
        <v>829</v>
      </c>
      <c r="D126" s="38" t="s">
        <v>790</v>
      </c>
      <c r="E126" s="37" t="s">
        <v>105</v>
      </c>
      <c r="F126" s="37" t="s">
        <v>105</v>
      </c>
      <c r="G126" s="37" t="s">
        <v>564</v>
      </c>
      <c r="H126" s="37" t="s">
        <v>196</v>
      </c>
      <c r="I126" s="38" t="s">
        <v>1129</v>
      </c>
      <c r="J126" s="38" t="s">
        <v>566</v>
      </c>
      <c r="K126" s="39">
        <f t="shared" si="1"/>
        <v>1</v>
      </c>
    </row>
    <row r="127" spans="1:11" ht="32" customHeight="1">
      <c r="A127" s="37">
        <v>119</v>
      </c>
      <c r="B127" s="38" t="s">
        <v>133</v>
      </c>
      <c r="C127" s="38" t="s">
        <v>829</v>
      </c>
      <c r="D127" s="38" t="s">
        <v>830</v>
      </c>
      <c r="E127" s="37" t="s">
        <v>105</v>
      </c>
      <c r="F127" s="37" t="s">
        <v>105</v>
      </c>
      <c r="G127" s="37" t="s">
        <v>564</v>
      </c>
      <c r="H127" s="37" t="s">
        <v>196</v>
      </c>
      <c r="I127" s="38" t="s">
        <v>1129</v>
      </c>
      <c r="J127" s="38" t="s">
        <v>566</v>
      </c>
      <c r="K127" s="39">
        <f t="shared" si="1"/>
        <v>1</v>
      </c>
    </row>
    <row r="128" spans="1:11" ht="32" customHeight="1">
      <c r="A128" s="37">
        <v>120</v>
      </c>
      <c r="B128" s="38" t="s">
        <v>133</v>
      </c>
      <c r="C128" s="38" t="s">
        <v>829</v>
      </c>
      <c r="D128" s="38" t="s">
        <v>831</v>
      </c>
      <c r="E128" s="37" t="s">
        <v>105</v>
      </c>
      <c r="F128" s="37" t="s">
        <v>105</v>
      </c>
      <c r="G128" s="37" t="s">
        <v>564</v>
      </c>
      <c r="H128" s="37" t="s">
        <v>196</v>
      </c>
      <c r="I128" s="38" t="s">
        <v>1129</v>
      </c>
      <c r="J128" s="38" t="s">
        <v>566</v>
      </c>
      <c r="K128" s="39">
        <f t="shared" si="1"/>
        <v>1</v>
      </c>
    </row>
    <row r="129" spans="1:11" ht="32" customHeight="1">
      <c r="A129" s="37">
        <v>121</v>
      </c>
      <c r="B129" s="38" t="s">
        <v>133</v>
      </c>
      <c r="C129" s="38" t="s">
        <v>829</v>
      </c>
      <c r="D129" s="38" t="s">
        <v>832</v>
      </c>
      <c r="E129" s="37" t="s">
        <v>105</v>
      </c>
      <c r="F129" s="37" t="s">
        <v>105</v>
      </c>
      <c r="G129" s="37" t="s">
        <v>564</v>
      </c>
      <c r="H129" s="37" t="s">
        <v>196</v>
      </c>
      <c r="I129" s="38" t="s">
        <v>1129</v>
      </c>
      <c r="J129" s="38" t="s">
        <v>566</v>
      </c>
      <c r="K129" s="39">
        <f t="shared" si="1"/>
        <v>1</v>
      </c>
    </row>
    <row r="130" spans="1:11" ht="32" customHeight="1">
      <c r="A130" s="37">
        <v>122</v>
      </c>
      <c r="B130" s="38" t="s">
        <v>133</v>
      </c>
      <c r="C130" s="38" t="s">
        <v>829</v>
      </c>
      <c r="D130" s="38" t="s">
        <v>833</v>
      </c>
      <c r="E130" s="37" t="s">
        <v>105</v>
      </c>
      <c r="F130" s="37" t="s">
        <v>105</v>
      </c>
      <c r="G130" s="37" t="s">
        <v>564</v>
      </c>
      <c r="H130" s="37" t="s">
        <v>196</v>
      </c>
      <c r="I130" s="38" t="s">
        <v>1129</v>
      </c>
      <c r="J130" s="38" t="s">
        <v>566</v>
      </c>
      <c r="K130" s="39">
        <f t="shared" si="1"/>
        <v>1</v>
      </c>
    </row>
    <row r="131" spans="1:11" ht="32" customHeight="1">
      <c r="A131" s="37">
        <v>123</v>
      </c>
      <c r="B131" s="38" t="s">
        <v>133</v>
      </c>
      <c r="C131" s="38" t="s">
        <v>829</v>
      </c>
      <c r="D131" s="38" t="s">
        <v>834</v>
      </c>
      <c r="E131" s="37" t="s">
        <v>105</v>
      </c>
      <c r="F131" s="37" t="s">
        <v>105</v>
      </c>
      <c r="G131" s="37" t="s">
        <v>564</v>
      </c>
      <c r="H131" s="37" t="s">
        <v>196</v>
      </c>
      <c r="I131" s="38" t="s">
        <v>1129</v>
      </c>
      <c r="J131" s="38" t="s">
        <v>566</v>
      </c>
      <c r="K131" s="39">
        <f t="shared" si="1"/>
        <v>1</v>
      </c>
    </row>
    <row r="132" spans="1:11" ht="32" customHeight="1">
      <c r="A132" s="37">
        <v>124</v>
      </c>
      <c r="B132" s="38" t="s">
        <v>133</v>
      </c>
      <c r="C132" s="38" t="s">
        <v>829</v>
      </c>
      <c r="D132" s="38" t="s">
        <v>835</v>
      </c>
      <c r="E132" s="37" t="s">
        <v>105</v>
      </c>
      <c r="F132" s="37" t="s">
        <v>105</v>
      </c>
      <c r="G132" s="37" t="s">
        <v>564</v>
      </c>
      <c r="H132" s="37" t="s">
        <v>196</v>
      </c>
      <c r="I132" s="38" t="s">
        <v>1129</v>
      </c>
      <c r="J132" s="38" t="s">
        <v>566</v>
      </c>
      <c r="K132" s="39">
        <f t="shared" si="1"/>
        <v>1</v>
      </c>
    </row>
    <row r="133" spans="1:11" ht="32" customHeight="1">
      <c r="A133" s="37">
        <v>125</v>
      </c>
      <c r="B133" s="38" t="s">
        <v>133</v>
      </c>
      <c r="C133" s="38" t="s">
        <v>829</v>
      </c>
      <c r="D133" s="38" t="s">
        <v>836</v>
      </c>
      <c r="E133" s="37" t="s">
        <v>105</v>
      </c>
      <c r="F133" s="37" t="s">
        <v>105</v>
      </c>
      <c r="G133" s="37" t="s">
        <v>564</v>
      </c>
      <c r="H133" s="37" t="s">
        <v>196</v>
      </c>
      <c r="I133" s="38" t="s">
        <v>1129</v>
      </c>
      <c r="J133" s="38" t="s">
        <v>566</v>
      </c>
      <c r="K133" s="39">
        <f t="shared" si="1"/>
        <v>1</v>
      </c>
    </row>
    <row r="134" spans="1:11" ht="32" customHeight="1">
      <c r="A134" s="37">
        <v>126</v>
      </c>
      <c r="B134" s="38" t="s">
        <v>133</v>
      </c>
      <c r="C134" s="38" t="s">
        <v>829</v>
      </c>
      <c r="D134" s="38" t="s">
        <v>837</v>
      </c>
      <c r="E134" s="37" t="s">
        <v>105</v>
      </c>
      <c r="F134" s="37" t="s">
        <v>105</v>
      </c>
      <c r="G134" s="37" t="s">
        <v>564</v>
      </c>
      <c r="H134" s="37" t="s">
        <v>196</v>
      </c>
      <c r="I134" s="38" t="s">
        <v>1129</v>
      </c>
      <c r="J134" s="38" t="s">
        <v>566</v>
      </c>
      <c r="K134" s="39">
        <f t="shared" si="1"/>
        <v>1</v>
      </c>
    </row>
    <row r="135" spans="1:11" ht="32" customHeight="1">
      <c r="A135" s="37">
        <v>127</v>
      </c>
      <c r="B135" s="38" t="s">
        <v>133</v>
      </c>
      <c r="C135" s="38" t="s">
        <v>829</v>
      </c>
      <c r="D135" s="38" t="s">
        <v>838</v>
      </c>
      <c r="E135" s="37" t="s">
        <v>105</v>
      </c>
      <c r="F135" s="37" t="s">
        <v>105</v>
      </c>
      <c r="G135" s="37" t="s">
        <v>564</v>
      </c>
      <c r="H135" s="37" t="s">
        <v>196</v>
      </c>
      <c r="I135" s="38" t="s">
        <v>1129</v>
      </c>
      <c r="J135" s="38" t="s">
        <v>566</v>
      </c>
      <c r="K135" s="39">
        <f t="shared" si="1"/>
        <v>1</v>
      </c>
    </row>
    <row r="136" spans="1:11" ht="32" customHeight="1">
      <c r="A136" s="37">
        <v>128</v>
      </c>
      <c r="B136" s="38" t="s">
        <v>133</v>
      </c>
      <c r="C136" s="38" t="s">
        <v>839</v>
      </c>
      <c r="D136" s="38" t="s">
        <v>840</v>
      </c>
      <c r="E136" s="37" t="s">
        <v>105</v>
      </c>
      <c r="F136" s="37" t="s">
        <v>105</v>
      </c>
      <c r="G136" s="37" t="s">
        <v>564</v>
      </c>
      <c r="H136" s="37" t="s">
        <v>196</v>
      </c>
      <c r="I136" s="38" t="s">
        <v>1129</v>
      </c>
      <c r="J136" s="38" t="s">
        <v>566</v>
      </c>
      <c r="K136" s="39">
        <f t="shared" si="1"/>
        <v>1</v>
      </c>
    </row>
    <row r="137" spans="1:11" ht="32" customHeight="1">
      <c r="A137" s="37">
        <v>129</v>
      </c>
      <c r="B137" s="38" t="s">
        <v>133</v>
      </c>
      <c r="C137" s="38" t="s">
        <v>839</v>
      </c>
      <c r="D137" s="38" t="s">
        <v>841</v>
      </c>
      <c r="E137" s="37" t="s">
        <v>105</v>
      </c>
      <c r="F137" s="37" t="s">
        <v>105</v>
      </c>
      <c r="G137" s="37" t="s">
        <v>564</v>
      </c>
      <c r="H137" s="37" t="s">
        <v>196</v>
      </c>
      <c r="I137" s="38" t="s">
        <v>1129</v>
      </c>
      <c r="J137" s="38" t="s">
        <v>566</v>
      </c>
      <c r="K137" s="39">
        <f t="shared" ref="K137:K200" si="2">IF(AND(E137="yes",F137="yes",H137="covered"),1,IF(H137="partial",0.5,0))</f>
        <v>1</v>
      </c>
    </row>
    <row r="138" spans="1:11" ht="32" customHeight="1">
      <c r="A138" s="37">
        <v>130</v>
      </c>
      <c r="B138" s="38" t="s">
        <v>133</v>
      </c>
      <c r="C138" s="38" t="s">
        <v>839</v>
      </c>
      <c r="D138" s="38" t="s">
        <v>842</v>
      </c>
      <c r="E138" s="37" t="s">
        <v>105</v>
      </c>
      <c r="F138" s="37" t="s">
        <v>105</v>
      </c>
      <c r="G138" s="37" t="s">
        <v>564</v>
      </c>
      <c r="H138" s="37" t="s">
        <v>196</v>
      </c>
      <c r="I138" s="38" t="s">
        <v>1129</v>
      </c>
      <c r="J138" s="38" t="s">
        <v>566</v>
      </c>
      <c r="K138" s="39">
        <f t="shared" si="2"/>
        <v>1</v>
      </c>
    </row>
    <row r="139" spans="1:11" ht="32" customHeight="1">
      <c r="A139" s="37">
        <v>131</v>
      </c>
      <c r="B139" s="38" t="s">
        <v>133</v>
      </c>
      <c r="C139" s="38" t="s">
        <v>839</v>
      </c>
      <c r="D139" s="38" t="s">
        <v>843</v>
      </c>
      <c r="E139" s="37" t="s">
        <v>105</v>
      </c>
      <c r="F139" s="37" t="s">
        <v>105</v>
      </c>
      <c r="G139" s="37" t="s">
        <v>564</v>
      </c>
      <c r="H139" s="37" t="s">
        <v>196</v>
      </c>
      <c r="I139" s="38" t="s">
        <v>1129</v>
      </c>
      <c r="J139" s="38" t="s">
        <v>566</v>
      </c>
      <c r="K139" s="39">
        <f t="shared" si="2"/>
        <v>1</v>
      </c>
    </row>
    <row r="140" spans="1:11" ht="32" customHeight="1">
      <c r="A140" s="37">
        <v>132</v>
      </c>
      <c r="B140" s="38" t="s">
        <v>133</v>
      </c>
      <c r="C140" s="38" t="s">
        <v>839</v>
      </c>
      <c r="D140" s="38" t="s">
        <v>782</v>
      </c>
      <c r="E140" s="37" t="s">
        <v>105</v>
      </c>
      <c r="F140" s="37" t="s">
        <v>105</v>
      </c>
      <c r="G140" s="37" t="s">
        <v>564</v>
      </c>
      <c r="H140" s="37" t="s">
        <v>196</v>
      </c>
      <c r="I140" s="38" t="s">
        <v>1129</v>
      </c>
      <c r="J140" s="38" t="s">
        <v>566</v>
      </c>
      <c r="K140" s="39">
        <f t="shared" si="2"/>
        <v>1</v>
      </c>
    </row>
    <row r="141" spans="1:11" ht="32" customHeight="1">
      <c r="A141" s="37">
        <v>133</v>
      </c>
      <c r="B141" s="38" t="s">
        <v>133</v>
      </c>
      <c r="C141" s="38" t="s">
        <v>839</v>
      </c>
      <c r="D141" s="38" t="s">
        <v>783</v>
      </c>
      <c r="E141" s="37" t="s">
        <v>105</v>
      </c>
      <c r="F141" s="37" t="s">
        <v>105</v>
      </c>
      <c r="G141" s="37" t="s">
        <v>564</v>
      </c>
      <c r="H141" s="37" t="s">
        <v>196</v>
      </c>
      <c r="I141" s="38" t="s">
        <v>1129</v>
      </c>
      <c r="J141" s="38" t="s">
        <v>566</v>
      </c>
      <c r="K141" s="39">
        <f t="shared" si="2"/>
        <v>1</v>
      </c>
    </row>
    <row r="142" spans="1:11" ht="32" customHeight="1">
      <c r="A142" s="37">
        <v>134</v>
      </c>
      <c r="B142" s="38" t="s">
        <v>133</v>
      </c>
      <c r="C142" s="38" t="s">
        <v>839</v>
      </c>
      <c r="D142" s="38" t="s">
        <v>285</v>
      </c>
      <c r="E142" s="37" t="s">
        <v>105</v>
      </c>
      <c r="F142" s="37" t="s">
        <v>105</v>
      </c>
      <c r="G142" s="37" t="s">
        <v>564</v>
      </c>
      <c r="H142" s="37" t="s">
        <v>196</v>
      </c>
      <c r="I142" s="38" t="s">
        <v>1129</v>
      </c>
      <c r="J142" s="38" t="s">
        <v>566</v>
      </c>
      <c r="K142" s="39">
        <f t="shared" si="2"/>
        <v>1</v>
      </c>
    </row>
    <row r="143" spans="1:11" ht="32" customHeight="1">
      <c r="A143" s="37">
        <v>135</v>
      </c>
      <c r="B143" s="38" t="s">
        <v>133</v>
      </c>
      <c r="C143" s="38" t="s">
        <v>839</v>
      </c>
      <c r="D143" s="38" t="s">
        <v>844</v>
      </c>
      <c r="E143" s="37" t="s">
        <v>105</v>
      </c>
      <c r="F143" s="37" t="s">
        <v>105</v>
      </c>
      <c r="G143" s="37" t="s">
        <v>564</v>
      </c>
      <c r="H143" s="37" t="s">
        <v>196</v>
      </c>
      <c r="I143" s="38" t="s">
        <v>1129</v>
      </c>
      <c r="J143" s="38" t="s">
        <v>566</v>
      </c>
      <c r="K143" s="39">
        <f t="shared" si="2"/>
        <v>1</v>
      </c>
    </row>
    <row r="144" spans="1:11" ht="32" customHeight="1">
      <c r="A144" s="37">
        <v>136</v>
      </c>
      <c r="B144" s="38" t="s">
        <v>133</v>
      </c>
      <c r="C144" s="38" t="s">
        <v>839</v>
      </c>
      <c r="D144" s="38" t="s">
        <v>845</v>
      </c>
      <c r="E144" s="37" t="s">
        <v>105</v>
      </c>
      <c r="F144" s="37" t="s">
        <v>105</v>
      </c>
      <c r="G144" s="37" t="s">
        <v>564</v>
      </c>
      <c r="H144" s="37" t="s">
        <v>196</v>
      </c>
      <c r="I144" s="38" t="s">
        <v>1129</v>
      </c>
      <c r="J144" s="38" t="s">
        <v>566</v>
      </c>
      <c r="K144" s="39">
        <f t="shared" si="2"/>
        <v>1</v>
      </c>
    </row>
    <row r="145" spans="1:11" ht="32" customHeight="1">
      <c r="A145" s="37">
        <v>137</v>
      </c>
      <c r="B145" s="38" t="s">
        <v>172</v>
      </c>
      <c r="C145" s="38" t="s">
        <v>846</v>
      </c>
      <c r="D145" s="38" t="s">
        <v>1189</v>
      </c>
      <c r="E145" s="37" t="s">
        <v>105</v>
      </c>
      <c r="F145" s="37" t="s">
        <v>105</v>
      </c>
      <c r="G145" s="37" t="s">
        <v>564</v>
      </c>
      <c r="H145" s="37" t="s">
        <v>196</v>
      </c>
      <c r="I145" s="38" t="s">
        <v>1129</v>
      </c>
      <c r="J145" s="38" t="s">
        <v>566</v>
      </c>
      <c r="K145" s="39">
        <f t="shared" si="2"/>
        <v>1</v>
      </c>
    </row>
    <row r="146" spans="1:11" ht="32" customHeight="1">
      <c r="A146" s="37">
        <v>138</v>
      </c>
      <c r="B146" s="38" t="s">
        <v>172</v>
      </c>
      <c r="C146" s="38" t="s">
        <v>846</v>
      </c>
      <c r="D146" s="38" t="s">
        <v>1190</v>
      </c>
      <c r="E146" s="37" t="s">
        <v>105</v>
      </c>
      <c r="F146" s="37" t="s">
        <v>105</v>
      </c>
      <c r="G146" s="37" t="s">
        <v>564</v>
      </c>
      <c r="H146" s="37" t="s">
        <v>196</v>
      </c>
      <c r="I146" s="38" t="s">
        <v>1129</v>
      </c>
      <c r="J146" s="38" t="s">
        <v>566</v>
      </c>
      <c r="K146" s="39">
        <f t="shared" si="2"/>
        <v>1</v>
      </c>
    </row>
    <row r="147" spans="1:11" ht="32" customHeight="1">
      <c r="A147" s="37">
        <v>139</v>
      </c>
      <c r="B147" s="38" t="s">
        <v>172</v>
      </c>
      <c r="C147" s="38" t="s">
        <v>846</v>
      </c>
      <c r="D147" s="38" t="s">
        <v>1191</v>
      </c>
      <c r="E147" s="37" t="s">
        <v>105</v>
      </c>
      <c r="F147" s="37" t="s">
        <v>105</v>
      </c>
      <c r="G147" s="37" t="s">
        <v>564</v>
      </c>
      <c r="H147" s="37" t="s">
        <v>196</v>
      </c>
      <c r="I147" s="38" t="s">
        <v>1129</v>
      </c>
      <c r="J147" s="38" t="s">
        <v>566</v>
      </c>
      <c r="K147" s="39">
        <f t="shared" si="2"/>
        <v>1</v>
      </c>
    </row>
    <row r="148" spans="1:11" ht="32" customHeight="1">
      <c r="A148" s="37">
        <v>140</v>
      </c>
      <c r="B148" s="38" t="s">
        <v>172</v>
      </c>
      <c r="C148" s="38" t="s">
        <v>846</v>
      </c>
      <c r="D148" s="38" t="s">
        <v>1192</v>
      </c>
      <c r="E148" s="37" t="s">
        <v>105</v>
      </c>
      <c r="F148" s="37" t="s">
        <v>105</v>
      </c>
      <c r="G148" s="37" t="s">
        <v>564</v>
      </c>
      <c r="H148" s="37" t="s">
        <v>196</v>
      </c>
      <c r="I148" s="38" t="s">
        <v>1129</v>
      </c>
      <c r="J148" s="38" t="s">
        <v>566</v>
      </c>
      <c r="K148" s="39">
        <f t="shared" si="2"/>
        <v>1</v>
      </c>
    </row>
    <row r="149" spans="1:11" ht="32" customHeight="1">
      <c r="A149" s="37">
        <v>141</v>
      </c>
      <c r="B149" s="38" t="s">
        <v>172</v>
      </c>
      <c r="C149" s="38" t="s">
        <v>846</v>
      </c>
      <c r="D149" s="38" t="s">
        <v>849</v>
      </c>
      <c r="E149" s="37" t="s">
        <v>105</v>
      </c>
      <c r="F149" s="37" t="s">
        <v>105</v>
      </c>
      <c r="G149" s="37" t="s">
        <v>564</v>
      </c>
      <c r="H149" s="37" t="s">
        <v>196</v>
      </c>
      <c r="I149" s="38" t="s">
        <v>1129</v>
      </c>
      <c r="J149" s="38" t="s">
        <v>566</v>
      </c>
      <c r="K149" s="39">
        <f t="shared" si="2"/>
        <v>1</v>
      </c>
    </row>
    <row r="150" spans="1:11" ht="32" customHeight="1">
      <c r="A150" s="37">
        <v>142</v>
      </c>
      <c r="B150" s="38" t="s">
        <v>172</v>
      </c>
      <c r="C150" s="38" t="s">
        <v>846</v>
      </c>
      <c r="D150" s="38" t="s">
        <v>1193</v>
      </c>
      <c r="E150" s="37" t="s">
        <v>105</v>
      </c>
      <c r="F150" s="37" t="s">
        <v>105</v>
      </c>
      <c r="G150" s="37" t="s">
        <v>564</v>
      </c>
      <c r="H150" s="37" t="s">
        <v>196</v>
      </c>
      <c r="I150" s="38" t="s">
        <v>1129</v>
      </c>
      <c r="J150" s="38" t="s">
        <v>566</v>
      </c>
      <c r="K150" s="39">
        <f t="shared" si="2"/>
        <v>1</v>
      </c>
    </row>
    <row r="151" spans="1:11" ht="32" customHeight="1">
      <c r="A151" s="37">
        <v>143</v>
      </c>
      <c r="B151" s="38" t="s">
        <v>172</v>
      </c>
      <c r="C151" s="38" t="s">
        <v>846</v>
      </c>
      <c r="D151" s="38" t="s">
        <v>850</v>
      </c>
      <c r="E151" s="37" t="s">
        <v>105</v>
      </c>
      <c r="F151" s="37" t="s">
        <v>105</v>
      </c>
      <c r="G151" s="37" t="s">
        <v>564</v>
      </c>
      <c r="H151" s="37" t="s">
        <v>196</v>
      </c>
      <c r="I151" s="38" t="s">
        <v>1129</v>
      </c>
      <c r="J151" s="38" t="s">
        <v>566</v>
      </c>
      <c r="K151" s="39">
        <f t="shared" si="2"/>
        <v>1</v>
      </c>
    </row>
    <row r="152" spans="1:11" ht="32" customHeight="1">
      <c r="A152" s="37">
        <v>144</v>
      </c>
      <c r="B152" s="38" t="s">
        <v>172</v>
      </c>
      <c r="C152" s="38" t="s">
        <v>846</v>
      </c>
      <c r="D152" s="38" t="s">
        <v>1194</v>
      </c>
      <c r="E152" s="37" t="s">
        <v>105</v>
      </c>
      <c r="F152" s="37" t="s">
        <v>105</v>
      </c>
      <c r="G152" s="37" t="s">
        <v>564</v>
      </c>
      <c r="H152" s="37" t="s">
        <v>196</v>
      </c>
      <c r="I152" s="38" t="s">
        <v>1129</v>
      </c>
      <c r="J152" s="38" t="s">
        <v>566</v>
      </c>
      <c r="K152" s="39">
        <f t="shared" si="2"/>
        <v>1</v>
      </c>
    </row>
    <row r="153" spans="1:11" ht="32" customHeight="1">
      <c r="A153" s="37">
        <v>145</v>
      </c>
      <c r="B153" s="38" t="s">
        <v>172</v>
      </c>
      <c r="C153" s="38" t="s">
        <v>846</v>
      </c>
      <c r="D153" s="38" t="s">
        <v>852</v>
      </c>
      <c r="E153" s="37" t="s">
        <v>105</v>
      </c>
      <c r="F153" s="37" t="s">
        <v>105</v>
      </c>
      <c r="G153" s="37" t="s">
        <v>564</v>
      </c>
      <c r="H153" s="37" t="s">
        <v>196</v>
      </c>
      <c r="I153" s="38" t="s">
        <v>1129</v>
      </c>
      <c r="J153" s="38" t="s">
        <v>566</v>
      </c>
      <c r="K153" s="39">
        <f t="shared" si="2"/>
        <v>1</v>
      </c>
    </row>
    <row r="154" spans="1:11" ht="32" customHeight="1">
      <c r="A154" s="37">
        <v>146</v>
      </c>
      <c r="B154" s="38" t="s">
        <v>172</v>
      </c>
      <c r="C154" s="38" t="s">
        <v>846</v>
      </c>
      <c r="D154" s="38" t="s">
        <v>853</v>
      </c>
      <c r="E154" s="37" t="s">
        <v>105</v>
      </c>
      <c r="F154" s="37" t="s">
        <v>105</v>
      </c>
      <c r="G154" s="37" t="s">
        <v>564</v>
      </c>
      <c r="H154" s="37" t="s">
        <v>196</v>
      </c>
      <c r="I154" s="38" t="s">
        <v>1129</v>
      </c>
      <c r="J154" s="38" t="s">
        <v>566</v>
      </c>
      <c r="K154" s="39">
        <f t="shared" si="2"/>
        <v>1</v>
      </c>
    </row>
    <row r="155" spans="1:11" ht="32" customHeight="1">
      <c r="A155" s="37">
        <v>147</v>
      </c>
      <c r="B155" s="38" t="s">
        <v>172</v>
      </c>
      <c r="C155" s="38" t="s">
        <v>846</v>
      </c>
      <c r="D155" s="38" t="s">
        <v>1195</v>
      </c>
      <c r="E155" s="37" t="s">
        <v>105</v>
      </c>
      <c r="F155" s="37" t="s">
        <v>105</v>
      </c>
      <c r="G155" s="37" t="s">
        <v>564</v>
      </c>
      <c r="H155" s="37" t="s">
        <v>196</v>
      </c>
      <c r="I155" s="38" t="s">
        <v>1129</v>
      </c>
      <c r="J155" s="38" t="s">
        <v>566</v>
      </c>
      <c r="K155" s="39">
        <f t="shared" si="2"/>
        <v>1</v>
      </c>
    </row>
    <row r="156" spans="1:11" ht="32" customHeight="1">
      <c r="A156" s="37">
        <v>148</v>
      </c>
      <c r="B156" s="38" t="s">
        <v>172</v>
      </c>
      <c r="C156" s="38" t="s">
        <v>846</v>
      </c>
      <c r="D156" s="38" t="s">
        <v>855</v>
      </c>
      <c r="E156" s="37" t="s">
        <v>105</v>
      </c>
      <c r="F156" s="37" t="s">
        <v>105</v>
      </c>
      <c r="G156" s="37" t="s">
        <v>564</v>
      </c>
      <c r="H156" s="37" t="s">
        <v>196</v>
      </c>
      <c r="I156" s="38" t="s">
        <v>1129</v>
      </c>
      <c r="J156" s="38" t="s">
        <v>566</v>
      </c>
      <c r="K156" s="39">
        <f t="shared" si="2"/>
        <v>1</v>
      </c>
    </row>
    <row r="157" spans="1:11" ht="32" customHeight="1">
      <c r="A157" s="37">
        <v>149</v>
      </c>
      <c r="B157" s="38" t="s">
        <v>179</v>
      </c>
      <c r="C157" s="38" t="s">
        <v>856</v>
      </c>
      <c r="D157" s="38" t="s">
        <v>1196</v>
      </c>
      <c r="E157" s="37" t="s">
        <v>105</v>
      </c>
      <c r="F157" s="37" t="s">
        <v>105</v>
      </c>
      <c r="G157" s="37" t="s">
        <v>564</v>
      </c>
      <c r="H157" s="37" t="s">
        <v>196</v>
      </c>
      <c r="I157" s="38" t="s">
        <v>1129</v>
      </c>
      <c r="J157" s="38" t="s">
        <v>566</v>
      </c>
      <c r="K157" s="39">
        <f t="shared" si="2"/>
        <v>1</v>
      </c>
    </row>
    <row r="158" spans="1:11" ht="32" customHeight="1">
      <c r="A158" s="37">
        <v>150</v>
      </c>
      <c r="B158" s="38" t="s">
        <v>179</v>
      </c>
      <c r="C158" s="38" t="s">
        <v>856</v>
      </c>
      <c r="D158" s="38" t="s">
        <v>1197</v>
      </c>
      <c r="E158" s="37" t="s">
        <v>105</v>
      </c>
      <c r="F158" s="37" t="s">
        <v>105</v>
      </c>
      <c r="G158" s="37" t="s">
        <v>564</v>
      </c>
      <c r="H158" s="37" t="s">
        <v>196</v>
      </c>
      <c r="I158" s="38" t="s">
        <v>1129</v>
      </c>
      <c r="J158" s="38" t="s">
        <v>566</v>
      </c>
      <c r="K158" s="39">
        <f t="shared" si="2"/>
        <v>1</v>
      </c>
    </row>
    <row r="159" spans="1:11" ht="32" customHeight="1">
      <c r="A159" s="37">
        <v>151</v>
      </c>
      <c r="B159" s="38" t="s">
        <v>179</v>
      </c>
      <c r="C159" s="38" t="s">
        <v>856</v>
      </c>
      <c r="D159" s="38" t="s">
        <v>1198</v>
      </c>
      <c r="E159" s="37" t="s">
        <v>105</v>
      </c>
      <c r="F159" s="37" t="s">
        <v>105</v>
      </c>
      <c r="G159" s="37" t="s">
        <v>564</v>
      </c>
      <c r="H159" s="37" t="s">
        <v>196</v>
      </c>
      <c r="I159" s="38" t="s">
        <v>1129</v>
      </c>
      <c r="J159" s="38" t="s">
        <v>566</v>
      </c>
      <c r="K159" s="39">
        <f t="shared" si="2"/>
        <v>1</v>
      </c>
    </row>
    <row r="160" spans="1:11" ht="32" customHeight="1">
      <c r="A160" s="37">
        <v>152</v>
      </c>
      <c r="B160" s="38" t="s">
        <v>179</v>
      </c>
      <c r="C160" s="38" t="s">
        <v>856</v>
      </c>
      <c r="D160" s="38" t="s">
        <v>1199</v>
      </c>
      <c r="E160" s="37" t="s">
        <v>105</v>
      </c>
      <c r="F160" s="37" t="s">
        <v>105</v>
      </c>
      <c r="G160" s="37" t="s">
        <v>564</v>
      </c>
      <c r="H160" s="37" t="s">
        <v>196</v>
      </c>
      <c r="I160" s="38" t="s">
        <v>1129</v>
      </c>
      <c r="J160" s="38" t="s">
        <v>566</v>
      </c>
      <c r="K160" s="39">
        <f t="shared" si="2"/>
        <v>1</v>
      </c>
    </row>
    <row r="161" spans="1:11" ht="32" customHeight="1">
      <c r="A161" s="37">
        <v>153</v>
      </c>
      <c r="B161" s="38" t="s">
        <v>179</v>
      </c>
      <c r="C161" s="38" t="s">
        <v>856</v>
      </c>
      <c r="D161" s="38" t="s">
        <v>1200</v>
      </c>
      <c r="E161" s="37" t="s">
        <v>105</v>
      </c>
      <c r="F161" s="37" t="s">
        <v>105</v>
      </c>
      <c r="G161" s="37" t="s">
        <v>564</v>
      </c>
      <c r="H161" s="37" t="s">
        <v>196</v>
      </c>
      <c r="I161" s="38" t="s">
        <v>1129</v>
      </c>
      <c r="J161" s="38" t="s">
        <v>566</v>
      </c>
      <c r="K161" s="39">
        <f t="shared" si="2"/>
        <v>1</v>
      </c>
    </row>
    <row r="162" spans="1:11" ht="32" customHeight="1">
      <c r="A162" s="37">
        <v>154</v>
      </c>
      <c r="B162" s="38" t="s">
        <v>179</v>
      </c>
      <c r="C162" s="38" t="s">
        <v>856</v>
      </c>
      <c r="D162" s="38" t="s">
        <v>1201</v>
      </c>
      <c r="E162" s="37" t="s">
        <v>105</v>
      </c>
      <c r="F162" s="37" t="s">
        <v>105</v>
      </c>
      <c r="G162" s="37" t="s">
        <v>564</v>
      </c>
      <c r="H162" s="37" t="s">
        <v>196</v>
      </c>
      <c r="I162" s="38" t="s">
        <v>1129</v>
      </c>
      <c r="J162" s="38" t="s">
        <v>566</v>
      </c>
      <c r="K162" s="39">
        <f t="shared" si="2"/>
        <v>1</v>
      </c>
    </row>
    <row r="163" spans="1:11" ht="32" customHeight="1">
      <c r="A163" s="37">
        <v>155</v>
      </c>
      <c r="B163" s="38" t="s">
        <v>179</v>
      </c>
      <c r="C163" s="38" t="s">
        <v>856</v>
      </c>
      <c r="D163" s="38" t="s">
        <v>1202</v>
      </c>
      <c r="E163" s="37" t="s">
        <v>105</v>
      </c>
      <c r="F163" s="37" t="s">
        <v>105</v>
      </c>
      <c r="G163" s="37" t="s">
        <v>564</v>
      </c>
      <c r="H163" s="37" t="s">
        <v>196</v>
      </c>
      <c r="I163" s="38" t="s">
        <v>1129</v>
      </c>
      <c r="J163" s="38" t="s">
        <v>566</v>
      </c>
      <c r="K163" s="39">
        <f t="shared" si="2"/>
        <v>1</v>
      </c>
    </row>
    <row r="164" spans="1:11" ht="32" customHeight="1">
      <c r="A164" s="37">
        <v>156</v>
      </c>
      <c r="B164" s="38" t="s">
        <v>179</v>
      </c>
      <c r="C164" s="38" t="s">
        <v>856</v>
      </c>
      <c r="D164" s="38" t="s">
        <v>1203</v>
      </c>
      <c r="E164" s="37" t="s">
        <v>105</v>
      </c>
      <c r="F164" s="37" t="s">
        <v>105</v>
      </c>
      <c r="G164" s="37" t="s">
        <v>564</v>
      </c>
      <c r="H164" s="37" t="s">
        <v>196</v>
      </c>
      <c r="I164" s="38" t="s">
        <v>1129</v>
      </c>
      <c r="J164" s="38" t="s">
        <v>566</v>
      </c>
      <c r="K164" s="39">
        <f t="shared" si="2"/>
        <v>1</v>
      </c>
    </row>
    <row r="165" spans="1:11" ht="32" customHeight="1">
      <c r="A165" s="37">
        <v>157</v>
      </c>
      <c r="B165" s="38" t="s">
        <v>179</v>
      </c>
      <c r="C165" s="38" t="s">
        <v>856</v>
      </c>
      <c r="D165" s="38" t="s">
        <v>862</v>
      </c>
      <c r="E165" s="37" t="s">
        <v>105</v>
      </c>
      <c r="F165" s="37" t="s">
        <v>105</v>
      </c>
      <c r="G165" s="37" t="s">
        <v>564</v>
      </c>
      <c r="H165" s="37" t="s">
        <v>196</v>
      </c>
      <c r="I165" s="38" t="s">
        <v>1129</v>
      </c>
      <c r="J165" s="38" t="s">
        <v>566</v>
      </c>
      <c r="K165" s="39">
        <f t="shared" si="2"/>
        <v>1</v>
      </c>
    </row>
    <row r="166" spans="1:11" ht="32" customHeight="1">
      <c r="A166" s="37">
        <v>158</v>
      </c>
      <c r="B166" s="38" t="s">
        <v>179</v>
      </c>
      <c r="C166" s="38" t="s">
        <v>856</v>
      </c>
      <c r="D166" s="38" t="s">
        <v>863</v>
      </c>
      <c r="E166" s="37" t="s">
        <v>105</v>
      </c>
      <c r="F166" s="37" t="s">
        <v>105</v>
      </c>
      <c r="G166" s="37" t="s">
        <v>564</v>
      </c>
      <c r="H166" s="37" t="s">
        <v>196</v>
      </c>
      <c r="I166" s="38" t="s">
        <v>1129</v>
      </c>
      <c r="J166" s="38" t="s">
        <v>566</v>
      </c>
      <c r="K166" s="39">
        <f t="shared" si="2"/>
        <v>1</v>
      </c>
    </row>
    <row r="167" spans="1:11" ht="32" customHeight="1">
      <c r="A167" s="37">
        <v>159</v>
      </c>
      <c r="B167" s="38" t="s">
        <v>179</v>
      </c>
      <c r="C167" s="38" t="s">
        <v>856</v>
      </c>
      <c r="D167" s="38" t="s">
        <v>1204</v>
      </c>
      <c r="E167" s="37" t="s">
        <v>105</v>
      </c>
      <c r="F167" s="37" t="s">
        <v>105</v>
      </c>
      <c r="G167" s="37" t="s">
        <v>564</v>
      </c>
      <c r="H167" s="37" t="s">
        <v>196</v>
      </c>
      <c r="I167" s="38" t="s">
        <v>1129</v>
      </c>
      <c r="J167" s="38" t="s">
        <v>566</v>
      </c>
      <c r="K167" s="39">
        <f t="shared" si="2"/>
        <v>1</v>
      </c>
    </row>
    <row r="168" spans="1:11" ht="32" customHeight="1">
      <c r="A168" s="37">
        <v>160</v>
      </c>
      <c r="B168" s="38" t="s">
        <v>179</v>
      </c>
      <c r="C168" s="38" t="s">
        <v>856</v>
      </c>
      <c r="D168" s="38" t="s">
        <v>1205</v>
      </c>
      <c r="E168" s="37" t="s">
        <v>105</v>
      </c>
      <c r="F168" s="37" t="s">
        <v>105</v>
      </c>
      <c r="G168" s="37" t="s">
        <v>564</v>
      </c>
      <c r="H168" s="37" t="s">
        <v>196</v>
      </c>
      <c r="I168" s="38" t="s">
        <v>1129</v>
      </c>
      <c r="J168" s="38" t="s">
        <v>566</v>
      </c>
      <c r="K168" s="39">
        <f t="shared" si="2"/>
        <v>1</v>
      </c>
    </row>
    <row r="169" spans="1:11" ht="32" customHeight="1">
      <c r="A169" s="37">
        <v>161</v>
      </c>
      <c r="B169" s="38" t="s">
        <v>179</v>
      </c>
      <c r="C169" s="38" t="s">
        <v>856</v>
      </c>
      <c r="D169" s="38" t="s">
        <v>866</v>
      </c>
      <c r="E169" s="37" t="s">
        <v>105</v>
      </c>
      <c r="F169" s="37" t="s">
        <v>105</v>
      </c>
      <c r="G169" s="37" t="s">
        <v>564</v>
      </c>
      <c r="H169" s="37" t="s">
        <v>196</v>
      </c>
      <c r="I169" s="38" t="s">
        <v>1129</v>
      </c>
      <c r="J169" s="38" t="s">
        <v>566</v>
      </c>
      <c r="K169" s="39">
        <f t="shared" si="2"/>
        <v>1</v>
      </c>
    </row>
    <row r="170" spans="1:11" ht="32" customHeight="1">
      <c r="A170" s="37">
        <v>162</v>
      </c>
      <c r="B170" s="38" t="s">
        <v>179</v>
      </c>
      <c r="C170" s="38" t="s">
        <v>856</v>
      </c>
      <c r="D170" s="38" t="s">
        <v>867</v>
      </c>
      <c r="E170" s="37" t="s">
        <v>105</v>
      </c>
      <c r="F170" s="37" t="s">
        <v>105</v>
      </c>
      <c r="G170" s="37" t="s">
        <v>564</v>
      </c>
      <c r="H170" s="37" t="s">
        <v>196</v>
      </c>
      <c r="I170" s="38" t="s">
        <v>1129</v>
      </c>
      <c r="J170" s="38" t="s">
        <v>566</v>
      </c>
      <c r="K170" s="39">
        <f t="shared" si="2"/>
        <v>1</v>
      </c>
    </row>
    <row r="171" spans="1:11" ht="32" customHeight="1">
      <c r="A171" s="37">
        <v>163</v>
      </c>
      <c r="B171" s="38" t="s">
        <v>179</v>
      </c>
      <c r="C171" s="38" t="s">
        <v>856</v>
      </c>
      <c r="D171" s="38" t="s">
        <v>868</v>
      </c>
      <c r="E171" s="37" t="s">
        <v>105</v>
      </c>
      <c r="F171" s="37" t="s">
        <v>105</v>
      </c>
      <c r="G171" s="37" t="s">
        <v>564</v>
      </c>
      <c r="H171" s="37" t="s">
        <v>196</v>
      </c>
      <c r="I171" s="38" t="s">
        <v>1129</v>
      </c>
      <c r="J171" s="38" t="s">
        <v>566</v>
      </c>
      <c r="K171" s="39">
        <f t="shared" si="2"/>
        <v>1</v>
      </c>
    </row>
    <row r="172" spans="1:11" ht="32" customHeight="1">
      <c r="A172" s="37">
        <v>164</v>
      </c>
      <c r="B172" s="38" t="s">
        <v>179</v>
      </c>
      <c r="C172" s="38" t="s">
        <v>856</v>
      </c>
      <c r="D172" s="38" t="s">
        <v>1206</v>
      </c>
      <c r="E172" s="37" t="s">
        <v>105</v>
      </c>
      <c r="F172" s="37" t="s">
        <v>105</v>
      </c>
      <c r="G172" s="37" t="s">
        <v>564</v>
      </c>
      <c r="H172" s="37" t="s">
        <v>196</v>
      </c>
      <c r="I172" s="38" t="s">
        <v>1129</v>
      </c>
      <c r="J172" s="38" t="s">
        <v>566</v>
      </c>
      <c r="K172" s="39">
        <f t="shared" si="2"/>
        <v>1</v>
      </c>
    </row>
    <row r="173" spans="1:11" ht="32" customHeight="1">
      <c r="A173" s="37">
        <v>165</v>
      </c>
      <c r="B173" s="38" t="s">
        <v>179</v>
      </c>
      <c r="C173" s="38" t="s">
        <v>856</v>
      </c>
      <c r="D173" s="38" t="s">
        <v>1207</v>
      </c>
      <c r="E173" s="37" t="s">
        <v>105</v>
      </c>
      <c r="F173" s="37" t="s">
        <v>105</v>
      </c>
      <c r="G173" s="37" t="s">
        <v>564</v>
      </c>
      <c r="H173" s="37" t="s">
        <v>196</v>
      </c>
      <c r="I173" s="38" t="s">
        <v>1129</v>
      </c>
      <c r="J173" s="38" t="s">
        <v>566</v>
      </c>
      <c r="K173" s="39">
        <f t="shared" si="2"/>
        <v>1</v>
      </c>
    </row>
    <row r="174" spans="1:11" ht="32" customHeight="1">
      <c r="A174" s="37">
        <v>166</v>
      </c>
      <c r="B174" s="38" t="s">
        <v>179</v>
      </c>
      <c r="C174" s="38" t="s">
        <v>856</v>
      </c>
      <c r="D174" s="38" t="s">
        <v>871</v>
      </c>
      <c r="E174" s="37" t="s">
        <v>105</v>
      </c>
      <c r="F174" s="37" t="s">
        <v>105</v>
      </c>
      <c r="G174" s="37" t="s">
        <v>564</v>
      </c>
      <c r="H174" s="37" t="s">
        <v>196</v>
      </c>
      <c r="I174" s="38" t="s">
        <v>1129</v>
      </c>
      <c r="J174" s="38" t="s">
        <v>566</v>
      </c>
      <c r="K174" s="39">
        <f t="shared" si="2"/>
        <v>1</v>
      </c>
    </row>
    <row r="175" spans="1:11" ht="32" customHeight="1">
      <c r="A175" s="37">
        <v>167</v>
      </c>
      <c r="B175" s="38" t="s">
        <v>179</v>
      </c>
      <c r="C175" s="38" t="s">
        <v>856</v>
      </c>
      <c r="D175" s="38" t="s">
        <v>872</v>
      </c>
      <c r="E175" s="37" t="s">
        <v>105</v>
      </c>
      <c r="F175" s="37" t="s">
        <v>105</v>
      </c>
      <c r="G175" s="37" t="s">
        <v>564</v>
      </c>
      <c r="H175" s="37" t="s">
        <v>196</v>
      </c>
      <c r="I175" s="38" t="s">
        <v>1129</v>
      </c>
      <c r="J175" s="38" t="s">
        <v>566</v>
      </c>
      <c r="K175" s="39">
        <f t="shared" si="2"/>
        <v>1</v>
      </c>
    </row>
    <row r="176" spans="1:11" ht="32" customHeight="1">
      <c r="A176" s="37">
        <v>168</v>
      </c>
      <c r="B176" s="38" t="s">
        <v>179</v>
      </c>
      <c r="C176" s="38" t="s">
        <v>856</v>
      </c>
      <c r="D176" s="38" t="s">
        <v>873</v>
      </c>
      <c r="E176" s="37" t="s">
        <v>105</v>
      </c>
      <c r="F176" s="37" t="s">
        <v>105</v>
      </c>
      <c r="G176" s="37" t="s">
        <v>564</v>
      </c>
      <c r="H176" s="37" t="s">
        <v>196</v>
      </c>
      <c r="I176" s="38" t="s">
        <v>1129</v>
      </c>
      <c r="J176" s="38" t="s">
        <v>566</v>
      </c>
      <c r="K176" s="39">
        <f t="shared" si="2"/>
        <v>1</v>
      </c>
    </row>
    <row r="177" spans="1:11" ht="32" customHeight="1">
      <c r="A177" s="37">
        <v>169</v>
      </c>
      <c r="B177" s="38" t="s">
        <v>874</v>
      </c>
      <c r="C177" s="38" t="s">
        <v>875</v>
      </c>
      <c r="D177" s="38" t="s">
        <v>1208</v>
      </c>
      <c r="E177" s="37" t="s">
        <v>105</v>
      </c>
      <c r="F177" s="37" t="s">
        <v>105</v>
      </c>
      <c r="G177" s="37" t="s">
        <v>564</v>
      </c>
      <c r="H177" s="37" t="s">
        <v>196</v>
      </c>
      <c r="I177" s="38" t="s">
        <v>1129</v>
      </c>
      <c r="J177" s="38" t="s">
        <v>566</v>
      </c>
      <c r="K177" s="39">
        <f t="shared" si="2"/>
        <v>1</v>
      </c>
    </row>
    <row r="178" spans="1:11" ht="32" customHeight="1">
      <c r="A178" s="37">
        <v>170</v>
      </c>
      <c r="B178" s="38" t="s">
        <v>874</v>
      </c>
      <c r="C178" s="38" t="s">
        <v>875</v>
      </c>
      <c r="D178" s="38" t="s">
        <v>1209</v>
      </c>
      <c r="E178" s="37" t="s">
        <v>105</v>
      </c>
      <c r="F178" s="37" t="s">
        <v>105</v>
      </c>
      <c r="G178" s="37" t="s">
        <v>564</v>
      </c>
      <c r="H178" s="37" t="s">
        <v>196</v>
      </c>
      <c r="I178" s="38" t="s">
        <v>1129</v>
      </c>
      <c r="J178" s="38" t="s">
        <v>566</v>
      </c>
      <c r="K178" s="39">
        <f t="shared" si="2"/>
        <v>1</v>
      </c>
    </row>
    <row r="179" spans="1:11" ht="32" customHeight="1">
      <c r="A179" s="37">
        <v>171</v>
      </c>
      <c r="B179" s="38" t="s">
        <v>874</v>
      </c>
      <c r="C179" s="38" t="s">
        <v>875</v>
      </c>
      <c r="D179" s="38" t="s">
        <v>1210</v>
      </c>
      <c r="E179" s="37" t="s">
        <v>105</v>
      </c>
      <c r="F179" s="37" t="s">
        <v>105</v>
      </c>
      <c r="G179" s="37" t="s">
        <v>564</v>
      </c>
      <c r="H179" s="37" t="s">
        <v>196</v>
      </c>
      <c r="I179" s="38" t="s">
        <v>1129</v>
      </c>
      <c r="J179" s="38" t="s">
        <v>566</v>
      </c>
      <c r="K179" s="39">
        <f t="shared" si="2"/>
        <v>1</v>
      </c>
    </row>
    <row r="180" spans="1:11" ht="32" customHeight="1">
      <c r="A180" s="37">
        <v>172</v>
      </c>
      <c r="B180" s="38" t="s">
        <v>874</v>
      </c>
      <c r="C180" s="38" t="s">
        <v>875</v>
      </c>
      <c r="D180" s="38" t="s">
        <v>1211</v>
      </c>
      <c r="E180" s="37" t="s">
        <v>105</v>
      </c>
      <c r="F180" s="37" t="s">
        <v>105</v>
      </c>
      <c r="G180" s="37" t="s">
        <v>564</v>
      </c>
      <c r="H180" s="37" t="s">
        <v>196</v>
      </c>
      <c r="I180" s="38" t="s">
        <v>1129</v>
      </c>
      <c r="J180" s="38" t="s">
        <v>566</v>
      </c>
      <c r="K180" s="39">
        <f t="shared" si="2"/>
        <v>1</v>
      </c>
    </row>
    <row r="181" spans="1:11" ht="32" customHeight="1">
      <c r="A181" s="37">
        <v>173</v>
      </c>
      <c r="B181" s="38" t="s">
        <v>874</v>
      </c>
      <c r="C181" s="38" t="s">
        <v>875</v>
      </c>
      <c r="D181" s="38" t="s">
        <v>879</v>
      </c>
      <c r="E181" s="37" t="s">
        <v>105</v>
      </c>
      <c r="F181" s="37" t="s">
        <v>105</v>
      </c>
      <c r="G181" s="37" t="s">
        <v>564</v>
      </c>
      <c r="H181" s="37" t="s">
        <v>196</v>
      </c>
      <c r="I181" s="38" t="s">
        <v>1129</v>
      </c>
      <c r="J181" s="38" t="s">
        <v>566</v>
      </c>
      <c r="K181" s="39">
        <f t="shared" si="2"/>
        <v>1</v>
      </c>
    </row>
    <row r="182" spans="1:11" ht="32" customHeight="1">
      <c r="A182" s="37">
        <v>174</v>
      </c>
      <c r="B182" s="38" t="s">
        <v>874</v>
      </c>
      <c r="C182" s="38" t="s">
        <v>875</v>
      </c>
      <c r="D182" s="38" t="s">
        <v>1212</v>
      </c>
      <c r="E182" s="37" t="s">
        <v>105</v>
      </c>
      <c r="F182" s="37" t="s">
        <v>105</v>
      </c>
      <c r="G182" s="37" t="s">
        <v>564</v>
      </c>
      <c r="H182" s="37" t="s">
        <v>196</v>
      </c>
      <c r="I182" s="38" t="s">
        <v>1129</v>
      </c>
      <c r="J182" s="38" t="s">
        <v>566</v>
      </c>
      <c r="K182" s="39">
        <f t="shared" si="2"/>
        <v>1</v>
      </c>
    </row>
    <row r="183" spans="1:11" ht="32" customHeight="1">
      <c r="A183" s="37">
        <v>175</v>
      </c>
      <c r="B183" s="38" t="s">
        <v>539</v>
      </c>
      <c r="C183" s="38" t="s">
        <v>881</v>
      </c>
      <c r="D183" s="38" t="s">
        <v>882</v>
      </c>
      <c r="E183" s="37" t="s">
        <v>105</v>
      </c>
      <c r="F183" s="37" t="s">
        <v>105</v>
      </c>
      <c r="G183" s="37" t="s">
        <v>564</v>
      </c>
      <c r="H183" s="37" t="s">
        <v>196</v>
      </c>
      <c r="I183" s="38" t="s">
        <v>1129</v>
      </c>
      <c r="J183" s="38" t="s">
        <v>566</v>
      </c>
      <c r="K183" s="39">
        <f t="shared" si="2"/>
        <v>1</v>
      </c>
    </row>
    <row r="184" spans="1:11" ht="32" customHeight="1">
      <c r="A184" s="37">
        <v>176</v>
      </c>
      <c r="B184" s="38" t="s">
        <v>539</v>
      </c>
      <c r="C184" s="38" t="s">
        <v>881</v>
      </c>
      <c r="D184" s="38" t="s">
        <v>1213</v>
      </c>
      <c r="E184" s="37" t="s">
        <v>105</v>
      </c>
      <c r="F184" s="37" t="s">
        <v>105</v>
      </c>
      <c r="G184" s="37" t="s">
        <v>564</v>
      </c>
      <c r="H184" s="37" t="s">
        <v>196</v>
      </c>
      <c r="I184" s="38" t="s">
        <v>1129</v>
      </c>
      <c r="J184" s="38" t="s">
        <v>566</v>
      </c>
      <c r="K184" s="39">
        <f t="shared" si="2"/>
        <v>1</v>
      </c>
    </row>
    <row r="185" spans="1:11" ht="32" customHeight="1">
      <c r="A185" s="37">
        <v>177</v>
      </c>
      <c r="B185" s="38" t="s">
        <v>539</v>
      </c>
      <c r="C185" s="38" t="s">
        <v>881</v>
      </c>
      <c r="D185" s="38" t="s">
        <v>883</v>
      </c>
      <c r="E185" s="37" t="s">
        <v>105</v>
      </c>
      <c r="F185" s="37" t="s">
        <v>105</v>
      </c>
      <c r="G185" s="37" t="s">
        <v>564</v>
      </c>
      <c r="H185" s="37" t="s">
        <v>196</v>
      </c>
      <c r="I185" s="38" t="s">
        <v>1129</v>
      </c>
      <c r="J185" s="38" t="s">
        <v>566</v>
      </c>
      <c r="K185" s="39">
        <f t="shared" si="2"/>
        <v>1</v>
      </c>
    </row>
    <row r="186" spans="1:11" ht="32" customHeight="1">
      <c r="A186" s="37">
        <v>178</v>
      </c>
      <c r="B186" s="38" t="s">
        <v>539</v>
      </c>
      <c r="C186" s="38" t="s">
        <v>881</v>
      </c>
      <c r="D186" s="38" t="s">
        <v>884</v>
      </c>
      <c r="E186" s="37" t="s">
        <v>105</v>
      </c>
      <c r="F186" s="37" t="s">
        <v>105</v>
      </c>
      <c r="G186" s="37" t="s">
        <v>564</v>
      </c>
      <c r="H186" s="37" t="s">
        <v>196</v>
      </c>
      <c r="I186" s="38" t="s">
        <v>1129</v>
      </c>
      <c r="J186" s="38" t="s">
        <v>566</v>
      </c>
      <c r="K186" s="39">
        <f t="shared" si="2"/>
        <v>1</v>
      </c>
    </row>
    <row r="187" spans="1:11" ht="32" customHeight="1">
      <c r="A187" s="37">
        <v>179</v>
      </c>
      <c r="B187" s="38" t="s">
        <v>539</v>
      </c>
      <c r="C187" s="38" t="s">
        <v>881</v>
      </c>
      <c r="D187" s="38" t="s">
        <v>885</v>
      </c>
      <c r="E187" s="37" t="s">
        <v>105</v>
      </c>
      <c r="F187" s="37" t="s">
        <v>105</v>
      </c>
      <c r="G187" s="37" t="s">
        <v>564</v>
      </c>
      <c r="H187" s="37" t="s">
        <v>196</v>
      </c>
      <c r="I187" s="38" t="s">
        <v>1129</v>
      </c>
      <c r="J187" s="38" t="s">
        <v>566</v>
      </c>
      <c r="K187" s="39">
        <f t="shared" si="2"/>
        <v>1</v>
      </c>
    </row>
    <row r="188" spans="1:11" ht="32" customHeight="1">
      <c r="A188" s="37">
        <v>180</v>
      </c>
      <c r="B188" s="38" t="s">
        <v>539</v>
      </c>
      <c r="C188" s="38" t="s">
        <v>881</v>
      </c>
      <c r="D188" s="38" t="s">
        <v>886</v>
      </c>
      <c r="E188" s="37" t="s">
        <v>105</v>
      </c>
      <c r="F188" s="37" t="s">
        <v>105</v>
      </c>
      <c r="G188" s="37" t="s">
        <v>564</v>
      </c>
      <c r="H188" s="37" t="s">
        <v>196</v>
      </c>
      <c r="I188" s="38" t="s">
        <v>1129</v>
      </c>
      <c r="J188" s="38" t="s">
        <v>566</v>
      </c>
      <c r="K188" s="39">
        <f t="shared" si="2"/>
        <v>1</v>
      </c>
    </row>
    <row r="189" spans="1:11" ht="32" customHeight="1">
      <c r="A189" s="37">
        <v>181</v>
      </c>
      <c r="B189" s="38" t="s">
        <v>539</v>
      </c>
      <c r="C189" s="38" t="s">
        <v>881</v>
      </c>
      <c r="D189" s="38" t="s">
        <v>887</v>
      </c>
      <c r="E189" s="37" t="s">
        <v>105</v>
      </c>
      <c r="F189" s="37" t="s">
        <v>105</v>
      </c>
      <c r="G189" s="37" t="s">
        <v>564</v>
      </c>
      <c r="H189" s="37" t="s">
        <v>196</v>
      </c>
      <c r="I189" s="38" t="s">
        <v>1129</v>
      </c>
      <c r="J189" s="38" t="s">
        <v>566</v>
      </c>
      <c r="K189" s="39">
        <f t="shared" si="2"/>
        <v>1</v>
      </c>
    </row>
    <row r="190" spans="1:11" ht="32" customHeight="1">
      <c r="A190" s="37">
        <v>182</v>
      </c>
      <c r="B190" s="38" t="s">
        <v>539</v>
      </c>
      <c r="C190" s="38" t="s">
        <v>881</v>
      </c>
      <c r="D190" s="38" t="s">
        <v>1214</v>
      </c>
      <c r="E190" s="37" t="s">
        <v>105</v>
      </c>
      <c r="F190" s="37" t="s">
        <v>105</v>
      </c>
      <c r="G190" s="37" t="s">
        <v>564</v>
      </c>
      <c r="H190" s="37" t="s">
        <v>196</v>
      </c>
      <c r="I190" s="38" t="s">
        <v>1129</v>
      </c>
      <c r="J190" s="38" t="s">
        <v>566</v>
      </c>
      <c r="K190" s="39">
        <f t="shared" si="2"/>
        <v>1</v>
      </c>
    </row>
    <row r="191" spans="1:11" ht="32" customHeight="1">
      <c r="A191" s="37">
        <v>183</v>
      </c>
      <c r="B191" s="38" t="s">
        <v>539</v>
      </c>
      <c r="C191" s="38" t="s">
        <v>881</v>
      </c>
      <c r="D191" s="38" t="s">
        <v>1215</v>
      </c>
      <c r="E191" s="37" t="s">
        <v>105</v>
      </c>
      <c r="F191" s="37" t="s">
        <v>105</v>
      </c>
      <c r="G191" s="37" t="s">
        <v>564</v>
      </c>
      <c r="H191" s="37" t="s">
        <v>196</v>
      </c>
      <c r="I191" s="38" t="s">
        <v>1129</v>
      </c>
      <c r="J191" s="38" t="s">
        <v>566</v>
      </c>
      <c r="K191" s="39">
        <f t="shared" si="2"/>
        <v>1</v>
      </c>
    </row>
    <row r="192" spans="1:11" ht="32" customHeight="1">
      <c r="A192" s="37">
        <v>184</v>
      </c>
      <c r="B192" s="38" t="s">
        <v>539</v>
      </c>
      <c r="C192" s="38" t="s">
        <v>881</v>
      </c>
      <c r="D192" s="38" t="s">
        <v>1216</v>
      </c>
      <c r="E192" s="37" t="s">
        <v>105</v>
      </c>
      <c r="F192" s="37" t="s">
        <v>105</v>
      </c>
      <c r="G192" s="37" t="s">
        <v>564</v>
      </c>
      <c r="H192" s="37" t="s">
        <v>196</v>
      </c>
      <c r="I192" s="38" t="s">
        <v>1129</v>
      </c>
      <c r="J192" s="38" t="s">
        <v>566</v>
      </c>
      <c r="K192" s="39">
        <f t="shared" si="2"/>
        <v>1</v>
      </c>
    </row>
    <row r="193" spans="1:11" ht="32" customHeight="1">
      <c r="A193" s="37">
        <v>185</v>
      </c>
      <c r="B193" s="38" t="s">
        <v>130</v>
      </c>
      <c r="C193" s="38" t="s">
        <v>889</v>
      </c>
      <c r="D193" s="38" t="s">
        <v>890</v>
      </c>
      <c r="E193" s="37" t="s">
        <v>105</v>
      </c>
      <c r="F193" s="37" t="s">
        <v>105</v>
      </c>
      <c r="G193" s="37" t="s">
        <v>564</v>
      </c>
      <c r="H193" s="37" t="s">
        <v>196</v>
      </c>
      <c r="I193" s="38" t="s">
        <v>1129</v>
      </c>
      <c r="J193" s="38" t="s">
        <v>566</v>
      </c>
      <c r="K193" s="39">
        <f t="shared" si="2"/>
        <v>1</v>
      </c>
    </row>
    <row r="194" spans="1:11" ht="32" customHeight="1">
      <c r="A194" s="37">
        <v>186</v>
      </c>
      <c r="B194" s="38" t="s">
        <v>130</v>
      </c>
      <c r="C194" s="38" t="s">
        <v>889</v>
      </c>
      <c r="D194" s="38" t="s">
        <v>891</v>
      </c>
      <c r="E194" s="37" t="s">
        <v>105</v>
      </c>
      <c r="F194" s="37" t="s">
        <v>105</v>
      </c>
      <c r="G194" s="37" t="s">
        <v>564</v>
      </c>
      <c r="H194" s="37" t="s">
        <v>196</v>
      </c>
      <c r="I194" s="38" t="s">
        <v>1129</v>
      </c>
      <c r="J194" s="38" t="s">
        <v>566</v>
      </c>
      <c r="K194" s="39">
        <f t="shared" si="2"/>
        <v>1</v>
      </c>
    </row>
    <row r="195" spans="1:11" ht="32" customHeight="1">
      <c r="A195" s="37">
        <v>187</v>
      </c>
      <c r="B195" s="38" t="s">
        <v>130</v>
      </c>
      <c r="C195" s="38" t="s">
        <v>889</v>
      </c>
      <c r="D195" s="38" t="s">
        <v>1217</v>
      </c>
      <c r="E195" s="37" t="s">
        <v>105</v>
      </c>
      <c r="F195" s="37" t="s">
        <v>105</v>
      </c>
      <c r="G195" s="37" t="s">
        <v>564</v>
      </c>
      <c r="H195" s="37" t="s">
        <v>196</v>
      </c>
      <c r="I195" s="38" t="s">
        <v>1129</v>
      </c>
      <c r="J195" s="38" t="s">
        <v>566</v>
      </c>
      <c r="K195" s="39">
        <f t="shared" si="2"/>
        <v>1</v>
      </c>
    </row>
    <row r="196" spans="1:11" ht="32" customHeight="1">
      <c r="A196" s="37">
        <v>188</v>
      </c>
      <c r="B196" s="38" t="s">
        <v>130</v>
      </c>
      <c r="C196" s="38" t="s">
        <v>892</v>
      </c>
      <c r="D196" s="38" t="s">
        <v>893</v>
      </c>
      <c r="E196" s="37" t="s">
        <v>105</v>
      </c>
      <c r="F196" s="37" t="s">
        <v>105</v>
      </c>
      <c r="G196" s="37" t="s">
        <v>564</v>
      </c>
      <c r="H196" s="37" t="s">
        <v>196</v>
      </c>
      <c r="I196" s="38" t="s">
        <v>1129</v>
      </c>
      <c r="J196" s="38" t="s">
        <v>566</v>
      </c>
      <c r="K196" s="39">
        <f t="shared" si="2"/>
        <v>1</v>
      </c>
    </row>
    <row r="197" spans="1:11" ht="32" customHeight="1">
      <c r="A197" s="37">
        <v>189</v>
      </c>
      <c r="B197" s="38" t="s">
        <v>130</v>
      </c>
      <c r="C197" s="38" t="s">
        <v>892</v>
      </c>
      <c r="D197" s="38" t="s">
        <v>894</v>
      </c>
      <c r="E197" s="37" t="s">
        <v>105</v>
      </c>
      <c r="F197" s="37" t="s">
        <v>105</v>
      </c>
      <c r="G197" s="37" t="s">
        <v>564</v>
      </c>
      <c r="H197" s="37" t="s">
        <v>196</v>
      </c>
      <c r="I197" s="38" t="s">
        <v>1129</v>
      </c>
      <c r="J197" s="38" t="s">
        <v>566</v>
      </c>
      <c r="K197" s="39">
        <f t="shared" si="2"/>
        <v>1</v>
      </c>
    </row>
    <row r="198" spans="1:11" ht="32" customHeight="1">
      <c r="A198" s="37">
        <v>190</v>
      </c>
      <c r="B198" s="38" t="s">
        <v>130</v>
      </c>
      <c r="C198" s="38" t="s">
        <v>892</v>
      </c>
      <c r="D198" s="38" t="s">
        <v>1218</v>
      </c>
      <c r="E198" s="37" t="s">
        <v>105</v>
      </c>
      <c r="F198" s="37" t="s">
        <v>105</v>
      </c>
      <c r="G198" s="37" t="s">
        <v>564</v>
      </c>
      <c r="H198" s="37" t="s">
        <v>196</v>
      </c>
      <c r="I198" s="38" t="s">
        <v>1129</v>
      </c>
      <c r="J198" s="38" t="s">
        <v>566</v>
      </c>
      <c r="K198" s="39">
        <f t="shared" si="2"/>
        <v>1</v>
      </c>
    </row>
    <row r="199" spans="1:11" ht="32" customHeight="1">
      <c r="A199" s="37">
        <v>191</v>
      </c>
      <c r="B199" s="38" t="s">
        <v>130</v>
      </c>
      <c r="C199" s="38" t="s">
        <v>895</v>
      </c>
      <c r="D199" s="38" t="s">
        <v>896</v>
      </c>
      <c r="E199" s="37" t="s">
        <v>105</v>
      </c>
      <c r="F199" s="37" t="s">
        <v>105</v>
      </c>
      <c r="G199" s="37" t="s">
        <v>564</v>
      </c>
      <c r="H199" s="37" t="s">
        <v>196</v>
      </c>
      <c r="I199" s="38" t="s">
        <v>1129</v>
      </c>
      <c r="J199" s="38" t="s">
        <v>566</v>
      </c>
      <c r="K199" s="39">
        <f t="shared" si="2"/>
        <v>1</v>
      </c>
    </row>
    <row r="200" spans="1:11" ht="32" customHeight="1">
      <c r="A200" s="37">
        <v>192</v>
      </c>
      <c r="B200" s="38" t="s">
        <v>130</v>
      </c>
      <c r="C200" s="38" t="s">
        <v>895</v>
      </c>
      <c r="D200" s="38" t="s">
        <v>897</v>
      </c>
      <c r="E200" s="37" t="s">
        <v>105</v>
      </c>
      <c r="F200" s="37" t="s">
        <v>105</v>
      </c>
      <c r="G200" s="37" t="s">
        <v>564</v>
      </c>
      <c r="H200" s="37" t="s">
        <v>196</v>
      </c>
      <c r="I200" s="38" t="s">
        <v>1129</v>
      </c>
      <c r="J200" s="38" t="s">
        <v>566</v>
      </c>
      <c r="K200" s="39">
        <f t="shared" si="2"/>
        <v>1</v>
      </c>
    </row>
    <row r="201" spans="1:11" ht="32" customHeight="1">
      <c r="A201" s="37">
        <v>193</v>
      </c>
      <c r="B201" s="38" t="s">
        <v>130</v>
      </c>
      <c r="C201" s="38" t="s">
        <v>895</v>
      </c>
      <c r="D201" s="38" t="s">
        <v>899</v>
      </c>
      <c r="E201" s="37" t="s">
        <v>105</v>
      </c>
      <c r="F201" s="37" t="s">
        <v>105</v>
      </c>
      <c r="G201" s="37" t="s">
        <v>564</v>
      </c>
      <c r="H201" s="37" t="s">
        <v>196</v>
      </c>
      <c r="I201" s="38" t="s">
        <v>1129</v>
      </c>
      <c r="J201" s="38" t="s">
        <v>566</v>
      </c>
      <c r="K201" s="39">
        <f t="shared" ref="K201:K238" si="3">IF(AND(E201="yes",F201="yes",H201="covered"),1,IF(H201="partial",0.5,0))</f>
        <v>1</v>
      </c>
    </row>
    <row r="202" spans="1:11" ht="32" customHeight="1">
      <c r="A202" s="37">
        <v>194</v>
      </c>
      <c r="B202" s="38" t="s">
        <v>130</v>
      </c>
      <c r="C202" s="38" t="s">
        <v>895</v>
      </c>
      <c r="D202" s="38" t="s">
        <v>901</v>
      </c>
      <c r="E202" s="37" t="s">
        <v>105</v>
      </c>
      <c r="F202" s="37" t="s">
        <v>105</v>
      </c>
      <c r="G202" s="37" t="s">
        <v>564</v>
      </c>
      <c r="H202" s="37" t="s">
        <v>196</v>
      </c>
      <c r="I202" s="38" t="s">
        <v>1129</v>
      </c>
      <c r="J202" s="38" t="s">
        <v>566</v>
      </c>
      <c r="K202" s="39">
        <f t="shared" si="3"/>
        <v>1</v>
      </c>
    </row>
    <row r="203" spans="1:11" ht="32" customHeight="1">
      <c r="A203" s="37">
        <v>195</v>
      </c>
      <c r="B203" s="38" t="s">
        <v>130</v>
      </c>
      <c r="C203" s="38" t="s">
        <v>895</v>
      </c>
      <c r="D203" s="38" t="s">
        <v>903</v>
      </c>
      <c r="E203" s="37" t="s">
        <v>105</v>
      </c>
      <c r="F203" s="37" t="s">
        <v>105</v>
      </c>
      <c r="G203" s="37" t="s">
        <v>564</v>
      </c>
      <c r="H203" s="37" t="s">
        <v>196</v>
      </c>
      <c r="I203" s="38" t="s">
        <v>1129</v>
      </c>
      <c r="J203" s="38" t="s">
        <v>566</v>
      </c>
      <c r="K203" s="39">
        <f t="shared" si="3"/>
        <v>1</v>
      </c>
    </row>
    <row r="204" spans="1:11" ht="32" customHeight="1">
      <c r="A204" s="37">
        <v>196</v>
      </c>
      <c r="B204" s="38" t="s">
        <v>904</v>
      </c>
      <c r="C204" s="38" t="s">
        <v>905</v>
      </c>
      <c r="D204" s="38" t="s">
        <v>906</v>
      </c>
      <c r="E204" s="37" t="s">
        <v>105</v>
      </c>
      <c r="F204" s="37" t="s">
        <v>105</v>
      </c>
      <c r="G204" s="37" t="s">
        <v>564</v>
      </c>
      <c r="H204" s="37" t="s">
        <v>196</v>
      </c>
      <c r="I204" s="38" t="s">
        <v>1129</v>
      </c>
      <c r="J204" s="38" t="s">
        <v>566</v>
      </c>
      <c r="K204" s="39">
        <f t="shared" si="3"/>
        <v>1</v>
      </c>
    </row>
    <row r="205" spans="1:11" ht="32" customHeight="1">
      <c r="A205" s="37">
        <v>197</v>
      </c>
      <c r="B205" s="38" t="s">
        <v>904</v>
      </c>
      <c r="C205" s="38" t="s">
        <v>905</v>
      </c>
      <c r="D205" s="38" t="s">
        <v>907</v>
      </c>
      <c r="E205" s="37" t="s">
        <v>105</v>
      </c>
      <c r="F205" s="37" t="s">
        <v>105</v>
      </c>
      <c r="G205" s="37" t="s">
        <v>564</v>
      </c>
      <c r="H205" s="37" t="s">
        <v>196</v>
      </c>
      <c r="I205" s="38" t="s">
        <v>1129</v>
      </c>
      <c r="J205" s="38" t="s">
        <v>566</v>
      </c>
      <c r="K205" s="39">
        <f t="shared" si="3"/>
        <v>1</v>
      </c>
    </row>
    <row r="206" spans="1:11" ht="32" customHeight="1">
      <c r="A206" s="37">
        <v>198</v>
      </c>
      <c r="B206" s="38" t="s">
        <v>904</v>
      </c>
      <c r="C206" s="38" t="s">
        <v>905</v>
      </c>
      <c r="D206" s="38" t="s">
        <v>1219</v>
      </c>
      <c r="E206" s="37" t="s">
        <v>105</v>
      </c>
      <c r="F206" s="37" t="s">
        <v>105</v>
      </c>
      <c r="G206" s="37" t="s">
        <v>564</v>
      </c>
      <c r="H206" s="37" t="s">
        <v>196</v>
      </c>
      <c r="I206" s="38" t="s">
        <v>1129</v>
      </c>
      <c r="J206" s="38" t="s">
        <v>566</v>
      </c>
      <c r="K206" s="39">
        <f t="shared" si="3"/>
        <v>1</v>
      </c>
    </row>
    <row r="207" spans="1:11" ht="32" customHeight="1">
      <c r="A207" s="37">
        <v>199</v>
      </c>
      <c r="B207" s="38" t="s">
        <v>904</v>
      </c>
      <c r="C207" s="38" t="s">
        <v>905</v>
      </c>
      <c r="D207" s="38" t="s">
        <v>908</v>
      </c>
      <c r="E207" s="37" t="s">
        <v>105</v>
      </c>
      <c r="F207" s="37" t="s">
        <v>105</v>
      </c>
      <c r="G207" s="37" t="s">
        <v>564</v>
      </c>
      <c r="H207" s="37" t="s">
        <v>196</v>
      </c>
      <c r="I207" s="38" t="s">
        <v>1129</v>
      </c>
      <c r="J207" s="38" t="s">
        <v>566</v>
      </c>
      <c r="K207" s="39">
        <f t="shared" si="3"/>
        <v>1</v>
      </c>
    </row>
    <row r="208" spans="1:11" ht="32" customHeight="1">
      <c r="A208" s="37">
        <v>200</v>
      </c>
      <c r="B208" s="38" t="s">
        <v>904</v>
      </c>
      <c r="C208" s="38" t="s">
        <v>905</v>
      </c>
      <c r="D208" s="38" t="s">
        <v>909</v>
      </c>
      <c r="E208" s="37" t="s">
        <v>105</v>
      </c>
      <c r="F208" s="37" t="s">
        <v>105</v>
      </c>
      <c r="G208" s="37" t="s">
        <v>564</v>
      </c>
      <c r="H208" s="37" t="s">
        <v>196</v>
      </c>
      <c r="I208" s="38" t="s">
        <v>1129</v>
      </c>
      <c r="J208" s="38" t="s">
        <v>566</v>
      </c>
      <c r="K208" s="39">
        <f t="shared" si="3"/>
        <v>1</v>
      </c>
    </row>
    <row r="209" spans="1:11" ht="32" customHeight="1">
      <c r="A209" s="37">
        <v>201</v>
      </c>
      <c r="B209" s="38" t="s">
        <v>904</v>
      </c>
      <c r="C209" s="38" t="s">
        <v>905</v>
      </c>
      <c r="D209" s="38" t="s">
        <v>910</v>
      </c>
      <c r="E209" s="37" t="s">
        <v>105</v>
      </c>
      <c r="F209" s="37" t="s">
        <v>105</v>
      </c>
      <c r="G209" s="37" t="s">
        <v>564</v>
      </c>
      <c r="H209" s="37" t="s">
        <v>196</v>
      </c>
      <c r="I209" s="38" t="s">
        <v>1129</v>
      </c>
      <c r="J209" s="38" t="s">
        <v>566</v>
      </c>
      <c r="K209" s="39">
        <f t="shared" si="3"/>
        <v>1</v>
      </c>
    </row>
    <row r="210" spans="1:11" ht="32" customHeight="1">
      <c r="A210" s="37">
        <v>202</v>
      </c>
      <c r="B210" s="38" t="s">
        <v>904</v>
      </c>
      <c r="C210" s="38" t="s">
        <v>905</v>
      </c>
      <c r="D210" s="38" t="s">
        <v>1220</v>
      </c>
      <c r="E210" s="37" t="s">
        <v>105</v>
      </c>
      <c r="F210" s="37" t="s">
        <v>105</v>
      </c>
      <c r="G210" s="37" t="s">
        <v>564</v>
      </c>
      <c r="H210" s="37" t="s">
        <v>196</v>
      </c>
      <c r="I210" s="38" t="s">
        <v>1129</v>
      </c>
      <c r="J210" s="38" t="s">
        <v>566</v>
      </c>
      <c r="K210" s="39">
        <f t="shared" si="3"/>
        <v>1</v>
      </c>
    </row>
    <row r="211" spans="1:11" ht="32" customHeight="1">
      <c r="A211" s="37">
        <v>203</v>
      </c>
      <c r="B211" s="38" t="s">
        <v>904</v>
      </c>
      <c r="C211" s="38" t="s">
        <v>905</v>
      </c>
      <c r="D211" s="38" t="s">
        <v>911</v>
      </c>
      <c r="E211" s="37" t="s">
        <v>105</v>
      </c>
      <c r="F211" s="37" t="s">
        <v>105</v>
      </c>
      <c r="G211" s="37" t="s">
        <v>564</v>
      </c>
      <c r="H211" s="37" t="s">
        <v>196</v>
      </c>
      <c r="I211" s="38" t="s">
        <v>1129</v>
      </c>
      <c r="J211" s="38" t="s">
        <v>566</v>
      </c>
      <c r="K211" s="39">
        <f t="shared" si="3"/>
        <v>1</v>
      </c>
    </row>
    <row r="212" spans="1:11" ht="32" customHeight="1">
      <c r="A212" s="37">
        <v>204</v>
      </c>
      <c r="B212" s="38" t="s">
        <v>912</v>
      </c>
      <c r="C212" s="38" t="s">
        <v>55</v>
      </c>
      <c r="D212" s="38" t="s">
        <v>913</v>
      </c>
      <c r="E212" s="37" t="s">
        <v>105</v>
      </c>
      <c r="F212" s="37" t="s">
        <v>105</v>
      </c>
      <c r="G212" s="37" t="s">
        <v>564</v>
      </c>
      <c r="H212" s="37" t="s">
        <v>196</v>
      </c>
      <c r="I212" s="38" t="s">
        <v>1129</v>
      </c>
      <c r="J212" s="38" t="s">
        <v>566</v>
      </c>
      <c r="K212" s="39">
        <f t="shared" si="3"/>
        <v>1</v>
      </c>
    </row>
    <row r="213" spans="1:11" ht="32" customHeight="1">
      <c r="A213" s="37">
        <v>205</v>
      </c>
      <c r="B213" s="38" t="s">
        <v>912</v>
      </c>
      <c r="C213" s="38" t="s">
        <v>55</v>
      </c>
      <c r="D213" s="38" t="s">
        <v>914</v>
      </c>
      <c r="E213" s="37" t="s">
        <v>105</v>
      </c>
      <c r="F213" s="37" t="s">
        <v>105</v>
      </c>
      <c r="G213" s="37" t="s">
        <v>564</v>
      </c>
      <c r="H213" s="37" t="s">
        <v>196</v>
      </c>
      <c r="I213" s="38" t="s">
        <v>1129</v>
      </c>
      <c r="J213" s="38" t="s">
        <v>566</v>
      </c>
      <c r="K213" s="39">
        <f t="shared" si="3"/>
        <v>1</v>
      </c>
    </row>
    <row r="214" spans="1:11" ht="32" customHeight="1">
      <c r="A214" s="37">
        <v>206</v>
      </c>
      <c r="B214" s="38" t="s">
        <v>912</v>
      </c>
      <c r="C214" s="38" t="s">
        <v>55</v>
      </c>
      <c r="D214" s="38" t="s">
        <v>1221</v>
      </c>
      <c r="E214" s="37" t="s">
        <v>105</v>
      </c>
      <c r="F214" s="37" t="s">
        <v>105</v>
      </c>
      <c r="G214" s="37" t="s">
        <v>564</v>
      </c>
      <c r="H214" s="37" t="s">
        <v>196</v>
      </c>
      <c r="I214" s="38" t="s">
        <v>1129</v>
      </c>
      <c r="J214" s="38" t="s">
        <v>566</v>
      </c>
      <c r="K214" s="39">
        <f t="shared" si="3"/>
        <v>1</v>
      </c>
    </row>
    <row r="215" spans="1:11" ht="32" customHeight="1">
      <c r="A215" s="37">
        <v>207</v>
      </c>
      <c r="B215" s="38" t="s">
        <v>912</v>
      </c>
      <c r="C215" s="38" t="s">
        <v>55</v>
      </c>
      <c r="D215" s="38" t="s">
        <v>917</v>
      </c>
      <c r="E215" s="37" t="s">
        <v>105</v>
      </c>
      <c r="F215" s="37" t="s">
        <v>105</v>
      </c>
      <c r="G215" s="37" t="s">
        <v>564</v>
      </c>
      <c r="H215" s="37" t="s">
        <v>196</v>
      </c>
      <c r="I215" s="38" t="s">
        <v>1129</v>
      </c>
      <c r="J215" s="38" t="s">
        <v>566</v>
      </c>
      <c r="K215" s="39">
        <f t="shared" si="3"/>
        <v>1</v>
      </c>
    </row>
    <row r="216" spans="1:11" ht="32" customHeight="1">
      <c r="A216" s="37">
        <v>208</v>
      </c>
      <c r="B216" s="38" t="s">
        <v>912</v>
      </c>
      <c r="C216" s="38" t="s">
        <v>55</v>
      </c>
      <c r="D216" s="38" t="s">
        <v>1222</v>
      </c>
      <c r="E216" s="37" t="s">
        <v>105</v>
      </c>
      <c r="F216" s="37" t="s">
        <v>105</v>
      </c>
      <c r="G216" s="37" t="s">
        <v>564</v>
      </c>
      <c r="H216" s="37" t="s">
        <v>196</v>
      </c>
      <c r="I216" s="38" t="s">
        <v>1129</v>
      </c>
      <c r="J216" s="38" t="s">
        <v>566</v>
      </c>
      <c r="K216" s="39">
        <f t="shared" si="3"/>
        <v>1</v>
      </c>
    </row>
    <row r="217" spans="1:11" ht="32" customHeight="1">
      <c r="A217" s="37">
        <v>209</v>
      </c>
      <c r="B217" s="38" t="s">
        <v>912</v>
      </c>
      <c r="C217" s="38" t="s">
        <v>55</v>
      </c>
      <c r="D217" s="38" t="s">
        <v>1223</v>
      </c>
      <c r="E217" s="37" t="s">
        <v>105</v>
      </c>
      <c r="F217" s="37" t="s">
        <v>105</v>
      </c>
      <c r="G217" s="37" t="s">
        <v>564</v>
      </c>
      <c r="H217" s="37" t="s">
        <v>196</v>
      </c>
      <c r="I217" s="38" t="s">
        <v>1129</v>
      </c>
      <c r="J217" s="38" t="s">
        <v>566</v>
      </c>
      <c r="K217" s="39">
        <f t="shared" si="3"/>
        <v>1</v>
      </c>
    </row>
    <row r="218" spans="1:11" ht="32" customHeight="1">
      <c r="A218" s="37">
        <v>210</v>
      </c>
      <c r="B218" s="38" t="s">
        <v>918</v>
      </c>
      <c r="C218" s="38" t="s">
        <v>919</v>
      </c>
      <c r="D218" s="38" t="s">
        <v>1224</v>
      </c>
      <c r="E218" s="37" t="s">
        <v>105</v>
      </c>
      <c r="F218" s="37" t="s">
        <v>105</v>
      </c>
      <c r="G218" s="37" t="s">
        <v>564</v>
      </c>
      <c r="H218" s="37" t="s">
        <v>196</v>
      </c>
      <c r="I218" s="38" t="s">
        <v>1129</v>
      </c>
      <c r="J218" s="38" t="s">
        <v>566</v>
      </c>
      <c r="K218" s="39">
        <f t="shared" si="3"/>
        <v>1</v>
      </c>
    </row>
    <row r="219" spans="1:11" ht="32" customHeight="1">
      <c r="A219" s="37">
        <v>211</v>
      </c>
      <c r="B219" s="38" t="s">
        <v>918</v>
      </c>
      <c r="C219" s="38" t="s">
        <v>919</v>
      </c>
      <c r="D219" s="38" t="s">
        <v>1225</v>
      </c>
      <c r="E219" s="37" t="s">
        <v>105</v>
      </c>
      <c r="F219" s="37" t="s">
        <v>105</v>
      </c>
      <c r="G219" s="37" t="s">
        <v>564</v>
      </c>
      <c r="H219" s="37" t="s">
        <v>196</v>
      </c>
      <c r="I219" s="38" t="s">
        <v>1129</v>
      </c>
      <c r="J219" s="38" t="s">
        <v>566</v>
      </c>
      <c r="K219" s="39">
        <f t="shared" si="3"/>
        <v>1</v>
      </c>
    </row>
    <row r="220" spans="1:11" ht="32" customHeight="1">
      <c r="A220" s="37">
        <v>212</v>
      </c>
      <c r="B220" s="38" t="s">
        <v>918</v>
      </c>
      <c r="C220" s="38" t="s">
        <v>919</v>
      </c>
      <c r="D220" s="38" t="s">
        <v>1226</v>
      </c>
      <c r="E220" s="37" t="s">
        <v>105</v>
      </c>
      <c r="F220" s="37" t="s">
        <v>105</v>
      </c>
      <c r="G220" s="37" t="s">
        <v>564</v>
      </c>
      <c r="H220" s="37" t="s">
        <v>196</v>
      </c>
      <c r="I220" s="38" t="s">
        <v>1129</v>
      </c>
      <c r="J220" s="38" t="s">
        <v>566</v>
      </c>
      <c r="K220" s="39">
        <f t="shared" si="3"/>
        <v>1</v>
      </c>
    </row>
    <row r="221" spans="1:11" ht="32" customHeight="1">
      <c r="A221" s="37">
        <v>213</v>
      </c>
      <c r="B221" s="38" t="s">
        <v>918</v>
      </c>
      <c r="C221" s="38" t="s">
        <v>919</v>
      </c>
      <c r="D221" s="38" t="s">
        <v>1227</v>
      </c>
      <c r="E221" s="37" t="s">
        <v>105</v>
      </c>
      <c r="F221" s="37" t="s">
        <v>105</v>
      </c>
      <c r="G221" s="37" t="s">
        <v>564</v>
      </c>
      <c r="H221" s="37" t="s">
        <v>196</v>
      </c>
      <c r="I221" s="38" t="s">
        <v>1129</v>
      </c>
      <c r="J221" s="38" t="s">
        <v>566</v>
      </c>
      <c r="K221" s="39">
        <f t="shared" si="3"/>
        <v>1</v>
      </c>
    </row>
    <row r="222" spans="1:11" ht="32" customHeight="1">
      <c r="A222" s="37">
        <v>214</v>
      </c>
      <c r="B222" s="38" t="s">
        <v>918</v>
      </c>
      <c r="C222" s="38" t="s">
        <v>919</v>
      </c>
      <c r="D222" s="38" t="s">
        <v>1228</v>
      </c>
      <c r="E222" s="37" t="s">
        <v>105</v>
      </c>
      <c r="F222" s="37" t="s">
        <v>105</v>
      </c>
      <c r="G222" s="37" t="s">
        <v>564</v>
      </c>
      <c r="H222" s="37" t="s">
        <v>196</v>
      </c>
      <c r="I222" s="38" t="s">
        <v>1129</v>
      </c>
      <c r="J222" s="38" t="s">
        <v>566</v>
      </c>
      <c r="K222" s="39">
        <f t="shared" si="3"/>
        <v>1</v>
      </c>
    </row>
    <row r="223" spans="1:11" ht="32" customHeight="1">
      <c r="A223" s="37">
        <v>215</v>
      </c>
      <c r="B223" s="38" t="s">
        <v>918</v>
      </c>
      <c r="C223" s="38" t="s">
        <v>919</v>
      </c>
      <c r="D223" s="38" t="s">
        <v>1229</v>
      </c>
      <c r="E223" s="37" t="s">
        <v>105</v>
      </c>
      <c r="F223" s="37" t="s">
        <v>105</v>
      </c>
      <c r="G223" s="37" t="s">
        <v>564</v>
      </c>
      <c r="H223" s="37" t="s">
        <v>196</v>
      </c>
      <c r="I223" s="38" t="s">
        <v>1129</v>
      </c>
      <c r="J223" s="38" t="s">
        <v>566</v>
      </c>
      <c r="K223" s="39">
        <f t="shared" si="3"/>
        <v>1</v>
      </c>
    </row>
    <row r="224" spans="1:11" ht="32" customHeight="1">
      <c r="A224" s="37">
        <v>216</v>
      </c>
      <c r="B224" s="38" t="s">
        <v>918</v>
      </c>
      <c r="C224" s="38" t="s">
        <v>919</v>
      </c>
      <c r="D224" s="38" t="s">
        <v>1230</v>
      </c>
      <c r="E224" s="37" t="s">
        <v>105</v>
      </c>
      <c r="F224" s="37" t="s">
        <v>105</v>
      </c>
      <c r="G224" s="37" t="s">
        <v>564</v>
      </c>
      <c r="H224" s="37" t="s">
        <v>196</v>
      </c>
      <c r="I224" s="38" t="s">
        <v>1129</v>
      </c>
      <c r="J224" s="38" t="s">
        <v>566</v>
      </c>
      <c r="K224" s="39">
        <f t="shared" si="3"/>
        <v>1</v>
      </c>
    </row>
    <row r="225" spans="1:11" ht="32" customHeight="1">
      <c r="A225" s="37">
        <v>217</v>
      </c>
      <c r="B225" s="38" t="s">
        <v>918</v>
      </c>
      <c r="C225" s="38" t="s">
        <v>919</v>
      </c>
      <c r="D225" s="38" t="s">
        <v>926</v>
      </c>
      <c r="E225" s="37" t="s">
        <v>105</v>
      </c>
      <c r="F225" s="37" t="s">
        <v>105</v>
      </c>
      <c r="G225" s="37" t="s">
        <v>564</v>
      </c>
      <c r="H225" s="37" t="s">
        <v>196</v>
      </c>
      <c r="I225" s="38" t="s">
        <v>1129</v>
      </c>
      <c r="J225" s="38" t="s">
        <v>566</v>
      </c>
      <c r="K225" s="39">
        <f t="shared" si="3"/>
        <v>1</v>
      </c>
    </row>
    <row r="226" spans="1:11" ht="32" customHeight="1">
      <c r="A226" s="37">
        <v>218</v>
      </c>
      <c r="B226" s="38" t="s">
        <v>918</v>
      </c>
      <c r="C226" s="38" t="s">
        <v>919</v>
      </c>
      <c r="D226" s="38" t="s">
        <v>1231</v>
      </c>
      <c r="E226" s="37" t="s">
        <v>105</v>
      </c>
      <c r="F226" s="37" t="s">
        <v>105</v>
      </c>
      <c r="G226" s="37" t="s">
        <v>564</v>
      </c>
      <c r="H226" s="37" t="s">
        <v>196</v>
      </c>
      <c r="I226" s="38" t="s">
        <v>1129</v>
      </c>
      <c r="J226" s="38" t="s">
        <v>566</v>
      </c>
      <c r="K226" s="39">
        <f t="shared" si="3"/>
        <v>1</v>
      </c>
    </row>
    <row r="227" spans="1:11" ht="32" customHeight="1">
      <c r="A227" s="37">
        <v>219</v>
      </c>
      <c r="B227" s="38" t="s">
        <v>918</v>
      </c>
      <c r="C227" s="38" t="s">
        <v>919</v>
      </c>
      <c r="D227" s="38" t="s">
        <v>925</v>
      </c>
      <c r="E227" s="37" t="s">
        <v>105</v>
      </c>
      <c r="F227" s="37" t="s">
        <v>105</v>
      </c>
      <c r="G227" s="37" t="s">
        <v>564</v>
      </c>
      <c r="H227" s="37" t="s">
        <v>196</v>
      </c>
      <c r="I227" s="38" t="s">
        <v>1129</v>
      </c>
      <c r="J227" s="38" t="s">
        <v>566</v>
      </c>
      <c r="K227" s="39">
        <f t="shared" si="3"/>
        <v>1</v>
      </c>
    </row>
    <row r="228" spans="1:11" ht="32" customHeight="1">
      <c r="A228" s="37">
        <v>220</v>
      </c>
      <c r="B228" s="38" t="s">
        <v>927</v>
      </c>
      <c r="C228" s="38" t="s">
        <v>928</v>
      </c>
      <c r="D228" s="38" t="s">
        <v>1232</v>
      </c>
      <c r="E228" s="37" t="s">
        <v>105</v>
      </c>
      <c r="F228" s="37" t="s">
        <v>105</v>
      </c>
      <c r="G228" s="37" t="s">
        <v>564</v>
      </c>
      <c r="H228" s="37" t="s">
        <v>196</v>
      </c>
      <c r="I228" s="38" t="s">
        <v>1129</v>
      </c>
      <c r="J228" s="38" t="s">
        <v>566</v>
      </c>
      <c r="K228" s="39">
        <f t="shared" si="3"/>
        <v>1</v>
      </c>
    </row>
    <row r="229" spans="1:11" ht="32" customHeight="1">
      <c r="A229" s="37">
        <v>221</v>
      </c>
      <c r="B229" s="38" t="s">
        <v>927</v>
      </c>
      <c r="C229" s="38" t="s">
        <v>928</v>
      </c>
      <c r="D229" s="38" t="s">
        <v>1233</v>
      </c>
      <c r="E229" s="37" t="s">
        <v>105</v>
      </c>
      <c r="F229" s="37" t="s">
        <v>105</v>
      </c>
      <c r="G229" s="37" t="s">
        <v>564</v>
      </c>
      <c r="H229" s="37" t="s">
        <v>196</v>
      </c>
      <c r="I229" s="38" t="s">
        <v>1129</v>
      </c>
      <c r="J229" s="38" t="s">
        <v>566</v>
      </c>
      <c r="K229" s="39">
        <f t="shared" si="3"/>
        <v>1</v>
      </c>
    </row>
    <row r="230" spans="1:11" ht="32" customHeight="1">
      <c r="A230" s="37">
        <v>222</v>
      </c>
      <c r="B230" s="38" t="s">
        <v>927</v>
      </c>
      <c r="C230" s="38" t="s">
        <v>928</v>
      </c>
      <c r="D230" s="38" t="s">
        <v>935</v>
      </c>
      <c r="E230" s="37" t="s">
        <v>105</v>
      </c>
      <c r="F230" s="37" t="s">
        <v>105</v>
      </c>
      <c r="G230" s="37" t="s">
        <v>564</v>
      </c>
      <c r="H230" s="37" t="s">
        <v>196</v>
      </c>
      <c r="I230" s="38" t="s">
        <v>1129</v>
      </c>
      <c r="J230" s="38" t="s">
        <v>566</v>
      </c>
      <c r="K230" s="39">
        <f t="shared" si="3"/>
        <v>1</v>
      </c>
    </row>
    <row r="231" spans="1:11" ht="32" customHeight="1">
      <c r="A231" s="37">
        <v>223</v>
      </c>
      <c r="B231" s="38" t="s">
        <v>927</v>
      </c>
      <c r="C231" s="38" t="s">
        <v>928</v>
      </c>
      <c r="D231" s="38" t="s">
        <v>936</v>
      </c>
      <c r="E231" s="37" t="s">
        <v>105</v>
      </c>
      <c r="F231" s="37" t="s">
        <v>105</v>
      </c>
      <c r="G231" s="37" t="s">
        <v>564</v>
      </c>
      <c r="H231" s="37" t="s">
        <v>196</v>
      </c>
      <c r="I231" s="38" t="s">
        <v>1129</v>
      </c>
      <c r="J231" s="38" t="s">
        <v>566</v>
      </c>
      <c r="K231" s="39">
        <f t="shared" si="3"/>
        <v>1</v>
      </c>
    </row>
    <row r="232" spans="1:11" ht="32" customHeight="1">
      <c r="A232" s="37">
        <v>224</v>
      </c>
      <c r="B232" s="38" t="s">
        <v>927</v>
      </c>
      <c r="C232" s="38" t="s">
        <v>928</v>
      </c>
      <c r="D232" s="38" t="s">
        <v>937</v>
      </c>
      <c r="E232" s="37" t="s">
        <v>105</v>
      </c>
      <c r="F232" s="37" t="s">
        <v>105</v>
      </c>
      <c r="G232" s="37" t="s">
        <v>564</v>
      </c>
      <c r="H232" s="37" t="s">
        <v>196</v>
      </c>
      <c r="I232" s="38" t="s">
        <v>1129</v>
      </c>
      <c r="J232" s="38" t="s">
        <v>566</v>
      </c>
      <c r="K232" s="39">
        <f t="shared" si="3"/>
        <v>1</v>
      </c>
    </row>
    <row r="233" spans="1:11" ht="30" customHeight="1">
      <c r="A233" s="37">
        <v>225</v>
      </c>
      <c r="B233" s="38" t="s">
        <v>927</v>
      </c>
      <c r="C233" s="38" t="s">
        <v>928</v>
      </c>
      <c r="D233" s="38" t="s">
        <v>938</v>
      </c>
      <c r="E233" s="37" t="s">
        <v>105</v>
      </c>
      <c r="F233" s="37" t="s">
        <v>105</v>
      </c>
      <c r="G233" s="37" t="s">
        <v>564</v>
      </c>
      <c r="H233" s="37" t="s">
        <v>196</v>
      </c>
      <c r="I233" s="38" t="s">
        <v>1129</v>
      </c>
      <c r="J233" s="38" t="s">
        <v>566</v>
      </c>
      <c r="K233" s="39">
        <f t="shared" si="3"/>
        <v>1</v>
      </c>
    </row>
    <row r="234" spans="1:11" ht="30" customHeight="1">
      <c r="A234" s="37">
        <v>226</v>
      </c>
      <c r="B234" s="38" t="s">
        <v>927</v>
      </c>
      <c r="C234" s="38" t="s">
        <v>928</v>
      </c>
      <c r="D234" s="38" t="s">
        <v>1234</v>
      </c>
      <c r="E234" s="37" t="s">
        <v>105</v>
      </c>
      <c r="F234" s="37" t="s">
        <v>105</v>
      </c>
      <c r="G234" s="37" t="s">
        <v>564</v>
      </c>
      <c r="H234" s="37" t="s">
        <v>196</v>
      </c>
      <c r="I234" s="38" t="s">
        <v>1129</v>
      </c>
      <c r="J234" s="38" t="s">
        <v>566</v>
      </c>
      <c r="K234" s="39">
        <f t="shared" si="3"/>
        <v>1</v>
      </c>
    </row>
    <row r="235" spans="1:11" ht="30" customHeight="1">
      <c r="A235" s="37">
        <v>227</v>
      </c>
      <c r="B235" s="38" t="s">
        <v>179</v>
      </c>
      <c r="C235" s="38" t="s">
        <v>1235</v>
      </c>
      <c r="D235" s="38" t="s">
        <v>1236</v>
      </c>
      <c r="E235" s="37" t="s">
        <v>105</v>
      </c>
      <c r="F235" s="37" t="s">
        <v>105</v>
      </c>
      <c r="G235" s="37" t="s">
        <v>564</v>
      </c>
      <c r="H235" s="37" t="s">
        <v>196</v>
      </c>
      <c r="I235" s="38" t="s">
        <v>1129</v>
      </c>
      <c r="J235" s="38" t="s">
        <v>566</v>
      </c>
      <c r="K235" s="39">
        <f t="shared" si="3"/>
        <v>1</v>
      </c>
    </row>
    <row r="236" spans="1:11" ht="30" customHeight="1">
      <c r="A236" s="37">
        <v>228</v>
      </c>
      <c r="B236" s="38" t="s">
        <v>31</v>
      </c>
      <c r="C236" s="38" t="s">
        <v>939</v>
      </c>
      <c r="D236" s="38" t="s">
        <v>940</v>
      </c>
      <c r="E236" s="37" t="s">
        <v>105</v>
      </c>
      <c r="F236" s="37" t="s">
        <v>105</v>
      </c>
      <c r="G236" s="37" t="s">
        <v>564</v>
      </c>
      <c r="H236" s="37" t="s">
        <v>196</v>
      </c>
      <c r="I236" s="38" t="s">
        <v>1129</v>
      </c>
      <c r="J236" s="38" t="s">
        <v>566</v>
      </c>
      <c r="K236" s="39">
        <f t="shared" si="3"/>
        <v>1</v>
      </c>
    </row>
    <row r="237" spans="1:11" ht="30" customHeight="1">
      <c r="A237" s="37">
        <v>229</v>
      </c>
      <c r="B237" s="38" t="s">
        <v>31</v>
      </c>
      <c r="C237" s="38" t="s">
        <v>939</v>
      </c>
      <c r="D237" s="38" t="s">
        <v>942</v>
      </c>
      <c r="E237" s="37" t="s">
        <v>105</v>
      </c>
      <c r="F237" s="37" t="s">
        <v>105</v>
      </c>
      <c r="G237" s="37" t="s">
        <v>564</v>
      </c>
      <c r="H237" s="37" t="s">
        <v>196</v>
      </c>
      <c r="I237" s="38" t="s">
        <v>1129</v>
      </c>
      <c r="J237" s="38" t="s">
        <v>566</v>
      </c>
      <c r="K237" s="39">
        <f t="shared" si="3"/>
        <v>1</v>
      </c>
    </row>
    <row r="238" spans="1:11" ht="30" customHeight="1">
      <c r="A238" s="37">
        <v>230</v>
      </c>
      <c r="B238" s="38" t="s">
        <v>94</v>
      </c>
      <c r="C238" s="38" t="s">
        <v>191</v>
      </c>
      <c r="D238" s="38" t="s">
        <v>192</v>
      </c>
      <c r="E238" s="37" t="s">
        <v>105</v>
      </c>
      <c r="F238" s="37" t="s">
        <v>105</v>
      </c>
      <c r="G238" s="37" t="s">
        <v>564</v>
      </c>
      <c r="H238" s="37" t="s">
        <v>196</v>
      </c>
      <c r="I238" s="38" t="s">
        <v>1129</v>
      </c>
      <c r="J238" s="38" t="s">
        <v>566</v>
      </c>
      <c r="K238" s="39">
        <f t="shared" si="3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61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1237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53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195</v>
      </c>
      <c r="H9" s="9" t="s">
        <v>196</v>
      </c>
      <c r="I9" s="5" t="s">
        <v>100</v>
      </c>
      <c r="J9" s="5" t="s">
        <v>1238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195</v>
      </c>
      <c r="H10" s="9" t="s">
        <v>196</v>
      </c>
      <c r="I10" s="5" t="s">
        <v>100</v>
      </c>
      <c r="J10" s="5" t="s">
        <v>1238</v>
      </c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35</v>
      </c>
      <c r="D11" s="5" t="s">
        <v>104</v>
      </c>
      <c r="E11" s="7" t="s">
        <v>105</v>
      </c>
      <c r="F11" s="8" t="s">
        <v>105</v>
      </c>
      <c r="G11" s="4" t="s">
        <v>195</v>
      </c>
      <c r="H11" s="9" t="s">
        <v>196</v>
      </c>
      <c r="I11" s="5" t="s">
        <v>1239</v>
      </c>
      <c r="J11" s="5" t="s">
        <v>1238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35</v>
      </c>
      <c r="D12" s="5" t="s">
        <v>110</v>
      </c>
      <c r="E12" s="7" t="s">
        <v>105</v>
      </c>
      <c r="F12" s="8" t="s">
        <v>105</v>
      </c>
      <c r="G12" s="4" t="s">
        <v>195</v>
      </c>
      <c r="H12" s="9" t="s">
        <v>196</v>
      </c>
      <c r="I12" s="5" t="s">
        <v>1239</v>
      </c>
      <c r="J12" s="5" t="s">
        <v>1238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35</v>
      </c>
      <c r="D13" s="5" t="s">
        <v>111</v>
      </c>
      <c r="E13" s="7" t="s">
        <v>105</v>
      </c>
      <c r="F13" s="8" t="s">
        <v>105</v>
      </c>
      <c r="G13" s="4" t="s">
        <v>195</v>
      </c>
      <c r="H13" s="9" t="s">
        <v>196</v>
      </c>
      <c r="I13" s="5" t="s">
        <v>1239</v>
      </c>
      <c r="J13" s="5" t="s">
        <v>1238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35</v>
      </c>
      <c r="D14" s="5" t="s">
        <v>112</v>
      </c>
      <c r="E14" s="7" t="s">
        <v>105</v>
      </c>
      <c r="F14" s="8" t="s">
        <v>105</v>
      </c>
      <c r="G14" s="4" t="s">
        <v>195</v>
      </c>
      <c r="H14" s="9" t="s">
        <v>196</v>
      </c>
      <c r="I14" s="5" t="s">
        <v>1239</v>
      </c>
      <c r="J14" s="5" t="s">
        <v>1238</v>
      </c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35</v>
      </c>
      <c r="D15" s="5" t="s">
        <v>1240</v>
      </c>
      <c r="E15" s="7" t="s">
        <v>105</v>
      </c>
      <c r="F15" s="8" t="s">
        <v>105</v>
      </c>
      <c r="G15" s="4" t="s">
        <v>195</v>
      </c>
      <c r="H15" s="9" t="s">
        <v>196</v>
      </c>
      <c r="I15" s="5" t="s">
        <v>1239</v>
      </c>
      <c r="J15" s="5" t="s">
        <v>1238</v>
      </c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35</v>
      </c>
      <c r="D16" s="5" t="s">
        <v>1241</v>
      </c>
      <c r="E16" s="7" t="s">
        <v>105</v>
      </c>
      <c r="F16" s="8" t="s">
        <v>105</v>
      </c>
      <c r="G16" s="4" t="s">
        <v>195</v>
      </c>
      <c r="H16" s="9" t="s">
        <v>196</v>
      </c>
      <c r="I16" s="5" t="s">
        <v>1239</v>
      </c>
      <c r="J16" s="5" t="s">
        <v>1238</v>
      </c>
      <c r="K16" s="6">
        <f t="shared" si="0"/>
        <v>1</v>
      </c>
    </row>
    <row r="17" spans="1:11" ht="45" customHeight="1">
      <c r="A17" s="4">
        <v>9</v>
      </c>
      <c r="B17" s="5" t="s">
        <v>113</v>
      </c>
      <c r="C17" s="5" t="s">
        <v>35</v>
      </c>
      <c r="D17" s="5" t="s">
        <v>1242</v>
      </c>
      <c r="E17" s="7" t="s">
        <v>105</v>
      </c>
      <c r="F17" s="8" t="s">
        <v>105</v>
      </c>
      <c r="G17" s="4" t="s">
        <v>195</v>
      </c>
      <c r="H17" s="9" t="s">
        <v>196</v>
      </c>
      <c r="I17" s="5" t="s">
        <v>1239</v>
      </c>
      <c r="J17" s="5" t="s">
        <v>1238</v>
      </c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35</v>
      </c>
      <c r="D18" s="5" t="s">
        <v>1243</v>
      </c>
      <c r="E18" s="7" t="s">
        <v>105</v>
      </c>
      <c r="F18" s="8" t="s">
        <v>105</v>
      </c>
      <c r="G18" s="4" t="s">
        <v>195</v>
      </c>
      <c r="H18" s="9" t="s">
        <v>196</v>
      </c>
      <c r="I18" s="5" t="s">
        <v>1239</v>
      </c>
      <c r="J18" s="5" t="s">
        <v>1238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35</v>
      </c>
      <c r="D19" s="5" t="s">
        <v>1244</v>
      </c>
      <c r="E19" s="7" t="s">
        <v>105</v>
      </c>
      <c r="F19" s="8" t="s">
        <v>105</v>
      </c>
      <c r="G19" s="4" t="s">
        <v>195</v>
      </c>
      <c r="H19" s="9" t="s">
        <v>196</v>
      </c>
      <c r="I19" s="5" t="s">
        <v>1239</v>
      </c>
      <c r="J19" s="5" t="s">
        <v>1238</v>
      </c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35</v>
      </c>
      <c r="D20" s="5" t="s">
        <v>1245</v>
      </c>
      <c r="E20" s="7" t="s">
        <v>105</v>
      </c>
      <c r="F20" s="8" t="s">
        <v>105</v>
      </c>
      <c r="G20" s="4" t="s">
        <v>1246</v>
      </c>
      <c r="H20" s="9" t="s">
        <v>196</v>
      </c>
      <c r="I20" s="5" t="s">
        <v>1239</v>
      </c>
      <c r="J20" s="5" t="s">
        <v>1247</v>
      </c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195</v>
      </c>
      <c r="H21" s="9" t="s">
        <v>196</v>
      </c>
      <c r="I21" s="5" t="s">
        <v>1239</v>
      </c>
      <c r="J21" s="5" t="s">
        <v>1238</v>
      </c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195</v>
      </c>
      <c r="H22" s="9" t="s">
        <v>196</v>
      </c>
      <c r="I22" s="5" t="s">
        <v>1239</v>
      </c>
      <c r="J22" s="5" t="s">
        <v>1238</v>
      </c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195</v>
      </c>
      <c r="H23" s="9" t="s">
        <v>196</v>
      </c>
      <c r="I23" s="5" t="s">
        <v>1239</v>
      </c>
      <c r="J23" s="5" t="s">
        <v>1238</v>
      </c>
      <c r="K23" s="6">
        <f t="shared" si="0"/>
        <v>1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195</v>
      </c>
      <c r="H24" s="9" t="s">
        <v>196</v>
      </c>
      <c r="I24" s="5" t="s">
        <v>1239</v>
      </c>
      <c r="J24" s="5" t="s">
        <v>1238</v>
      </c>
      <c r="K24" s="6">
        <f t="shared" si="0"/>
        <v>1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195</v>
      </c>
      <c r="H25" s="9" t="s">
        <v>196</v>
      </c>
      <c r="I25" s="5" t="s">
        <v>1239</v>
      </c>
      <c r="J25" s="5" t="s">
        <v>1238</v>
      </c>
      <c r="K25" s="6">
        <f t="shared" si="0"/>
        <v>1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195</v>
      </c>
      <c r="H26" s="9" t="s">
        <v>196</v>
      </c>
      <c r="I26" s="5" t="s">
        <v>1239</v>
      </c>
      <c r="J26" s="5" t="s">
        <v>1238</v>
      </c>
      <c r="K26" s="6">
        <f t="shared" si="0"/>
        <v>1</v>
      </c>
    </row>
    <row r="27" spans="1:11" ht="15" customHeight="1">
      <c r="A27" s="4">
        <v>19</v>
      </c>
      <c r="B27" s="5" t="s">
        <v>133</v>
      </c>
      <c r="C27" s="5" t="s">
        <v>121</v>
      </c>
      <c r="D27" s="5" t="s">
        <v>1248</v>
      </c>
      <c r="E27" s="7" t="s">
        <v>105</v>
      </c>
      <c r="F27" s="8" t="s">
        <v>105</v>
      </c>
      <c r="G27" s="4" t="s">
        <v>195</v>
      </c>
      <c r="H27" s="9" t="s">
        <v>196</v>
      </c>
      <c r="I27" s="5" t="s">
        <v>1239</v>
      </c>
      <c r="J27" s="5" t="s">
        <v>1238</v>
      </c>
      <c r="K27" s="6">
        <f t="shared" si="0"/>
        <v>1</v>
      </c>
    </row>
    <row r="28" spans="1:11" ht="15" customHeight="1">
      <c r="A28" s="4">
        <v>20</v>
      </c>
      <c r="B28" s="5" t="s">
        <v>133</v>
      </c>
      <c r="C28" s="5" t="s">
        <v>121</v>
      </c>
      <c r="D28" s="5" t="s">
        <v>1249</v>
      </c>
      <c r="E28" s="7" t="s">
        <v>105</v>
      </c>
      <c r="F28" s="8" t="s">
        <v>105</v>
      </c>
      <c r="G28" s="4" t="s">
        <v>195</v>
      </c>
      <c r="H28" s="9" t="s">
        <v>196</v>
      </c>
      <c r="I28" s="5" t="s">
        <v>1239</v>
      </c>
      <c r="J28" s="5" t="s">
        <v>1238</v>
      </c>
      <c r="K28" s="6">
        <f t="shared" si="0"/>
        <v>1</v>
      </c>
    </row>
    <row r="29" spans="1:11" ht="15" customHeight="1">
      <c r="A29" s="4">
        <v>21</v>
      </c>
      <c r="B29" s="5" t="s">
        <v>130</v>
      </c>
      <c r="C29" s="5" t="s">
        <v>121</v>
      </c>
      <c r="D29" s="5" t="s">
        <v>131</v>
      </c>
      <c r="E29" s="7" t="s">
        <v>105</v>
      </c>
      <c r="F29" s="8" t="s">
        <v>105</v>
      </c>
      <c r="G29" s="4" t="s">
        <v>195</v>
      </c>
      <c r="H29" s="9" t="s">
        <v>196</v>
      </c>
      <c r="I29" s="5" t="s">
        <v>1239</v>
      </c>
      <c r="J29" s="5" t="s">
        <v>1238</v>
      </c>
      <c r="K29" s="6">
        <f t="shared" si="0"/>
        <v>1</v>
      </c>
    </row>
    <row r="30" spans="1:11" ht="15" customHeight="1">
      <c r="A30" s="4">
        <v>22</v>
      </c>
      <c r="B30" s="5" t="s">
        <v>130</v>
      </c>
      <c r="C30" s="5" t="s">
        <v>121</v>
      </c>
      <c r="D30" s="5" t="s">
        <v>132</v>
      </c>
      <c r="E30" s="7" t="s">
        <v>105</v>
      </c>
      <c r="F30" s="8" t="s">
        <v>105</v>
      </c>
      <c r="G30" s="4" t="s">
        <v>195</v>
      </c>
      <c r="H30" s="9" t="s">
        <v>196</v>
      </c>
      <c r="I30" s="5" t="s">
        <v>1239</v>
      </c>
      <c r="J30" s="5" t="s">
        <v>1238</v>
      </c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142</v>
      </c>
      <c r="E31" s="7" t="s">
        <v>105</v>
      </c>
      <c r="F31" s="8" t="s">
        <v>105</v>
      </c>
      <c r="G31" s="4" t="s">
        <v>195</v>
      </c>
      <c r="H31" s="9" t="s">
        <v>196</v>
      </c>
      <c r="I31" s="5" t="s">
        <v>1239</v>
      </c>
      <c r="J31" s="5" t="s">
        <v>1238</v>
      </c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1250</v>
      </c>
      <c r="E32" s="7" t="s">
        <v>105</v>
      </c>
      <c r="F32" s="8" t="s">
        <v>105</v>
      </c>
      <c r="G32" s="4" t="s">
        <v>195</v>
      </c>
      <c r="H32" s="9" t="s">
        <v>196</v>
      </c>
      <c r="I32" s="5" t="s">
        <v>1239</v>
      </c>
      <c r="J32" s="5" t="s">
        <v>1238</v>
      </c>
      <c r="K32" s="6">
        <f t="shared" si="0"/>
        <v>1</v>
      </c>
    </row>
    <row r="33" spans="1:11" ht="15" customHeight="1">
      <c r="A33" s="4">
        <v>25</v>
      </c>
      <c r="B33" s="5" t="s">
        <v>120</v>
      </c>
      <c r="C33" s="5" t="s">
        <v>150</v>
      </c>
      <c r="D33" s="5" t="s">
        <v>122</v>
      </c>
      <c r="E33" s="7" t="s">
        <v>105</v>
      </c>
      <c r="F33" s="8" t="s">
        <v>105</v>
      </c>
      <c r="G33" s="4" t="s">
        <v>195</v>
      </c>
      <c r="H33" s="9" t="s">
        <v>196</v>
      </c>
      <c r="I33" s="5" t="s">
        <v>1239</v>
      </c>
      <c r="J33" s="5" t="s">
        <v>1238</v>
      </c>
      <c r="K33" s="6">
        <f t="shared" si="0"/>
        <v>1</v>
      </c>
    </row>
    <row r="34" spans="1:11" ht="15" customHeight="1">
      <c r="A34" s="4">
        <v>26</v>
      </c>
      <c r="B34" s="5" t="s">
        <v>120</v>
      </c>
      <c r="C34" s="5" t="s">
        <v>150</v>
      </c>
      <c r="D34" s="5" t="s">
        <v>123</v>
      </c>
      <c r="E34" s="7" t="s">
        <v>105</v>
      </c>
      <c r="F34" s="8" t="s">
        <v>105</v>
      </c>
      <c r="G34" s="4" t="s">
        <v>195</v>
      </c>
      <c r="H34" s="9" t="s">
        <v>196</v>
      </c>
      <c r="I34" s="5" t="s">
        <v>1239</v>
      </c>
      <c r="J34" s="5" t="s">
        <v>1238</v>
      </c>
      <c r="K34" s="6">
        <f t="shared" si="0"/>
        <v>1</v>
      </c>
    </row>
    <row r="35" spans="1:11" ht="30" customHeight="1">
      <c r="A35" s="4">
        <v>27</v>
      </c>
      <c r="B35" s="5" t="s">
        <v>124</v>
      </c>
      <c r="C35" s="5" t="s">
        <v>150</v>
      </c>
      <c r="D35" s="5" t="s">
        <v>125</v>
      </c>
      <c r="E35" s="7" t="s">
        <v>105</v>
      </c>
      <c r="F35" s="8" t="s">
        <v>105</v>
      </c>
      <c r="G35" s="4" t="s">
        <v>195</v>
      </c>
      <c r="H35" s="9" t="s">
        <v>196</v>
      </c>
      <c r="I35" s="5" t="s">
        <v>1239</v>
      </c>
      <c r="J35" s="5" t="s">
        <v>1238</v>
      </c>
      <c r="K35" s="6">
        <f t="shared" si="0"/>
        <v>1</v>
      </c>
    </row>
    <row r="36" spans="1:11" ht="15" customHeight="1">
      <c r="A36" s="4">
        <v>28</v>
      </c>
      <c r="B36" s="5" t="s">
        <v>124</v>
      </c>
      <c r="C36" s="5" t="s">
        <v>150</v>
      </c>
      <c r="D36" s="5" t="s">
        <v>126</v>
      </c>
      <c r="E36" s="7" t="s">
        <v>105</v>
      </c>
      <c r="F36" s="8" t="s">
        <v>105</v>
      </c>
      <c r="G36" s="4" t="s">
        <v>195</v>
      </c>
      <c r="H36" s="9" t="s">
        <v>196</v>
      </c>
      <c r="I36" s="5" t="s">
        <v>1239</v>
      </c>
      <c r="J36" s="5" t="s">
        <v>1238</v>
      </c>
      <c r="K36" s="6">
        <f t="shared" si="0"/>
        <v>1</v>
      </c>
    </row>
    <row r="37" spans="1:11" ht="15" customHeight="1">
      <c r="A37" s="4">
        <v>29</v>
      </c>
      <c r="B37" s="5" t="s">
        <v>95</v>
      </c>
      <c r="C37" s="5" t="s">
        <v>150</v>
      </c>
      <c r="D37" s="5" t="s">
        <v>127</v>
      </c>
      <c r="E37" s="7" t="s">
        <v>105</v>
      </c>
      <c r="F37" s="8" t="s">
        <v>105</v>
      </c>
      <c r="G37" s="4" t="s">
        <v>195</v>
      </c>
      <c r="H37" s="9" t="s">
        <v>196</v>
      </c>
      <c r="I37" s="5" t="s">
        <v>1239</v>
      </c>
      <c r="J37" s="5" t="s">
        <v>1238</v>
      </c>
      <c r="K37" s="6">
        <f t="shared" si="0"/>
        <v>1</v>
      </c>
    </row>
    <row r="38" spans="1:11" ht="15" customHeight="1">
      <c r="A38" s="4">
        <v>30</v>
      </c>
      <c r="B38" s="5" t="s">
        <v>128</v>
      </c>
      <c r="C38" s="5" t="s">
        <v>150</v>
      </c>
      <c r="D38" s="5" t="s">
        <v>129</v>
      </c>
      <c r="E38" s="7" t="s">
        <v>105</v>
      </c>
      <c r="F38" s="8" t="s">
        <v>105</v>
      </c>
      <c r="G38" s="4" t="s">
        <v>195</v>
      </c>
      <c r="H38" s="9" t="s">
        <v>196</v>
      </c>
      <c r="I38" s="5" t="s">
        <v>1239</v>
      </c>
      <c r="J38" s="5" t="s">
        <v>1238</v>
      </c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150</v>
      </c>
      <c r="D39" s="5" t="s">
        <v>428</v>
      </c>
      <c r="E39" s="7" t="s">
        <v>105</v>
      </c>
      <c r="F39" s="8" t="s">
        <v>105</v>
      </c>
      <c r="G39" s="4" t="s">
        <v>195</v>
      </c>
      <c r="H39" s="9" t="s">
        <v>196</v>
      </c>
      <c r="I39" s="5" t="s">
        <v>1239</v>
      </c>
      <c r="J39" s="5" t="s">
        <v>1238</v>
      </c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150</v>
      </c>
      <c r="D40" s="5" t="s">
        <v>966</v>
      </c>
      <c r="E40" s="7" t="s">
        <v>105</v>
      </c>
      <c r="F40" s="8" t="s">
        <v>105</v>
      </c>
      <c r="G40" s="4" t="s">
        <v>195</v>
      </c>
      <c r="H40" s="9" t="s">
        <v>196</v>
      </c>
      <c r="I40" s="5" t="s">
        <v>1239</v>
      </c>
      <c r="J40" s="5" t="s">
        <v>1238</v>
      </c>
      <c r="K40" s="6">
        <f t="shared" si="0"/>
        <v>1</v>
      </c>
    </row>
    <row r="41" spans="1:11" ht="15" customHeight="1">
      <c r="A41" s="4">
        <v>33</v>
      </c>
      <c r="B41" s="5" t="s">
        <v>133</v>
      </c>
      <c r="C41" s="5" t="s">
        <v>150</v>
      </c>
      <c r="D41" s="5" t="s">
        <v>1249</v>
      </c>
      <c r="E41" s="7" t="s">
        <v>105</v>
      </c>
      <c r="F41" s="8" t="s">
        <v>105</v>
      </c>
      <c r="G41" s="4" t="s">
        <v>195</v>
      </c>
      <c r="H41" s="9" t="s">
        <v>196</v>
      </c>
      <c r="I41" s="5" t="s">
        <v>1239</v>
      </c>
      <c r="J41" s="5" t="s">
        <v>1238</v>
      </c>
      <c r="K41" s="6">
        <f t="shared" ref="K41:K61" si="1">IF(AND(E41="yes",F41="yes",H41="covered"),1,IF(H41="partial",0.5,0))</f>
        <v>1</v>
      </c>
    </row>
    <row r="42" spans="1:11" ht="15" customHeight="1">
      <c r="A42" s="4">
        <v>34</v>
      </c>
      <c r="B42" s="5" t="s">
        <v>130</v>
      </c>
      <c r="C42" s="5" t="s">
        <v>150</v>
      </c>
      <c r="D42" s="5" t="s">
        <v>131</v>
      </c>
      <c r="E42" s="7" t="s">
        <v>105</v>
      </c>
      <c r="F42" s="8" t="s">
        <v>105</v>
      </c>
      <c r="G42" s="4" t="s">
        <v>195</v>
      </c>
      <c r="H42" s="9" t="s">
        <v>196</v>
      </c>
      <c r="I42" s="5" t="s">
        <v>1239</v>
      </c>
      <c r="J42" s="5" t="s">
        <v>1238</v>
      </c>
      <c r="K42" s="6">
        <f t="shared" si="1"/>
        <v>1</v>
      </c>
    </row>
    <row r="43" spans="1:11" ht="15" customHeight="1">
      <c r="A43" s="4">
        <v>35</v>
      </c>
      <c r="B43" s="5" t="s">
        <v>130</v>
      </c>
      <c r="C43" s="5" t="s">
        <v>150</v>
      </c>
      <c r="D43" s="5" t="s">
        <v>132</v>
      </c>
      <c r="E43" s="7" t="s">
        <v>105</v>
      </c>
      <c r="F43" s="8" t="s">
        <v>105</v>
      </c>
      <c r="G43" s="4" t="s">
        <v>195</v>
      </c>
      <c r="H43" s="9" t="s">
        <v>196</v>
      </c>
      <c r="I43" s="5" t="s">
        <v>1239</v>
      </c>
      <c r="J43" s="5" t="s">
        <v>1238</v>
      </c>
      <c r="K43" s="6">
        <f t="shared" si="1"/>
        <v>1</v>
      </c>
    </row>
    <row r="44" spans="1:11" ht="15" customHeight="1">
      <c r="A44" s="4">
        <v>36</v>
      </c>
      <c r="B44" s="5" t="s">
        <v>133</v>
      </c>
      <c r="C44" s="5" t="s">
        <v>150</v>
      </c>
      <c r="D44" s="5" t="s">
        <v>142</v>
      </c>
      <c r="E44" s="7" t="s">
        <v>105</v>
      </c>
      <c r="F44" s="8" t="s">
        <v>105</v>
      </c>
      <c r="G44" s="4" t="s">
        <v>195</v>
      </c>
      <c r="H44" s="9" t="s">
        <v>196</v>
      </c>
      <c r="I44" s="5" t="s">
        <v>1239</v>
      </c>
      <c r="J44" s="5" t="s">
        <v>1238</v>
      </c>
      <c r="K44" s="6">
        <f t="shared" si="1"/>
        <v>1</v>
      </c>
    </row>
    <row r="45" spans="1:11" ht="15" customHeight="1">
      <c r="A45" s="4">
        <v>37</v>
      </c>
      <c r="B45" s="5" t="s">
        <v>133</v>
      </c>
      <c r="C45" s="5" t="s">
        <v>150</v>
      </c>
      <c r="D45" s="5" t="s">
        <v>429</v>
      </c>
      <c r="E45" s="7" t="s">
        <v>105</v>
      </c>
      <c r="F45" s="8" t="s">
        <v>105</v>
      </c>
      <c r="G45" s="4" t="s">
        <v>195</v>
      </c>
      <c r="H45" s="9" t="s">
        <v>196</v>
      </c>
      <c r="I45" s="5" t="s">
        <v>1239</v>
      </c>
      <c r="J45" s="5" t="s">
        <v>1238</v>
      </c>
      <c r="K45" s="6">
        <f t="shared" si="1"/>
        <v>1</v>
      </c>
    </row>
    <row r="46" spans="1:11" ht="15" customHeight="1">
      <c r="A46" s="4">
        <v>38</v>
      </c>
      <c r="B46" s="5" t="s">
        <v>133</v>
      </c>
      <c r="C46" s="5" t="s">
        <v>150</v>
      </c>
      <c r="D46" s="5" t="s">
        <v>1251</v>
      </c>
      <c r="E46" s="7" t="s">
        <v>105</v>
      </c>
      <c r="F46" s="8" t="s">
        <v>105</v>
      </c>
      <c r="G46" s="4" t="s">
        <v>195</v>
      </c>
      <c r="H46" s="9" t="s">
        <v>196</v>
      </c>
      <c r="I46" s="5" t="s">
        <v>1239</v>
      </c>
      <c r="J46" s="5" t="s">
        <v>1238</v>
      </c>
      <c r="K46" s="6">
        <f t="shared" si="1"/>
        <v>1</v>
      </c>
    </row>
    <row r="47" spans="1:11" ht="15" customHeight="1">
      <c r="A47" s="4">
        <v>39</v>
      </c>
      <c r="B47" s="5" t="s">
        <v>153</v>
      </c>
      <c r="C47" s="5" t="s">
        <v>154</v>
      </c>
      <c r="D47" s="5" t="s">
        <v>1252</v>
      </c>
      <c r="E47" s="7" t="s">
        <v>105</v>
      </c>
      <c r="F47" s="8" t="s">
        <v>105</v>
      </c>
      <c r="G47" s="4" t="s">
        <v>195</v>
      </c>
      <c r="H47" s="9" t="s">
        <v>196</v>
      </c>
      <c r="I47" s="5" t="s">
        <v>1239</v>
      </c>
      <c r="J47" s="5" t="s">
        <v>1238</v>
      </c>
      <c r="K47" s="6">
        <f t="shared" si="1"/>
        <v>1</v>
      </c>
    </row>
    <row r="48" spans="1:11" ht="15" customHeight="1">
      <c r="A48" s="4">
        <v>40</v>
      </c>
      <c r="B48" s="5" t="s">
        <v>153</v>
      </c>
      <c r="C48" s="5" t="s">
        <v>154</v>
      </c>
      <c r="D48" s="5" t="s">
        <v>1253</v>
      </c>
      <c r="E48" s="7" t="s">
        <v>105</v>
      </c>
      <c r="F48" s="8" t="s">
        <v>105</v>
      </c>
      <c r="G48" s="4" t="s">
        <v>195</v>
      </c>
      <c r="H48" s="9" t="s">
        <v>196</v>
      </c>
      <c r="I48" s="5" t="s">
        <v>1239</v>
      </c>
      <c r="J48" s="5" t="s">
        <v>1238</v>
      </c>
      <c r="K48" s="6">
        <f t="shared" si="1"/>
        <v>1</v>
      </c>
    </row>
    <row r="49" spans="1:11" ht="15" customHeight="1">
      <c r="A49" s="4">
        <v>41</v>
      </c>
      <c r="B49" s="5" t="s">
        <v>153</v>
      </c>
      <c r="C49" s="5" t="s">
        <v>154</v>
      </c>
      <c r="D49" s="5" t="s">
        <v>1254</v>
      </c>
      <c r="E49" s="7" t="s">
        <v>105</v>
      </c>
      <c r="F49" s="8" t="s">
        <v>105</v>
      </c>
      <c r="G49" s="4" t="s">
        <v>195</v>
      </c>
      <c r="H49" s="9" t="s">
        <v>196</v>
      </c>
      <c r="I49" s="5" t="s">
        <v>1239</v>
      </c>
      <c r="J49" s="5" t="s">
        <v>1238</v>
      </c>
      <c r="K49" s="6">
        <f t="shared" si="1"/>
        <v>1</v>
      </c>
    </row>
    <row r="50" spans="1:11" ht="15" customHeight="1">
      <c r="A50" s="4">
        <v>42</v>
      </c>
      <c r="B50" s="5" t="s">
        <v>159</v>
      </c>
      <c r="C50" s="5" t="s">
        <v>154</v>
      </c>
      <c r="D50" s="5" t="s">
        <v>1255</v>
      </c>
      <c r="E50" s="7" t="s">
        <v>105</v>
      </c>
      <c r="F50" s="8" t="s">
        <v>105</v>
      </c>
      <c r="G50" s="4" t="s">
        <v>195</v>
      </c>
      <c r="H50" s="9" t="s">
        <v>196</v>
      </c>
      <c r="I50" s="5" t="s">
        <v>1239</v>
      </c>
      <c r="J50" s="5" t="s">
        <v>1238</v>
      </c>
      <c r="K50" s="6">
        <f t="shared" si="1"/>
        <v>1</v>
      </c>
    </row>
    <row r="51" spans="1:11" ht="15" customHeight="1">
      <c r="A51" s="4">
        <v>43</v>
      </c>
      <c r="B51" s="5" t="s">
        <v>159</v>
      </c>
      <c r="C51" s="5" t="s">
        <v>154</v>
      </c>
      <c r="D51" s="5" t="s">
        <v>440</v>
      </c>
      <c r="E51" s="7" t="s">
        <v>105</v>
      </c>
      <c r="F51" s="8" t="s">
        <v>105</v>
      </c>
      <c r="G51" s="4" t="s">
        <v>195</v>
      </c>
      <c r="H51" s="9" t="s">
        <v>196</v>
      </c>
      <c r="I51" s="5" t="s">
        <v>1239</v>
      </c>
      <c r="J51" s="5" t="s">
        <v>1238</v>
      </c>
      <c r="K51" s="6">
        <f t="shared" si="1"/>
        <v>1</v>
      </c>
    </row>
    <row r="52" spans="1:11" ht="15" customHeight="1">
      <c r="A52" s="4">
        <v>44</v>
      </c>
      <c r="B52" s="5" t="s">
        <v>159</v>
      </c>
      <c r="C52" s="5" t="s">
        <v>154</v>
      </c>
      <c r="D52" s="5" t="s">
        <v>1256</v>
      </c>
      <c r="E52" s="7" t="s">
        <v>105</v>
      </c>
      <c r="F52" s="8" t="s">
        <v>105</v>
      </c>
      <c r="G52" s="4" t="s">
        <v>195</v>
      </c>
      <c r="H52" s="9" t="s">
        <v>196</v>
      </c>
      <c r="I52" s="5" t="s">
        <v>1239</v>
      </c>
      <c r="J52" s="5" t="s">
        <v>1238</v>
      </c>
      <c r="K52" s="6">
        <f t="shared" si="1"/>
        <v>1</v>
      </c>
    </row>
    <row r="53" spans="1:11" ht="15" customHeight="1">
      <c r="A53" s="4">
        <v>45</v>
      </c>
      <c r="B53" s="5" t="s">
        <v>159</v>
      </c>
      <c r="C53" s="5" t="s">
        <v>154</v>
      </c>
      <c r="D53" s="5" t="s">
        <v>162</v>
      </c>
      <c r="E53" s="7" t="s">
        <v>105</v>
      </c>
      <c r="F53" s="8" t="s">
        <v>105</v>
      </c>
      <c r="G53" s="4" t="s">
        <v>195</v>
      </c>
      <c r="H53" s="9" t="s">
        <v>196</v>
      </c>
      <c r="I53" s="5" t="s">
        <v>1239</v>
      </c>
      <c r="J53" s="5" t="s">
        <v>1238</v>
      </c>
      <c r="K53" s="6">
        <f t="shared" si="1"/>
        <v>1</v>
      </c>
    </row>
    <row r="54" spans="1:11" ht="30" customHeight="1">
      <c r="A54" s="4">
        <v>46</v>
      </c>
      <c r="B54" s="5" t="s">
        <v>130</v>
      </c>
      <c r="C54" s="5" t="s">
        <v>35</v>
      </c>
      <c r="D54" s="5" t="s">
        <v>164</v>
      </c>
      <c r="E54" s="7" t="s">
        <v>105</v>
      </c>
      <c r="F54" s="8" t="s">
        <v>105</v>
      </c>
      <c r="G54" s="4" t="s">
        <v>195</v>
      </c>
      <c r="H54" s="9" t="s">
        <v>196</v>
      </c>
      <c r="I54" s="5" t="s">
        <v>1239</v>
      </c>
      <c r="J54" s="5" t="s">
        <v>1238</v>
      </c>
      <c r="K54" s="6">
        <f t="shared" si="1"/>
        <v>1</v>
      </c>
    </row>
    <row r="55" spans="1:11" ht="15" customHeight="1">
      <c r="A55" s="4">
        <v>47</v>
      </c>
      <c r="B55" s="5" t="s">
        <v>130</v>
      </c>
      <c r="C55" s="5" t="s">
        <v>35</v>
      </c>
      <c r="D55" s="5" t="s">
        <v>165</v>
      </c>
      <c r="E55" s="7" t="s">
        <v>105</v>
      </c>
      <c r="F55" s="8" t="s">
        <v>105</v>
      </c>
      <c r="G55" s="4" t="s">
        <v>195</v>
      </c>
      <c r="H55" s="9" t="s">
        <v>196</v>
      </c>
      <c r="I55" s="5" t="s">
        <v>1239</v>
      </c>
      <c r="J55" s="5" t="s">
        <v>1238</v>
      </c>
      <c r="K55" s="6">
        <f t="shared" si="1"/>
        <v>1</v>
      </c>
    </row>
    <row r="56" spans="1:11" ht="15" customHeight="1">
      <c r="A56" s="4">
        <v>48</v>
      </c>
      <c r="B56" s="5" t="s">
        <v>130</v>
      </c>
      <c r="C56" s="5" t="s">
        <v>35</v>
      </c>
      <c r="D56" s="5" t="s">
        <v>166</v>
      </c>
      <c r="E56" s="7" t="s">
        <v>105</v>
      </c>
      <c r="F56" s="8" t="s">
        <v>105</v>
      </c>
      <c r="G56" s="4" t="s">
        <v>195</v>
      </c>
      <c r="H56" s="9" t="s">
        <v>196</v>
      </c>
      <c r="I56" s="5" t="s">
        <v>1239</v>
      </c>
      <c r="J56" s="5" t="s">
        <v>1238</v>
      </c>
      <c r="K56" s="6">
        <f t="shared" si="1"/>
        <v>1</v>
      </c>
    </row>
    <row r="57" spans="1:11" ht="15" customHeight="1">
      <c r="A57" s="4">
        <v>49</v>
      </c>
      <c r="B57" s="5" t="s">
        <v>130</v>
      </c>
      <c r="C57" s="5" t="s">
        <v>35</v>
      </c>
      <c r="D57" s="5" t="s">
        <v>167</v>
      </c>
      <c r="E57" s="7" t="s">
        <v>105</v>
      </c>
      <c r="F57" s="8" t="s">
        <v>105</v>
      </c>
      <c r="G57" s="4" t="s">
        <v>195</v>
      </c>
      <c r="H57" s="9" t="s">
        <v>196</v>
      </c>
      <c r="I57" s="5" t="s">
        <v>1239</v>
      </c>
      <c r="J57" s="5" t="s">
        <v>1238</v>
      </c>
      <c r="K57" s="6">
        <f t="shared" si="1"/>
        <v>1</v>
      </c>
    </row>
    <row r="58" spans="1:11" ht="15" customHeight="1">
      <c r="A58" s="4">
        <v>50</v>
      </c>
      <c r="B58" s="5" t="s">
        <v>130</v>
      </c>
      <c r="C58" s="5" t="s">
        <v>35</v>
      </c>
      <c r="D58" s="5" t="s">
        <v>168</v>
      </c>
      <c r="E58" s="7" t="s">
        <v>105</v>
      </c>
      <c r="F58" s="8" t="s">
        <v>105</v>
      </c>
      <c r="G58" s="4" t="s">
        <v>195</v>
      </c>
      <c r="H58" s="9" t="s">
        <v>196</v>
      </c>
      <c r="I58" s="5" t="s">
        <v>1239</v>
      </c>
      <c r="J58" s="5" t="s">
        <v>1238</v>
      </c>
      <c r="K58" s="6">
        <f t="shared" si="1"/>
        <v>1</v>
      </c>
    </row>
    <row r="59" spans="1:11" ht="15" customHeight="1">
      <c r="A59" s="4">
        <v>51</v>
      </c>
      <c r="B59" s="5" t="s">
        <v>179</v>
      </c>
      <c r="C59" s="5" t="s">
        <v>35</v>
      </c>
      <c r="D59" s="5" t="s">
        <v>1257</v>
      </c>
      <c r="E59" s="7" t="s">
        <v>105</v>
      </c>
      <c r="F59" s="8" t="s">
        <v>105</v>
      </c>
      <c r="G59" s="4" t="s">
        <v>195</v>
      </c>
      <c r="H59" s="9" t="s">
        <v>196</v>
      </c>
      <c r="I59" s="5" t="s">
        <v>1239</v>
      </c>
      <c r="J59" s="5" t="s">
        <v>1238</v>
      </c>
      <c r="K59" s="6">
        <f t="shared" si="1"/>
        <v>1</v>
      </c>
    </row>
    <row r="60" spans="1:11" ht="15" customHeight="1">
      <c r="A60" s="4">
        <v>52</v>
      </c>
      <c r="B60" s="5" t="s">
        <v>179</v>
      </c>
      <c r="C60" s="5" t="s">
        <v>35</v>
      </c>
      <c r="D60" s="5" t="s">
        <v>1258</v>
      </c>
      <c r="E60" s="7" t="s">
        <v>105</v>
      </c>
      <c r="F60" s="8" t="s">
        <v>105</v>
      </c>
      <c r="G60" s="4" t="s">
        <v>195</v>
      </c>
      <c r="H60" s="9" t="s">
        <v>196</v>
      </c>
      <c r="I60" s="5" t="s">
        <v>1239</v>
      </c>
      <c r="J60" s="5" t="s">
        <v>1238</v>
      </c>
      <c r="K60" s="6">
        <f t="shared" si="1"/>
        <v>1</v>
      </c>
    </row>
    <row r="61" spans="1:11" ht="15" customHeight="1">
      <c r="A61" s="4">
        <v>53</v>
      </c>
      <c r="B61" s="5" t="s">
        <v>179</v>
      </c>
      <c r="C61" s="5" t="s">
        <v>35</v>
      </c>
      <c r="D61" s="5" t="s">
        <v>1259</v>
      </c>
      <c r="E61" s="7" t="s">
        <v>105</v>
      </c>
      <c r="F61" s="8" t="s">
        <v>105</v>
      </c>
      <c r="G61" s="4" t="s">
        <v>195</v>
      </c>
      <c r="H61" s="9" t="s">
        <v>196</v>
      </c>
      <c r="I61" s="5" t="s">
        <v>1239</v>
      </c>
      <c r="J61" s="5" t="s">
        <v>1238</v>
      </c>
      <c r="K61" s="6">
        <f t="shared" si="1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K108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1260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100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22">
        <v>1</v>
      </c>
      <c r="B9" s="23" t="s">
        <v>94</v>
      </c>
      <c r="C9" s="23" t="s">
        <v>95</v>
      </c>
      <c r="D9" s="23" t="s">
        <v>96</v>
      </c>
      <c r="E9" s="22" t="s">
        <v>105</v>
      </c>
      <c r="F9" s="22" t="s">
        <v>105</v>
      </c>
      <c r="G9" s="22" t="s">
        <v>442</v>
      </c>
      <c r="H9" s="22" t="s">
        <v>196</v>
      </c>
      <c r="I9" s="23" t="s">
        <v>1261</v>
      </c>
      <c r="J9" s="23" t="s">
        <v>109</v>
      </c>
      <c r="K9" s="24">
        <f>IF(H9="covered",1,IF(H9="partial",0.5,0))</f>
        <v>1</v>
      </c>
    </row>
    <row r="10" spans="1:11" ht="15" customHeight="1">
      <c r="A10" s="22">
        <v>2</v>
      </c>
      <c r="B10" s="23" t="s">
        <v>94</v>
      </c>
      <c r="C10" s="23" t="s">
        <v>95</v>
      </c>
      <c r="D10" s="23" t="s">
        <v>102</v>
      </c>
      <c r="E10" s="22" t="s">
        <v>105</v>
      </c>
      <c r="F10" s="22" t="s">
        <v>105</v>
      </c>
      <c r="G10" s="22" t="s">
        <v>442</v>
      </c>
      <c r="H10" s="22" t="s">
        <v>196</v>
      </c>
      <c r="I10" s="23" t="s">
        <v>1261</v>
      </c>
      <c r="J10" s="23" t="s">
        <v>109</v>
      </c>
      <c r="K10" s="24">
        <f>IF(H10="covered",1,IF(H10="partial",0.5,0))</f>
        <v>1</v>
      </c>
    </row>
    <row r="11" spans="1:11" ht="30" customHeight="1">
      <c r="A11" s="4">
        <v>3</v>
      </c>
      <c r="B11" s="5" t="s">
        <v>94</v>
      </c>
      <c r="C11" s="5" t="s">
        <v>36</v>
      </c>
      <c r="D11" s="5" t="s">
        <v>104</v>
      </c>
      <c r="E11" s="7" t="s">
        <v>105</v>
      </c>
      <c r="F11" s="8" t="s">
        <v>105</v>
      </c>
      <c r="G11" s="4" t="s">
        <v>442</v>
      </c>
      <c r="H11" s="9" t="s">
        <v>196</v>
      </c>
      <c r="I11" s="5" t="s">
        <v>1262</v>
      </c>
      <c r="J11" s="5" t="s">
        <v>1263</v>
      </c>
      <c r="K11" s="6">
        <f t="shared" ref="K11:K42" si="0">IF(AND(E11="yes",F11="yes",H11="covered"),1,IF(H11="partial",0.5,0))</f>
        <v>1</v>
      </c>
    </row>
    <row r="12" spans="1:11" ht="15" customHeight="1">
      <c r="A12" s="4">
        <v>4</v>
      </c>
      <c r="B12" s="5" t="s">
        <v>94</v>
      </c>
      <c r="C12" s="5" t="s">
        <v>36</v>
      </c>
      <c r="D12" s="5" t="s">
        <v>110</v>
      </c>
      <c r="E12" s="7" t="s">
        <v>105</v>
      </c>
      <c r="F12" s="8" t="s">
        <v>105</v>
      </c>
      <c r="G12" s="4" t="s">
        <v>442</v>
      </c>
      <c r="H12" s="9" t="s">
        <v>196</v>
      </c>
      <c r="I12" s="5" t="s">
        <v>1262</v>
      </c>
      <c r="J12" s="5" t="s">
        <v>1263</v>
      </c>
      <c r="K12" s="6">
        <f t="shared" si="0"/>
        <v>1</v>
      </c>
    </row>
    <row r="13" spans="1:11" ht="30" customHeight="1">
      <c r="A13" s="4">
        <v>5</v>
      </c>
      <c r="B13" s="5" t="s">
        <v>94</v>
      </c>
      <c r="C13" s="5" t="s">
        <v>36</v>
      </c>
      <c r="D13" s="5" t="s">
        <v>111</v>
      </c>
      <c r="E13" s="7" t="s">
        <v>105</v>
      </c>
      <c r="F13" s="8" t="s">
        <v>105</v>
      </c>
      <c r="G13" s="4" t="s">
        <v>442</v>
      </c>
      <c r="H13" s="9" t="s">
        <v>196</v>
      </c>
      <c r="I13" s="5" t="s">
        <v>1264</v>
      </c>
      <c r="J13" s="5" t="s">
        <v>1263</v>
      </c>
      <c r="K13" s="6">
        <f t="shared" si="0"/>
        <v>1</v>
      </c>
    </row>
    <row r="14" spans="1:11" ht="30" customHeight="1">
      <c r="A14" s="4">
        <v>6</v>
      </c>
      <c r="B14" s="5" t="s">
        <v>94</v>
      </c>
      <c r="C14" s="5" t="s">
        <v>36</v>
      </c>
      <c r="D14" s="5" t="s">
        <v>112</v>
      </c>
      <c r="E14" s="7" t="s">
        <v>105</v>
      </c>
      <c r="F14" s="8" t="s">
        <v>105</v>
      </c>
      <c r="G14" s="4" t="s">
        <v>442</v>
      </c>
      <c r="H14" s="9" t="s">
        <v>196</v>
      </c>
      <c r="I14" s="5" t="s">
        <v>1262</v>
      </c>
      <c r="J14" s="5" t="s">
        <v>1263</v>
      </c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36</v>
      </c>
      <c r="D15" s="5" t="s">
        <v>1265</v>
      </c>
      <c r="E15" s="7" t="s">
        <v>105</v>
      </c>
      <c r="F15" s="8" t="s">
        <v>105</v>
      </c>
      <c r="G15" s="4" t="s">
        <v>442</v>
      </c>
      <c r="H15" s="9" t="s">
        <v>196</v>
      </c>
      <c r="I15" s="5" t="s">
        <v>1262</v>
      </c>
      <c r="J15" s="5" t="s">
        <v>1263</v>
      </c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36</v>
      </c>
      <c r="D16" s="5" t="s">
        <v>1266</v>
      </c>
      <c r="E16" s="7" t="s">
        <v>105</v>
      </c>
      <c r="F16" s="8" t="s">
        <v>105</v>
      </c>
      <c r="G16" s="4" t="s">
        <v>442</v>
      </c>
      <c r="H16" s="9" t="s">
        <v>196</v>
      </c>
      <c r="I16" s="5" t="s">
        <v>1262</v>
      </c>
      <c r="J16" s="5" t="s">
        <v>1263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36</v>
      </c>
      <c r="D17" s="5" t="s">
        <v>1267</v>
      </c>
      <c r="E17" s="7" t="s">
        <v>105</v>
      </c>
      <c r="F17" s="8" t="s">
        <v>105</v>
      </c>
      <c r="G17" s="4" t="s">
        <v>442</v>
      </c>
      <c r="H17" s="9" t="s">
        <v>196</v>
      </c>
      <c r="I17" s="5" t="s">
        <v>1262</v>
      </c>
      <c r="J17" s="5" t="s">
        <v>1263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36</v>
      </c>
      <c r="D18" s="5" t="s">
        <v>1268</v>
      </c>
      <c r="E18" s="7" t="s">
        <v>105</v>
      </c>
      <c r="F18" s="8" t="s">
        <v>105</v>
      </c>
      <c r="G18" s="4" t="s">
        <v>442</v>
      </c>
      <c r="H18" s="9" t="s">
        <v>196</v>
      </c>
      <c r="I18" s="5" t="s">
        <v>1262</v>
      </c>
      <c r="J18" s="5" t="s">
        <v>1263</v>
      </c>
      <c r="K18" s="6">
        <f t="shared" si="0"/>
        <v>1</v>
      </c>
    </row>
    <row r="19" spans="1:11" ht="45" customHeight="1">
      <c r="A19" s="4">
        <v>11</v>
      </c>
      <c r="B19" s="5" t="s">
        <v>113</v>
      </c>
      <c r="C19" s="5" t="s">
        <v>36</v>
      </c>
      <c r="D19" s="5" t="s">
        <v>1269</v>
      </c>
      <c r="E19" s="7" t="s">
        <v>105</v>
      </c>
      <c r="F19" s="8" t="s">
        <v>105</v>
      </c>
      <c r="G19" s="4" t="s">
        <v>442</v>
      </c>
      <c r="H19" s="9" t="s">
        <v>196</v>
      </c>
      <c r="I19" s="5" t="s">
        <v>1262</v>
      </c>
      <c r="J19" s="5" t="s">
        <v>1263</v>
      </c>
      <c r="K19" s="6">
        <f t="shared" si="0"/>
        <v>1</v>
      </c>
    </row>
    <row r="20" spans="1:11" ht="4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105</v>
      </c>
      <c r="G20" s="4" t="s">
        <v>442</v>
      </c>
      <c r="H20" s="9" t="s">
        <v>196</v>
      </c>
      <c r="I20" s="5" t="s">
        <v>1262</v>
      </c>
      <c r="J20" s="5" t="s">
        <v>1263</v>
      </c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105</v>
      </c>
      <c r="G21" s="4" t="s">
        <v>442</v>
      </c>
      <c r="H21" s="9" t="s">
        <v>196</v>
      </c>
      <c r="I21" s="5" t="s">
        <v>1270</v>
      </c>
      <c r="J21" s="5" t="s">
        <v>1263</v>
      </c>
      <c r="K21" s="6">
        <f t="shared" si="0"/>
        <v>1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105</v>
      </c>
      <c r="G22" s="4" t="s">
        <v>442</v>
      </c>
      <c r="H22" s="9" t="s">
        <v>196</v>
      </c>
      <c r="I22" s="5" t="s">
        <v>1271</v>
      </c>
      <c r="J22" s="5" t="s">
        <v>1263</v>
      </c>
      <c r="K22" s="6">
        <f t="shared" si="0"/>
        <v>1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105</v>
      </c>
      <c r="G23" s="4" t="s">
        <v>442</v>
      </c>
      <c r="H23" s="9" t="s">
        <v>196</v>
      </c>
      <c r="I23" s="5" t="s">
        <v>1262</v>
      </c>
      <c r="J23" s="5" t="s">
        <v>1263</v>
      </c>
      <c r="K23" s="6">
        <f t="shared" si="0"/>
        <v>1</v>
      </c>
    </row>
    <row r="24" spans="1:11" ht="4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105</v>
      </c>
      <c r="G24" s="4" t="s">
        <v>442</v>
      </c>
      <c r="H24" s="9" t="s">
        <v>196</v>
      </c>
      <c r="I24" s="5" t="s">
        <v>1262</v>
      </c>
      <c r="J24" s="5" t="s">
        <v>1263</v>
      </c>
      <c r="K24" s="6">
        <f t="shared" si="0"/>
        <v>1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105</v>
      </c>
      <c r="G25" s="4" t="s">
        <v>442</v>
      </c>
      <c r="H25" s="9" t="s">
        <v>196</v>
      </c>
      <c r="I25" s="5" t="s">
        <v>1262</v>
      </c>
      <c r="J25" s="5" t="s">
        <v>1263</v>
      </c>
      <c r="K25" s="6">
        <f t="shared" si="0"/>
        <v>1</v>
      </c>
    </row>
    <row r="26" spans="1:11" ht="15" customHeight="1">
      <c r="A26" s="4">
        <v>18</v>
      </c>
      <c r="B26" s="5" t="s">
        <v>133</v>
      </c>
      <c r="C26" s="5" t="s">
        <v>121</v>
      </c>
      <c r="D26" s="5" t="s">
        <v>1272</v>
      </c>
      <c r="E26" s="7" t="s">
        <v>105</v>
      </c>
      <c r="F26" s="8" t="s">
        <v>105</v>
      </c>
      <c r="G26" s="4" t="s">
        <v>442</v>
      </c>
      <c r="H26" s="9" t="s">
        <v>196</v>
      </c>
      <c r="I26" s="5" t="s">
        <v>1270</v>
      </c>
      <c r="J26" s="5" t="s">
        <v>1263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140</v>
      </c>
      <c r="E27" s="7" t="s">
        <v>105</v>
      </c>
      <c r="F27" s="8" t="s">
        <v>105</v>
      </c>
      <c r="G27" s="4" t="s">
        <v>442</v>
      </c>
      <c r="H27" s="9" t="s">
        <v>196</v>
      </c>
      <c r="I27" s="5" t="s">
        <v>1262</v>
      </c>
      <c r="J27" s="5" t="s">
        <v>1263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612</v>
      </c>
      <c r="E28" s="7" t="s">
        <v>105</v>
      </c>
      <c r="F28" s="8" t="s">
        <v>105</v>
      </c>
      <c r="G28" s="4" t="s">
        <v>442</v>
      </c>
      <c r="H28" s="9" t="s">
        <v>196</v>
      </c>
      <c r="I28" s="5" t="s">
        <v>1262</v>
      </c>
      <c r="J28" s="5" t="s">
        <v>1263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610</v>
      </c>
      <c r="E29" s="7" t="s">
        <v>105</v>
      </c>
      <c r="F29" s="8" t="s">
        <v>105</v>
      </c>
      <c r="G29" s="4" t="s">
        <v>442</v>
      </c>
      <c r="H29" s="9" t="s">
        <v>196</v>
      </c>
      <c r="I29" s="5" t="s">
        <v>1262</v>
      </c>
      <c r="J29" s="5" t="s">
        <v>1263</v>
      </c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611</v>
      </c>
      <c r="E30" s="7" t="s">
        <v>105</v>
      </c>
      <c r="F30" s="8" t="s">
        <v>105</v>
      </c>
      <c r="G30" s="4" t="s">
        <v>442</v>
      </c>
      <c r="H30" s="9" t="s">
        <v>196</v>
      </c>
      <c r="I30" s="5" t="s">
        <v>1262</v>
      </c>
      <c r="J30" s="5" t="s">
        <v>1263</v>
      </c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141</v>
      </c>
      <c r="E31" s="7" t="s">
        <v>105</v>
      </c>
      <c r="F31" s="8" t="s">
        <v>105</v>
      </c>
      <c r="G31" s="4" t="s">
        <v>442</v>
      </c>
      <c r="H31" s="9" t="s">
        <v>196</v>
      </c>
      <c r="I31" s="5" t="s">
        <v>1262</v>
      </c>
      <c r="J31" s="5" t="s">
        <v>1263</v>
      </c>
      <c r="K31" s="6">
        <f t="shared" si="0"/>
        <v>1</v>
      </c>
    </row>
    <row r="32" spans="1:11" ht="15" customHeight="1">
      <c r="A32" s="4">
        <v>24</v>
      </c>
      <c r="B32" s="5" t="s">
        <v>130</v>
      </c>
      <c r="C32" s="5" t="s">
        <v>121</v>
      </c>
      <c r="D32" s="5" t="s">
        <v>131</v>
      </c>
      <c r="E32" s="7" t="s">
        <v>105</v>
      </c>
      <c r="F32" s="8" t="s">
        <v>105</v>
      </c>
      <c r="G32" s="4" t="s">
        <v>442</v>
      </c>
      <c r="H32" s="9" t="s">
        <v>196</v>
      </c>
      <c r="I32" s="5" t="s">
        <v>1262</v>
      </c>
      <c r="J32" s="5" t="s">
        <v>1263</v>
      </c>
      <c r="K32" s="6">
        <f t="shared" si="0"/>
        <v>1</v>
      </c>
    </row>
    <row r="33" spans="1:11" ht="15" customHeight="1">
      <c r="A33" s="4">
        <v>25</v>
      </c>
      <c r="B33" s="5" t="s">
        <v>130</v>
      </c>
      <c r="C33" s="5" t="s">
        <v>121</v>
      </c>
      <c r="D33" s="5" t="s">
        <v>132</v>
      </c>
      <c r="E33" s="7" t="s">
        <v>105</v>
      </c>
      <c r="F33" s="8" t="s">
        <v>105</v>
      </c>
      <c r="G33" s="4" t="s">
        <v>442</v>
      </c>
      <c r="H33" s="9" t="s">
        <v>196</v>
      </c>
      <c r="I33" s="5" t="s">
        <v>1262</v>
      </c>
      <c r="J33" s="5" t="s">
        <v>1263</v>
      </c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142</v>
      </c>
      <c r="E34" s="7" t="s">
        <v>105</v>
      </c>
      <c r="F34" s="8" t="s">
        <v>105</v>
      </c>
      <c r="G34" s="4" t="s">
        <v>442</v>
      </c>
      <c r="H34" s="9" t="s">
        <v>196</v>
      </c>
      <c r="I34" s="5" t="s">
        <v>1262</v>
      </c>
      <c r="J34" s="5" t="s">
        <v>1263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143</v>
      </c>
      <c r="E35" s="7" t="s">
        <v>105</v>
      </c>
      <c r="F35" s="8" t="s">
        <v>105</v>
      </c>
      <c r="G35" s="4" t="s">
        <v>442</v>
      </c>
      <c r="H35" s="9" t="s">
        <v>196</v>
      </c>
      <c r="I35" s="5" t="s">
        <v>1262</v>
      </c>
      <c r="J35" s="5" t="s">
        <v>1263</v>
      </c>
      <c r="K35" s="6">
        <f t="shared" si="0"/>
        <v>1</v>
      </c>
    </row>
    <row r="36" spans="1:11" ht="15" customHeight="1">
      <c r="A36" s="4">
        <v>28</v>
      </c>
      <c r="B36" s="5" t="s">
        <v>135</v>
      </c>
      <c r="C36" s="5" t="s">
        <v>121</v>
      </c>
      <c r="D36" s="5" t="s">
        <v>144</v>
      </c>
      <c r="E36" s="7" t="s">
        <v>105</v>
      </c>
      <c r="F36" s="8" t="s">
        <v>105</v>
      </c>
      <c r="G36" s="4" t="s">
        <v>442</v>
      </c>
      <c r="H36" s="9" t="s">
        <v>196</v>
      </c>
      <c r="I36" s="5" t="s">
        <v>1262</v>
      </c>
      <c r="J36" s="5" t="s">
        <v>1263</v>
      </c>
      <c r="K36" s="6">
        <f t="shared" si="0"/>
        <v>1</v>
      </c>
    </row>
    <row r="37" spans="1:11" ht="15" customHeight="1">
      <c r="A37" s="4">
        <v>29</v>
      </c>
      <c r="B37" s="5" t="s">
        <v>135</v>
      </c>
      <c r="C37" s="5" t="s">
        <v>121</v>
      </c>
      <c r="D37" s="5" t="s">
        <v>1273</v>
      </c>
      <c r="E37" s="7" t="s">
        <v>105</v>
      </c>
      <c r="F37" s="8" t="s">
        <v>105</v>
      </c>
      <c r="G37" s="4" t="s">
        <v>442</v>
      </c>
      <c r="H37" s="9" t="s">
        <v>196</v>
      </c>
      <c r="I37" s="5" t="s">
        <v>1262</v>
      </c>
      <c r="J37" s="5" t="s">
        <v>1263</v>
      </c>
      <c r="K37" s="6">
        <f t="shared" si="0"/>
        <v>1</v>
      </c>
    </row>
    <row r="38" spans="1:11" ht="15" customHeight="1">
      <c r="A38" s="4">
        <v>30</v>
      </c>
      <c r="B38" s="5" t="s">
        <v>135</v>
      </c>
      <c r="C38" s="5" t="s">
        <v>121</v>
      </c>
      <c r="D38" s="5" t="s">
        <v>616</v>
      </c>
      <c r="E38" s="7" t="s">
        <v>105</v>
      </c>
      <c r="F38" s="8" t="s">
        <v>105</v>
      </c>
      <c r="G38" s="4" t="s">
        <v>442</v>
      </c>
      <c r="H38" s="9" t="s">
        <v>196</v>
      </c>
      <c r="I38" s="5" t="s">
        <v>1262</v>
      </c>
      <c r="J38" s="5" t="s">
        <v>1263</v>
      </c>
      <c r="K38" s="6">
        <f t="shared" si="0"/>
        <v>1</v>
      </c>
    </row>
    <row r="39" spans="1:11" ht="45" customHeight="1">
      <c r="A39" s="4">
        <v>31</v>
      </c>
      <c r="B39" s="5" t="s">
        <v>135</v>
      </c>
      <c r="C39" s="5" t="s">
        <v>121</v>
      </c>
      <c r="D39" s="5" t="s">
        <v>617</v>
      </c>
      <c r="E39" s="7" t="s">
        <v>105</v>
      </c>
      <c r="F39" s="8" t="s">
        <v>105</v>
      </c>
      <c r="G39" s="4" t="s">
        <v>442</v>
      </c>
      <c r="H39" s="9" t="s">
        <v>196</v>
      </c>
      <c r="I39" s="5" t="s">
        <v>1262</v>
      </c>
      <c r="J39" s="5" t="s">
        <v>1263</v>
      </c>
      <c r="K39" s="6">
        <f t="shared" si="0"/>
        <v>1</v>
      </c>
    </row>
    <row r="40" spans="1:11" ht="45" customHeight="1">
      <c r="A40" s="4">
        <v>32</v>
      </c>
      <c r="B40" s="5" t="s">
        <v>120</v>
      </c>
      <c r="C40" s="5" t="s">
        <v>42</v>
      </c>
      <c r="D40" s="5" t="s">
        <v>122</v>
      </c>
      <c r="E40" s="7" t="s">
        <v>105</v>
      </c>
      <c r="F40" s="8" t="s">
        <v>105</v>
      </c>
      <c r="G40" s="4" t="s">
        <v>442</v>
      </c>
      <c r="H40" s="9" t="s">
        <v>196</v>
      </c>
      <c r="I40" s="5" t="s">
        <v>1262</v>
      </c>
      <c r="J40" s="5" t="s">
        <v>1263</v>
      </c>
      <c r="K40" s="6">
        <f t="shared" si="0"/>
        <v>1</v>
      </c>
    </row>
    <row r="41" spans="1:11" ht="15" customHeight="1">
      <c r="A41" s="4">
        <v>33</v>
      </c>
      <c r="B41" s="5" t="s">
        <v>120</v>
      </c>
      <c r="C41" s="5" t="s">
        <v>42</v>
      </c>
      <c r="D41" s="5" t="s">
        <v>123</v>
      </c>
      <c r="E41" s="7" t="s">
        <v>105</v>
      </c>
      <c r="F41" s="8" t="s">
        <v>105</v>
      </c>
      <c r="G41" s="4" t="s">
        <v>442</v>
      </c>
      <c r="H41" s="9" t="s">
        <v>196</v>
      </c>
      <c r="I41" s="5" t="s">
        <v>1270</v>
      </c>
      <c r="J41" s="5" t="s">
        <v>1263</v>
      </c>
      <c r="K41" s="6">
        <f t="shared" si="0"/>
        <v>1</v>
      </c>
    </row>
    <row r="42" spans="1:11" ht="30" customHeight="1">
      <c r="A42" s="4">
        <v>34</v>
      </c>
      <c r="B42" s="5" t="s">
        <v>124</v>
      </c>
      <c r="C42" s="5" t="s">
        <v>42</v>
      </c>
      <c r="D42" s="5" t="s">
        <v>125</v>
      </c>
      <c r="E42" s="7" t="s">
        <v>105</v>
      </c>
      <c r="F42" s="8" t="s">
        <v>105</v>
      </c>
      <c r="G42" s="4" t="s">
        <v>442</v>
      </c>
      <c r="H42" s="9" t="s">
        <v>196</v>
      </c>
      <c r="I42" s="5" t="s">
        <v>1270</v>
      </c>
      <c r="J42" s="5" t="s">
        <v>1263</v>
      </c>
      <c r="K42" s="6">
        <f t="shared" si="0"/>
        <v>1</v>
      </c>
    </row>
    <row r="43" spans="1:11" ht="15" customHeight="1">
      <c r="A43" s="4">
        <v>35</v>
      </c>
      <c r="B43" s="5" t="s">
        <v>124</v>
      </c>
      <c r="C43" s="5" t="s">
        <v>42</v>
      </c>
      <c r="D43" s="5" t="s">
        <v>126</v>
      </c>
      <c r="E43" s="7" t="s">
        <v>105</v>
      </c>
      <c r="F43" s="8" t="s">
        <v>105</v>
      </c>
      <c r="G43" s="4" t="s">
        <v>442</v>
      </c>
      <c r="H43" s="9" t="s">
        <v>196</v>
      </c>
      <c r="I43" s="5" t="s">
        <v>1262</v>
      </c>
      <c r="J43" s="5" t="s">
        <v>1263</v>
      </c>
      <c r="K43" s="6">
        <f t="shared" ref="K43:K74" si="1">IF(AND(E43="yes",F43="yes",H43="covered"),1,IF(H43="partial",0.5,0))</f>
        <v>1</v>
      </c>
    </row>
    <row r="44" spans="1:11" ht="15" customHeight="1">
      <c r="A44" s="4">
        <v>36</v>
      </c>
      <c r="B44" s="5" t="s">
        <v>95</v>
      </c>
      <c r="C44" s="5" t="s">
        <v>42</v>
      </c>
      <c r="D44" s="5" t="s">
        <v>127</v>
      </c>
      <c r="E44" s="7" t="s">
        <v>105</v>
      </c>
      <c r="F44" s="8" t="s">
        <v>105</v>
      </c>
      <c r="G44" s="4" t="s">
        <v>442</v>
      </c>
      <c r="H44" s="9" t="s">
        <v>196</v>
      </c>
      <c r="I44" s="5" t="s">
        <v>1262</v>
      </c>
      <c r="J44" s="5" t="s">
        <v>1263</v>
      </c>
      <c r="K44" s="6">
        <f t="shared" si="1"/>
        <v>1</v>
      </c>
    </row>
    <row r="45" spans="1:11" ht="45" customHeight="1">
      <c r="A45" s="4">
        <v>37</v>
      </c>
      <c r="B45" s="5" t="s">
        <v>128</v>
      </c>
      <c r="C45" s="5" t="s">
        <v>42</v>
      </c>
      <c r="D45" s="5" t="s">
        <v>129</v>
      </c>
      <c r="E45" s="7" t="s">
        <v>105</v>
      </c>
      <c r="F45" s="8" t="s">
        <v>105</v>
      </c>
      <c r="G45" s="4" t="s">
        <v>442</v>
      </c>
      <c r="H45" s="9" t="s">
        <v>196</v>
      </c>
      <c r="I45" s="5" t="s">
        <v>1262</v>
      </c>
      <c r="J45" s="5" t="s">
        <v>1263</v>
      </c>
      <c r="K45" s="6">
        <f t="shared" si="1"/>
        <v>1</v>
      </c>
    </row>
    <row r="46" spans="1:11" ht="15" customHeight="1">
      <c r="A46" s="4">
        <v>38</v>
      </c>
      <c r="B46" s="5" t="s">
        <v>135</v>
      </c>
      <c r="C46" s="5" t="s">
        <v>42</v>
      </c>
      <c r="D46" s="5" t="s">
        <v>1274</v>
      </c>
      <c r="E46" s="7" t="s">
        <v>105</v>
      </c>
      <c r="F46" s="8" t="s">
        <v>105</v>
      </c>
      <c r="G46" s="4" t="s">
        <v>442</v>
      </c>
      <c r="H46" s="9" t="s">
        <v>196</v>
      </c>
      <c r="I46" s="5" t="s">
        <v>1262</v>
      </c>
      <c r="J46" s="5" t="s">
        <v>1263</v>
      </c>
      <c r="K46" s="6">
        <f t="shared" si="1"/>
        <v>1</v>
      </c>
    </row>
    <row r="47" spans="1:11" ht="15" customHeight="1">
      <c r="A47" s="4">
        <v>39</v>
      </c>
      <c r="B47" s="5" t="s">
        <v>133</v>
      </c>
      <c r="C47" s="5" t="s">
        <v>42</v>
      </c>
      <c r="D47" s="5" t="s">
        <v>1275</v>
      </c>
      <c r="E47" s="7" t="s">
        <v>105</v>
      </c>
      <c r="F47" s="8" t="s">
        <v>105</v>
      </c>
      <c r="G47" s="4" t="s">
        <v>442</v>
      </c>
      <c r="H47" s="9" t="s">
        <v>196</v>
      </c>
      <c r="I47" s="5" t="s">
        <v>1270</v>
      </c>
      <c r="J47" s="5" t="s">
        <v>1263</v>
      </c>
      <c r="K47" s="6">
        <f t="shared" si="1"/>
        <v>1</v>
      </c>
    </row>
    <row r="48" spans="1:11" ht="15" customHeight="1">
      <c r="A48" s="4">
        <v>40</v>
      </c>
      <c r="B48" s="5" t="s">
        <v>135</v>
      </c>
      <c r="C48" s="5" t="s">
        <v>42</v>
      </c>
      <c r="D48" s="5" t="s">
        <v>140</v>
      </c>
      <c r="E48" s="7" t="s">
        <v>105</v>
      </c>
      <c r="F48" s="8" t="s">
        <v>105</v>
      </c>
      <c r="G48" s="4" t="s">
        <v>442</v>
      </c>
      <c r="H48" s="9" t="s">
        <v>196</v>
      </c>
      <c r="I48" s="5" t="s">
        <v>1262</v>
      </c>
      <c r="J48" s="5" t="s">
        <v>1263</v>
      </c>
      <c r="K48" s="6">
        <f t="shared" si="1"/>
        <v>1</v>
      </c>
    </row>
    <row r="49" spans="1:11" ht="15" customHeight="1">
      <c r="A49" s="4">
        <v>41</v>
      </c>
      <c r="B49" s="5" t="s">
        <v>135</v>
      </c>
      <c r="C49" s="5" t="s">
        <v>42</v>
      </c>
      <c r="D49" s="5" t="s">
        <v>612</v>
      </c>
      <c r="E49" s="7" t="s">
        <v>105</v>
      </c>
      <c r="F49" s="8" t="s">
        <v>105</v>
      </c>
      <c r="G49" s="4" t="s">
        <v>442</v>
      </c>
      <c r="H49" s="9" t="s">
        <v>196</v>
      </c>
      <c r="I49" s="5" t="s">
        <v>1262</v>
      </c>
      <c r="J49" s="5" t="s">
        <v>1263</v>
      </c>
      <c r="K49" s="6">
        <f t="shared" si="1"/>
        <v>1</v>
      </c>
    </row>
    <row r="50" spans="1:11" ht="15" customHeight="1">
      <c r="A50" s="4">
        <v>42</v>
      </c>
      <c r="B50" s="5" t="s">
        <v>135</v>
      </c>
      <c r="C50" s="5" t="s">
        <v>42</v>
      </c>
      <c r="D50" s="5" t="s">
        <v>610</v>
      </c>
      <c r="E50" s="7" t="s">
        <v>105</v>
      </c>
      <c r="F50" s="8" t="s">
        <v>105</v>
      </c>
      <c r="G50" s="4" t="s">
        <v>442</v>
      </c>
      <c r="H50" s="9" t="s">
        <v>196</v>
      </c>
      <c r="I50" s="5" t="s">
        <v>1262</v>
      </c>
      <c r="J50" s="5" t="s">
        <v>1263</v>
      </c>
      <c r="K50" s="6">
        <f t="shared" si="1"/>
        <v>1</v>
      </c>
    </row>
    <row r="51" spans="1:11" ht="15" customHeight="1">
      <c r="A51" s="4">
        <v>43</v>
      </c>
      <c r="B51" s="5" t="s">
        <v>135</v>
      </c>
      <c r="C51" s="5" t="s">
        <v>42</v>
      </c>
      <c r="D51" s="5" t="s">
        <v>611</v>
      </c>
      <c r="E51" s="7" t="s">
        <v>105</v>
      </c>
      <c r="F51" s="8" t="s">
        <v>105</v>
      </c>
      <c r="G51" s="4" t="s">
        <v>442</v>
      </c>
      <c r="H51" s="9" t="s">
        <v>196</v>
      </c>
      <c r="I51" s="5" t="s">
        <v>1262</v>
      </c>
      <c r="J51" s="5" t="s">
        <v>1263</v>
      </c>
      <c r="K51" s="6">
        <f t="shared" si="1"/>
        <v>1</v>
      </c>
    </row>
    <row r="52" spans="1:11" ht="15" customHeight="1">
      <c r="A52" s="4">
        <v>44</v>
      </c>
      <c r="B52" s="5" t="s">
        <v>130</v>
      </c>
      <c r="C52" s="5" t="s">
        <v>42</v>
      </c>
      <c r="D52" s="5" t="s">
        <v>131</v>
      </c>
      <c r="E52" s="7" t="s">
        <v>105</v>
      </c>
      <c r="F52" s="8" t="s">
        <v>105</v>
      </c>
      <c r="G52" s="4" t="s">
        <v>442</v>
      </c>
      <c r="H52" s="9" t="s">
        <v>196</v>
      </c>
      <c r="I52" s="5" t="s">
        <v>1262</v>
      </c>
      <c r="J52" s="5" t="s">
        <v>1263</v>
      </c>
      <c r="K52" s="6">
        <f t="shared" si="1"/>
        <v>1</v>
      </c>
    </row>
    <row r="53" spans="1:11" ht="15" customHeight="1">
      <c r="A53" s="4">
        <v>45</v>
      </c>
      <c r="B53" s="5" t="s">
        <v>130</v>
      </c>
      <c r="C53" s="5" t="s">
        <v>42</v>
      </c>
      <c r="D53" s="5" t="s">
        <v>132</v>
      </c>
      <c r="E53" s="7" t="s">
        <v>105</v>
      </c>
      <c r="F53" s="8" t="s">
        <v>105</v>
      </c>
      <c r="G53" s="4" t="s">
        <v>442</v>
      </c>
      <c r="H53" s="9" t="s">
        <v>196</v>
      </c>
      <c r="I53" s="5" t="s">
        <v>1262</v>
      </c>
      <c r="J53" s="5" t="s">
        <v>1263</v>
      </c>
      <c r="K53" s="6">
        <f t="shared" si="1"/>
        <v>1</v>
      </c>
    </row>
    <row r="54" spans="1:11" ht="15" customHeight="1">
      <c r="A54" s="4">
        <v>46</v>
      </c>
      <c r="B54" s="5" t="s">
        <v>133</v>
      </c>
      <c r="C54" s="5" t="s">
        <v>42</v>
      </c>
      <c r="D54" s="5" t="s">
        <v>142</v>
      </c>
      <c r="E54" s="7" t="s">
        <v>105</v>
      </c>
      <c r="F54" s="8" t="s">
        <v>105</v>
      </c>
      <c r="G54" s="4" t="s">
        <v>442</v>
      </c>
      <c r="H54" s="9" t="s">
        <v>196</v>
      </c>
      <c r="I54" s="5" t="s">
        <v>1262</v>
      </c>
      <c r="J54" s="5" t="s">
        <v>1263</v>
      </c>
      <c r="K54" s="6">
        <f t="shared" si="1"/>
        <v>1</v>
      </c>
    </row>
    <row r="55" spans="1:11" ht="15" customHeight="1">
      <c r="A55" s="4">
        <v>47</v>
      </c>
      <c r="B55" s="5" t="s">
        <v>135</v>
      </c>
      <c r="C55" s="5" t="s">
        <v>42</v>
      </c>
      <c r="D55" s="5" t="s">
        <v>144</v>
      </c>
      <c r="E55" s="7" t="s">
        <v>105</v>
      </c>
      <c r="F55" s="8" t="s">
        <v>105</v>
      </c>
      <c r="G55" s="4" t="s">
        <v>442</v>
      </c>
      <c r="H55" s="9" t="s">
        <v>196</v>
      </c>
      <c r="I55" s="5" t="s">
        <v>1262</v>
      </c>
      <c r="J55" s="5" t="s">
        <v>1263</v>
      </c>
      <c r="K55" s="6">
        <f t="shared" si="1"/>
        <v>1</v>
      </c>
    </row>
    <row r="56" spans="1:11" ht="15" customHeight="1">
      <c r="A56" s="4">
        <v>48</v>
      </c>
      <c r="B56" s="5" t="s">
        <v>135</v>
      </c>
      <c r="C56" s="5" t="s">
        <v>42</v>
      </c>
      <c r="D56" s="5" t="s">
        <v>1273</v>
      </c>
      <c r="E56" s="7" t="s">
        <v>105</v>
      </c>
      <c r="F56" s="8" t="s">
        <v>105</v>
      </c>
      <c r="G56" s="4" t="s">
        <v>442</v>
      </c>
      <c r="H56" s="9" t="s">
        <v>196</v>
      </c>
      <c r="I56" s="5" t="s">
        <v>1262</v>
      </c>
      <c r="J56" s="5" t="s">
        <v>1263</v>
      </c>
      <c r="K56" s="6">
        <f t="shared" si="1"/>
        <v>1</v>
      </c>
    </row>
    <row r="57" spans="1:11" ht="15" customHeight="1">
      <c r="A57" s="4">
        <v>49</v>
      </c>
      <c r="B57" s="5" t="s">
        <v>135</v>
      </c>
      <c r="C57" s="5" t="s">
        <v>42</v>
      </c>
      <c r="D57" s="5" t="s">
        <v>616</v>
      </c>
      <c r="E57" s="7" t="s">
        <v>105</v>
      </c>
      <c r="F57" s="8" t="s">
        <v>105</v>
      </c>
      <c r="G57" s="4" t="s">
        <v>442</v>
      </c>
      <c r="H57" s="9" t="s">
        <v>196</v>
      </c>
      <c r="I57" s="5" t="s">
        <v>1262</v>
      </c>
      <c r="J57" s="5" t="s">
        <v>1263</v>
      </c>
      <c r="K57" s="6">
        <f t="shared" si="1"/>
        <v>1</v>
      </c>
    </row>
    <row r="58" spans="1:11" ht="45" customHeight="1">
      <c r="A58" s="4">
        <v>50</v>
      </c>
      <c r="B58" s="5" t="s">
        <v>135</v>
      </c>
      <c r="C58" s="5" t="s">
        <v>42</v>
      </c>
      <c r="D58" s="5" t="s">
        <v>617</v>
      </c>
      <c r="E58" s="7" t="s">
        <v>105</v>
      </c>
      <c r="F58" s="8" t="s">
        <v>105</v>
      </c>
      <c r="G58" s="4" t="s">
        <v>442</v>
      </c>
      <c r="H58" s="9" t="s">
        <v>196</v>
      </c>
      <c r="I58" s="5" t="s">
        <v>1262</v>
      </c>
      <c r="J58" s="5" t="s">
        <v>1263</v>
      </c>
      <c r="K58" s="6">
        <f t="shared" si="1"/>
        <v>1</v>
      </c>
    </row>
    <row r="59" spans="1:11" ht="45" customHeight="1">
      <c r="A59" s="4">
        <v>51</v>
      </c>
      <c r="B59" s="5" t="s">
        <v>120</v>
      </c>
      <c r="C59" s="5" t="s">
        <v>340</v>
      </c>
      <c r="D59" s="5" t="s">
        <v>122</v>
      </c>
      <c r="E59" s="7" t="s">
        <v>105</v>
      </c>
      <c r="F59" s="8" t="s">
        <v>105</v>
      </c>
      <c r="G59" s="4" t="s">
        <v>442</v>
      </c>
      <c r="H59" s="9" t="s">
        <v>196</v>
      </c>
      <c r="I59" s="5" t="s">
        <v>1262</v>
      </c>
      <c r="J59" s="5" t="s">
        <v>1263</v>
      </c>
      <c r="K59" s="6">
        <f t="shared" si="1"/>
        <v>1</v>
      </c>
    </row>
    <row r="60" spans="1:11" ht="15" customHeight="1">
      <c r="A60" s="4">
        <v>52</v>
      </c>
      <c r="B60" s="5" t="s">
        <v>120</v>
      </c>
      <c r="C60" s="5" t="s">
        <v>340</v>
      </c>
      <c r="D60" s="5" t="s">
        <v>123</v>
      </c>
      <c r="E60" s="7" t="s">
        <v>105</v>
      </c>
      <c r="F60" s="8" t="s">
        <v>105</v>
      </c>
      <c r="G60" s="4" t="s">
        <v>442</v>
      </c>
      <c r="H60" s="9" t="s">
        <v>196</v>
      </c>
      <c r="I60" s="5" t="s">
        <v>1270</v>
      </c>
      <c r="J60" s="5" t="s">
        <v>1263</v>
      </c>
      <c r="K60" s="6">
        <f t="shared" si="1"/>
        <v>1</v>
      </c>
    </row>
    <row r="61" spans="1:11" ht="30" customHeight="1">
      <c r="A61" s="4">
        <v>53</v>
      </c>
      <c r="B61" s="5" t="s">
        <v>124</v>
      </c>
      <c r="C61" s="5" t="s">
        <v>340</v>
      </c>
      <c r="D61" s="5" t="s">
        <v>125</v>
      </c>
      <c r="E61" s="7" t="s">
        <v>105</v>
      </c>
      <c r="F61" s="8" t="s">
        <v>105</v>
      </c>
      <c r="G61" s="4" t="s">
        <v>442</v>
      </c>
      <c r="H61" s="9" t="s">
        <v>196</v>
      </c>
      <c r="I61" s="5" t="s">
        <v>1270</v>
      </c>
      <c r="J61" s="5" t="s">
        <v>1263</v>
      </c>
      <c r="K61" s="6">
        <f t="shared" si="1"/>
        <v>1</v>
      </c>
    </row>
    <row r="62" spans="1:11" ht="15" customHeight="1">
      <c r="A62" s="4">
        <v>54</v>
      </c>
      <c r="B62" s="5" t="s">
        <v>124</v>
      </c>
      <c r="C62" s="5" t="s">
        <v>340</v>
      </c>
      <c r="D62" s="5" t="s">
        <v>126</v>
      </c>
      <c r="E62" s="7" t="s">
        <v>105</v>
      </c>
      <c r="F62" s="8" t="s">
        <v>105</v>
      </c>
      <c r="G62" s="4" t="s">
        <v>442</v>
      </c>
      <c r="H62" s="9" t="s">
        <v>196</v>
      </c>
      <c r="I62" s="5" t="s">
        <v>1262</v>
      </c>
      <c r="J62" s="5" t="s">
        <v>1263</v>
      </c>
      <c r="K62" s="6">
        <f t="shared" si="1"/>
        <v>1</v>
      </c>
    </row>
    <row r="63" spans="1:11" ht="15" customHeight="1">
      <c r="A63" s="4">
        <v>55</v>
      </c>
      <c r="B63" s="5" t="s">
        <v>95</v>
      </c>
      <c r="C63" s="5" t="s">
        <v>340</v>
      </c>
      <c r="D63" s="5" t="s">
        <v>127</v>
      </c>
      <c r="E63" s="7" t="s">
        <v>105</v>
      </c>
      <c r="F63" s="8" t="s">
        <v>105</v>
      </c>
      <c r="G63" s="4" t="s">
        <v>442</v>
      </c>
      <c r="H63" s="9" t="s">
        <v>196</v>
      </c>
      <c r="I63" s="5" t="s">
        <v>1262</v>
      </c>
      <c r="J63" s="5" t="s">
        <v>1263</v>
      </c>
      <c r="K63" s="6">
        <f t="shared" si="1"/>
        <v>1</v>
      </c>
    </row>
    <row r="64" spans="1:11" ht="15" customHeight="1">
      <c r="A64" s="4">
        <v>56</v>
      </c>
      <c r="B64" s="5" t="s">
        <v>128</v>
      </c>
      <c r="C64" s="5" t="s">
        <v>340</v>
      </c>
      <c r="D64" s="5" t="s">
        <v>129</v>
      </c>
      <c r="E64" s="7" t="s">
        <v>105</v>
      </c>
      <c r="F64" s="8" t="s">
        <v>105</v>
      </c>
      <c r="G64" s="4" t="s">
        <v>442</v>
      </c>
      <c r="H64" s="9" t="s">
        <v>196</v>
      </c>
      <c r="I64" s="5" t="s">
        <v>1262</v>
      </c>
      <c r="J64" s="5" t="s">
        <v>1263</v>
      </c>
      <c r="K64" s="6">
        <f t="shared" si="1"/>
        <v>1</v>
      </c>
    </row>
    <row r="65" spans="1:11" ht="15" customHeight="1">
      <c r="A65" s="4">
        <v>57</v>
      </c>
      <c r="B65" s="5" t="s">
        <v>130</v>
      </c>
      <c r="C65" s="5" t="s">
        <v>340</v>
      </c>
      <c r="D65" s="5" t="s">
        <v>131</v>
      </c>
      <c r="E65" s="7" t="s">
        <v>105</v>
      </c>
      <c r="F65" s="8" t="s">
        <v>105</v>
      </c>
      <c r="G65" s="4" t="s">
        <v>442</v>
      </c>
      <c r="H65" s="9" t="s">
        <v>196</v>
      </c>
      <c r="I65" s="5" t="s">
        <v>1262</v>
      </c>
      <c r="J65" s="5" t="s">
        <v>1263</v>
      </c>
      <c r="K65" s="6">
        <f t="shared" si="1"/>
        <v>1</v>
      </c>
    </row>
    <row r="66" spans="1:11" ht="15" customHeight="1">
      <c r="A66" s="4">
        <v>58</v>
      </c>
      <c r="B66" s="5" t="s">
        <v>130</v>
      </c>
      <c r="C66" s="5" t="s">
        <v>340</v>
      </c>
      <c r="D66" s="5" t="s">
        <v>132</v>
      </c>
      <c r="E66" s="7" t="s">
        <v>105</v>
      </c>
      <c r="F66" s="8" t="s">
        <v>105</v>
      </c>
      <c r="G66" s="4" t="s">
        <v>442</v>
      </c>
      <c r="H66" s="9" t="s">
        <v>196</v>
      </c>
      <c r="I66" s="5" t="s">
        <v>1262</v>
      </c>
      <c r="J66" s="5" t="s">
        <v>1263</v>
      </c>
      <c r="K66" s="6">
        <f t="shared" si="1"/>
        <v>1</v>
      </c>
    </row>
    <row r="67" spans="1:11" ht="45" customHeight="1">
      <c r="A67" s="4">
        <v>59</v>
      </c>
      <c r="B67" s="5" t="s">
        <v>133</v>
      </c>
      <c r="C67" s="5" t="s">
        <v>340</v>
      </c>
      <c r="D67" s="5" t="s">
        <v>142</v>
      </c>
      <c r="E67" s="7" t="s">
        <v>105</v>
      </c>
      <c r="F67" s="8" t="s">
        <v>105</v>
      </c>
      <c r="G67" s="4" t="s">
        <v>442</v>
      </c>
      <c r="H67" s="9" t="s">
        <v>196</v>
      </c>
      <c r="I67" s="5" t="s">
        <v>1262</v>
      </c>
      <c r="J67" s="5" t="s">
        <v>1263</v>
      </c>
      <c r="K67" s="6">
        <f t="shared" si="1"/>
        <v>1</v>
      </c>
    </row>
    <row r="68" spans="1:11" ht="45" customHeight="1">
      <c r="A68" s="4">
        <v>60</v>
      </c>
      <c r="B68" s="5" t="s">
        <v>120</v>
      </c>
      <c r="C68" s="5" t="s">
        <v>1276</v>
      </c>
      <c r="D68" s="5" t="s">
        <v>122</v>
      </c>
      <c r="E68" s="7" t="s">
        <v>105</v>
      </c>
      <c r="F68" s="8" t="s">
        <v>105</v>
      </c>
      <c r="G68" s="4" t="s">
        <v>442</v>
      </c>
      <c r="H68" s="9" t="s">
        <v>196</v>
      </c>
      <c r="I68" s="5" t="s">
        <v>1262</v>
      </c>
      <c r="J68" s="5" t="s">
        <v>1263</v>
      </c>
      <c r="K68" s="6">
        <f t="shared" si="1"/>
        <v>1</v>
      </c>
    </row>
    <row r="69" spans="1:11" ht="15" customHeight="1">
      <c r="A69" s="4">
        <v>61</v>
      </c>
      <c r="B69" s="5" t="s">
        <v>120</v>
      </c>
      <c r="C69" s="5" t="s">
        <v>1276</v>
      </c>
      <c r="D69" s="5" t="s">
        <v>123</v>
      </c>
      <c r="E69" s="7" t="s">
        <v>105</v>
      </c>
      <c r="F69" s="8" t="s">
        <v>105</v>
      </c>
      <c r="G69" s="4" t="s">
        <v>442</v>
      </c>
      <c r="H69" s="9" t="s">
        <v>196</v>
      </c>
      <c r="I69" s="5" t="s">
        <v>1270</v>
      </c>
      <c r="J69" s="5" t="s">
        <v>1263</v>
      </c>
      <c r="K69" s="6">
        <f t="shared" si="1"/>
        <v>1</v>
      </c>
    </row>
    <row r="70" spans="1:11" ht="30" customHeight="1">
      <c r="A70" s="4">
        <v>62</v>
      </c>
      <c r="B70" s="5" t="s">
        <v>124</v>
      </c>
      <c r="C70" s="5" t="s">
        <v>1276</v>
      </c>
      <c r="D70" s="5" t="s">
        <v>125</v>
      </c>
      <c r="E70" s="7" t="s">
        <v>105</v>
      </c>
      <c r="F70" s="8" t="s">
        <v>105</v>
      </c>
      <c r="G70" s="4" t="s">
        <v>442</v>
      </c>
      <c r="H70" s="9" t="s">
        <v>196</v>
      </c>
      <c r="I70" s="5" t="s">
        <v>1270</v>
      </c>
      <c r="J70" s="5" t="s">
        <v>1263</v>
      </c>
      <c r="K70" s="6">
        <f t="shared" si="1"/>
        <v>1</v>
      </c>
    </row>
    <row r="71" spans="1:11" ht="15" customHeight="1">
      <c r="A71" s="4">
        <v>63</v>
      </c>
      <c r="B71" s="5" t="s">
        <v>124</v>
      </c>
      <c r="C71" s="5" t="s">
        <v>1276</v>
      </c>
      <c r="D71" s="5" t="s">
        <v>126</v>
      </c>
      <c r="E71" s="7" t="s">
        <v>105</v>
      </c>
      <c r="F71" s="8" t="s">
        <v>105</v>
      </c>
      <c r="G71" s="4" t="s">
        <v>442</v>
      </c>
      <c r="H71" s="9" t="s">
        <v>196</v>
      </c>
      <c r="I71" s="5" t="s">
        <v>1262</v>
      </c>
      <c r="J71" s="5" t="s">
        <v>1263</v>
      </c>
      <c r="K71" s="6">
        <f t="shared" si="1"/>
        <v>1</v>
      </c>
    </row>
    <row r="72" spans="1:11" ht="45" customHeight="1">
      <c r="A72" s="4">
        <v>64</v>
      </c>
      <c r="B72" s="5" t="s">
        <v>95</v>
      </c>
      <c r="C72" s="5" t="s">
        <v>1276</v>
      </c>
      <c r="D72" s="5" t="s">
        <v>127</v>
      </c>
      <c r="E72" s="7" t="s">
        <v>105</v>
      </c>
      <c r="F72" s="8" t="s">
        <v>105</v>
      </c>
      <c r="G72" s="4" t="s">
        <v>442</v>
      </c>
      <c r="H72" s="9" t="s">
        <v>196</v>
      </c>
      <c r="I72" s="5" t="s">
        <v>1262</v>
      </c>
      <c r="J72" s="5" t="s">
        <v>1263</v>
      </c>
      <c r="K72" s="6">
        <f t="shared" si="1"/>
        <v>1</v>
      </c>
    </row>
    <row r="73" spans="1:11" ht="45" customHeight="1">
      <c r="A73" s="4">
        <v>65</v>
      </c>
      <c r="B73" s="5" t="s">
        <v>128</v>
      </c>
      <c r="C73" s="5" t="s">
        <v>1276</v>
      </c>
      <c r="D73" s="5" t="s">
        <v>129</v>
      </c>
      <c r="E73" s="7" t="s">
        <v>105</v>
      </c>
      <c r="F73" s="8" t="s">
        <v>105</v>
      </c>
      <c r="G73" s="4" t="s">
        <v>442</v>
      </c>
      <c r="H73" s="9" t="s">
        <v>196</v>
      </c>
      <c r="I73" s="5" t="s">
        <v>1262</v>
      </c>
      <c r="J73" s="5" t="s">
        <v>1263</v>
      </c>
      <c r="K73" s="6">
        <f t="shared" si="1"/>
        <v>1</v>
      </c>
    </row>
    <row r="74" spans="1:11" ht="15" customHeight="1">
      <c r="A74" s="4">
        <v>66</v>
      </c>
      <c r="B74" s="5" t="s">
        <v>133</v>
      </c>
      <c r="C74" s="5" t="s">
        <v>1276</v>
      </c>
      <c r="D74" s="5" t="s">
        <v>1277</v>
      </c>
      <c r="E74" s="7" t="s">
        <v>105</v>
      </c>
      <c r="F74" s="8" t="s">
        <v>105</v>
      </c>
      <c r="G74" s="4" t="s">
        <v>442</v>
      </c>
      <c r="H74" s="9" t="s">
        <v>196</v>
      </c>
      <c r="I74" s="5" t="s">
        <v>1270</v>
      </c>
      <c r="J74" s="5" t="s">
        <v>1263</v>
      </c>
      <c r="K74" s="6">
        <f t="shared" si="1"/>
        <v>1</v>
      </c>
    </row>
    <row r="75" spans="1:11" ht="15" customHeight="1">
      <c r="A75" s="4">
        <v>67</v>
      </c>
      <c r="B75" s="5" t="s">
        <v>133</v>
      </c>
      <c r="C75" s="5" t="s">
        <v>1276</v>
      </c>
      <c r="D75" s="5" t="s">
        <v>1278</v>
      </c>
      <c r="E75" s="7" t="s">
        <v>105</v>
      </c>
      <c r="F75" s="8" t="s">
        <v>105</v>
      </c>
      <c r="G75" s="4" t="s">
        <v>442</v>
      </c>
      <c r="H75" s="9" t="s">
        <v>196</v>
      </c>
      <c r="I75" s="5" t="s">
        <v>1270</v>
      </c>
      <c r="J75" s="5" t="s">
        <v>1263</v>
      </c>
      <c r="K75" s="6">
        <f t="shared" ref="K75:K108" si="2">IF(AND(E75="yes",F75="yes",H75="covered"),1,IF(H75="partial",0.5,0))</f>
        <v>1</v>
      </c>
    </row>
    <row r="76" spans="1:11" ht="15" customHeight="1">
      <c r="A76" s="4">
        <v>68</v>
      </c>
      <c r="B76" s="5" t="s">
        <v>130</v>
      </c>
      <c r="C76" s="5" t="s">
        <v>1276</v>
      </c>
      <c r="D76" s="5" t="s">
        <v>131</v>
      </c>
      <c r="E76" s="7" t="s">
        <v>105</v>
      </c>
      <c r="F76" s="8" t="s">
        <v>105</v>
      </c>
      <c r="G76" s="4" t="s">
        <v>442</v>
      </c>
      <c r="H76" s="9" t="s">
        <v>196</v>
      </c>
      <c r="I76" s="5" t="s">
        <v>1262</v>
      </c>
      <c r="J76" s="5" t="s">
        <v>1263</v>
      </c>
      <c r="K76" s="6">
        <f t="shared" si="2"/>
        <v>1</v>
      </c>
    </row>
    <row r="77" spans="1:11" ht="15" customHeight="1">
      <c r="A77" s="4">
        <v>69</v>
      </c>
      <c r="B77" s="5" t="s">
        <v>130</v>
      </c>
      <c r="C77" s="5" t="s">
        <v>1276</v>
      </c>
      <c r="D77" s="5" t="s">
        <v>132</v>
      </c>
      <c r="E77" s="7" t="s">
        <v>105</v>
      </c>
      <c r="F77" s="8" t="s">
        <v>105</v>
      </c>
      <c r="G77" s="4" t="s">
        <v>442</v>
      </c>
      <c r="H77" s="9" t="s">
        <v>196</v>
      </c>
      <c r="I77" s="5" t="s">
        <v>1262</v>
      </c>
      <c r="J77" s="5" t="s">
        <v>1263</v>
      </c>
      <c r="K77" s="6">
        <f t="shared" si="2"/>
        <v>1</v>
      </c>
    </row>
    <row r="78" spans="1:11" ht="45" customHeight="1">
      <c r="A78" s="4">
        <v>70</v>
      </c>
      <c r="B78" s="5" t="s">
        <v>133</v>
      </c>
      <c r="C78" s="5" t="s">
        <v>1276</v>
      </c>
      <c r="D78" s="5" t="s">
        <v>142</v>
      </c>
      <c r="E78" s="7" t="s">
        <v>105</v>
      </c>
      <c r="F78" s="8" t="s">
        <v>105</v>
      </c>
      <c r="G78" s="4" t="s">
        <v>442</v>
      </c>
      <c r="H78" s="9" t="s">
        <v>196</v>
      </c>
      <c r="I78" s="5" t="s">
        <v>1262</v>
      </c>
      <c r="J78" s="5" t="s">
        <v>1263</v>
      </c>
      <c r="K78" s="6">
        <f t="shared" si="2"/>
        <v>1</v>
      </c>
    </row>
    <row r="79" spans="1:11" ht="45" customHeight="1">
      <c r="A79" s="4">
        <v>71</v>
      </c>
      <c r="B79" s="5" t="s">
        <v>120</v>
      </c>
      <c r="C79" s="5" t="s">
        <v>1279</v>
      </c>
      <c r="D79" s="5" t="s">
        <v>122</v>
      </c>
      <c r="E79" s="7" t="s">
        <v>105</v>
      </c>
      <c r="F79" s="8" t="s">
        <v>105</v>
      </c>
      <c r="G79" s="4" t="s">
        <v>442</v>
      </c>
      <c r="H79" s="9" t="s">
        <v>196</v>
      </c>
      <c r="I79" s="5" t="s">
        <v>1262</v>
      </c>
      <c r="J79" s="5" t="s">
        <v>1263</v>
      </c>
      <c r="K79" s="6">
        <f t="shared" si="2"/>
        <v>1</v>
      </c>
    </row>
    <row r="80" spans="1:11" ht="15" customHeight="1">
      <c r="A80" s="4">
        <v>72</v>
      </c>
      <c r="B80" s="5" t="s">
        <v>120</v>
      </c>
      <c r="C80" s="5" t="s">
        <v>1279</v>
      </c>
      <c r="D80" s="5" t="s">
        <v>123</v>
      </c>
      <c r="E80" s="7" t="s">
        <v>105</v>
      </c>
      <c r="F80" s="8" t="s">
        <v>105</v>
      </c>
      <c r="G80" s="4" t="s">
        <v>442</v>
      </c>
      <c r="H80" s="9" t="s">
        <v>196</v>
      </c>
      <c r="I80" s="5" t="s">
        <v>1270</v>
      </c>
      <c r="J80" s="5" t="s">
        <v>1263</v>
      </c>
      <c r="K80" s="6">
        <f t="shared" si="2"/>
        <v>1</v>
      </c>
    </row>
    <row r="81" spans="1:11" ht="30" customHeight="1">
      <c r="A81" s="4">
        <v>73</v>
      </c>
      <c r="B81" s="5" t="s">
        <v>124</v>
      </c>
      <c r="C81" s="5" t="s">
        <v>1279</v>
      </c>
      <c r="D81" s="5" t="s">
        <v>125</v>
      </c>
      <c r="E81" s="7" t="s">
        <v>105</v>
      </c>
      <c r="F81" s="8" t="s">
        <v>105</v>
      </c>
      <c r="G81" s="4" t="s">
        <v>442</v>
      </c>
      <c r="H81" s="9" t="s">
        <v>196</v>
      </c>
      <c r="I81" s="5" t="s">
        <v>1270</v>
      </c>
      <c r="J81" s="5" t="s">
        <v>1263</v>
      </c>
      <c r="K81" s="6">
        <f t="shared" si="2"/>
        <v>1</v>
      </c>
    </row>
    <row r="82" spans="1:11" ht="15" customHeight="1">
      <c r="A82" s="4">
        <v>74</v>
      </c>
      <c r="B82" s="5" t="s">
        <v>124</v>
      </c>
      <c r="C82" s="5" t="s">
        <v>1279</v>
      </c>
      <c r="D82" s="5" t="s">
        <v>126</v>
      </c>
      <c r="E82" s="7" t="s">
        <v>105</v>
      </c>
      <c r="F82" s="8" t="s">
        <v>105</v>
      </c>
      <c r="G82" s="4" t="s">
        <v>442</v>
      </c>
      <c r="H82" s="9" t="s">
        <v>196</v>
      </c>
      <c r="I82" s="5" t="s">
        <v>1262</v>
      </c>
      <c r="J82" s="5" t="s">
        <v>1263</v>
      </c>
      <c r="K82" s="6">
        <f t="shared" si="2"/>
        <v>1</v>
      </c>
    </row>
    <row r="83" spans="1:11" ht="45" customHeight="1">
      <c r="A83" s="4">
        <v>75</v>
      </c>
      <c r="B83" s="5" t="s">
        <v>95</v>
      </c>
      <c r="C83" s="5" t="s">
        <v>1279</v>
      </c>
      <c r="D83" s="5" t="s">
        <v>127</v>
      </c>
      <c r="E83" s="7" t="s">
        <v>105</v>
      </c>
      <c r="F83" s="8" t="s">
        <v>105</v>
      </c>
      <c r="G83" s="4" t="s">
        <v>442</v>
      </c>
      <c r="H83" s="9" t="s">
        <v>196</v>
      </c>
      <c r="I83" s="5" t="s">
        <v>1262</v>
      </c>
      <c r="J83" s="5" t="s">
        <v>1263</v>
      </c>
      <c r="K83" s="6">
        <f t="shared" si="2"/>
        <v>1</v>
      </c>
    </row>
    <row r="84" spans="1:11" ht="15" customHeight="1">
      <c r="A84" s="4">
        <v>76</v>
      </c>
      <c r="B84" s="5" t="s">
        <v>128</v>
      </c>
      <c r="C84" s="5" t="s">
        <v>1279</v>
      </c>
      <c r="D84" s="5" t="s">
        <v>129</v>
      </c>
      <c r="E84" s="7" t="s">
        <v>105</v>
      </c>
      <c r="F84" s="8" t="s">
        <v>105</v>
      </c>
      <c r="G84" s="4" t="s">
        <v>442</v>
      </c>
      <c r="H84" s="9" t="s">
        <v>196</v>
      </c>
      <c r="I84" s="5" t="s">
        <v>1262</v>
      </c>
      <c r="J84" s="5" t="s">
        <v>1263</v>
      </c>
      <c r="K84" s="6">
        <f t="shared" si="2"/>
        <v>1</v>
      </c>
    </row>
    <row r="85" spans="1:11" ht="15" customHeight="1">
      <c r="A85" s="4">
        <v>77</v>
      </c>
      <c r="B85" s="5" t="s">
        <v>133</v>
      </c>
      <c r="C85" s="5" t="s">
        <v>1279</v>
      </c>
      <c r="D85" s="5" t="s">
        <v>1280</v>
      </c>
      <c r="E85" s="7" t="s">
        <v>105</v>
      </c>
      <c r="F85" s="8" t="s">
        <v>105</v>
      </c>
      <c r="G85" s="4" t="s">
        <v>442</v>
      </c>
      <c r="H85" s="9" t="s">
        <v>196</v>
      </c>
      <c r="I85" s="5" t="s">
        <v>1270</v>
      </c>
      <c r="J85" s="5" t="s">
        <v>1263</v>
      </c>
      <c r="K85" s="6">
        <f t="shared" si="2"/>
        <v>1</v>
      </c>
    </row>
    <row r="86" spans="1:11" ht="15" customHeight="1">
      <c r="A86" s="4">
        <v>78</v>
      </c>
      <c r="B86" s="5" t="s">
        <v>130</v>
      </c>
      <c r="C86" s="5" t="s">
        <v>1279</v>
      </c>
      <c r="D86" s="5" t="s">
        <v>131</v>
      </c>
      <c r="E86" s="7" t="s">
        <v>105</v>
      </c>
      <c r="F86" s="8" t="s">
        <v>105</v>
      </c>
      <c r="G86" s="4" t="s">
        <v>442</v>
      </c>
      <c r="H86" s="9" t="s">
        <v>196</v>
      </c>
      <c r="I86" s="5" t="s">
        <v>1262</v>
      </c>
      <c r="J86" s="5" t="s">
        <v>1263</v>
      </c>
      <c r="K86" s="6">
        <f t="shared" si="2"/>
        <v>1</v>
      </c>
    </row>
    <row r="87" spans="1:11" ht="30" customHeight="1">
      <c r="A87" s="4">
        <v>79</v>
      </c>
      <c r="B87" s="5" t="s">
        <v>130</v>
      </c>
      <c r="C87" s="5" t="s">
        <v>1279</v>
      </c>
      <c r="D87" s="5" t="s">
        <v>132</v>
      </c>
      <c r="E87" s="7" t="s">
        <v>105</v>
      </c>
      <c r="F87" s="8" t="s">
        <v>105</v>
      </c>
      <c r="G87" s="4" t="s">
        <v>442</v>
      </c>
      <c r="H87" s="9" t="s">
        <v>196</v>
      </c>
      <c r="I87" s="5" t="s">
        <v>1262</v>
      </c>
      <c r="J87" s="5" t="s">
        <v>1263</v>
      </c>
      <c r="K87" s="6">
        <f t="shared" si="2"/>
        <v>1</v>
      </c>
    </row>
    <row r="88" spans="1:11" ht="15" customHeight="1">
      <c r="A88" s="4">
        <v>80</v>
      </c>
      <c r="B88" s="5" t="s">
        <v>133</v>
      </c>
      <c r="C88" s="5" t="s">
        <v>1279</v>
      </c>
      <c r="D88" s="5" t="s">
        <v>142</v>
      </c>
      <c r="E88" s="7" t="s">
        <v>105</v>
      </c>
      <c r="F88" s="8" t="s">
        <v>105</v>
      </c>
      <c r="G88" s="4" t="s">
        <v>442</v>
      </c>
      <c r="H88" s="9" t="s">
        <v>196</v>
      </c>
      <c r="I88" s="5" t="s">
        <v>1262</v>
      </c>
      <c r="J88" s="5" t="s">
        <v>1263</v>
      </c>
      <c r="K88" s="6">
        <f t="shared" si="2"/>
        <v>1</v>
      </c>
    </row>
    <row r="89" spans="1:11" ht="15" customHeight="1">
      <c r="A89" s="4">
        <v>81</v>
      </c>
      <c r="B89" s="5" t="s">
        <v>153</v>
      </c>
      <c r="C89" s="5" t="s">
        <v>154</v>
      </c>
      <c r="D89" s="5" t="s">
        <v>562</v>
      </c>
      <c r="E89" s="7" t="s">
        <v>105</v>
      </c>
      <c r="F89" s="8" t="s">
        <v>105</v>
      </c>
      <c r="G89" s="4" t="s">
        <v>442</v>
      </c>
      <c r="H89" s="9" t="s">
        <v>196</v>
      </c>
      <c r="I89" s="5" t="s">
        <v>1281</v>
      </c>
      <c r="J89" s="5" t="s">
        <v>1263</v>
      </c>
      <c r="K89" s="6">
        <f t="shared" si="2"/>
        <v>1</v>
      </c>
    </row>
    <row r="90" spans="1:11" ht="15" customHeight="1">
      <c r="A90" s="4">
        <v>82</v>
      </c>
      <c r="B90" s="5" t="s">
        <v>159</v>
      </c>
      <c r="C90" s="5" t="s">
        <v>154</v>
      </c>
      <c r="D90" s="5" t="s">
        <v>160</v>
      </c>
      <c r="E90" s="7" t="s">
        <v>105</v>
      </c>
      <c r="F90" s="8" t="s">
        <v>105</v>
      </c>
      <c r="G90" s="4" t="s">
        <v>442</v>
      </c>
      <c r="H90" s="9" t="s">
        <v>196</v>
      </c>
      <c r="I90" s="5" t="s">
        <v>1262</v>
      </c>
      <c r="J90" s="5" t="s">
        <v>1263</v>
      </c>
      <c r="K90" s="6">
        <f t="shared" si="2"/>
        <v>1</v>
      </c>
    </row>
    <row r="91" spans="1:11" ht="15" customHeight="1">
      <c r="A91" s="4">
        <v>83</v>
      </c>
      <c r="B91" s="5" t="s">
        <v>159</v>
      </c>
      <c r="C91" s="5" t="s">
        <v>154</v>
      </c>
      <c r="D91" s="5" t="s">
        <v>624</v>
      </c>
      <c r="E91" s="7" t="s">
        <v>105</v>
      </c>
      <c r="F91" s="8" t="s">
        <v>105</v>
      </c>
      <c r="G91" s="4" t="s">
        <v>442</v>
      </c>
      <c r="H91" s="9" t="s">
        <v>196</v>
      </c>
      <c r="I91" s="5" t="s">
        <v>1262</v>
      </c>
      <c r="J91" s="5" t="s">
        <v>1263</v>
      </c>
      <c r="K91" s="6">
        <f t="shared" si="2"/>
        <v>1</v>
      </c>
    </row>
    <row r="92" spans="1:11" ht="15" customHeight="1">
      <c r="A92" s="4">
        <v>84</v>
      </c>
      <c r="B92" s="5" t="s">
        <v>159</v>
      </c>
      <c r="C92" s="5" t="s">
        <v>154</v>
      </c>
      <c r="D92" s="5" t="s">
        <v>161</v>
      </c>
      <c r="E92" s="7" t="s">
        <v>105</v>
      </c>
      <c r="F92" s="8" t="s">
        <v>105</v>
      </c>
      <c r="G92" s="4" t="s">
        <v>442</v>
      </c>
      <c r="H92" s="9" t="s">
        <v>196</v>
      </c>
      <c r="I92" s="5" t="s">
        <v>1262</v>
      </c>
      <c r="J92" s="5" t="s">
        <v>1263</v>
      </c>
      <c r="K92" s="6">
        <f t="shared" si="2"/>
        <v>1</v>
      </c>
    </row>
    <row r="93" spans="1:11" ht="15" customHeight="1">
      <c r="A93" s="4">
        <v>85</v>
      </c>
      <c r="B93" s="5" t="s">
        <v>159</v>
      </c>
      <c r="C93" s="5" t="s">
        <v>154</v>
      </c>
      <c r="D93" s="5" t="s">
        <v>625</v>
      </c>
      <c r="E93" s="7" t="s">
        <v>105</v>
      </c>
      <c r="F93" s="8" t="s">
        <v>105</v>
      </c>
      <c r="G93" s="4" t="s">
        <v>442</v>
      </c>
      <c r="H93" s="9" t="s">
        <v>196</v>
      </c>
      <c r="I93" s="5" t="s">
        <v>1262</v>
      </c>
      <c r="J93" s="5" t="s">
        <v>1263</v>
      </c>
      <c r="K93" s="6">
        <f t="shared" si="2"/>
        <v>1</v>
      </c>
    </row>
    <row r="94" spans="1:11" ht="15" customHeight="1">
      <c r="A94" s="4">
        <v>86</v>
      </c>
      <c r="B94" s="5" t="s">
        <v>159</v>
      </c>
      <c r="C94" s="5" t="s">
        <v>154</v>
      </c>
      <c r="D94" s="5" t="s">
        <v>1282</v>
      </c>
      <c r="E94" s="7" t="s">
        <v>105</v>
      </c>
      <c r="F94" s="8" t="s">
        <v>105</v>
      </c>
      <c r="G94" s="4" t="s">
        <v>442</v>
      </c>
      <c r="H94" s="9" t="s">
        <v>196</v>
      </c>
      <c r="I94" s="5" t="s">
        <v>1262</v>
      </c>
      <c r="J94" s="5" t="s">
        <v>1263</v>
      </c>
      <c r="K94" s="6">
        <f t="shared" si="2"/>
        <v>1</v>
      </c>
    </row>
    <row r="95" spans="1:11" ht="15" customHeight="1">
      <c r="A95" s="4">
        <v>87</v>
      </c>
      <c r="B95" s="5" t="s">
        <v>159</v>
      </c>
      <c r="C95" s="5" t="s">
        <v>154</v>
      </c>
      <c r="D95" s="5" t="s">
        <v>162</v>
      </c>
      <c r="E95" s="7" t="s">
        <v>105</v>
      </c>
      <c r="F95" s="8" t="s">
        <v>105</v>
      </c>
      <c r="G95" s="4" t="s">
        <v>442</v>
      </c>
      <c r="H95" s="9" t="s">
        <v>196</v>
      </c>
      <c r="I95" s="5" t="s">
        <v>1262</v>
      </c>
      <c r="J95" s="5" t="s">
        <v>1263</v>
      </c>
      <c r="K95" s="6">
        <f t="shared" si="2"/>
        <v>1</v>
      </c>
    </row>
    <row r="96" spans="1:11" ht="30" customHeight="1">
      <c r="A96" s="4">
        <v>88</v>
      </c>
      <c r="B96" s="5" t="s">
        <v>130</v>
      </c>
      <c r="C96" s="5" t="s">
        <v>36</v>
      </c>
      <c r="D96" s="5" t="s">
        <v>164</v>
      </c>
      <c r="E96" s="7" t="s">
        <v>105</v>
      </c>
      <c r="F96" s="8" t="s">
        <v>105</v>
      </c>
      <c r="G96" s="4" t="s">
        <v>442</v>
      </c>
      <c r="H96" s="9" t="s">
        <v>196</v>
      </c>
      <c r="I96" s="5" t="s">
        <v>1262</v>
      </c>
      <c r="J96" s="5" t="s">
        <v>1263</v>
      </c>
      <c r="K96" s="6">
        <f t="shared" si="2"/>
        <v>1</v>
      </c>
    </row>
    <row r="97" spans="1:11" ht="15" customHeight="1">
      <c r="A97" s="4">
        <v>89</v>
      </c>
      <c r="B97" s="5" t="s">
        <v>130</v>
      </c>
      <c r="C97" s="5" t="s">
        <v>36</v>
      </c>
      <c r="D97" s="5" t="s">
        <v>165</v>
      </c>
      <c r="E97" s="7" t="s">
        <v>105</v>
      </c>
      <c r="F97" s="8" t="s">
        <v>105</v>
      </c>
      <c r="G97" s="4" t="s">
        <v>442</v>
      </c>
      <c r="H97" s="9" t="s">
        <v>196</v>
      </c>
      <c r="I97" s="5" t="s">
        <v>1262</v>
      </c>
      <c r="J97" s="5" t="s">
        <v>1263</v>
      </c>
      <c r="K97" s="6">
        <f t="shared" si="2"/>
        <v>1</v>
      </c>
    </row>
    <row r="98" spans="1:11" ht="15" customHeight="1">
      <c r="A98" s="4">
        <v>90</v>
      </c>
      <c r="B98" s="5" t="s">
        <v>130</v>
      </c>
      <c r="C98" s="5" t="s">
        <v>36</v>
      </c>
      <c r="D98" s="5" t="s">
        <v>166</v>
      </c>
      <c r="E98" s="7" t="s">
        <v>105</v>
      </c>
      <c r="F98" s="8" t="s">
        <v>105</v>
      </c>
      <c r="G98" s="4" t="s">
        <v>442</v>
      </c>
      <c r="H98" s="9" t="s">
        <v>196</v>
      </c>
      <c r="I98" s="5" t="s">
        <v>1262</v>
      </c>
      <c r="J98" s="5" t="s">
        <v>1263</v>
      </c>
      <c r="K98" s="6">
        <f t="shared" si="2"/>
        <v>1</v>
      </c>
    </row>
    <row r="99" spans="1:11" ht="30" customHeight="1">
      <c r="A99" s="4">
        <v>91</v>
      </c>
      <c r="B99" s="5" t="s">
        <v>130</v>
      </c>
      <c r="C99" s="5" t="s">
        <v>36</v>
      </c>
      <c r="D99" s="5" t="s">
        <v>167</v>
      </c>
      <c r="E99" s="7" t="s">
        <v>105</v>
      </c>
      <c r="F99" s="8" t="s">
        <v>105</v>
      </c>
      <c r="G99" s="4" t="s">
        <v>442</v>
      </c>
      <c r="H99" s="9" t="s">
        <v>196</v>
      </c>
      <c r="I99" s="5" t="s">
        <v>1262</v>
      </c>
      <c r="J99" s="5" t="s">
        <v>1263</v>
      </c>
      <c r="K99" s="6">
        <f t="shared" si="2"/>
        <v>1</v>
      </c>
    </row>
    <row r="100" spans="1:11" ht="30" customHeight="1">
      <c r="A100" s="4">
        <v>92</v>
      </c>
      <c r="B100" s="5" t="s">
        <v>130</v>
      </c>
      <c r="C100" s="5" t="s">
        <v>36</v>
      </c>
      <c r="D100" s="5" t="s">
        <v>168</v>
      </c>
      <c r="E100" s="7" t="s">
        <v>105</v>
      </c>
      <c r="F100" s="8" t="s">
        <v>105</v>
      </c>
      <c r="G100" s="4" t="s">
        <v>442</v>
      </c>
      <c r="H100" s="9" t="s">
        <v>196</v>
      </c>
      <c r="I100" s="5" t="s">
        <v>1262</v>
      </c>
      <c r="J100" s="5" t="s">
        <v>1263</v>
      </c>
      <c r="K100" s="6">
        <f t="shared" si="2"/>
        <v>1</v>
      </c>
    </row>
    <row r="101" spans="1:11" ht="30" customHeight="1">
      <c r="A101" s="4">
        <v>93</v>
      </c>
      <c r="B101" s="5" t="s">
        <v>135</v>
      </c>
      <c r="C101" s="5" t="s">
        <v>36</v>
      </c>
      <c r="D101" s="5" t="s">
        <v>627</v>
      </c>
      <c r="E101" s="7" t="s">
        <v>105</v>
      </c>
      <c r="F101" s="8" t="s">
        <v>105</v>
      </c>
      <c r="G101" s="4" t="s">
        <v>442</v>
      </c>
      <c r="H101" s="9" t="s">
        <v>196</v>
      </c>
      <c r="I101" s="5" t="s">
        <v>1262</v>
      </c>
      <c r="J101" s="5" t="s">
        <v>1263</v>
      </c>
      <c r="K101" s="6">
        <f t="shared" si="2"/>
        <v>1</v>
      </c>
    </row>
    <row r="102" spans="1:11" ht="30" customHeight="1">
      <c r="A102" s="4">
        <v>94</v>
      </c>
      <c r="B102" s="5" t="s">
        <v>135</v>
      </c>
      <c r="C102" s="5" t="s">
        <v>36</v>
      </c>
      <c r="D102" s="5" t="s">
        <v>628</v>
      </c>
      <c r="E102" s="7" t="s">
        <v>105</v>
      </c>
      <c r="F102" s="8" t="s">
        <v>105</v>
      </c>
      <c r="G102" s="4" t="s">
        <v>442</v>
      </c>
      <c r="H102" s="9" t="s">
        <v>196</v>
      </c>
      <c r="I102" s="5" t="s">
        <v>1262</v>
      </c>
      <c r="J102" s="5" t="s">
        <v>1263</v>
      </c>
      <c r="K102" s="6">
        <f t="shared" si="2"/>
        <v>1</v>
      </c>
    </row>
    <row r="103" spans="1:11" ht="15" customHeight="1">
      <c r="A103" s="4">
        <v>95</v>
      </c>
      <c r="B103" s="5" t="s">
        <v>135</v>
      </c>
      <c r="C103" s="5" t="s">
        <v>36</v>
      </c>
      <c r="D103" s="5" t="s">
        <v>629</v>
      </c>
      <c r="E103" s="7" t="s">
        <v>105</v>
      </c>
      <c r="F103" s="8" t="s">
        <v>105</v>
      </c>
      <c r="G103" s="4" t="s">
        <v>442</v>
      </c>
      <c r="H103" s="9" t="s">
        <v>196</v>
      </c>
      <c r="I103" s="5" t="s">
        <v>1262</v>
      </c>
      <c r="J103" s="5" t="s">
        <v>1263</v>
      </c>
      <c r="K103" s="6">
        <f t="shared" si="2"/>
        <v>1</v>
      </c>
    </row>
    <row r="104" spans="1:11" ht="30" customHeight="1">
      <c r="A104" s="4">
        <v>96</v>
      </c>
      <c r="B104" s="5" t="s">
        <v>135</v>
      </c>
      <c r="C104" s="5" t="s">
        <v>36</v>
      </c>
      <c r="D104" s="5" t="s">
        <v>630</v>
      </c>
      <c r="E104" s="7" t="s">
        <v>105</v>
      </c>
      <c r="F104" s="8" t="s">
        <v>105</v>
      </c>
      <c r="G104" s="4" t="s">
        <v>442</v>
      </c>
      <c r="H104" s="9" t="s">
        <v>196</v>
      </c>
      <c r="I104" s="5" t="s">
        <v>1262</v>
      </c>
      <c r="J104" s="5" t="s">
        <v>1263</v>
      </c>
      <c r="K104" s="6">
        <f t="shared" si="2"/>
        <v>1</v>
      </c>
    </row>
    <row r="105" spans="1:11" ht="30" customHeight="1">
      <c r="A105" s="4">
        <v>97</v>
      </c>
      <c r="B105" s="5" t="s">
        <v>591</v>
      </c>
      <c r="C105" s="5" t="s">
        <v>36</v>
      </c>
      <c r="D105" s="5" t="s">
        <v>631</v>
      </c>
      <c r="E105" s="7" t="s">
        <v>105</v>
      </c>
      <c r="F105" s="8" t="s">
        <v>105</v>
      </c>
      <c r="G105" s="4" t="s">
        <v>442</v>
      </c>
      <c r="H105" s="9" t="s">
        <v>196</v>
      </c>
      <c r="I105" s="5" t="s">
        <v>1262</v>
      </c>
      <c r="J105" s="5" t="s">
        <v>1263</v>
      </c>
      <c r="K105" s="6">
        <f t="shared" si="2"/>
        <v>1</v>
      </c>
    </row>
    <row r="106" spans="1:11" ht="30" customHeight="1">
      <c r="A106" s="4">
        <v>98</v>
      </c>
      <c r="B106" s="5" t="s">
        <v>591</v>
      </c>
      <c r="C106" s="5" t="s">
        <v>36</v>
      </c>
      <c r="D106" s="5" t="s">
        <v>632</v>
      </c>
      <c r="E106" s="7" t="s">
        <v>105</v>
      </c>
      <c r="F106" s="8" t="s">
        <v>105</v>
      </c>
      <c r="G106" s="4" t="s">
        <v>442</v>
      </c>
      <c r="H106" s="9" t="s">
        <v>196</v>
      </c>
      <c r="I106" s="5" t="s">
        <v>1262</v>
      </c>
      <c r="J106" s="5" t="s">
        <v>1263</v>
      </c>
      <c r="K106" s="6">
        <f t="shared" si="2"/>
        <v>1</v>
      </c>
    </row>
    <row r="107" spans="1:11">
      <c r="A107">
        <v>99</v>
      </c>
      <c r="B107" t="s">
        <v>1283</v>
      </c>
      <c r="C107" t="s">
        <v>1284</v>
      </c>
      <c r="D107" t="s">
        <v>1285</v>
      </c>
      <c r="E107" t="s">
        <v>105</v>
      </c>
      <c r="F107" t="s">
        <v>105</v>
      </c>
      <c r="G107" t="s">
        <v>1286</v>
      </c>
      <c r="H107" t="s">
        <v>196</v>
      </c>
      <c r="I107" t="s">
        <v>1287</v>
      </c>
      <c r="J107" t="s">
        <v>1288</v>
      </c>
      <c r="K107">
        <f t="shared" si="2"/>
        <v>1</v>
      </c>
    </row>
    <row r="108" spans="1:11">
      <c r="A108">
        <v>100</v>
      </c>
      <c r="B108" t="s">
        <v>1283</v>
      </c>
      <c r="C108" t="s">
        <v>1289</v>
      </c>
      <c r="D108" t="s">
        <v>1290</v>
      </c>
      <c r="E108" t="s">
        <v>105</v>
      </c>
      <c r="F108" t="s">
        <v>105</v>
      </c>
      <c r="G108" t="s">
        <v>1286</v>
      </c>
      <c r="H108" t="s">
        <v>196</v>
      </c>
      <c r="I108" t="s">
        <v>1291</v>
      </c>
      <c r="J108" t="s">
        <v>1288</v>
      </c>
      <c r="K108">
        <f t="shared" si="2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K83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1292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73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22">
        <v>1</v>
      </c>
      <c r="B9" s="23" t="s">
        <v>94</v>
      </c>
      <c r="C9" s="23" t="s">
        <v>95</v>
      </c>
      <c r="D9" s="23" t="s">
        <v>96</v>
      </c>
      <c r="E9" s="22" t="s">
        <v>105</v>
      </c>
      <c r="F9" s="22" t="s">
        <v>105</v>
      </c>
      <c r="G9" s="22" t="s">
        <v>442</v>
      </c>
      <c r="H9" s="22" t="s">
        <v>196</v>
      </c>
      <c r="I9" s="23" t="s">
        <v>1293</v>
      </c>
      <c r="J9" s="23" t="s">
        <v>109</v>
      </c>
      <c r="K9" s="24">
        <f>IF(H9="covered",1,IF(H9="partial",0.5,0))</f>
        <v>1</v>
      </c>
    </row>
    <row r="10" spans="1:11" ht="15" customHeight="1">
      <c r="A10" s="22">
        <v>2</v>
      </c>
      <c r="B10" s="23" t="s">
        <v>94</v>
      </c>
      <c r="C10" s="23" t="s">
        <v>95</v>
      </c>
      <c r="D10" s="23" t="s">
        <v>102</v>
      </c>
      <c r="E10" s="22" t="s">
        <v>105</v>
      </c>
      <c r="F10" s="22" t="s">
        <v>105</v>
      </c>
      <c r="G10" s="22" t="s">
        <v>442</v>
      </c>
      <c r="H10" s="22" t="s">
        <v>196</v>
      </c>
      <c r="I10" s="23" t="s">
        <v>1293</v>
      </c>
      <c r="J10" s="23" t="s">
        <v>109</v>
      </c>
      <c r="K10" s="24">
        <f>IF(H10="covered",1,IF(H10="partial",0.5,0))</f>
        <v>1</v>
      </c>
    </row>
    <row r="11" spans="1:11" ht="15" customHeight="1">
      <c r="A11" s="4">
        <v>3</v>
      </c>
      <c r="B11" s="5" t="s">
        <v>94</v>
      </c>
      <c r="C11" s="5" t="s">
        <v>37</v>
      </c>
      <c r="D11" s="5" t="s">
        <v>104</v>
      </c>
      <c r="E11" s="7" t="s">
        <v>105</v>
      </c>
      <c r="F11" s="8" t="s">
        <v>105</v>
      </c>
      <c r="G11" s="4" t="s">
        <v>442</v>
      </c>
      <c r="H11" s="9" t="s">
        <v>196</v>
      </c>
      <c r="I11" s="5" t="s">
        <v>1294</v>
      </c>
      <c r="J11" s="5"/>
      <c r="K11" s="6">
        <f t="shared" ref="K11:K42" si="0">IF(AND(E11="yes",F11="yes",H11="covered"),1,IF(H11="partial",0.5,0))</f>
        <v>1</v>
      </c>
    </row>
    <row r="12" spans="1:11" ht="15" customHeight="1">
      <c r="A12" s="4">
        <v>4</v>
      </c>
      <c r="B12" s="5" t="s">
        <v>94</v>
      </c>
      <c r="C12" s="5" t="s">
        <v>37</v>
      </c>
      <c r="D12" s="5" t="s">
        <v>110</v>
      </c>
      <c r="E12" s="7" t="s">
        <v>105</v>
      </c>
      <c r="F12" s="8" t="s">
        <v>105</v>
      </c>
      <c r="G12" s="4" t="s">
        <v>442</v>
      </c>
      <c r="H12" s="9" t="s">
        <v>196</v>
      </c>
      <c r="I12" s="5" t="s">
        <v>1294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37</v>
      </c>
      <c r="D13" s="5" t="s">
        <v>111</v>
      </c>
      <c r="E13" s="7" t="s">
        <v>105</v>
      </c>
      <c r="F13" s="8" t="s">
        <v>105</v>
      </c>
      <c r="G13" s="4" t="s">
        <v>442</v>
      </c>
      <c r="H13" s="9" t="s">
        <v>196</v>
      </c>
      <c r="I13" s="5" t="s">
        <v>1294</v>
      </c>
      <c r="J13" s="5"/>
      <c r="K13" s="6">
        <f t="shared" si="0"/>
        <v>1</v>
      </c>
    </row>
    <row r="14" spans="1:11" ht="30" customHeight="1">
      <c r="A14" s="4">
        <v>6</v>
      </c>
      <c r="B14" s="5" t="s">
        <v>94</v>
      </c>
      <c r="C14" s="5" t="s">
        <v>37</v>
      </c>
      <c r="D14" s="5" t="s">
        <v>112</v>
      </c>
      <c r="E14" s="7" t="s">
        <v>105</v>
      </c>
      <c r="F14" s="8" t="s">
        <v>105</v>
      </c>
      <c r="G14" s="4" t="s">
        <v>442</v>
      </c>
      <c r="H14" s="9" t="s">
        <v>196</v>
      </c>
      <c r="I14" s="5" t="s">
        <v>1294</v>
      </c>
      <c r="J14" s="5"/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37</v>
      </c>
      <c r="D15" s="5" t="s">
        <v>1295</v>
      </c>
      <c r="E15" s="7" t="s">
        <v>105</v>
      </c>
      <c r="F15" s="8" t="s">
        <v>105</v>
      </c>
      <c r="G15" s="4" t="s">
        <v>442</v>
      </c>
      <c r="H15" s="9" t="s">
        <v>196</v>
      </c>
      <c r="I15" s="5" t="s">
        <v>1294</v>
      </c>
      <c r="J15" s="5"/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37</v>
      </c>
      <c r="D16" s="5" t="s">
        <v>1296</v>
      </c>
      <c r="E16" s="7" t="s">
        <v>105</v>
      </c>
      <c r="F16" s="8" t="s">
        <v>105</v>
      </c>
      <c r="G16" s="4" t="s">
        <v>442</v>
      </c>
      <c r="H16" s="9" t="s">
        <v>196</v>
      </c>
      <c r="I16" s="5" t="s">
        <v>1294</v>
      </c>
      <c r="J16" s="5"/>
      <c r="K16" s="6">
        <f t="shared" si="0"/>
        <v>1</v>
      </c>
    </row>
    <row r="17" spans="1:11" ht="45" customHeight="1">
      <c r="A17" s="4">
        <v>9</v>
      </c>
      <c r="B17" s="5" t="s">
        <v>113</v>
      </c>
      <c r="C17" s="5" t="s">
        <v>37</v>
      </c>
      <c r="D17" s="5" t="s">
        <v>1297</v>
      </c>
      <c r="E17" s="7" t="s">
        <v>105</v>
      </c>
      <c r="F17" s="8" t="s">
        <v>105</v>
      </c>
      <c r="G17" s="4" t="s">
        <v>442</v>
      </c>
      <c r="H17" s="9" t="s">
        <v>196</v>
      </c>
      <c r="I17" s="5" t="s">
        <v>1294</v>
      </c>
      <c r="J17" s="5"/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37</v>
      </c>
      <c r="D18" s="5" t="s">
        <v>1298</v>
      </c>
      <c r="E18" s="7" t="s">
        <v>105</v>
      </c>
      <c r="F18" s="8" t="s">
        <v>105</v>
      </c>
      <c r="G18" s="4" t="s">
        <v>442</v>
      </c>
      <c r="H18" s="9" t="s">
        <v>196</v>
      </c>
      <c r="I18" s="5" t="s">
        <v>1294</v>
      </c>
      <c r="J18" s="5"/>
      <c r="K18" s="6">
        <f t="shared" si="0"/>
        <v>1</v>
      </c>
    </row>
    <row r="19" spans="1:11" ht="45" customHeight="1">
      <c r="A19" s="4">
        <v>11</v>
      </c>
      <c r="B19" s="5" t="s">
        <v>113</v>
      </c>
      <c r="C19" s="5" t="s">
        <v>37</v>
      </c>
      <c r="D19" s="5" t="s">
        <v>1299</v>
      </c>
      <c r="E19" s="7" t="s">
        <v>105</v>
      </c>
      <c r="F19" s="8" t="s">
        <v>105</v>
      </c>
      <c r="G19" s="4" t="s">
        <v>442</v>
      </c>
      <c r="H19" s="9" t="s">
        <v>196</v>
      </c>
      <c r="I19" s="5" t="s">
        <v>1300</v>
      </c>
      <c r="J19" s="5"/>
      <c r="K19" s="6">
        <f t="shared" si="0"/>
        <v>1</v>
      </c>
    </row>
    <row r="20" spans="1:11" ht="4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105</v>
      </c>
      <c r="G20" s="4" t="s">
        <v>442</v>
      </c>
      <c r="H20" s="9" t="s">
        <v>196</v>
      </c>
      <c r="I20" s="5" t="s">
        <v>1294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105</v>
      </c>
      <c r="G21" s="4" t="s">
        <v>442</v>
      </c>
      <c r="H21" s="9" t="s">
        <v>196</v>
      </c>
      <c r="I21" s="5" t="s">
        <v>1300</v>
      </c>
      <c r="J21" s="5"/>
      <c r="K21" s="6">
        <f t="shared" si="0"/>
        <v>1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105</v>
      </c>
      <c r="G22" s="4" t="s">
        <v>442</v>
      </c>
      <c r="H22" s="9" t="s">
        <v>196</v>
      </c>
      <c r="I22" s="5" t="s">
        <v>1301</v>
      </c>
      <c r="J22" s="5"/>
      <c r="K22" s="6">
        <f t="shared" si="0"/>
        <v>1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105</v>
      </c>
      <c r="G23" s="4" t="s">
        <v>442</v>
      </c>
      <c r="H23" s="9" t="s">
        <v>196</v>
      </c>
      <c r="I23" s="5" t="s">
        <v>1294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105</v>
      </c>
      <c r="G24" s="4" t="s">
        <v>442</v>
      </c>
      <c r="H24" s="9" t="s">
        <v>196</v>
      </c>
      <c r="I24" s="5" t="s">
        <v>1294</v>
      </c>
      <c r="J24" s="5"/>
      <c r="K24" s="6">
        <f t="shared" si="0"/>
        <v>1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105</v>
      </c>
      <c r="G25" s="4" t="s">
        <v>442</v>
      </c>
      <c r="H25" s="9" t="s">
        <v>196</v>
      </c>
      <c r="I25" s="5" t="s">
        <v>1294</v>
      </c>
      <c r="J25" s="5"/>
      <c r="K25" s="6">
        <f t="shared" si="0"/>
        <v>1</v>
      </c>
    </row>
    <row r="26" spans="1:11" ht="15" customHeight="1">
      <c r="A26" s="4">
        <v>18</v>
      </c>
      <c r="B26" s="5" t="s">
        <v>135</v>
      </c>
      <c r="C26" s="5" t="s">
        <v>121</v>
      </c>
      <c r="D26" s="5" t="s">
        <v>140</v>
      </c>
      <c r="E26" s="7" t="s">
        <v>105</v>
      </c>
      <c r="F26" s="8" t="s">
        <v>105</v>
      </c>
      <c r="G26" s="4" t="s">
        <v>442</v>
      </c>
      <c r="H26" s="9" t="s">
        <v>196</v>
      </c>
      <c r="I26" s="5" t="s">
        <v>1294</v>
      </c>
      <c r="J26" s="5"/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612</v>
      </c>
      <c r="E27" s="7" t="s">
        <v>105</v>
      </c>
      <c r="F27" s="8" t="s">
        <v>105</v>
      </c>
      <c r="G27" s="4" t="s">
        <v>442</v>
      </c>
      <c r="H27" s="9" t="s">
        <v>196</v>
      </c>
      <c r="I27" s="5" t="s">
        <v>1294</v>
      </c>
      <c r="J27" s="5"/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611</v>
      </c>
      <c r="E28" s="7" t="s">
        <v>105</v>
      </c>
      <c r="F28" s="8" t="s">
        <v>105</v>
      </c>
      <c r="G28" s="4" t="s">
        <v>442</v>
      </c>
      <c r="H28" s="9" t="s">
        <v>196</v>
      </c>
      <c r="I28" s="5" t="s">
        <v>1294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130</v>
      </c>
      <c r="C29" s="5" t="s">
        <v>121</v>
      </c>
      <c r="D29" s="5" t="s">
        <v>131</v>
      </c>
      <c r="E29" s="7" t="s">
        <v>105</v>
      </c>
      <c r="F29" s="8" t="s">
        <v>105</v>
      </c>
      <c r="G29" s="4" t="s">
        <v>442</v>
      </c>
      <c r="H29" s="9" t="s">
        <v>196</v>
      </c>
      <c r="I29" s="5" t="s">
        <v>1294</v>
      </c>
      <c r="J29" s="5"/>
      <c r="K29" s="6">
        <f t="shared" si="0"/>
        <v>1</v>
      </c>
    </row>
    <row r="30" spans="1:11" ht="15" customHeight="1">
      <c r="A30" s="4">
        <v>22</v>
      </c>
      <c r="B30" s="5" t="s">
        <v>130</v>
      </c>
      <c r="C30" s="5" t="s">
        <v>121</v>
      </c>
      <c r="D30" s="5" t="s">
        <v>132</v>
      </c>
      <c r="E30" s="7" t="s">
        <v>105</v>
      </c>
      <c r="F30" s="8" t="s">
        <v>105</v>
      </c>
      <c r="G30" s="4" t="s">
        <v>442</v>
      </c>
      <c r="H30" s="9" t="s">
        <v>196</v>
      </c>
      <c r="I30" s="5" t="s">
        <v>1294</v>
      </c>
      <c r="J30" s="5"/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142</v>
      </c>
      <c r="E31" s="7" t="s">
        <v>105</v>
      </c>
      <c r="F31" s="8" t="s">
        <v>105</v>
      </c>
      <c r="G31" s="4" t="s">
        <v>442</v>
      </c>
      <c r="H31" s="9" t="s">
        <v>196</v>
      </c>
      <c r="I31" s="5" t="s">
        <v>1294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144</v>
      </c>
      <c r="E32" s="7" t="s">
        <v>105</v>
      </c>
      <c r="F32" s="8" t="s">
        <v>105</v>
      </c>
      <c r="G32" s="4" t="s">
        <v>442</v>
      </c>
      <c r="H32" s="9" t="s">
        <v>196</v>
      </c>
      <c r="I32" s="5" t="s">
        <v>1294</v>
      </c>
      <c r="J32" s="5"/>
      <c r="K32" s="6">
        <f t="shared" si="0"/>
        <v>1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1273</v>
      </c>
      <c r="E33" s="7" t="s">
        <v>105</v>
      </c>
      <c r="F33" s="8" t="s">
        <v>105</v>
      </c>
      <c r="G33" s="4" t="s">
        <v>442</v>
      </c>
      <c r="H33" s="9" t="s">
        <v>196</v>
      </c>
      <c r="I33" s="5" t="s">
        <v>1294</v>
      </c>
      <c r="J33" s="5"/>
      <c r="K33" s="6">
        <f t="shared" si="0"/>
        <v>1</v>
      </c>
    </row>
    <row r="34" spans="1:11" ht="45" customHeight="1">
      <c r="A34" s="4">
        <v>26</v>
      </c>
      <c r="B34" s="5" t="s">
        <v>135</v>
      </c>
      <c r="C34" s="5" t="s">
        <v>121</v>
      </c>
      <c r="D34" s="5" t="s">
        <v>617</v>
      </c>
      <c r="E34" s="7" t="s">
        <v>105</v>
      </c>
      <c r="F34" s="8" t="s">
        <v>105</v>
      </c>
      <c r="G34" s="4" t="s">
        <v>442</v>
      </c>
      <c r="H34" s="9" t="s">
        <v>196</v>
      </c>
      <c r="I34" s="5" t="s">
        <v>1294</v>
      </c>
      <c r="J34" s="5"/>
      <c r="K34" s="6">
        <f t="shared" si="0"/>
        <v>1</v>
      </c>
    </row>
    <row r="35" spans="1:11" ht="45" customHeight="1">
      <c r="A35" s="4">
        <v>27</v>
      </c>
      <c r="B35" s="5" t="s">
        <v>120</v>
      </c>
      <c r="C35" s="5" t="s">
        <v>340</v>
      </c>
      <c r="D35" s="5" t="s">
        <v>122</v>
      </c>
      <c r="E35" s="7" t="s">
        <v>105</v>
      </c>
      <c r="F35" s="8" t="s">
        <v>105</v>
      </c>
      <c r="G35" s="4" t="s">
        <v>442</v>
      </c>
      <c r="H35" s="9" t="s">
        <v>196</v>
      </c>
      <c r="I35" s="5" t="s">
        <v>1294</v>
      </c>
      <c r="J35" s="5"/>
      <c r="K35" s="6">
        <f t="shared" si="0"/>
        <v>1</v>
      </c>
    </row>
    <row r="36" spans="1:11" ht="15" customHeight="1">
      <c r="A36" s="4">
        <v>28</v>
      </c>
      <c r="B36" s="5" t="s">
        <v>120</v>
      </c>
      <c r="C36" s="5" t="s">
        <v>340</v>
      </c>
      <c r="D36" s="5" t="s">
        <v>123</v>
      </c>
      <c r="E36" s="7" t="s">
        <v>105</v>
      </c>
      <c r="F36" s="8" t="s">
        <v>105</v>
      </c>
      <c r="G36" s="4" t="s">
        <v>442</v>
      </c>
      <c r="H36" s="9" t="s">
        <v>196</v>
      </c>
      <c r="I36" s="5" t="s">
        <v>1300</v>
      </c>
      <c r="J36" s="5"/>
      <c r="K36" s="6">
        <f t="shared" si="0"/>
        <v>1</v>
      </c>
    </row>
    <row r="37" spans="1:11" ht="30" customHeight="1">
      <c r="A37" s="4">
        <v>29</v>
      </c>
      <c r="B37" s="5" t="s">
        <v>124</v>
      </c>
      <c r="C37" s="5" t="s">
        <v>340</v>
      </c>
      <c r="D37" s="5" t="s">
        <v>125</v>
      </c>
      <c r="E37" s="7" t="s">
        <v>105</v>
      </c>
      <c r="F37" s="8" t="s">
        <v>105</v>
      </c>
      <c r="G37" s="4" t="s">
        <v>442</v>
      </c>
      <c r="H37" s="9" t="s">
        <v>196</v>
      </c>
      <c r="I37" s="5" t="s">
        <v>1300</v>
      </c>
      <c r="J37" s="5"/>
      <c r="K37" s="6">
        <f t="shared" si="0"/>
        <v>1</v>
      </c>
    </row>
    <row r="38" spans="1:11" ht="15" customHeight="1">
      <c r="A38" s="4">
        <v>30</v>
      </c>
      <c r="B38" s="5" t="s">
        <v>124</v>
      </c>
      <c r="C38" s="5" t="s">
        <v>340</v>
      </c>
      <c r="D38" s="5" t="s">
        <v>126</v>
      </c>
      <c r="E38" s="7" t="s">
        <v>105</v>
      </c>
      <c r="F38" s="8" t="s">
        <v>105</v>
      </c>
      <c r="G38" s="4" t="s">
        <v>442</v>
      </c>
      <c r="H38" s="9" t="s">
        <v>196</v>
      </c>
      <c r="I38" s="5" t="s">
        <v>1294</v>
      </c>
      <c r="J38" s="5"/>
      <c r="K38" s="6">
        <f t="shared" si="0"/>
        <v>1</v>
      </c>
    </row>
    <row r="39" spans="1:11" ht="15" customHeight="1">
      <c r="A39" s="4">
        <v>31</v>
      </c>
      <c r="B39" s="5" t="s">
        <v>95</v>
      </c>
      <c r="C39" s="5" t="s">
        <v>340</v>
      </c>
      <c r="D39" s="5" t="s">
        <v>127</v>
      </c>
      <c r="E39" s="7" t="s">
        <v>105</v>
      </c>
      <c r="F39" s="8" t="s">
        <v>105</v>
      </c>
      <c r="G39" s="4" t="s">
        <v>442</v>
      </c>
      <c r="H39" s="9" t="s">
        <v>196</v>
      </c>
      <c r="I39" s="5" t="s">
        <v>1294</v>
      </c>
      <c r="J39" s="5"/>
      <c r="K39" s="6">
        <f t="shared" si="0"/>
        <v>1</v>
      </c>
    </row>
    <row r="40" spans="1:11" ht="15" customHeight="1">
      <c r="A40" s="4">
        <v>32</v>
      </c>
      <c r="B40" s="5" t="s">
        <v>128</v>
      </c>
      <c r="C40" s="5" t="s">
        <v>340</v>
      </c>
      <c r="D40" s="5" t="s">
        <v>129</v>
      </c>
      <c r="E40" s="7" t="s">
        <v>105</v>
      </c>
      <c r="F40" s="8" t="s">
        <v>105</v>
      </c>
      <c r="G40" s="4" t="s">
        <v>442</v>
      </c>
      <c r="H40" s="9" t="s">
        <v>196</v>
      </c>
      <c r="I40" s="5" t="s">
        <v>1294</v>
      </c>
      <c r="J40" s="5"/>
      <c r="K40" s="6">
        <f t="shared" si="0"/>
        <v>1</v>
      </c>
    </row>
    <row r="41" spans="1:11" ht="15" customHeight="1">
      <c r="A41" s="4">
        <v>33</v>
      </c>
      <c r="B41" s="5" t="s">
        <v>130</v>
      </c>
      <c r="C41" s="5" t="s">
        <v>340</v>
      </c>
      <c r="D41" s="5" t="s">
        <v>131</v>
      </c>
      <c r="E41" s="7" t="s">
        <v>105</v>
      </c>
      <c r="F41" s="8" t="s">
        <v>105</v>
      </c>
      <c r="G41" s="4" t="s">
        <v>442</v>
      </c>
      <c r="H41" s="9" t="s">
        <v>196</v>
      </c>
      <c r="I41" s="5" t="s">
        <v>1294</v>
      </c>
      <c r="J41" s="5"/>
      <c r="K41" s="6">
        <f t="shared" si="0"/>
        <v>1</v>
      </c>
    </row>
    <row r="42" spans="1:11" ht="15" customHeight="1">
      <c r="A42" s="4">
        <v>34</v>
      </c>
      <c r="B42" s="5" t="s">
        <v>130</v>
      </c>
      <c r="C42" s="5" t="s">
        <v>340</v>
      </c>
      <c r="D42" s="5" t="s">
        <v>132</v>
      </c>
      <c r="E42" s="7" t="s">
        <v>105</v>
      </c>
      <c r="F42" s="8" t="s">
        <v>105</v>
      </c>
      <c r="G42" s="4" t="s">
        <v>442</v>
      </c>
      <c r="H42" s="9" t="s">
        <v>196</v>
      </c>
      <c r="I42" s="5" t="s">
        <v>1294</v>
      </c>
      <c r="J42" s="5"/>
      <c r="K42" s="6">
        <f t="shared" si="0"/>
        <v>1</v>
      </c>
    </row>
    <row r="43" spans="1:11" ht="45" customHeight="1">
      <c r="A43" s="4">
        <v>35</v>
      </c>
      <c r="B43" s="5" t="s">
        <v>133</v>
      </c>
      <c r="C43" s="5" t="s">
        <v>340</v>
      </c>
      <c r="D43" s="5" t="s">
        <v>142</v>
      </c>
      <c r="E43" s="7" t="s">
        <v>105</v>
      </c>
      <c r="F43" s="8" t="s">
        <v>105</v>
      </c>
      <c r="G43" s="4" t="s">
        <v>442</v>
      </c>
      <c r="H43" s="9" t="s">
        <v>196</v>
      </c>
      <c r="I43" s="5" t="s">
        <v>1294</v>
      </c>
      <c r="J43" s="5"/>
      <c r="K43" s="6">
        <f t="shared" ref="K43:K74" si="1">IF(AND(E43="yes",F43="yes",H43="covered"),1,IF(H43="partial",0.5,0))</f>
        <v>1</v>
      </c>
    </row>
    <row r="44" spans="1:11" ht="45" customHeight="1">
      <c r="A44" s="4">
        <v>36</v>
      </c>
      <c r="B44" s="5" t="s">
        <v>120</v>
      </c>
      <c r="C44" s="5" t="s">
        <v>1276</v>
      </c>
      <c r="D44" s="5" t="s">
        <v>122</v>
      </c>
      <c r="E44" s="7" t="s">
        <v>105</v>
      </c>
      <c r="F44" s="8" t="s">
        <v>105</v>
      </c>
      <c r="G44" s="4" t="s">
        <v>442</v>
      </c>
      <c r="H44" s="9" t="s">
        <v>196</v>
      </c>
      <c r="I44" s="5" t="s">
        <v>1294</v>
      </c>
      <c r="J44" s="5"/>
      <c r="K44" s="6">
        <f t="shared" si="1"/>
        <v>1</v>
      </c>
    </row>
    <row r="45" spans="1:11" ht="15" customHeight="1">
      <c r="A45" s="4">
        <v>37</v>
      </c>
      <c r="B45" s="5" t="s">
        <v>120</v>
      </c>
      <c r="C45" s="5" t="s">
        <v>1276</v>
      </c>
      <c r="D45" s="5" t="s">
        <v>123</v>
      </c>
      <c r="E45" s="7" t="s">
        <v>105</v>
      </c>
      <c r="F45" s="8" t="s">
        <v>105</v>
      </c>
      <c r="G45" s="4" t="s">
        <v>442</v>
      </c>
      <c r="H45" s="9" t="s">
        <v>196</v>
      </c>
      <c r="I45" s="5" t="s">
        <v>1300</v>
      </c>
      <c r="J45" s="5"/>
      <c r="K45" s="6">
        <f t="shared" si="1"/>
        <v>1</v>
      </c>
    </row>
    <row r="46" spans="1:11" ht="30" customHeight="1">
      <c r="A46" s="4">
        <v>38</v>
      </c>
      <c r="B46" s="5" t="s">
        <v>124</v>
      </c>
      <c r="C46" s="5" t="s">
        <v>1276</v>
      </c>
      <c r="D46" s="5" t="s">
        <v>125</v>
      </c>
      <c r="E46" s="7" t="s">
        <v>105</v>
      </c>
      <c r="F46" s="8" t="s">
        <v>105</v>
      </c>
      <c r="G46" s="4" t="s">
        <v>442</v>
      </c>
      <c r="H46" s="9" t="s">
        <v>196</v>
      </c>
      <c r="I46" s="5" t="s">
        <v>1300</v>
      </c>
      <c r="J46" s="5"/>
      <c r="K46" s="6">
        <f t="shared" si="1"/>
        <v>1</v>
      </c>
    </row>
    <row r="47" spans="1:11" ht="15" customHeight="1">
      <c r="A47" s="4">
        <v>39</v>
      </c>
      <c r="B47" s="5" t="s">
        <v>124</v>
      </c>
      <c r="C47" s="5" t="s">
        <v>1276</v>
      </c>
      <c r="D47" s="5" t="s">
        <v>126</v>
      </c>
      <c r="E47" s="7" t="s">
        <v>105</v>
      </c>
      <c r="F47" s="8" t="s">
        <v>105</v>
      </c>
      <c r="G47" s="4" t="s">
        <v>442</v>
      </c>
      <c r="H47" s="9" t="s">
        <v>196</v>
      </c>
      <c r="I47" s="5" t="s">
        <v>1294</v>
      </c>
      <c r="J47" s="5"/>
      <c r="K47" s="6">
        <f t="shared" si="1"/>
        <v>1</v>
      </c>
    </row>
    <row r="48" spans="1:11" ht="45" customHeight="1">
      <c r="A48" s="4">
        <v>40</v>
      </c>
      <c r="B48" s="5" t="s">
        <v>95</v>
      </c>
      <c r="C48" s="5" t="s">
        <v>1276</v>
      </c>
      <c r="D48" s="5" t="s">
        <v>127</v>
      </c>
      <c r="E48" s="7" t="s">
        <v>105</v>
      </c>
      <c r="F48" s="8" t="s">
        <v>105</v>
      </c>
      <c r="G48" s="4" t="s">
        <v>442</v>
      </c>
      <c r="H48" s="9" t="s">
        <v>196</v>
      </c>
      <c r="I48" s="5" t="s">
        <v>1294</v>
      </c>
      <c r="J48" s="5"/>
      <c r="K48" s="6">
        <f t="shared" si="1"/>
        <v>1</v>
      </c>
    </row>
    <row r="49" spans="1:11" ht="15" customHeight="1">
      <c r="A49" s="4">
        <v>41</v>
      </c>
      <c r="B49" s="5" t="s">
        <v>128</v>
      </c>
      <c r="C49" s="5" t="s">
        <v>1276</v>
      </c>
      <c r="D49" s="5" t="s">
        <v>129</v>
      </c>
      <c r="E49" s="7" t="s">
        <v>105</v>
      </c>
      <c r="F49" s="8" t="s">
        <v>105</v>
      </c>
      <c r="G49" s="4" t="s">
        <v>442</v>
      </c>
      <c r="H49" s="9" t="s">
        <v>196</v>
      </c>
      <c r="I49" s="5" t="s">
        <v>1294</v>
      </c>
      <c r="J49" s="5"/>
      <c r="K49" s="6">
        <f t="shared" si="1"/>
        <v>1</v>
      </c>
    </row>
    <row r="50" spans="1:11" ht="15" customHeight="1">
      <c r="A50" s="4">
        <v>42</v>
      </c>
      <c r="B50" s="5" t="s">
        <v>133</v>
      </c>
      <c r="C50" s="5" t="s">
        <v>1276</v>
      </c>
      <c r="D50" s="5" t="s">
        <v>1278</v>
      </c>
      <c r="E50" s="7" t="s">
        <v>105</v>
      </c>
      <c r="F50" s="8" t="s">
        <v>105</v>
      </c>
      <c r="G50" s="4" t="s">
        <v>442</v>
      </c>
      <c r="H50" s="9" t="s">
        <v>196</v>
      </c>
      <c r="I50" s="5" t="s">
        <v>1300</v>
      </c>
      <c r="J50" s="5"/>
      <c r="K50" s="6">
        <f t="shared" si="1"/>
        <v>1</v>
      </c>
    </row>
    <row r="51" spans="1:11" ht="15" customHeight="1">
      <c r="A51" s="4">
        <v>43</v>
      </c>
      <c r="B51" s="5" t="s">
        <v>130</v>
      </c>
      <c r="C51" s="5" t="s">
        <v>1276</v>
      </c>
      <c r="D51" s="5" t="s">
        <v>131</v>
      </c>
      <c r="E51" s="7" t="s">
        <v>105</v>
      </c>
      <c r="F51" s="8" t="s">
        <v>105</v>
      </c>
      <c r="G51" s="4" t="s">
        <v>442</v>
      </c>
      <c r="H51" s="9" t="s">
        <v>196</v>
      </c>
      <c r="I51" s="5" t="s">
        <v>1294</v>
      </c>
      <c r="J51" s="5"/>
      <c r="K51" s="6">
        <f t="shared" si="1"/>
        <v>1</v>
      </c>
    </row>
    <row r="52" spans="1:11" ht="15" customHeight="1">
      <c r="A52" s="4">
        <v>44</v>
      </c>
      <c r="B52" s="5" t="s">
        <v>130</v>
      </c>
      <c r="C52" s="5" t="s">
        <v>1276</v>
      </c>
      <c r="D52" s="5" t="s">
        <v>132</v>
      </c>
      <c r="E52" s="7" t="s">
        <v>105</v>
      </c>
      <c r="F52" s="8" t="s">
        <v>105</v>
      </c>
      <c r="G52" s="4" t="s">
        <v>442</v>
      </c>
      <c r="H52" s="9" t="s">
        <v>196</v>
      </c>
      <c r="I52" s="5" t="s">
        <v>1294</v>
      </c>
      <c r="J52" s="5"/>
      <c r="K52" s="6">
        <f t="shared" si="1"/>
        <v>1</v>
      </c>
    </row>
    <row r="53" spans="1:11" ht="45" customHeight="1">
      <c r="A53" s="4">
        <v>45</v>
      </c>
      <c r="B53" s="5" t="s">
        <v>133</v>
      </c>
      <c r="C53" s="5" t="s">
        <v>1276</v>
      </c>
      <c r="D53" s="5" t="s">
        <v>142</v>
      </c>
      <c r="E53" s="7" t="s">
        <v>105</v>
      </c>
      <c r="F53" s="8" t="s">
        <v>105</v>
      </c>
      <c r="G53" s="4" t="s">
        <v>442</v>
      </c>
      <c r="H53" s="9" t="s">
        <v>196</v>
      </c>
      <c r="I53" s="5" t="s">
        <v>1294</v>
      </c>
      <c r="J53" s="5"/>
      <c r="K53" s="6">
        <f t="shared" si="1"/>
        <v>1</v>
      </c>
    </row>
    <row r="54" spans="1:11" ht="45" customHeight="1">
      <c r="A54" s="4">
        <v>46</v>
      </c>
      <c r="B54" s="5" t="s">
        <v>120</v>
      </c>
      <c r="C54" s="5" t="s">
        <v>1302</v>
      </c>
      <c r="D54" s="5" t="s">
        <v>122</v>
      </c>
      <c r="E54" s="7" t="s">
        <v>105</v>
      </c>
      <c r="F54" s="8" t="s">
        <v>105</v>
      </c>
      <c r="G54" s="4" t="s">
        <v>442</v>
      </c>
      <c r="H54" s="9" t="s">
        <v>196</v>
      </c>
      <c r="I54" s="5" t="s">
        <v>1294</v>
      </c>
      <c r="J54" s="5"/>
      <c r="K54" s="6">
        <f t="shared" si="1"/>
        <v>1</v>
      </c>
    </row>
    <row r="55" spans="1:11" ht="15" customHeight="1">
      <c r="A55" s="4">
        <v>47</v>
      </c>
      <c r="B55" s="5" t="s">
        <v>120</v>
      </c>
      <c r="C55" s="5" t="s">
        <v>1302</v>
      </c>
      <c r="D55" s="5" t="s">
        <v>123</v>
      </c>
      <c r="E55" s="7" t="s">
        <v>105</v>
      </c>
      <c r="F55" s="8" t="s">
        <v>105</v>
      </c>
      <c r="G55" s="4" t="s">
        <v>442</v>
      </c>
      <c r="H55" s="9" t="s">
        <v>196</v>
      </c>
      <c r="I55" s="5" t="s">
        <v>1300</v>
      </c>
      <c r="J55" s="5"/>
      <c r="K55" s="6">
        <f t="shared" si="1"/>
        <v>1</v>
      </c>
    </row>
    <row r="56" spans="1:11" ht="30" customHeight="1">
      <c r="A56" s="4">
        <v>48</v>
      </c>
      <c r="B56" s="5" t="s">
        <v>124</v>
      </c>
      <c r="C56" s="5" t="s">
        <v>1302</v>
      </c>
      <c r="D56" s="5" t="s">
        <v>125</v>
      </c>
      <c r="E56" s="7" t="s">
        <v>105</v>
      </c>
      <c r="F56" s="8" t="s">
        <v>105</v>
      </c>
      <c r="G56" s="4" t="s">
        <v>442</v>
      </c>
      <c r="H56" s="9" t="s">
        <v>196</v>
      </c>
      <c r="I56" s="5" t="s">
        <v>1300</v>
      </c>
      <c r="J56" s="5"/>
      <c r="K56" s="6">
        <f t="shared" si="1"/>
        <v>1</v>
      </c>
    </row>
    <row r="57" spans="1:11" ht="15" customHeight="1">
      <c r="A57" s="4">
        <v>49</v>
      </c>
      <c r="B57" s="5" t="s">
        <v>124</v>
      </c>
      <c r="C57" s="5" t="s">
        <v>1302</v>
      </c>
      <c r="D57" s="5" t="s">
        <v>126</v>
      </c>
      <c r="E57" s="7" t="s">
        <v>105</v>
      </c>
      <c r="F57" s="8" t="s">
        <v>105</v>
      </c>
      <c r="G57" s="4" t="s">
        <v>442</v>
      </c>
      <c r="H57" s="9" t="s">
        <v>196</v>
      </c>
      <c r="I57" s="5" t="s">
        <v>1294</v>
      </c>
      <c r="J57" s="5"/>
      <c r="K57" s="6">
        <f t="shared" si="1"/>
        <v>1</v>
      </c>
    </row>
    <row r="58" spans="1:11" ht="15" customHeight="1">
      <c r="A58" s="4">
        <v>50</v>
      </c>
      <c r="B58" s="5" t="s">
        <v>95</v>
      </c>
      <c r="C58" s="5" t="s">
        <v>1302</v>
      </c>
      <c r="D58" s="5" t="s">
        <v>127</v>
      </c>
      <c r="E58" s="7" t="s">
        <v>105</v>
      </c>
      <c r="F58" s="8" t="s">
        <v>105</v>
      </c>
      <c r="G58" s="4" t="s">
        <v>442</v>
      </c>
      <c r="H58" s="9" t="s">
        <v>196</v>
      </c>
      <c r="I58" s="5" t="s">
        <v>1294</v>
      </c>
      <c r="J58" s="5"/>
      <c r="K58" s="6">
        <f t="shared" si="1"/>
        <v>1</v>
      </c>
    </row>
    <row r="59" spans="1:11" ht="45" customHeight="1">
      <c r="A59" s="4">
        <v>51</v>
      </c>
      <c r="B59" s="5" t="s">
        <v>128</v>
      </c>
      <c r="C59" s="5" t="s">
        <v>1302</v>
      </c>
      <c r="D59" s="5" t="s">
        <v>129</v>
      </c>
      <c r="E59" s="7" t="s">
        <v>105</v>
      </c>
      <c r="F59" s="8" t="s">
        <v>105</v>
      </c>
      <c r="G59" s="4" t="s">
        <v>442</v>
      </c>
      <c r="H59" s="9" t="s">
        <v>196</v>
      </c>
      <c r="I59" s="5" t="s">
        <v>1294</v>
      </c>
      <c r="J59" s="5"/>
      <c r="K59" s="6">
        <f t="shared" si="1"/>
        <v>1</v>
      </c>
    </row>
    <row r="60" spans="1:11" ht="15" customHeight="1">
      <c r="A60" s="4">
        <v>52</v>
      </c>
      <c r="B60" s="5" t="s">
        <v>135</v>
      </c>
      <c r="C60" s="5" t="s">
        <v>1302</v>
      </c>
      <c r="D60" s="5" t="s">
        <v>1274</v>
      </c>
      <c r="E60" s="7" t="s">
        <v>105</v>
      </c>
      <c r="F60" s="8" t="s">
        <v>105</v>
      </c>
      <c r="G60" s="4" t="s">
        <v>442</v>
      </c>
      <c r="H60" s="9" t="s">
        <v>196</v>
      </c>
      <c r="I60" s="5" t="s">
        <v>1294</v>
      </c>
      <c r="J60" s="5"/>
      <c r="K60" s="6">
        <f t="shared" si="1"/>
        <v>1</v>
      </c>
    </row>
    <row r="61" spans="1:11" ht="15" customHeight="1">
      <c r="A61" s="4">
        <v>53</v>
      </c>
      <c r="B61" s="5" t="s">
        <v>133</v>
      </c>
      <c r="C61" s="5" t="s">
        <v>1302</v>
      </c>
      <c r="D61" s="5" t="s">
        <v>1275</v>
      </c>
      <c r="E61" s="7" t="s">
        <v>105</v>
      </c>
      <c r="F61" s="8" t="s">
        <v>105</v>
      </c>
      <c r="G61" s="4" t="s">
        <v>442</v>
      </c>
      <c r="H61" s="9" t="s">
        <v>196</v>
      </c>
      <c r="I61" s="5" t="s">
        <v>1300</v>
      </c>
      <c r="J61" s="5"/>
      <c r="K61" s="6">
        <f t="shared" si="1"/>
        <v>1</v>
      </c>
    </row>
    <row r="62" spans="1:11" ht="15" customHeight="1">
      <c r="A62" s="4">
        <v>54</v>
      </c>
      <c r="B62" s="5" t="s">
        <v>130</v>
      </c>
      <c r="C62" s="5" t="s">
        <v>1302</v>
      </c>
      <c r="D62" s="5" t="s">
        <v>131</v>
      </c>
      <c r="E62" s="7" t="s">
        <v>105</v>
      </c>
      <c r="F62" s="8" t="s">
        <v>105</v>
      </c>
      <c r="G62" s="4" t="s">
        <v>442</v>
      </c>
      <c r="H62" s="9" t="s">
        <v>196</v>
      </c>
      <c r="I62" s="5" t="s">
        <v>1294</v>
      </c>
      <c r="J62" s="5"/>
      <c r="K62" s="6">
        <f t="shared" si="1"/>
        <v>1</v>
      </c>
    </row>
    <row r="63" spans="1:11" ht="15" customHeight="1">
      <c r="A63" s="4">
        <v>55</v>
      </c>
      <c r="B63" s="5" t="s">
        <v>130</v>
      </c>
      <c r="C63" s="5" t="s">
        <v>1302</v>
      </c>
      <c r="D63" s="5" t="s">
        <v>132</v>
      </c>
      <c r="E63" s="7" t="s">
        <v>105</v>
      </c>
      <c r="F63" s="8" t="s">
        <v>105</v>
      </c>
      <c r="G63" s="4" t="s">
        <v>442</v>
      </c>
      <c r="H63" s="9" t="s">
        <v>196</v>
      </c>
      <c r="I63" s="5" t="s">
        <v>1294</v>
      </c>
      <c r="J63" s="5"/>
      <c r="K63" s="6">
        <f t="shared" si="1"/>
        <v>1</v>
      </c>
    </row>
    <row r="64" spans="1:11" ht="15" customHeight="1">
      <c r="A64" s="4">
        <v>56</v>
      </c>
      <c r="B64" s="5" t="s">
        <v>133</v>
      </c>
      <c r="C64" s="5" t="s">
        <v>1302</v>
      </c>
      <c r="D64" s="5" t="s">
        <v>142</v>
      </c>
      <c r="E64" s="7" t="s">
        <v>105</v>
      </c>
      <c r="F64" s="8" t="s">
        <v>105</v>
      </c>
      <c r="G64" s="4" t="s">
        <v>442</v>
      </c>
      <c r="H64" s="9" t="s">
        <v>196</v>
      </c>
      <c r="I64" s="5" t="s">
        <v>1294</v>
      </c>
      <c r="J64" s="5"/>
      <c r="K64" s="6">
        <f t="shared" si="1"/>
        <v>1</v>
      </c>
    </row>
    <row r="65" spans="1:11" ht="15" customHeight="1">
      <c r="A65" s="4">
        <v>57</v>
      </c>
      <c r="B65" s="5" t="s">
        <v>135</v>
      </c>
      <c r="C65" s="5" t="s">
        <v>1302</v>
      </c>
      <c r="D65" s="5" t="s">
        <v>144</v>
      </c>
      <c r="E65" s="7" t="s">
        <v>105</v>
      </c>
      <c r="F65" s="8" t="s">
        <v>105</v>
      </c>
      <c r="G65" s="4" t="s">
        <v>442</v>
      </c>
      <c r="H65" s="9" t="s">
        <v>196</v>
      </c>
      <c r="I65" s="5" t="s">
        <v>1294</v>
      </c>
      <c r="J65" s="5"/>
      <c r="K65" s="6">
        <f t="shared" si="1"/>
        <v>1</v>
      </c>
    </row>
    <row r="66" spans="1:11" ht="30" customHeight="1">
      <c r="A66" s="4">
        <v>58</v>
      </c>
      <c r="B66" s="5" t="s">
        <v>135</v>
      </c>
      <c r="C66" s="5" t="s">
        <v>1302</v>
      </c>
      <c r="D66" s="5" t="s">
        <v>1273</v>
      </c>
      <c r="E66" s="7" t="s">
        <v>105</v>
      </c>
      <c r="F66" s="8" t="s">
        <v>105</v>
      </c>
      <c r="G66" s="4" t="s">
        <v>442</v>
      </c>
      <c r="H66" s="9" t="s">
        <v>196</v>
      </c>
      <c r="I66" s="5" t="s">
        <v>1294</v>
      </c>
      <c r="J66" s="5"/>
      <c r="K66" s="6">
        <f t="shared" si="1"/>
        <v>1</v>
      </c>
    </row>
    <row r="67" spans="1:11" ht="15" customHeight="1">
      <c r="A67" s="4">
        <v>59</v>
      </c>
      <c r="B67" s="5" t="s">
        <v>153</v>
      </c>
      <c r="C67" s="5" t="s">
        <v>154</v>
      </c>
      <c r="D67" s="5" t="s">
        <v>1303</v>
      </c>
      <c r="E67" s="7" t="s">
        <v>105</v>
      </c>
      <c r="F67" s="8" t="s">
        <v>105</v>
      </c>
      <c r="G67" s="4" t="s">
        <v>442</v>
      </c>
      <c r="H67" s="9" t="s">
        <v>196</v>
      </c>
      <c r="I67" s="5" t="s">
        <v>1294</v>
      </c>
      <c r="J67" s="5"/>
      <c r="K67" s="6">
        <f t="shared" si="1"/>
        <v>1</v>
      </c>
    </row>
    <row r="68" spans="1:11" ht="15" customHeight="1">
      <c r="A68" s="4">
        <v>60</v>
      </c>
      <c r="B68" s="5" t="s">
        <v>153</v>
      </c>
      <c r="C68" s="5" t="s">
        <v>154</v>
      </c>
      <c r="D68" s="5" t="s">
        <v>562</v>
      </c>
      <c r="E68" s="7" t="s">
        <v>105</v>
      </c>
      <c r="F68" s="8" t="s">
        <v>105</v>
      </c>
      <c r="G68" s="4" t="s">
        <v>442</v>
      </c>
      <c r="H68" s="9" t="s">
        <v>196</v>
      </c>
      <c r="I68" s="5" t="s">
        <v>1304</v>
      </c>
      <c r="J68" s="5"/>
      <c r="K68" s="6">
        <f t="shared" si="1"/>
        <v>1</v>
      </c>
    </row>
    <row r="69" spans="1:11" ht="15" customHeight="1">
      <c r="A69" s="4">
        <v>61</v>
      </c>
      <c r="B69" s="5" t="s">
        <v>153</v>
      </c>
      <c r="C69" s="5" t="s">
        <v>154</v>
      </c>
      <c r="D69" s="5" t="s">
        <v>621</v>
      </c>
      <c r="E69" s="7" t="s">
        <v>105</v>
      </c>
      <c r="F69" s="8" t="s">
        <v>105</v>
      </c>
      <c r="G69" s="4" t="s">
        <v>442</v>
      </c>
      <c r="H69" s="9" t="s">
        <v>196</v>
      </c>
      <c r="I69" s="5" t="s">
        <v>1294</v>
      </c>
      <c r="J69" s="5"/>
      <c r="K69" s="6">
        <f t="shared" si="1"/>
        <v>1</v>
      </c>
    </row>
    <row r="70" spans="1:11" ht="15" customHeight="1">
      <c r="A70" s="4">
        <v>62</v>
      </c>
      <c r="B70" s="5" t="s">
        <v>153</v>
      </c>
      <c r="C70" s="5" t="s">
        <v>154</v>
      </c>
      <c r="D70" s="5" t="s">
        <v>1305</v>
      </c>
      <c r="E70" s="7" t="s">
        <v>105</v>
      </c>
      <c r="F70" s="8" t="s">
        <v>105</v>
      </c>
      <c r="G70" s="4" t="s">
        <v>442</v>
      </c>
      <c r="H70" s="9" t="s">
        <v>196</v>
      </c>
      <c r="I70" s="5" t="s">
        <v>1306</v>
      </c>
      <c r="J70" s="5"/>
      <c r="K70" s="6">
        <f t="shared" si="1"/>
        <v>1</v>
      </c>
    </row>
    <row r="71" spans="1:11" ht="15" customHeight="1">
      <c r="A71" s="4">
        <v>63</v>
      </c>
      <c r="B71" s="5" t="s">
        <v>159</v>
      </c>
      <c r="C71" s="5" t="s">
        <v>154</v>
      </c>
      <c r="D71" s="5" t="s">
        <v>160</v>
      </c>
      <c r="E71" s="7" t="s">
        <v>105</v>
      </c>
      <c r="F71" s="8" t="s">
        <v>105</v>
      </c>
      <c r="G71" s="4" t="s">
        <v>442</v>
      </c>
      <c r="H71" s="9" t="s">
        <v>196</v>
      </c>
      <c r="I71" s="5" t="s">
        <v>1294</v>
      </c>
      <c r="J71" s="5"/>
      <c r="K71" s="6">
        <f t="shared" si="1"/>
        <v>1</v>
      </c>
    </row>
    <row r="72" spans="1:11" ht="15" customHeight="1">
      <c r="A72" s="4">
        <v>64</v>
      </c>
      <c r="B72" s="5" t="s">
        <v>159</v>
      </c>
      <c r="C72" s="5" t="s">
        <v>154</v>
      </c>
      <c r="D72" s="5" t="s">
        <v>624</v>
      </c>
      <c r="E72" s="7" t="s">
        <v>105</v>
      </c>
      <c r="F72" s="8" t="s">
        <v>105</v>
      </c>
      <c r="G72" s="4" t="s">
        <v>442</v>
      </c>
      <c r="H72" s="9" t="s">
        <v>196</v>
      </c>
      <c r="I72" s="5" t="s">
        <v>1294</v>
      </c>
      <c r="J72" s="5"/>
      <c r="K72" s="6">
        <f t="shared" si="1"/>
        <v>1</v>
      </c>
    </row>
    <row r="73" spans="1:11" ht="15" customHeight="1">
      <c r="A73" s="4">
        <v>65</v>
      </c>
      <c r="B73" s="5" t="s">
        <v>159</v>
      </c>
      <c r="C73" s="5" t="s">
        <v>154</v>
      </c>
      <c r="D73" s="5" t="s">
        <v>1282</v>
      </c>
      <c r="E73" s="7" t="s">
        <v>105</v>
      </c>
      <c r="F73" s="8" t="s">
        <v>105</v>
      </c>
      <c r="G73" s="4" t="s">
        <v>442</v>
      </c>
      <c r="H73" s="9" t="s">
        <v>196</v>
      </c>
      <c r="I73" s="5" t="s">
        <v>1294</v>
      </c>
      <c r="J73" s="5"/>
      <c r="K73" s="6">
        <f t="shared" si="1"/>
        <v>1</v>
      </c>
    </row>
    <row r="74" spans="1:11" ht="15" customHeight="1">
      <c r="A74" s="4">
        <v>66</v>
      </c>
      <c r="B74" s="5" t="s">
        <v>159</v>
      </c>
      <c r="C74" s="5" t="s">
        <v>154</v>
      </c>
      <c r="D74" s="5" t="s">
        <v>162</v>
      </c>
      <c r="E74" s="7" t="s">
        <v>105</v>
      </c>
      <c r="F74" s="8" t="s">
        <v>105</v>
      </c>
      <c r="G74" s="4" t="s">
        <v>442</v>
      </c>
      <c r="H74" s="9" t="s">
        <v>196</v>
      </c>
      <c r="I74" s="5" t="s">
        <v>1294</v>
      </c>
      <c r="J74" s="5"/>
      <c r="K74" s="6">
        <f t="shared" si="1"/>
        <v>1</v>
      </c>
    </row>
    <row r="75" spans="1:11" ht="30" customHeight="1">
      <c r="A75" s="4">
        <v>67</v>
      </c>
      <c r="B75" s="5" t="s">
        <v>130</v>
      </c>
      <c r="C75" s="5" t="s">
        <v>37</v>
      </c>
      <c r="D75" s="5" t="s">
        <v>164</v>
      </c>
      <c r="E75" s="7" t="s">
        <v>105</v>
      </c>
      <c r="F75" s="8" t="s">
        <v>105</v>
      </c>
      <c r="G75" s="4" t="s">
        <v>442</v>
      </c>
      <c r="H75" s="9" t="s">
        <v>196</v>
      </c>
      <c r="I75" s="5" t="s">
        <v>1294</v>
      </c>
      <c r="J75" s="5"/>
      <c r="K75" s="6">
        <f t="shared" ref="K75:K81" si="2">IF(AND(E75="yes",F75="yes",H75="covered"),1,IF(H75="partial",0.5,0))</f>
        <v>1</v>
      </c>
    </row>
    <row r="76" spans="1:11" ht="15" customHeight="1">
      <c r="A76" s="4">
        <v>68</v>
      </c>
      <c r="B76" s="5" t="s">
        <v>130</v>
      </c>
      <c r="C76" s="5" t="s">
        <v>37</v>
      </c>
      <c r="D76" s="5" t="s">
        <v>165</v>
      </c>
      <c r="E76" s="7" t="s">
        <v>105</v>
      </c>
      <c r="F76" s="8" t="s">
        <v>105</v>
      </c>
      <c r="G76" s="4" t="s">
        <v>442</v>
      </c>
      <c r="H76" s="9" t="s">
        <v>196</v>
      </c>
      <c r="I76" s="5" t="s">
        <v>1294</v>
      </c>
      <c r="J76" s="5"/>
      <c r="K76" s="6">
        <f t="shared" si="2"/>
        <v>1</v>
      </c>
    </row>
    <row r="77" spans="1:11" ht="15" customHeight="1">
      <c r="A77" s="4">
        <v>69</v>
      </c>
      <c r="B77" s="5" t="s">
        <v>130</v>
      </c>
      <c r="C77" s="5" t="s">
        <v>37</v>
      </c>
      <c r="D77" s="5" t="s">
        <v>167</v>
      </c>
      <c r="E77" s="7" t="s">
        <v>105</v>
      </c>
      <c r="F77" s="8" t="s">
        <v>105</v>
      </c>
      <c r="G77" s="4" t="s">
        <v>442</v>
      </c>
      <c r="H77" s="9" t="s">
        <v>196</v>
      </c>
      <c r="I77" s="5" t="s">
        <v>1294</v>
      </c>
      <c r="J77" s="5"/>
      <c r="K77" s="6">
        <f t="shared" si="2"/>
        <v>1</v>
      </c>
    </row>
    <row r="78" spans="1:11" ht="30" customHeight="1">
      <c r="A78" s="4">
        <v>70</v>
      </c>
      <c r="B78" s="5" t="s">
        <v>130</v>
      </c>
      <c r="C78" s="5" t="s">
        <v>37</v>
      </c>
      <c r="D78" s="5" t="s">
        <v>168</v>
      </c>
      <c r="E78" s="7" t="s">
        <v>105</v>
      </c>
      <c r="F78" s="8" t="s">
        <v>105</v>
      </c>
      <c r="G78" s="4" t="s">
        <v>442</v>
      </c>
      <c r="H78" s="9" t="s">
        <v>196</v>
      </c>
      <c r="I78" s="5" t="s">
        <v>1294</v>
      </c>
      <c r="J78" s="5"/>
      <c r="K78" s="6">
        <f t="shared" si="2"/>
        <v>1</v>
      </c>
    </row>
    <row r="79" spans="1:11" ht="30" customHeight="1">
      <c r="A79" s="4">
        <v>71</v>
      </c>
      <c r="B79" s="5" t="s">
        <v>1283</v>
      </c>
      <c r="C79" s="5" t="s">
        <v>1307</v>
      </c>
      <c r="D79" s="5" t="s">
        <v>1308</v>
      </c>
      <c r="E79" s="7" t="s">
        <v>105</v>
      </c>
      <c r="F79" s="8" t="s">
        <v>105</v>
      </c>
      <c r="G79" s="4" t="s">
        <v>442</v>
      </c>
      <c r="H79" s="9" t="s">
        <v>196</v>
      </c>
      <c r="I79" s="5" t="s">
        <v>1309</v>
      </c>
      <c r="J79" s="5"/>
      <c r="K79" s="6">
        <f t="shared" si="2"/>
        <v>1</v>
      </c>
    </row>
    <row r="80" spans="1:11" ht="30" customHeight="1">
      <c r="A80" s="4">
        <v>72</v>
      </c>
      <c r="B80" s="5" t="s">
        <v>1283</v>
      </c>
      <c r="C80" s="5" t="s">
        <v>1310</v>
      </c>
      <c r="D80" s="5" t="s">
        <v>1311</v>
      </c>
      <c r="E80" s="7" t="s">
        <v>105</v>
      </c>
      <c r="F80" s="8" t="s">
        <v>105</v>
      </c>
      <c r="G80" s="4" t="s">
        <v>442</v>
      </c>
      <c r="H80" s="9" t="s">
        <v>196</v>
      </c>
      <c r="I80" s="5" t="s">
        <v>1312</v>
      </c>
      <c r="J80" s="5"/>
      <c r="K80" s="6">
        <f t="shared" si="2"/>
        <v>1</v>
      </c>
    </row>
    <row r="81" spans="1:11" ht="30" customHeight="1">
      <c r="A81" s="4">
        <v>73</v>
      </c>
      <c r="B81" s="5" t="s">
        <v>135</v>
      </c>
      <c r="C81" s="5" t="s">
        <v>37</v>
      </c>
      <c r="D81" s="5" t="s">
        <v>630</v>
      </c>
      <c r="E81" s="7" t="s">
        <v>105</v>
      </c>
      <c r="F81" s="8" t="s">
        <v>105</v>
      </c>
      <c r="G81" s="4" t="s">
        <v>442</v>
      </c>
      <c r="H81" s="9" t="s">
        <v>196</v>
      </c>
      <c r="I81" s="5" t="s">
        <v>1294</v>
      </c>
      <c r="J81" s="5"/>
      <c r="K81" s="6">
        <f t="shared" si="2"/>
        <v>1</v>
      </c>
    </row>
    <row r="82" spans="1:11" ht="30" customHeight="1"/>
    <row r="83" spans="1:11" ht="30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K222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1313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176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442</v>
      </c>
      <c r="H9" s="9" t="s">
        <v>196</v>
      </c>
      <c r="I9" s="5" t="s">
        <v>1314</v>
      </c>
      <c r="J9" s="5" t="s">
        <v>1315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442</v>
      </c>
      <c r="H10" s="9" t="s">
        <v>196</v>
      </c>
      <c r="I10" s="5" t="s">
        <v>1314</v>
      </c>
      <c r="J10" s="5" t="s">
        <v>1315</v>
      </c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38</v>
      </c>
      <c r="D11" s="5" t="s">
        <v>104</v>
      </c>
      <c r="E11" s="7" t="s">
        <v>105</v>
      </c>
      <c r="F11" s="8" t="s">
        <v>105</v>
      </c>
      <c r="G11" s="4" t="s">
        <v>442</v>
      </c>
      <c r="H11" s="9" t="s">
        <v>196</v>
      </c>
      <c r="I11" s="5" t="s">
        <v>1314</v>
      </c>
      <c r="J11" s="5" t="s">
        <v>1315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38</v>
      </c>
      <c r="D12" s="5" t="s">
        <v>110</v>
      </c>
      <c r="E12" s="7" t="s">
        <v>105</v>
      </c>
      <c r="F12" s="8" t="s">
        <v>105</v>
      </c>
      <c r="G12" s="4" t="s">
        <v>442</v>
      </c>
      <c r="H12" s="9" t="s">
        <v>196</v>
      </c>
      <c r="I12" s="5" t="s">
        <v>1314</v>
      </c>
      <c r="J12" s="5" t="s">
        <v>1315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38</v>
      </c>
      <c r="D13" s="5" t="s">
        <v>111</v>
      </c>
      <c r="E13" s="7" t="s">
        <v>105</v>
      </c>
      <c r="F13" s="8" t="s">
        <v>105</v>
      </c>
      <c r="G13" s="4" t="s">
        <v>442</v>
      </c>
      <c r="H13" s="9" t="s">
        <v>196</v>
      </c>
      <c r="I13" s="5" t="s">
        <v>1314</v>
      </c>
      <c r="J13" s="5" t="s">
        <v>1315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38</v>
      </c>
      <c r="D14" s="5" t="s">
        <v>112</v>
      </c>
      <c r="E14" s="7" t="s">
        <v>105</v>
      </c>
      <c r="F14" s="8" t="s">
        <v>105</v>
      </c>
      <c r="G14" s="4" t="s">
        <v>442</v>
      </c>
      <c r="H14" s="9" t="s">
        <v>196</v>
      </c>
      <c r="I14" s="5" t="s">
        <v>1314</v>
      </c>
      <c r="J14" s="5" t="s">
        <v>1315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38</v>
      </c>
      <c r="D15" s="5" t="s">
        <v>1316</v>
      </c>
      <c r="E15" s="7" t="s">
        <v>105</v>
      </c>
      <c r="F15" s="8" t="s">
        <v>105</v>
      </c>
      <c r="G15" s="4" t="s">
        <v>442</v>
      </c>
      <c r="H15" s="9" t="s">
        <v>196</v>
      </c>
      <c r="I15" s="5" t="s">
        <v>1314</v>
      </c>
      <c r="J15" s="5" t="s">
        <v>1315</v>
      </c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38</v>
      </c>
      <c r="D16" s="5" t="s">
        <v>1317</v>
      </c>
      <c r="E16" s="7" t="s">
        <v>105</v>
      </c>
      <c r="F16" s="8" t="s">
        <v>105</v>
      </c>
      <c r="G16" s="4" t="s">
        <v>442</v>
      </c>
      <c r="H16" s="9" t="s">
        <v>196</v>
      </c>
      <c r="I16" s="5" t="s">
        <v>1314</v>
      </c>
      <c r="J16" s="5" t="s">
        <v>1315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38</v>
      </c>
      <c r="D17" s="5" t="s">
        <v>1318</v>
      </c>
      <c r="E17" s="7" t="s">
        <v>105</v>
      </c>
      <c r="F17" s="8" t="s">
        <v>105</v>
      </c>
      <c r="G17" s="4" t="s">
        <v>442</v>
      </c>
      <c r="H17" s="9" t="s">
        <v>196</v>
      </c>
      <c r="I17" s="5" t="s">
        <v>1314</v>
      </c>
      <c r="J17" s="5" t="s">
        <v>1315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38</v>
      </c>
      <c r="D18" s="5" t="s">
        <v>1319</v>
      </c>
      <c r="E18" s="7" t="s">
        <v>105</v>
      </c>
      <c r="F18" s="8" t="s">
        <v>105</v>
      </c>
      <c r="G18" s="4" t="s">
        <v>442</v>
      </c>
      <c r="H18" s="9" t="s">
        <v>196</v>
      </c>
      <c r="I18" s="5" t="s">
        <v>1314</v>
      </c>
      <c r="J18" s="5" t="s">
        <v>1315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38</v>
      </c>
      <c r="D19" s="5" t="s">
        <v>1320</v>
      </c>
      <c r="E19" s="7" t="s">
        <v>105</v>
      </c>
      <c r="F19" s="8" t="s">
        <v>105</v>
      </c>
      <c r="G19" s="4" t="s">
        <v>442</v>
      </c>
      <c r="H19" s="9" t="s">
        <v>196</v>
      </c>
      <c r="I19" s="5" t="s">
        <v>1314</v>
      </c>
      <c r="J19" s="5" t="s">
        <v>1315</v>
      </c>
      <c r="K19" s="6">
        <f t="shared" si="0"/>
        <v>1</v>
      </c>
    </row>
    <row r="20" spans="1:11" ht="30" customHeight="1">
      <c r="A20" s="4">
        <v>12</v>
      </c>
      <c r="B20" s="5" t="s">
        <v>113</v>
      </c>
      <c r="C20" s="5" t="s">
        <v>38</v>
      </c>
      <c r="D20" s="5" t="s">
        <v>1321</v>
      </c>
      <c r="E20" s="7" t="s">
        <v>105</v>
      </c>
      <c r="F20" s="8" t="s">
        <v>105</v>
      </c>
      <c r="G20" s="4" t="s">
        <v>442</v>
      </c>
      <c r="H20" s="9" t="s">
        <v>196</v>
      </c>
      <c r="I20" s="5" t="s">
        <v>1314</v>
      </c>
      <c r="J20" s="5" t="s">
        <v>1315</v>
      </c>
      <c r="K20" s="6">
        <f t="shared" si="0"/>
        <v>1</v>
      </c>
    </row>
    <row r="21" spans="1:11" ht="30" customHeight="1">
      <c r="A21" s="4">
        <v>13</v>
      </c>
      <c r="B21" s="5" t="s">
        <v>113</v>
      </c>
      <c r="C21" s="5" t="s">
        <v>38</v>
      </c>
      <c r="D21" s="5" t="s">
        <v>1322</v>
      </c>
      <c r="E21" s="7" t="s">
        <v>105</v>
      </c>
      <c r="F21" s="8" t="s">
        <v>105</v>
      </c>
      <c r="G21" s="4" t="s">
        <v>442</v>
      </c>
      <c r="H21" s="9" t="s">
        <v>196</v>
      </c>
      <c r="I21" s="5" t="s">
        <v>1314</v>
      </c>
      <c r="J21" s="5" t="s">
        <v>1315</v>
      </c>
      <c r="K21" s="6">
        <f t="shared" si="0"/>
        <v>1</v>
      </c>
    </row>
    <row r="22" spans="1:11" ht="15" customHeight="1">
      <c r="A22" s="4">
        <v>14</v>
      </c>
      <c r="B22" s="5" t="s">
        <v>113</v>
      </c>
      <c r="C22" s="5" t="s">
        <v>38</v>
      </c>
      <c r="D22" s="5" t="s">
        <v>1323</v>
      </c>
      <c r="E22" s="7" t="s">
        <v>105</v>
      </c>
      <c r="F22" s="8" t="s">
        <v>105</v>
      </c>
      <c r="G22" s="4" t="s">
        <v>442</v>
      </c>
      <c r="H22" s="9" t="s">
        <v>196</v>
      </c>
      <c r="I22" s="5" t="s">
        <v>1314</v>
      </c>
      <c r="J22" s="5" t="s">
        <v>1315</v>
      </c>
      <c r="K22" s="6">
        <f t="shared" si="0"/>
        <v>1</v>
      </c>
    </row>
    <row r="23" spans="1:11" ht="15" customHeight="1">
      <c r="A23" s="4">
        <v>15</v>
      </c>
      <c r="B23" s="5" t="s">
        <v>113</v>
      </c>
      <c r="C23" s="5" t="s">
        <v>38</v>
      </c>
      <c r="D23" s="5" t="s">
        <v>1324</v>
      </c>
      <c r="E23" s="7" t="s">
        <v>105</v>
      </c>
      <c r="F23" s="8" t="s">
        <v>105</v>
      </c>
      <c r="G23" s="4" t="s">
        <v>442</v>
      </c>
      <c r="H23" s="9" t="s">
        <v>196</v>
      </c>
      <c r="I23" s="5" t="s">
        <v>1314</v>
      </c>
      <c r="J23" s="5" t="s">
        <v>1315</v>
      </c>
      <c r="K23" s="6">
        <f t="shared" si="0"/>
        <v>1</v>
      </c>
    </row>
    <row r="24" spans="1:11" ht="15" customHeight="1">
      <c r="A24" s="4">
        <v>16</v>
      </c>
      <c r="B24" s="5" t="s">
        <v>120</v>
      </c>
      <c r="C24" s="5" t="s">
        <v>121</v>
      </c>
      <c r="D24" s="5" t="s">
        <v>122</v>
      </c>
      <c r="E24" s="7" t="s">
        <v>105</v>
      </c>
      <c r="F24" s="8" t="s">
        <v>105</v>
      </c>
      <c r="G24" s="4" t="s">
        <v>442</v>
      </c>
      <c r="H24" s="9" t="s">
        <v>196</v>
      </c>
      <c r="I24" s="5" t="s">
        <v>1314</v>
      </c>
      <c r="J24" s="5" t="s">
        <v>1315</v>
      </c>
      <c r="K24" s="6">
        <f t="shared" si="0"/>
        <v>1</v>
      </c>
    </row>
    <row r="25" spans="1:11" ht="15" customHeight="1">
      <c r="A25" s="4">
        <v>17</v>
      </c>
      <c r="B25" s="5" t="s">
        <v>120</v>
      </c>
      <c r="C25" s="5" t="s">
        <v>121</v>
      </c>
      <c r="D25" s="5" t="s">
        <v>123</v>
      </c>
      <c r="E25" s="7" t="s">
        <v>105</v>
      </c>
      <c r="F25" s="8" t="s">
        <v>105</v>
      </c>
      <c r="G25" s="4" t="s">
        <v>442</v>
      </c>
      <c r="H25" s="9" t="s">
        <v>196</v>
      </c>
      <c r="I25" s="5" t="s">
        <v>1314</v>
      </c>
      <c r="J25" s="5" t="s">
        <v>1315</v>
      </c>
      <c r="K25" s="6">
        <f t="shared" si="0"/>
        <v>1</v>
      </c>
    </row>
    <row r="26" spans="1:11" ht="30" customHeight="1">
      <c r="A26" s="4">
        <v>18</v>
      </c>
      <c r="B26" s="5" t="s">
        <v>124</v>
      </c>
      <c r="C26" s="5" t="s">
        <v>121</v>
      </c>
      <c r="D26" s="5" t="s">
        <v>125</v>
      </c>
      <c r="E26" s="7" t="s">
        <v>105</v>
      </c>
      <c r="F26" s="8" t="s">
        <v>105</v>
      </c>
      <c r="G26" s="4" t="s">
        <v>442</v>
      </c>
      <c r="H26" s="9" t="s">
        <v>196</v>
      </c>
      <c r="I26" s="5" t="s">
        <v>1314</v>
      </c>
      <c r="J26" s="5" t="s">
        <v>1315</v>
      </c>
      <c r="K26" s="6">
        <f t="shared" si="0"/>
        <v>1</v>
      </c>
    </row>
    <row r="27" spans="1:11" ht="15" customHeight="1">
      <c r="A27" s="4">
        <v>19</v>
      </c>
      <c r="B27" s="5" t="s">
        <v>124</v>
      </c>
      <c r="C27" s="5" t="s">
        <v>121</v>
      </c>
      <c r="D27" s="5" t="s">
        <v>126</v>
      </c>
      <c r="E27" s="7" t="s">
        <v>105</v>
      </c>
      <c r="F27" s="8" t="s">
        <v>105</v>
      </c>
      <c r="G27" s="4" t="s">
        <v>442</v>
      </c>
      <c r="H27" s="9" t="s">
        <v>196</v>
      </c>
      <c r="I27" s="5" t="s">
        <v>1314</v>
      </c>
      <c r="J27" s="5" t="s">
        <v>1315</v>
      </c>
      <c r="K27" s="6">
        <f t="shared" si="0"/>
        <v>1</v>
      </c>
    </row>
    <row r="28" spans="1:11" ht="15" customHeight="1">
      <c r="A28" s="4">
        <v>20</v>
      </c>
      <c r="B28" s="5" t="s">
        <v>95</v>
      </c>
      <c r="C28" s="5" t="s">
        <v>121</v>
      </c>
      <c r="D28" s="5" t="s">
        <v>127</v>
      </c>
      <c r="E28" s="7" t="s">
        <v>105</v>
      </c>
      <c r="F28" s="8" t="s">
        <v>105</v>
      </c>
      <c r="G28" s="4" t="s">
        <v>442</v>
      </c>
      <c r="H28" s="9" t="s">
        <v>196</v>
      </c>
      <c r="I28" s="5" t="s">
        <v>1314</v>
      </c>
      <c r="J28" s="5" t="s">
        <v>1315</v>
      </c>
      <c r="K28" s="6">
        <f t="shared" si="0"/>
        <v>1</v>
      </c>
    </row>
    <row r="29" spans="1:11" ht="15" customHeight="1">
      <c r="A29" s="4">
        <v>21</v>
      </c>
      <c r="B29" s="5" t="s">
        <v>128</v>
      </c>
      <c r="C29" s="5" t="s">
        <v>121</v>
      </c>
      <c r="D29" s="5" t="s">
        <v>129</v>
      </c>
      <c r="E29" s="7" t="s">
        <v>105</v>
      </c>
      <c r="F29" s="8" t="s">
        <v>105</v>
      </c>
      <c r="G29" s="4" t="s">
        <v>442</v>
      </c>
      <c r="H29" s="9" t="s">
        <v>196</v>
      </c>
      <c r="I29" s="5" t="s">
        <v>1314</v>
      </c>
      <c r="J29" s="5" t="s">
        <v>1315</v>
      </c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1325</v>
      </c>
      <c r="E30" s="7" t="s">
        <v>105</v>
      </c>
      <c r="F30" s="8" t="s">
        <v>105</v>
      </c>
      <c r="G30" s="4" t="s">
        <v>442</v>
      </c>
      <c r="H30" s="9" t="s">
        <v>196</v>
      </c>
      <c r="I30" s="5" t="s">
        <v>1314</v>
      </c>
      <c r="J30" s="5" t="s">
        <v>1315</v>
      </c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1326</v>
      </c>
      <c r="E31" s="7" t="s">
        <v>105</v>
      </c>
      <c r="F31" s="8" t="s">
        <v>105</v>
      </c>
      <c r="G31" s="4" t="s">
        <v>442</v>
      </c>
      <c r="H31" s="9" t="s">
        <v>196</v>
      </c>
      <c r="I31" s="5" t="s">
        <v>1314</v>
      </c>
      <c r="J31" s="5" t="s">
        <v>1315</v>
      </c>
      <c r="K31" s="6">
        <f t="shared" si="0"/>
        <v>1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1327</v>
      </c>
      <c r="E32" s="7" t="s">
        <v>105</v>
      </c>
      <c r="F32" s="8" t="s">
        <v>105</v>
      </c>
      <c r="G32" s="4" t="s">
        <v>442</v>
      </c>
      <c r="H32" s="9" t="s">
        <v>196</v>
      </c>
      <c r="I32" s="5" t="s">
        <v>1314</v>
      </c>
      <c r="J32" s="5" t="s">
        <v>1315</v>
      </c>
      <c r="K32" s="6">
        <f t="shared" si="0"/>
        <v>1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1328</v>
      </c>
      <c r="E33" s="7" t="s">
        <v>105</v>
      </c>
      <c r="F33" s="8" t="s">
        <v>105</v>
      </c>
      <c r="G33" s="4" t="s">
        <v>442</v>
      </c>
      <c r="H33" s="9" t="s">
        <v>196</v>
      </c>
      <c r="I33" s="5" t="s">
        <v>1314</v>
      </c>
      <c r="J33" s="5" t="s">
        <v>1315</v>
      </c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1329</v>
      </c>
      <c r="E34" s="7" t="s">
        <v>105</v>
      </c>
      <c r="F34" s="8" t="s">
        <v>105</v>
      </c>
      <c r="G34" s="4" t="s">
        <v>442</v>
      </c>
      <c r="H34" s="9" t="s">
        <v>196</v>
      </c>
      <c r="I34" s="5" t="s">
        <v>1314</v>
      </c>
      <c r="J34" s="5" t="s">
        <v>1315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1330</v>
      </c>
      <c r="E35" s="7" t="s">
        <v>105</v>
      </c>
      <c r="F35" s="8" t="s">
        <v>105</v>
      </c>
      <c r="G35" s="4" t="s">
        <v>442</v>
      </c>
      <c r="H35" s="9" t="s">
        <v>196</v>
      </c>
      <c r="I35" s="5" t="s">
        <v>1314</v>
      </c>
      <c r="J35" s="5" t="s">
        <v>1315</v>
      </c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1331</v>
      </c>
      <c r="E36" s="7" t="s">
        <v>105</v>
      </c>
      <c r="F36" s="8" t="s">
        <v>105</v>
      </c>
      <c r="G36" s="4" t="s">
        <v>442</v>
      </c>
      <c r="H36" s="9" t="s">
        <v>196</v>
      </c>
      <c r="I36" s="5" t="s">
        <v>1314</v>
      </c>
      <c r="J36" s="5" t="s">
        <v>1315</v>
      </c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1332</v>
      </c>
      <c r="E37" s="7" t="s">
        <v>105</v>
      </c>
      <c r="F37" s="8" t="s">
        <v>105</v>
      </c>
      <c r="G37" s="4" t="s">
        <v>442</v>
      </c>
      <c r="H37" s="9" t="s">
        <v>196</v>
      </c>
      <c r="I37" s="5" t="s">
        <v>1314</v>
      </c>
      <c r="J37" s="5" t="s">
        <v>1315</v>
      </c>
      <c r="K37" s="6">
        <f t="shared" si="0"/>
        <v>1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1333</v>
      </c>
      <c r="E38" s="7" t="s">
        <v>105</v>
      </c>
      <c r="F38" s="8" t="s">
        <v>105</v>
      </c>
      <c r="G38" s="4" t="s">
        <v>442</v>
      </c>
      <c r="H38" s="9" t="s">
        <v>196</v>
      </c>
      <c r="I38" s="5" t="s">
        <v>1314</v>
      </c>
      <c r="J38" s="5" t="s">
        <v>1315</v>
      </c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1334</v>
      </c>
      <c r="E39" s="7" t="s">
        <v>105</v>
      </c>
      <c r="F39" s="8" t="s">
        <v>105</v>
      </c>
      <c r="G39" s="4" t="s">
        <v>442</v>
      </c>
      <c r="H39" s="9" t="s">
        <v>196</v>
      </c>
      <c r="I39" s="5" t="s">
        <v>1314</v>
      </c>
      <c r="J39" s="5" t="s">
        <v>1315</v>
      </c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613</v>
      </c>
      <c r="E40" s="7" t="s">
        <v>105</v>
      </c>
      <c r="F40" s="8" t="s">
        <v>105</v>
      </c>
      <c r="G40" s="4" t="s">
        <v>442</v>
      </c>
      <c r="H40" s="9" t="s">
        <v>196</v>
      </c>
      <c r="I40" s="5" t="s">
        <v>1314</v>
      </c>
      <c r="J40" s="5" t="s">
        <v>1315</v>
      </c>
      <c r="K40" s="6">
        <f t="shared" si="0"/>
        <v>1</v>
      </c>
    </row>
    <row r="41" spans="1:11" ht="15" customHeight="1">
      <c r="A41" s="4">
        <v>33</v>
      </c>
      <c r="B41" s="5" t="s">
        <v>133</v>
      </c>
      <c r="C41" s="5" t="s">
        <v>121</v>
      </c>
      <c r="D41" s="5" t="s">
        <v>614</v>
      </c>
      <c r="E41" s="7" t="s">
        <v>105</v>
      </c>
      <c r="F41" s="8" t="s">
        <v>105</v>
      </c>
      <c r="G41" s="4" t="s">
        <v>442</v>
      </c>
      <c r="H41" s="9" t="s">
        <v>196</v>
      </c>
      <c r="I41" s="5" t="s">
        <v>1314</v>
      </c>
      <c r="J41" s="5" t="s">
        <v>1315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135</v>
      </c>
      <c r="C42" s="5" t="s">
        <v>121</v>
      </c>
      <c r="D42" s="5" t="s">
        <v>140</v>
      </c>
      <c r="E42" s="7" t="s">
        <v>105</v>
      </c>
      <c r="F42" s="8" t="s">
        <v>105</v>
      </c>
      <c r="G42" s="4" t="s">
        <v>442</v>
      </c>
      <c r="H42" s="9" t="s">
        <v>196</v>
      </c>
      <c r="I42" s="5" t="s">
        <v>1314</v>
      </c>
      <c r="J42" s="5" t="s">
        <v>1315</v>
      </c>
      <c r="K42" s="6">
        <f t="shared" si="1"/>
        <v>1</v>
      </c>
    </row>
    <row r="43" spans="1:11" ht="15" customHeight="1">
      <c r="A43" s="4">
        <v>35</v>
      </c>
      <c r="B43" s="5" t="s">
        <v>135</v>
      </c>
      <c r="C43" s="5" t="s">
        <v>121</v>
      </c>
      <c r="D43" s="5" t="s">
        <v>612</v>
      </c>
      <c r="E43" s="7" t="s">
        <v>105</v>
      </c>
      <c r="F43" s="8" t="s">
        <v>105</v>
      </c>
      <c r="G43" s="4" t="s">
        <v>442</v>
      </c>
      <c r="H43" s="9" t="s">
        <v>196</v>
      </c>
      <c r="I43" s="5" t="s">
        <v>1314</v>
      </c>
      <c r="J43" s="5" t="s">
        <v>1315</v>
      </c>
      <c r="K43" s="6">
        <f t="shared" si="1"/>
        <v>1</v>
      </c>
    </row>
    <row r="44" spans="1:11" ht="15" customHeight="1">
      <c r="A44" s="4">
        <v>36</v>
      </c>
      <c r="B44" s="5" t="s">
        <v>135</v>
      </c>
      <c r="C44" s="5" t="s">
        <v>121</v>
      </c>
      <c r="D44" s="5" t="s">
        <v>610</v>
      </c>
      <c r="E44" s="7" t="s">
        <v>105</v>
      </c>
      <c r="F44" s="8" t="s">
        <v>105</v>
      </c>
      <c r="G44" s="4" t="s">
        <v>442</v>
      </c>
      <c r="H44" s="9" t="s">
        <v>196</v>
      </c>
      <c r="I44" s="5" t="s">
        <v>1314</v>
      </c>
      <c r="J44" s="5" t="s">
        <v>1315</v>
      </c>
      <c r="K44" s="6">
        <f t="shared" si="1"/>
        <v>1</v>
      </c>
    </row>
    <row r="45" spans="1:11" ht="15" customHeight="1">
      <c r="A45" s="4">
        <v>37</v>
      </c>
      <c r="B45" s="5" t="s">
        <v>135</v>
      </c>
      <c r="C45" s="5" t="s">
        <v>121</v>
      </c>
      <c r="D45" s="5" t="s">
        <v>611</v>
      </c>
      <c r="E45" s="7" t="s">
        <v>105</v>
      </c>
      <c r="F45" s="8" t="s">
        <v>105</v>
      </c>
      <c r="G45" s="4" t="s">
        <v>442</v>
      </c>
      <c r="H45" s="9" t="s">
        <v>196</v>
      </c>
      <c r="I45" s="5" t="s">
        <v>1314</v>
      </c>
      <c r="J45" s="5" t="s">
        <v>1315</v>
      </c>
      <c r="K45" s="6">
        <f t="shared" si="1"/>
        <v>1</v>
      </c>
    </row>
    <row r="46" spans="1:11" ht="15" customHeight="1">
      <c r="A46" s="4">
        <v>38</v>
      </c>
      <c r="B46" s="5" t="s">
        <v>130</v>
      </c>
      <c r="C46" s="5" t="s">
        <v>121</v>
      </c>
      <c r="D46" s="5" t="s">
        <v>131</v>
      </c>
      <c r="E46" s="7" t="s">
        <v>105</v>
      </c>
      <c r="F46" s="8" t="s">
        <v>105</v>
      </c>
      <c r="G46" s="4" t="s">
        <v>442</v>
      </c>
      <c r="H46" s="9" t="s">
        <v>196</v>
      </c>
      <c r="I46" s="5" t="s">
        <v>1314</v>
      </c>
      <c r="J46" s="5" t="s">
        <v>1315</v>
      </c>
      <c r="K46" s="6">
        <f t="shared" si="1"/>
        <v>1</v>
      </c>
    </row>
    <row r="47" spans="1:11" ht="15" customHeight="1">
      <c r="A47" s="4">
        <v>39</v>
      </c>
      <c r="B47" s="5" t="s">
        <v>130</v>
      </c>
      <c r="C47" s="5" t="s">
        <v>121</v>
      </c>
      <c r="D47" s="5" t="s">
        <v>132</v>
      </c>
      <c r="E47" s="7" t="s">
        <v>105</v>
      </c>
      <c r="F47" s="8" t="s">
        <v>105</v>
      </c>
      <c r="G47" s="4" t="s">
        <v>442</v>
      </c>
      <c r="H47" s="9" t="s">
        <v>196</v>
      </c>
      <c r="I47" s="5" t="s">
        <v>1314</v>
      </c>
      <c r="J47" s="5" t="s">
        <v>1315</v>
      </c>
      <c r="K47" s="6">
        <f t="shared" si="1"/>
        <v>1</v>
      </c>
    </row>
    <row r="48" spans="1:11" ht="15" customHeight="1">
      <c r="A48" s="4">
        <v>40</v>
      </c>
      <c r="B48" s="5" t="s">
        <v>133</v>
      </c>
      <c r="C48" s="5" t="s">
        <v>121</v>
      </c>
      <c r="D48" s="5" t="s">
        <v>719</v>
      </c>
      <c r="E48" s="7" t="s">
        <v>105</v>
      </c>
      <c r="F48" s="8" t="s">
        <v>105</v>
      </c>
      <c r="G48" s="4" t="s">
        <v>442</v>
      </c>
      <c r="H48" s="9" t="s">
        <v>196</v>
      </c>
      <c r="I48" s="5" t="s">
        <v>1314</v>
      </c>
      <c r="J48" s="5" t="s">
        <v>1315</v>
      </c>
      <c r="K48" s="6">
        <f t="shared" si="1"/>
        <v>1</v>
      </c>
    </row>
    <row r="49" spans="1:11" ht="15" customHeight="1">
      <c r="A49" s="4">
        <v>41</v>
      </c>
      <c r="B49" s="5" t="s">
        <v>133</v>
      </c>
      <c r="C49" s="5" t="s">
        <v>121</v>
      </c>
      <c r="D49" s="5" t="s">
        <v>142</v>
      </c>
      <c r="E49" s="7" t="s">
        <v>105</v>
      </c>
      <c r="F49" s="8" t="s">
        <v>105</v>
      </c>
      <c r="G49" s="4" t="s">
        <v>442</v>
      </c>
      <c r="H49" s="9" t="s">
        <v>196</v>
      </c>
      <c r="I49" s="5" t="s">
        <v>1314</v>
      </c>
      <c r="J49" s="5" t="s">
        <v>1315</v>
      </c>
      <c r="K49" s="6">
        <f t="shared" si="1"/>
        <v>1</v>
      </c>
    </row>
    <row r="50" spans="1:11" ht="15" customHeight="1">
      <c r="A50" s="4">
        <v>42</v>
      </c>
      <c r="B50" s="5" t="s">
        <v>133</v>
      </c>
      <c r="C50" s="5" t="s">
        <v>121</v>
      </c>
      <c r="D50" s="5" t="s">
        <v>146</v>
      </c>
      <c r="E50" s="7" t="s">
        <v>105</v>
      </c>
      <c r="F50" s="8" t="s">
        <v>105</v>
      </c>
      <c r="G50" s="4" t="s">
        <v>442</v>
      </c>
      <c r="H50" s="9" t="s">
        <v>196</v>
      </c>
      <c r="I50" s="5" t="s">
        <v>1314</v>
      </c>
      <c r="J50" s="5" t="s">
        <v>1315</v>
      </c>
      <c r="K50" s="6">
        <f t="shared" si="1"/>
        <v>1</v>
      </c>
    </row>
    <row r="51" spans="1:11" ht="15" customHeight="1">
      <c r="A51" s="4">
        <v>43</v>
      </c>
      <c r="B51" s="5" t="s">
        <v>133</v>
      </c>
      <c r="C51" s="5" t="s">
        <v>121</v>
      </c>
      <c r="D51" s="5" t="s">
        <v>1335</v>
      </c>
      <c r="E51" s="7" t="s">
        <v>105</v>
      </c>
      <c r="F51" s="8" t="s">
        <v>105</v>
      </c>
      <c r="G51" s="4" t="s">
        <v>442</v>
      </c>
      <c r="H51" s="9" t="s">
        <v>196</v>
      </c>
      <c r="I51" s="5" t="s">
        <v>1314</v>
      </c>
      <c r="J51" s="5" t="s">
        <v>1315</v>
      </c>
      <c r="K51" s="6">
        <f t="shared" si="1"/>
        <v>1</v>
      </c>
    </row>
    <row r="52" spans="1:11" ht="15" customHeight="1">
      <c r="A52" s="4">
        <v>44</v>
      </c>
      <c r="B52" s="5" t="s">
        <v>133</v>
      </c>
      <c r="C52" s="5" t="s">
        <v>121</v>
      </c>
      <c r="D52" s="5" t="s">
        <v>722</v>
      </c>
      <c r="E52" s="7" t="s">
        <v>105</v>
      </c>
      <c r="F52" s="8" t="s">
        <v>105</v>
      </c>
      <c r="G52" s="4" t="s">
        <v>442</v>
      </c>
      <c r="H52" s="9" t="s">
        <v>196</v>
      </c>
      <c r="I52" s="5" t="s">
        <v>1314</v>
      </c>
      <c r="J52" s="5" t="s">
        <v>1315</v>
      </c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121</v>
      </c>
      <c r="D53" s="5" t="s">
        <v>1336</v>
      </c>
      <c r="E53" s="7" t="s">
        <v>105</v>
      </c>
      <c r="F53" s="8" t="s">
        <v>105</v>
      </c>
      <c r="G53" s="4" t="s">
        <v>442</v>
      </c>
      <c r="H53" s="9" t="s">
        <v>196</v>
      </c>
      <c r="I53" s="5" t="s">
        <v>1314</v>
      </c>
      <c r="J53" s="5" t="s">
        <v>1315</v>
      </c>
      <c r="K53" s="6">
        <f t="shared" si="1"/>
        <v>1</v>
      </c>
    </row>
    <row r="54" spans="1:11" ht="15" customHeight="1">
      <c r="A54" s="4">
        <v>46</v>
      </c>
      <c r="B54" s="5" t="s">
        <v>135</v>
      </c>
      <c r="C54" s="5" t="s">
        <v>121</v>
      </c>
      <c r="D54" s="5" t="s">
        <v>144</v>
      </c>
      <c r="E54" s="7" t="s">
        <v>105</v>
      </c>
      <c r="F54" s="8" t="s">
        <v>105</v>
      </c>
      <c r="G54" s="4" t="s">
        <v>442</v>
      </c>
      <c r="H54" s="9" t="s">
        <v>196</v>
      </c>
      <c r="I54" s="5" t="s">
        <v>1314</v>
      </c>
      <c r="J54" s="5" t="s">
        <v>1315</v>
      </c>
      <c r="K54" s="6">
        <f t="shared" si="1"/>
        <v>1</v>
      </c>
    </row>
    <row r="55" spans="1:11" ht="15" customHeight="1">
      <c r="A55" s="4">
        <v>47</v>
      </c>
      <c r="B55" s="5" t="s">
        <v>135</v>
      </c>
      <c r="C55" s="5" t="s">
        <v>121</v>
      </c>
      <c r="D55" s="5" t="s">
        <v>616</v>
      </c>
      <c r="E55" s="7" t="s">
        <v>105</v>
      </c>
      <c r="F55" s="8" t="s">
        <v>105</v>
      </c>
      <c r="G55" s="4" t="s">
        <v>442</v>
      </c>
      <c r="H55" s="9" t="s">
        <v>196</v>
      </c>
      <c r="I55" s="5" t="s">
        <v>1314</v>
      </c>
      <c r="J55" s="5" t="s">
        <v>1315</v>
      </c>
      <c r="K55" s="6">
        <f t="shared" si="1"/>
        <v>1</v>
      </c>
    </row>
    <row r="56" spans="1:11" ht="15" customHeight="1">
      <c r="A56" s="4">
        <v>48</v>
      </c>
      <c r="B56" s="5" t="s">
        <v>135</v>
      </c>
      <c r="C56" s="5" t="s">
        <v>121</v>
      </c>
      <c r="D56" s="5" t="s">
        <v>1273</v>
      </c>
      <c r="E56" s="7" t="s">
        <v>105</v>
      </c>
      <c r="F56" s="8" t="s">
        <v>105</v>
      </c>
      <c r="G56" s="4" t="s">
        <v>442</v>
      </c>
      <c r="H56" s="9" t="s">
        <v>196</v>
      </c>
      <c r="I56" s="5" t="s">
        <v>1314</v>
      </c>
      <c r="J56" s="5" t="s">
        <v>1315</v>
      </c>
      <c r="K56" s="6">
        <f t="shared" si="1"/>
        <v>1</v>
      </c>
    </row>
    <row r="57" spans="1:11" ht="15" customHeight="1">
      <c r="A57" s="4">
        <v>49</v>
      </c>
      <c r="B57" s="5" t="s">
        <v>135</v>
      </c>
      <c r="C57" s="5" t="s">
        <v>121</v>
      </c>
      <c r="D57" s="5" t="s">
        <v>617</v>
      </c>
      <c r="E57" s="7" t="s">
        <v>105</v>
      </c>
      <c r="F57" s="8" t="s">
        <v>105</v>
      </c>
      <c r="G57" s="4" t="s">
        <v>442</v>
      </c>
      <c r="H57" s="9" t="s">
        <v>196</v>
      </c>
      <c r="I57" s="5" t="s">
        <v>1314</v>
      </c>
      <c r="J57" s="5" t="s">
        <v>1315</v>
      </c>
      <c r="K57" s="6">
        <f t="shared" si="1"/>
        <v>1</v>
      </c>
    </row>
    <row r="58" spans="1:11" ht="15" customHeight="1">
      <c r="A58" s="4">
        <v>50</v>
      </c>
      <c r="B58" s="5" t="s">
        <v>120</v>
      </c>
      <c r="C58" s="5" t="s">
        <v>145</v>
      </c>
      <c r="D58" s="5" t="s">
        <v>122</v>
      </c>
      <c r="E58" s="7" t="s">
        <v>105</v>
      </c>
      <c r="F58" s="8" t="s">
        <v>105</v>
      </c>
      <c r="G58" s="4" t="s">
        <v>442</v>
      </c>
      <c r="H58" s="9" t="s">
        <v>196</v>
      </c>
      <c r="I58" s="5" t="s">
        <v>1314</v>
      </c>
      <c r="J58" s="5" t="s">
        <v>1315</v>
      </c>
      <c r="K58" s="6">
        <f t="shared" si="1"/>
        <v>1</v>
      </c>
    </row>
    <row r="59" spans="1:11" ht="15" customHeight="1">
      <c r="A59" s="4">
        <v>51</v>
      </c>
      <c r="B59" s="5" t="s">
        <v>120</v>
      </c>
      <c r="C59" s="5" t="s">
        <v>145</v>
      </c>
      <c r="D59" s="5" t="s">
        <v>123</v>
      </c>
      <c r="E59" s="7" t="s">
        <v>105</v>
      </c>
      <c r="F59" s="8" t="s">
        <v>105</v>
      </c>
      <c r="G59" s="4" t="s">
        <v>442</v>
      </c>
      <c r="H59" s="9" t="s">
        <v>196</v>
      </c>
      <c r="I59" s="5" t="s">
        <v>1314</v>
      </c>
      <c r="J59" s="5" t="s">
        <v>1315</v>
      </c>
      <c r="K59" s="6">
        <f t="shared" si="1"/>
        <v>1</v>
      </c>
    </row>
    <row r="60" spans="1:11" ht="30" customHeight="1">
      <c r="A60" s="4">
        <v>52</v>
      </c>
      <c r="B60" s="5" t="s">
        <v>124</v>
      </c>
      <c r="C60" s="5" t="s">
        <v>145</v>
      </c>
      <c r="D60" s="5" t="s">
        <v>125</v>
      </c>
      <c r="E60" s="7" t="s">
        <v>105</v>
      </c>
      <c r="F60" s="8" t="s">
        <v>105</v>
      </c>
      <c r="G60" s="4" t="s">
        <v>442</v>
      </c>
      <c r="H60" s="9" t="s">
        <v>196</v>
      </c>
      <c r="I60" s="5" t="s">
        <v>1314</v>
      </c>
      <c r="J60" s="5" t="s">
        <v>1315</v>
      </c>
      <c r="K60" s="6">
        <f t="shared" si="1"/>
        <v>1</v>
      </c>
    </row>
    <row r="61" spans="1:11" ht="15" customHeight="1">
      <c r="A61" s="4">
        <v>53</v>
      </c>
      <c r="B61" s="5" t="s">
        <v>124</v>
      </c>
      <c r="C61" s="5" t="s">
        <v>145</v>
      </c>
      <c r="D61" s="5" t="s">
        <v>126</v>
      </c>
      <c r="E61" s="7" t="s">
        <v>105</v>
      </c>
      <c r="F61" s="8" t="s">
        <v>105</v>
      </c>
      <c r="G61" s="4" t="s">
        <v>442</v>
      </c>
      <c r="H61" s="9" t="s">
        <v>196</v>
      </c>
      <c r="I61" s="5" t="s">
        <v>1314</v>
      </c>
      <c r="J61" s="5" t="s">
        <v>1315</v>
      </c>
      <c r="K61" s="6">
        <f t="shared" si="1"/>
        <v>1</v>
      </c>
    </row>
    <row r="62" spans="1:11" ht="15" customHeight="1">
      <c r="A62" s="4">
        <v>54</v>
      </c>
      <c r="B62" s="5" t="s">
        <v>95</v>
      </c>
      <c r="C62" s="5" t="s">
        <v>145</v>
      </c>
      <c r="D62" s="5" t="s">
        <v>127</v>
      </c>
      <c r="E62" s="7" t="s">
        <v>105</v>
      </c>
      <c r="F62" s="8" t="s">
        <v>105</v>
      </c>
      <c r="G62" s="4" t="s">
        <v>442</v>
      </c>
      <c r="H62" s="9" t="s">
        <v>196</v>
      </c>
      <c r="I62" s="5" t="s">
        <v>1314</v>
      </c>
      <c r="J62" s="5" t="s">
        <v>1315</v>
      </c>
      <c r="K62" s="6">
        <f t="shared" si="1"/>
        <v>1</v>
      </c>
    </row>
    <row r="63" spans="1:11" ht="15" customHeight="1">
      <c r="A63" s="4">
        <v>55</v>
      </c>
      <c r="B63" s="5" t="s">
        <v>128</v>
      </c>
      <c r="C63" s="5" t="s">
        <v>145</v>
      </c>
      <c r="D63" s="5" t="s">
        <v>129</v>
      </c>
      <c r="E63" s="7" t="s">
        <v>105</v>
      </c>
      <c r="F63" s="8" t="s">
        <v>105</v>
      </c>
      <c r="G63" s="4" t="s">
        <v>442</v>
      </c>
      <c r="H63" s="9" t="s">
        <v>196</v>
      </c>
      <c r="I63" s="5" t="s">
        <v>1314</v>
      </c>
      <c r="J63" s="5" t="s">
        <v>1315</v>
      </c>
      <c r="K63" s="6">
        <f t="shared" si="1"/>
        <v>1</v>
      </c>
    </row>
    <row r="64" spans="1:11" ht="15" customHeight="1">
      <c r="A64" s="4">
        <v>56</v>
      </c>
      <c r="B64" s="5" t="s">
        <v>130</v>
      </c>
      <c r="C64" s="5" t="s">
        <v>145</v>
      </c>
      <c r="D64" s="5" t="s">
        <v>131</v>
      </c>
      <c r="E64" s="7" t="s">
        <v>105</v>
      </c>
      <c r="F64" s="8" t="s">
        <v>105</v>
      </c>
      <c r="G64" s="4" t="s">
        <v>442</v>
      </c>
      <c r="H64" s="9" t="s">
        <v>196</v>
      </c>
      <c r="I64" s="5" t="s">
        <v>1314</v>
      </c>
      <c r="J64" s="5" t="s">
        <v>1315</v>
      </c>
      <c r="K64" s="6">
        <f t="shared" si="1"/>
        <v>1</v>
      </c>
    </row>
    <row r="65" spans="1:11" ht="15" customHeight="1">
      <c r="A65" s="4">
        <v>57</v>
      </c>
      <c r="B65" s="5" t="s">
        <v>130</v>
      </c>
      <c r="C65" s="5" t="s">
        <v>145</v>
      </c>
      <c r="D65" s="5" t="s">
        <v>132</v>
      </c>
      <c r="E65" s="7" t="s">
        <v>105</v>
      </c>
      <c r="F65" s="8" t="s">
        <v>105</v>
      </c>
      <c r="G65" s="4" t="s">
        <v>442</v>
      </c>
      <c r="H65" s="9" t="s">
        <v>196</v>
      </c>
      <c r="I65" s="5" t="s">
        <v>1314</v>
      </c>
      <c r="J65" s="5" t="s">
        <v>1315</v>
      </c>
      <c r="K65" s="6">
        <f t="shared" si="1"/>
        <v>1</v>
      </c>
    </row>
    <row r="66" spans="1:11" ht="15" customHeight="1">
      <c r="A66" s="4">
        <v>58</v>
      </c>
      <c r="B66" s="5" t="s">
        <v>133</v>
      </c>
      <c r="C66" s="5" t="s">
        <v>145</v>
      </c>
      <c r="D66" s="5" t="s">
        <v>719</v>
      </c>
      <c r="E66" s="7" t="s">
        <v>105</v>
      </c>
      <c r="F66" s="8" t="s">
        <v>105</v>
      </c>
      <c r="G66" s="4" t="s">
        <v>442</v>
      </c>
      <c r="H66" s="9" t="s">
        <v>196</v>
      </c>
      <c r="I66" s="5" t="s">
        <v>1314</v>
      </c>
      <c r="J66" s="5" t="s">
        <v>1315</v>
      </c>
      <c r="K66" s="6">
        <f t="shared" si="1"/>
        <v>1</v>
      </c>
    </row>
    <row r="67" spans="1:11" ht="15" customHeight="1">
      <c r="A67" s="4">
        <v>59</v>
      </c>
      <c r="B67" s="5" t="s">
        <v>133</v>
      </c>
      <c r="C67" s="5" t="s">
        <v>145</v>
      </c>
      <c r="D67" s="5" t="s">
        <v>142</v>
      </c>
      <c r="E67" s="7" t="s">
        <v>105</v>
      </c>
      <c r="F67" s="8" t="s">
        <v>105</v>
      </c>
      <c r="G67" s="4" t="s">
        <v>442</v>
      </c>
      <c r="H67" s="9" t="s">
        <v>196</v>
      </c>
      <c r="I67" s="5" t="s">
        <v>1314</v>
      </c>
      <c r="J67" s="5" t="s">
        <v>1315</v>
      </c>
      <c r="K67" s="6">
        <f t="shared" si="1"/>
        <v>1</v>
      </c>
    </row>
    <row r="68" spans="1:11" ht="15" customHeight="1">
      <c r="A68" s="4">
        <v>60</v>
      </c>
      <c r="B68" s="5" t="s">
        <v>135</v>
      </c>
      <c r="C68" s="5" t="s">
        <v>145</v>
      </c>
      <c r="D68" s="5" t="s">
        <v>144</v>
      </c>
      <c r="E68" s="7" t="s">
        <v>105</v>
      </c>
      <c r="F68" s="8" t="s">
        <v>105</v>
      </c>
      <c r="G68" s="4" t="s">
        <v>442</v>
      </c>
      <c r="H68" s="9" t="s">
        <v>196</v>
      </c>
      <c r="I68" s="5" t="s">
        <v>1314</v>
      </c>
      <c r="J68" s="5" t="s">
        <v>1315</v>
      </c>
      <c r="K68" s="6">
        <f t="shared" si="1"/>
        <v>1</v>
      </c>
    </row>
    <row r="69" spans="1:11" ht="15" customHeight="1">
      <c r="A69" s="4">
        <v>61</v>
      </c>
      <c r="B69" s="5" t="s">
        <v>135</v>
      </c>
      <c r="C69" s="5" t="s">
        <v>145</v>
      </c>
      <c r="D69" s="5" t="s">
        <v>616</v>
      </c>
      <c r="E69" s="7" t="s">
        <v>105</v>
      </c>
      <c r="F69" s="8" t="s">
        <v>105</v>
      </c>
      <c r="G69" s="4" t="s">
        <v>442</v>
      </c>
      <c r="H69" s="9" t="s">
        <v>196</v>
      </c>
      <c r="I69" s="5" t="s">
        <v>1314</v>
      </c>
      <c r="J69" s="5" t="s">
        <v>1315</v>
      </c>
      <c r="K69" s="6">
        <f t="shared" si="1"/>
        <v>1</v>
      </c>
    </row>
    <row r="70" spans="1:11" ht="15" customHeight="1">
      <c r="A70" s="4">
        <v>62</v>
      </c>
      <c r="B70" s="5" t="s">
        <v>147</v>
      </c>
      <c r="C70" s="5" t="s">
        <v>145</v>
      </c>
      <c r="D70" s="5" t="s">
        <v>1337</v>
      </c>
      <c r="E70" s="7" t="s">
        <v>105</v>
      </c>
      <c r="F70" s="8" t="s">
        <v>105</v>
      </c>
      <c r="G70" s="4" t="s">
        <v>442</v>
      </c>
      <c r="H70" s="9" t="s">
        <v>196</v>
      </c>
      <c r="I70" s="5" t="s">
        <v>1314</v>
      </c>
      <c r="J70" s="5" t="s">
        <v>1315</v>
      </c>
      <c r="K70" s="6">
        <f t="shared" si="1"/>
        <v>1</v>
      </c>
    </row>
    <row r="71" spans="1:11" ht="15" customHeight="1">
      <c r="A71" s="4">
        <v>63</v>
      </c>
      <c r="B71" s="5" t="s">
        <v>120</v>
      </c>
      <c r="C71" s="5" t="s">
        <v>150</v>
      </c>
      <c r="D71" s="5" t="s">
        <v>122</v>
      </c>
      <c r="E71" s="7" t="s">
        <v>105</v>
      </c>
      <c r="F71" s="8" t="s">
        <v>105</v>
      </c>
      <c r="G71" s="4" t="s">
        <v>442</v>
      </c>
      <c r="H71" s="9" t="s">
        <v>196</v>
      </c>
      <c r="I71" s="5" t="s">
        <v>1314</v>
      </c>
      <c r="J71" s="5" t="s">
        <v>1315</v>
      </c>
      <c r="K71" s="6">
        <f t="shared" si="1"/>
        <v>1</v>
      </c>
    </row>
    <row r="72" spans="1:11" ht="30" customHeight="1">
      <c r="A72" s="4">
        <v>64</v>
      </c>
      <c r="B72" s="5" t="s">
        <v>120</v>
      </c>
      <c r="C72" s="5" t="s">
        <v>150</v>
      </c>
      <c r="D72" s="5" t="s">
        <v>123</v>
      </c>
      <c r="E72" s="7" t="s">
        <v>105</v>
      </c>
      <c r="F72" s="8" t="s">
        <v>105</v>
      </c>
      <c r="G72" s="4" t="s">
        <v>442</v>
      </c>
      <c r="H72" s="9" t="s">
        <v>196</v>
      </c>
      <c r="I72" s="5" t="s">
        <v>1314</v>
      </c>
      <c r="J72" s="5" t="s">
        <v>1315</v>
      </c>
      <c r="K72" s="6">
        <f t="shared" si="1"/>
        <v>1</v>
      </c>
    </row>
    <row r="73" spans="1:11" ht="15" customHeight="1">
      <c r="A73" s="4">
        <v>65</v>
      </c>
      <c r="B73" s="5" t="s">
        <v>124</v>
      </c>
      <c r="C73" s="5" t="s">
        <v>150</v>
      </c>
      <c r="D73" s="5" t="s">
        <v>125</v>
      </c>
      <c r="E73" s="7" t="s">
        <v>105</v>
      </c>
      <c r="F73" s="8" t="s">
        <v>105</v>
      </c>
      <c r="G73" s="4" t="s">
        <v>442</v>
      </c>
      <c r="H73" s="9" t="s">
        <v>196</v>
      </c>
      <c r="I73" s="5" t="s">
        <v>1314</v>
      </c>
      <c r="J73" s="5" t="s">
        <v>1315</v>
      </c>
      <c r="K73" s="6">
        <f t="shared" ref="K73:K104" si="2">IF(AND(E73="yes",F73="yes",H73="covered"),1,IF(H73="partial",0.5,0))</f>
        <v>1</v>
      </c>
    </row>
    <row r="74" spans="1:11" ht="15" customHeight="1">
      <c r="A74" s="4">
        <v>66</v>
      </c>
      <c r="B74" s="5" t="s">
        <v>124</v>
      </c>
      <c r="C74" s="5" t="s">
        <v>150</v>
      </c>
      <c r="D74" s="5" t="s">
        <v>126</v>
      </c>
      <c r="E74" s="7" t="s">
        <v>105</v>
      </c>
      <c r="F74" s="8" t="s">
        <v>105</v>
      </c>
      <c r="G74" s="4" t="s">
        <v>442</v>
      </c>
      <c r="H74" s="9" t="s">
        <v>196</v>
      </c>
      <c r="I74" s="5" t="s">
        <v>1314</v>
      </c>
      <c r="J74" s="5" t="s">
        <v>1315</v>
      </c>
      <c r="K74" s="6">
        <f t="shared" si="2"/>
        <v>1</v>
      </c>
    </row>
    <row r="75" spans="1:11" ht="15" customHeight="1">
      <c r="A75" s="4">
        <v>67</v>
      </c>
      <c r="B75" s="5" t="s">
        <v>95</v>
      </c>
      <c r="C75" s="5" t="s">
        <v>150</v>
      </c>
      <c r="D75" s="5" t="s">
        <v>127</v>
      </c>
      <c r="E75" s="7" t="s">
        <v>105</v>
      </c>
      <c r="F75" s="8" t="s">
        <v>105</v>
      </c>
      <c r="G75" s="4" t="s">
        <v>442</v>
      </c>
      <c r="H75" s="9" t="s">
        <v>196</v>
      </c>
      <c r="I75" s="5" t="s">
        <v>1314</v>
      </c>
      <c r="J75" s="5" t="s">
        <v>1315</v>
      </c>
      <c r="K75" s="6">
        <f t="shared" si="2"/>
        <v>1</v>
      </c>
    </row>
    <row r="76" spans="1:11" ht="15" customHeight="1">
      <c r="A76" s="4">
        <v>68</v>
      </c>
      <c r="B76" s="5" t="s">
        <v>128</v>
      </c>
      <c r="C76" s="5" t="s">
        <v>150</v>
      </c>
      <c r="D76" s="5" t="s">
        <v>129</v>
      </c>
      <c r="E76" s="7" t="s">
        <v>105</v>
      </c>
      <c r="F76" s="8" t="s">
        <v>105</v>
      </c>
      <c r="G76" s="4" t="s">
        <v>442</v>
      </c>
      <c r="H76" s="9" t="s">
        <v>196</v>
      </c>
      <c r="I76" s="5" t="s">
        <v>1314</v>
      </c>
      <c r="J76" s="5" t="s">
        <v>1315</v>
      </c>
      <c r="K76" s="6">
        <f t="shared" si="2"/>
        <v>1</v>
      </c>
    </row>
    <row r="77" spans="1:11" ht="15" customHeight="1">
      <c r="A77" s="4">
        <v>69</v>
      </c>
      <c r="B77" s="5" t="s">
        <v>133</v>
      </c>
      <c r="C77" s="5" t="s">
        <v>150</v>
      </c>
      <c r="D77" s="5" t="s">
        <v>1338</v>
      </c>
      <c r="E77" s="7" t="s">
        <v>105</v>
      </c>
      <c r="F77" s="8" t="s">
        <v>105</v>
      </c>
      <c r="G77" s="4" t="s">
        <v>442</v>
      </c>
      <c r="H77" s="9" t="s">
        <v>196</v>
      </c>
      <c r="I77" s="5" t="s">
        <v>1314</v>
      </c>
      <c r="J77" s="5" t="s">
        <v>1315</v>
      </c>
      <c r="K77" s="6">
        <f t="shared" si="2"/>
        <v>1</v>
      </c>
    </row>
    <row r="78" spans="1:11" ht="15" customHeight="1">
      <c r="A78" s="4">
        <v>70</v>
      </c>
      <c r="B78" s="5" t="s">
        <v>130</v>
      </c>
      <c r="C78" s="5" t="s">
        <v>150</v>
      </c>
      <c r="D78" s="5" t="s">
        <v>131</v>
      </c>
      <c r="E78" s="7" t="s">
        <v>105</v>
      </c>
      <c r="F78" s="8" t="s">
        <v>105</v>
      </c>
      <c r="G78" s="4" t="s">
        <v>442</v>
      </c>
      <c r="H78" s="9" t="s">
        <v>196</v>
      </c>
      <c r="I78" s="5" t="s">
        <v>1314</v>
      </c>
      <c r="J78" s="5" t="s">
        <v>1315</v>
      </c>
      <c r="K78" s="6">
        <f t="shared" si="2"/>
        <v>1</v>
      </c>
    </row>
    <row r="79" spans="1:11" ht="15" customHeight="1">
      <c r="A79" s="4">
        <v>71</v>
      </c>
      <c r="B79" s="5" t="s">
        <v>130</v>
      </c>
      <c r="C79" s="5" t="s">
        <v>150</v>
      </c>
      <c r="D79" s="5" t="s">
        <v>132</v>
      </c>
      <c r="E79" s="7" t="s">
        <v>105</v>
      </c>
      <c r="F79" s="8" t="s">
        <v>105</v>
      </c>
      <c r="G79" s="4" t="s">
        <v>442</v>
      </c>
      <c r="H79" s="9" t="s">
        <v>196</v>
      </c>
      <c r="I79" s="5" t="s">
        <v>1314</v>
      </c>
      <c r="J79" s="5" t="s">
        <v>1315</v>
      </c>
      <c r="K79" s="6">
        <f t="shared" si="2"/>
        <v>1</v>
      </c>
    </row>
    <row r="80" spans="1:11" ht="15" customHeight="1">
      <c r="A80" s="4">
        <v>72</v>
      </c>
      <c r="B80" s="5" t="s">
        <v>133</v>
      </c>
      <c r="C80" s="5" t="s">
        <v>150</v>
      </c>
      <c r="D80" s="5" t="s">
        <v>719</v>
      </c>
      <c r="E80" s="7" t="s">
        <v>105</v>
      </c>
      <c r="F80" s="8" t="s">
        <v>105</v>
      </c>
      <c r="G80" s="4" t="s">
        <v>442</v>
      </c>
      <c r="H80" s="9" t="s">
        <v>196</v>
      </c>
      <c r="I80" s="5" t="s">
        <v>1314</v>
      </c>
      <c r="J80" s="5" t="s">
        <v>1315</v>
      </c>
      <c r="K80" s="6">
        <f t="shared" si="2"/>
        <v>1</v>
      </c>
    </row>
    <row r="81" spans="1:11" ht="15" customHeight="1">
      <c r="A81" s="4">
        <v>73</v>
      </c>
      <c r="B81" s="5" t="s">
        <v>133</v>
      </c>
      <c r="C81" s="5" t="s">
        <v>150</v>
      </c>
      <c r="D81" s="5" t="s">
        <v>142</v>
      </c>
      <c r="E81" s="7" t="s">
        <v>105</v>
      </c>
      <c r="F81" s="8" t="s">
        <v>105</v>
      </c>
      <c r="G81" s="4" t="s">
        <v>442</v>
      </c>
      <c r="H81" s="9" t="s">
        <v>196</v>
      </c>
      <c r="I81" s="5" t="s">
        <v>1314</v>
      </c>
      <c r="J81" s="5" t="s">
        <v>1315</v>
      </c>
      <c r="K81" s="6">
        <f t="shared" si="2"/>
        <v>1</v>
      </c>
    </row>
    <row r="82" spans="1:11" ht="15" customHeight="1">
      <c r="A82" s="4">
        <v>74</v>
      </c>
      <c r="B82" s="5" t="s">
        <v>133</v>
      </c>
      <c r="C82" s="5" t="s">
        <v>150</v>
      </c>
      <c r="D82" s="5" t="s">
        <v>1339</v>
      </c>
      <c r="E82" s="7" t="s">
        <v>105</v>
      </c>
      <c r="F82" s="8" t="s">
        <v>105</v>
      </c>
      <c r="G82" s="4" t="s">
        <v>442</v>
      </c>
      <c r="H82" s="9" t="s">
        <v>196</v>
      </c>
      <c r="I82" s="5" t="s">
        <v>1314</v>
      </c>
      <c r="J82" s="5" t="s">
        <v>1315</v>
      </c>
      <c r="K82" s="6">
        <f t="shared" si="2"/>
        <v>1</v>
      </c>
    </row>
    <row r="83" spans="1:11" ht="15" customHeight="1">
      <c r="A83" s="4">
        <v>75</v>
      </c>
      <c r="B83" s="5" t="s">
        <v>133</v>
      </c>
      <c r="C83" s="5" t="s">
        <v>150</v>
      </c>
      <c r="D83" s="5" t="s">
        <v>1340</v>
      </c>
      <c r="E83" s="7" t="s">
        <v>105</v>
      </c>
      <c r="F83" s="8" t="s">
        <v>105</v>
      </c>
      <c r="G83" s="4" t="s">
        <v>442</v>
      </c>
      <c r="H83" s="9" t="s">
        <v>196</v>
      </c>
      <c r="I83" s="5" t="s">
        <v>1314</v>
      </c>
      <c r="J83" s="5" t="s">
        <v>1315</v>
      </c>
      <c r="K83" s="6">
        <f t="shared" si="2"/>
        <v>1</v>
      </c>
    </row>
    <row r="84" spans="1:11" ht="15" customHeight="1">
      <c r="A84" s="4">
        <v>76</v>
      </c>
      <c r="B84" s="5" t="s">
        <v>120</v>
      </c>
      <c r="C84" s="5" t="s">
        <v>1341</v>
      </c>
      <c r="D84" s="5" t="s">
        <v>122</v>
      </c>
      <c r="E84" s="7" t="s">
        <v>105</v>
      </c>
      <c r="F84" s="8" t="s">
        <v>105</v>
      </c>
      <c r="G84" s="4" t="s">
        <v>442</v>
      </c>
      <c r="H84" s="9" t="s">
        <v>196</v>
      </c>
      <c r="I84" s="5" t="s">
        <v>1314</v>
      </c>
      <c r="J84" s="5" t="s">
        <v>1315</v>
      </c>
      <c r="K84" s="6">
        <f t="shared" si="2"/>
        <v>1</v>
      </c>
    </row>
    <row r="85" spans="1:11" ht="30" customHeight="1">
      <c r="A85" s="4">
        <v>77</v>
      </c>
      <c r="B85" s="5" t="s">
        <v>120</v>
      </c>
      <c r="C85" s="5" t="s">
        <v>1341</v>
      </c>
      <c r="D85" s="5" t="s">
        <v>123</v>
      </c>
      <c r="E85" s="7" t="s">
        <v>105</v>
      </c>
      <c r="F85" s="8" t="s">
        <v>105</v>
      </c>
      <c r="G85" s="4" t="s">
        <v>442</v>
      </c>
      <c r="H85" s="9" t="s">
        <v>196</v>
      </c>
      <c r="I85" s="5" t="s">
        <v>1314</v>
      </c>
      <c r="J85" s="5" t="s">
        <v>1315</v>
      </c>
      <c r="K85" s="6">
        <f t="shared" si="2"/>
        <v>1</v>
      </c>
    </row>
    <row r="86" spans="1:11" ht="15" customHeight="1">
      <c r="A86" s="4">
        <v>78</v>
      </c>
      <c r="B86" s="5" t="s">
        <v>124</v>
      </c>
      <c r="C86" s="5" t="s">
        <v>1341</v>
      </c>
      <c r="D86" s="5" t="s">
        <v>125</v>
      </c>
      <c r="E86" s="7" t="s">
        <v>105</v>
      </c>
      <c r="F86" s="8" t="s">
        <v>105</v>
      </c>
      <c r="G86" s="4" t="s">
        <v>442</v>
      </c>
      <c r="H86" s="9" t="s">
        <v>196</v>
      </c>
      <c r="I86" s="5" t="s">
        <v>1314</v>
      </c>
      <c r="J86" s="5" t="s">
        <v>1315</v>
      </c>
      <c r="K86" s="6">
        <f t="shared" si="2"/>
        <v>1</v>
      </c>
    </row>
    <row r="87" spans="1:11" ht="15" customHeight="1">
      <c r="A87" s="4">
        <v>79</v>
      </c>
      <c r="B87" s="5" t="s">
        <v>124</v>
      </c>
      <c r="C87" s="5" t="s">
        <v>1341</v>
      </c>
      <c r="D87" s="5" t="s">
        <v>126</v>
      </c>
      <c r="E87" s="7" t="s">
        <v>105</v>
      </c>
      <c r="F87" s="8" t="s">
        <v>105</v>
      </c>
      <c r="G87" s="4" t="s">
        <v>442</v>
      </c>
      <c r="H87" s="9" t="s">
        <v>196</v>
      </c>
      <c r="I87" s="5" t="s">
        <v>1314</v>
      </c>
      <c r="J87" s="5" t="s">
        <v>1315</v>
      </c>
      <c r="K87" s="6">
        <f t="shared" si="2"/>
        <v>1</v>
      </c>
    </row>
    <row r="88" spans="1:11" ht="15" customHeight="1">
      <c r="A88" s="4">
        <v>80</v>
      </c>
      <c r="B88" s="5" t="s">
        <v>95</v>
      </c>
      <c r="C88" s="5" t="s">
        <v>1341</v>
      </c>
      <c r="D88" s="5" t="s">
        <v>127</v>
      </c>
      <c r="E88" s="7" t="s">
        <v>105</v>
      </c>
      <c r="F88" s="8" t="s">
        <v>105</v>
      </c>
      <c r="G88" s="4" t="s">
        <v>442</v>
      </c>
      <c r="H88" s="9" t="s">
        <v>196</v>
      </c>
      <c r="I88" s="5" t="s">
        <v>1314</v>
      </c>
      <c r="J88" s="5" t="s">
        <v>1315</v>
      </c>
      <c r="K88" s="6">
        <f t="shared" si="2"/>
        <v>1</v>
      </c>
    </row>
    <row r="89" spans="1:11" ht="15" customHeight="1">
      <c r="A89" s="4">
        <v>81</v>
      </c>
      <c r="B89" s="5" t="s">
        <v>128</v>
      </c>
      <c r="C89" s="5" t="s">
        <v>1341</v>
      </c>
      <c r="D89" s="5" t="s">
        <v>129</v>
      </c>
      <c r="E89" s="7" t="s">
        <v>105</v>
      </c>
      <c r="F89" s="8" t="s">
        <v>105</v>
      </c>
      <c r="G89" s="4" t="s">
        <v>442</v>
      </c>
      <c r="H89" s="9" t="s">
        <v>196</v>
      </c>
      <c r="I89" s="5" t="s">
        <v>1314</v>
      </c>
      <c r="J89" s="5" t="s">
        <v>1315</v>
      </c>
      <c r="K89" s="6">
        <f t="shared" si="2"/>
        <v>1</v>
      </c>
    </row>
    <row r="90" spans="1:11" ht="15" customHeight="1">
      <c r="A90" s="4">
        <v>82</v>
      </c>
      <c r="B90" s="5" t="s">
        <v>147</v>
      </c>
      <c r="C90" s="5" t="s">
        <v>1341</v>
      </c>
      <c r="D90" s="5" t="s">
        <v>1342</v>
      </c>
      <c r="E90" s="7" t="s">
        <v>105</v>
      </c>
      <c r="F90" s="8" t="s">
        <v>105</v>
      </c>
      <c r="G90" s="4" t="s">
        <v>442</v>
      </c>
      <c r="H90" s="9" t="s">
        <v>196</v>
      </c>
      <c r="I90" s="5" t="s">
        <v>1314</v>
      </c>
      <c r="J90" s="5" t="s">
        <v>1315</v>
      </c>
      <c r="K90" s="6">
        <f t="shared" si="2"/>
        <v>1</v>
      </c>
    </row>
    <row r="91" spans="1:11" ht="15" customHeight="1">
      <c r="A91" s="4">
        <v>83</v>
      </c>
      <c r="B91" s="5" t="s">
        <v>133</v>
      </c>
      <c r="C91" s="5" t="s">
        <v>1341</v>
      </c>
      <c r="D91" s="5" t="s">
        <v>1343</v>
      </c>
      <c r="E91" s="7" t="s">
        <v>105</v>
      </c>
      <c r="F91" s="8" t="s">
        <v>105</v>
      </c>
      <c r="G91" s="4" t="s">
        <v>442</v>
      </c>
      <c r="H91" s="9" t="s">
        <v>196</v>
      </c>
      <c r="I91" s="5" t="s">
        <v>1314</v>
      </c>
      <c r="J91" s="5" t="s">
        <v>1315</v>
      </c>
      <c r="K91" s="6">
        <f t="shared" si="2"/>
        <v>1</v>
      </c>
    </row>
    <row r="92" spans="1:11" ht="15" customHeight="1">
      <c r="A92" s="4">
        <v>84</v>
      </c>
      <c r="B92" s="5" t="s">
        <v>133</v>
      </c>
      <c r="C92" s="5" t="s">
        <v>1341</v>
      </c>
      <c r="D92" s="5" t="s">
        <v>1344</v>
      </c>
      <c r="E92" s="7" t="s">
        <v>105</v>
      </c>
      <c r="F92" s="8" t="s">
        <v>105</v>
      </c>
      <c r="G92" s="4" t="s">
        <v>442</v>
      </c>
      <c r="H92" s="9" t="s">
        <v>196</v>
      </c>
      <c r="I92" s="5" t="s">
        <v>1314</v>
      </c>
      <c r="J92" s="5" t="s">
        <v>1315</v>
      </c>
      <c r="K92" s="6">
        <f t="shared" si="2"/>
        <v>1</v>
      </c>
    </row>
    <row r="93" spans="1:11" ht="15" customHeight="1">
      <c r="A93" s="4">
        <v>85</v>
      </c>
      <c r="B93" s="5" t="s">
        <v>133</v>
      </c>
      <c r="C93" s="5" t="s">
        <v>1341</v>
      </c>
      <c r="D93" s="5" t="s">
        <v>1345</v>
      </c>
      <c r="E93" s="7" t="s">
        <v>105</v>
      </c>
      <c r="F93" s="8" t="s">
        <v>105</v>
      </c>
      <c r="G93" s="4" t="s">
        <v>442</v>
      </c>
      <c r="H93" s="9" t="s">
        <v>196</v>
      </c>
      <c r="I93" s="5" t="s">
        <v>1314</v>
      </c>
      <c r="J93" s="5" t="s">
        <v>1315</v>
      </c>
      <c r="K93" s="6">
        <f t="shared" si="2"/>
        <v>1</v>
      </c>
    </row>
    <row r="94" spans="1:11" ht="30" customHeight="1">
      <c r="A94" s="4">
        <v>86</v>
      </c>
      <c r="B94" s="5" t="s">
        <v>120</v>
      </c>
      <c r="C94" s="5" t="s">
        <v>1346</v>
      </c>
      <c r="D94" s="5" t="s">
        <v>122</v>
      </c>
      <c r="E94" s="7" t="s">
        <v>105</v>
      </c>
      <c r="F94" s="8" t="s">
        <v>105</v>
      </c>
      <c r="G94" s="4" t="s">
        <v>442</v>
      </c>
      <c r="H94" s="9" t="s">
        <v>196</v>
      </c>
      <c r="I94" s="5" t="s">
        <v>1314</v>
      </c>
      <c r="J94" s="5" t="s">
        <v>1315</v>
      </c>
      <c r="K94" s="6">
        <f t="shared" si="2"/>
        <v>1</v>
      </c>
    </row>
    <row r="95" spans="1:11" ht="15" customHeight="1">
      <c r="A95" s="4">
        <v>87</v>
      </c>
      <c r="B95" s="5" t="s">
        <v>120</v>
      </c>
      <c r="C95" s="5" t="s">
        <v>1346</v>
      </c>
      <c r="D95" s="5" t="s">
        <v>123</v>
      </c>
      <c r="E95" s="7" t="s">
        <v>105</v>
      </c>
      <c r="F95" s="8" t="s">
        <v>105</v>
      </c>
      <c r="G95" s="4" t="s">
        <v>442</v>
      </c>
      <c r="H95" s="9" t="s">
        <v>196</v>
      </c>
      <c r="I95" s="5" t="s">
        <v>1314</v>
      </c>
      <c r="J95" s="5" t="s">
        <v>1315</v>
      </c>
      <c r="K95" s="6">
        <f t="shared" si="2"/>
        <v>1</v>
      </c>
    </row>
    <row r="96" spans="1:11" ht="15" customHeight="1">
      <c r="A96" s="4">
        <v>88</v>
      </c>
      <c r="B96" s="5" t="s">
        <v>124</v>
      </c>
      <c r="C96" s="5" t="s">
        <v>1346</v>
      </c>
      <c r="D96" s="5" t="s">
        <v>125</v>
      </c>
      <c r="E96" s="7" t="s">
        <v>105</v>
      </c>
      <c r="F96" s="8" t="s">
        <v>105</v>
      </c>
      <c r="G96" s="4" t="s">
        <v>442</v>
      </c>
      <c r="H96" s="9" t="s">
        <v>196</v>
      </c>
      <c r="I96" s="5" t="s">
        <v>1314</v>
      </c>
      <c r="J96" s="5" t="s">
        <v>1315</v>
      </c>
      <c r="K96" s="6">
        <f t="shared" si="2"/>
        <v>1</v>
      </c>
    </row>
    <row r="97" spans="1:11" ht="15" customHeight="1">
      <c r="A97" s="4">
        <v>89</v>
      </c>
      <c r="B97" s="5" t="s">
        <v>124</v>
      </c>
      <c r="C97" s="5" t="s">
        <v>1346</v>
      </c>
      <c r="D97" s="5" t="s">
        <v>126</v>
      </c>
      <c r="E97" s="7" t="s">
        <v>105</v>
      </c>
      <c r="F97" s="8" t="s">
        <v>105</v>
      </c>
      <c r="G97" s="4" t="s">
        <v>442</v>
      </c>
      <c r="H97" s="9" t="s">
        <v>196</v>
      </c>
      <c r="I97" s="5" t="s">
        <v>1314</v>
      </c>
      <c r="J97" s="5" t="s">
        <v>1315</v>
      </c>
      <c r="K97" s="6">
        <f t="shared" si="2"/>
        <v>1</v>
      </c>
    </row>
    <row r="98" spans="1:11" ht="15" customHeight="1">
      <c r="A98" s="4">
        <v>90</v>
      </c>
      <c r="B98" s="5" t="s">
        <v>95</v>
      </c>
      <c r="C98" s="5" t="s">
        <v>1346</v>
      </c>
      <c r="D98" s="5" t="s">
        <v>127</v>
      </c>
      <c r="E98" s="7" t="s">
        <v>105</v>
      </c>
      <c r="F98" s="8" t="s">
        <v>105</v>
      </c>
      <c r="G98" s="4" t="s">
        <v>442</v>
      </c>
      <c r="H98" s="9" t="s">
        <v>196</v>
      </c>
      <c r="I98" s="5" t="s">
        <v>1314</v>
      </c>
      <c r="J98" s="5" t="s">
        <v>1315</v>
      </c>
      <c r="K98" s="6">
        <f t="shared" si="2"/>
        <v>1</v>
      </c>
    </row>
    <row r="99" spans="1:11" ht="15" customHeight="1">
      <c r="A99" s="4">
        <v>91</v>
      </c>
      <c r="B99" s="5" t="s">
        <v>128</v>
      </c>
      <c r="C99" s="5" t="s">
        <v>1346</v>
      </c>
      <c r="D99" s="5" t="s">
        <v>129</v>
      </c>
      <c r="E99" s="7" t="s">
        <v>105</v>
      </c>
      <c r="F99" s="8" t="s">
        <v>105</v>
      </c>
      <c r="G99" s="4" t="s">
        <v>442</v>
      </c>
      <c r="H99" s="9" t="s">
        <v>196</v>
      </c>
      <c r="I99" s="5" t="s">
        <v>1314</v>
      </c>
      <c r="J99" s="5" t="s">
        <v>1315</v>
      </c>
      <c r="K99" s="6">
        <f t="shared" si="2"/>
        <v>1</v>
      </c>
    </row>
    <row r="100" spans="1:11" ht="15" customHeight="1">
      <c r="A100" s="4">
        <v>92</v>
      </c>
      <c r="B100" s="5" t="s">
        <v>1347</v>
      </c>
      <c r="C100" s="5" t="s">
        <v>1346</v>
      </c>
      <c r="D100" s="5" t="s">
        <v>1348</v>
      </c>
      <c r="E100" s="7" t="s">
        <v>105</v>
      </c>
      <c r="F100" s="8" t="s">
        <v>105</v>
      </c>
      <c r="G100" s="4" t="s">
        <v>442</v>
      </c>
      <c r="H100" s="9" t="s">
        <v>196</v>
      </c>
      <c r="I100" s="5" t="s">
        <v>1314</v>
      </c>
      <c r="J100" s="5" t="s">
        <v>1315</v>
      </c>
      <c r="K100" s="6">
        <f t="shared" si="2"/>
        <v>1</v>
      </c>
    </row>
    <row r="101" spans="1:11" ht="30" customHeight="1">
      <c r="A101" s="4">
        <v>93</v>
      </c>
      <c r="B101" s="5" t="s">
        <v>1347</v>
      </c>
      <c r="C101" s="5" t="s">
        <v>1346</v>
      </c>
      <c r="D101" s="5" t="s">
        <v>1349</v>
      </c>
      <c r="E101" s="7" t="s">
        <v>105</v>
      </c>
      <c r="F101" s="8" t="s">
        <v>105</v>
      </c>
      <c r="G101" s="4" t="s">
        <v>442</v>
      </c>
      <c r="H101" s="9" t="s">
        <v>196</v>
      </c>
      <c r="I101" s="5" t="s">
        <v>1314</v>
      </c>
      <c r="J101" s="5" t="s">
        <v>1315</v>
      </c>
      <c r="K101" s="6">
        <f t="shared" si="2"/>
        <v>1</v>
      </c>
    </row>
    <row r="102" spans="1:11" ht="15" customHeight="1">
      <c r="A102" s="4">
        <v>94</v>
      </c>
      <c r="B102" s="5" t="s">
        <v>1347</v>
      </c>
      <c r="C102" s="5" t="s">
        <v>1346</v>
      </c>
      <c r="D102" s="5" t="s">
        <v>1350</v>
      </c>
      <c r="E102" s="7" t="s">
        <v>105</v>
      </c>
      <c r="F102" s="8" t="s">
        <v>105</v>
      </c>
      <c r="G102" s="4" t="s">
        <v>442</v>
      </c>
      <c r="H102" s="9" t="s">
        <v>196</v>
      </c>
      <c r="I102" s="5" t="s">
        <v>1314</v>
      </c>
      <c r="J102" s="5" t="s">
        <v>1315</v>
      </c>
      <c r="K102" s="6">
        <f t="shared" si="2"/>
        <v>1</v>
      </c>
    </row>
    <row r="103" spans="1:11" ht="15" customHeight="1">
      <c r="A103" s="4">
        <v>95</v>
      </c>
      <c r="B103" s="5" t="s">
        <v>1347</v>
      </c>
      <c r="C103" s="5" t="s">
        <v>1346</v>
      </c>
      <c r="D103" s="5" t="s">
        <v>1351</v>
      </c>
      <c r="E103" s="7" t="s">
        <v>105</v>
      </c>
      <c r="F103" s="8" t="s">
        <v>105</v>
      </c>
      <c r="G103" s="4" t="s">
        <v>442</v>
      </c>
      <c r="H103" s="9" t="s">
        <v>196</v>
      </c>
      <c r="I103" s="5" t="s">
        <v>1314</v>
      </c>
      <c r="J103" s="5" t="s">
        <v>1315</v>
      </c>
      <c r="K103" s="6">
        <f t="shared" si="2"/>
        <v>1</v>
      </c>
    </row>
    <row r="104" spans="1:11" ht="15" customHeight="1">
      <c r="A104" s="4">
        <v>96</v>
      </c>
      <c r="B104" s="5" t="s">
        <v>1347</v>
      </c>
      <c r="C104" s="5" t="s">
        <v>1346</v>
      </c>
      <c r="D104" s="5" t="s">
        <v>1352</v>
      </c>
      <c r="E104" s="7" t="s">
        <v>105</v>
      </c>
      <c r="F104" s="8" t="s">
        <v>105</v>
      </c>
      <c r="G104" s="4" t="s">
        <v>442</v>
      </c>
      <c r="H104" s="9" t="s">
        <v>196</v>
      </c>
      <c r="I104" s="5" t="s">
        <v>1314</v>
      </c>
      <c r="J104" s="5" t="s">
        <v>1315</v>
      </c>
      <c r="K104" s="6">
        <f t="shared" si="2"/>
        <v>1</v>
      </c>
    </row>
    <row r="105" spans="1:11" ht="15" customHeight="1">
      <c r="A105" s="4">
        <v>97</v>
      </c>
      <c r="B105" s="5" t="s">
        <v>1347</v>
      </c>
      <c r="C105" s="5" t="s">
        <v>1346</v>
      </c>
      <c r="D105" s="5" t="s">
        <v>1353</v>
      </c>
      <c r="E105" s="7" t="s">
        <v>105</v>
      </c>
      <c r="F105" s="8" t="s">
        <v>105</v>
      </c>
      <c r="G105" s="4" t="s">
        <v>442</v>
      </c>
      <c r="H105" s="9" t="s">
        <v>196</v>
      </c>
      <c r="I105" s="5" t="s">
        <v>1314</v>
      </c>
      <c r="J105" s="5" t="s">
        <v>1315</v>
      </c>
      <c r="K105" s="6">
        <f t="shared" ref="K105:K136" si="3">IF(AND(E105="yes",F105="yes",H105="covered"),1,IF(H105="partial",0.5,0))</f>
        <v>1</v>
      </c>
    </row>
    <row r="106" spans="1:11" ht="15" customHeight="1">
      <c r="A106" s="4">
        <v>98</v>
      </c>
      <c r="B106" s="5" t="s">
        <v>153</v>
      </c>
      <c r="C106" s="5" t="s">
        <v>1346</v>
      </c>
      <c r="D106" s="5" t="s">
        <v>1354</v>
      </c>
      <c r="E106" s="7" t="s">
        <v>105</v>
      </c>
      <c r="F106" s="8" t="s">
        <v>105</v>
      </c>
      <c r="G106" s="4" t="s">
        <v>442</v>
      </c>
      <c r="H106" s="9" t="s">
        <v>196</v>
      </c>
      <c r="I106" s="5" t="s">
        <v>1314</v>
      </c>
      <c r="J106" s="5" t="s">
        <v>1315</v>
      </c>
      <c r="K106" s="6">
        <f t="shared" si="3"/>
        <v>1</v>
      </c>
    </row>
    <row r="107" spans="1:11" ht="15" customHeight="1">
      <c r="A107" s="4">
        <v>99</v>
      </c>
      <c r="B107" s="5" t="s">
        <v>153</v>
      </c>
      <c r="C107" s="5" t="s">
        <v>1346</v>
      </c>
      <c r="D107" s="5" t="s">
        <v>1355</v>
      </c>
      <c r="E107" s="7" t="s">
        <v>105</v>
      </c>
      <c r="F107" s="8" t="s">
        <v>105</v>
      </c>
      <c r="G107" s="4" t="s">
        <v>442</v>
      </c>
      <c r="H107" s="9" t="s">
        <v>196</v>
      </c>
      <c r="I107" s="5" t="s">
        <v>1314</v>
      </c>
      <c r="J107" s="5" t="s">
        <v>1315</v>
      </c>
      <c r="K107" s="6">
        <f t="shared" si="3"/>
        <v>1</v>
      </c>
    </row>
    <row r="108" spans="1:11" ht="15" customHeight="1">
      <c r="A108" s="4">
        <v>100</v>
      </c>
      <c r="B108" s="5" t="s">
        <v>133</v>
      </c>
      <c r="C108" s="5" t="s">
        <v>1346</v>
      </c>
      <c r="D108" s="5" t="s">
        <v>719</v>
      </c>
      <c r="E108" s="7" t="s">
        <v>105</v>
      </c>
      <c r="F108" s="8" t="s">
        <v>105</v>
      </c>
      <c r="G108" s="4" t="s">
        <v>442</v>
      </c>
      <c r="H108" s="9" t="s">
        <v>196</v>
      </c>
      <c r="I108" s="5" t="s">
        <v>1314</v>
      </c>
      <c r="J108" s="5" t="s">
        <v>1315</v>
      </c>
      <c r="K108" s="6">
        <f t="shared" si="3"/>
        <v>1</v>
      </c>
    </row>
    <row r="109" spans="1:11" ht="15" customHeight="1">
      <c r="A109" s="4">
        <v>101</v>
      </c>
      <c r="B109" s="5" t="s">
        <v>120</v>
      </c>
      <c r="C109" s="5" t="s">
        <v>1356</v>
      </c>
      <c r="D109" s="5" t="s">
        <v>122</v>
      </c>
      <c r="E109" s="7" t="s">
        <v>105</v>
      </c>
      <c r="F109" s="8" t="s">
        <v>105</v>
      </c>
      <c r="G109" s="4" t="s">
        <v>442</v>
      </c>
      <c r="H109" s="9" t="s">
        <v>196</v>
      </c>
      <c r="I109" s="5" t="s">
        <v>1314</v>
      </c>
      <c r="J109" s="5" t="s">
        <v>1315</v>
      </c>
      <c r="K109" s="6">
        <f t="shared" si="3"/>
        <v>1</v>
      </c>
    </row>
    <row r="110" spans="1:11" ht="15" customHeight="1">
      <c r="A110" s="4">
        <v>102</v>
      </c>
      <c r="B110" s="5" t="s">
        <v>120</v>
      </c>
      <c r="C110" s="5" t="s">
        <v>1356</v>
      </c>
      <c r="D110" s="5" t="s">
        <v>123</v>
      </c>
      <c r="E110" s="7" t="s">
        <v>105</v>
      </c>
      <c r="F110" s="8" t="s">
        <v>105</v>
      </c>
      <c r="G110" s="4" t="s">
        <v>442</v>
      </c>
      <c r="H110" s="9" t="s">
        <v>196</v>
      </c>
      <c r="I110" s="5" t="s">
        <v>1314</v>
      </c>
      <c r="J110" s="5" t="s">
        <v>1315</v>
      </c>
      <c r="K110" s="6">
        <f t="shared" si="3"/>
        <v>1</v>
      </c>
    </row>
    <row r="111" spans="1:11" ht="15" customHeight="1">
      <c r="A111" s="4">
        <v>103</v>
      </c>
      <c r="B111" s="5" t="s">
        <v>124</v>
      </c>
      <c r="C111" s="5" t="s">
        <v>1356</v>
      </c>
      <c r="D111" s="5" t="s">
        <v>125</v>
      </c>
      <c r="E111" s="7" t="s">
        <v>105</v>
      </c>
      <c r="F111" s="8" t="s">
        <v>105</v>
      </c>
      <c r="G111" s="4" t="s">
        <v>442</v>
      </c>
      <c r="H111" s="9" t="s">
        <v>196</v>
      </c>
      <c r="I111" s="5" t="s">
        <v>1314</v>
      </c>
      <c r="J111" s="5" t="s">
        <v>1315</v>
      </c>
      <c r="K111" s="6">
        <f t="shared" si="3"/>
        <v>1</v>
      </c>
    </row>
    <row r="112" spans="1:11" ht="15" customHeight="1">
      <c r="A112" s="4">
        <v>104</v>
      </c>
      <c r="B112" s="5" t="s">
        <v>124</v>
      </c>
      <c r="C112" s="5" t="s">
        <v>1356</v>
      </c>
      <c r="D112" s="5" t="s">
        <v>126</v>
      </c>
      <c r="E112" s="7" t="s">
        <v>105</v>
      </c>
      <c r="F112" s="8" t="s">
        <v>105</v>
      </c>
      <c r="G112" s="4" t="s">
        <v>442</v>
      </c>
      <c r="H112" s="9" t="s">
        <v>196</v>
      </c>
      <c r="I112" s="5" t="s">
        <v>1314</v>
      </c>
      <c r="J112" s="5" t="s">
        <v>1315</v>
      </c>
      <c r="K112" s="6">
        <f t="shared" si="3"/>
        <v>1</v>
      </c>
    </row>
    <row r="113" spans="1:11" ht="15" customHeight="1">
      <c r="A113" s="4">
        <v>105</v>
      </c>
      <c r="B113" s="5" t="s">
        <v>95</v>
      </c>
      <c r="C113" s="5" t="s">
        <v>1356</v>
      </c>
      <c r="D113" s="5" t="s">
        <v>127</v>
      </c>
      <c r="E113" s="7" t="s">
        <v>105</v>
      </c>
      <c r="F113" s="8" t="s">
        <v>105</v>
      </c>
      <c r="G113" s="4" t="s">
        <v>442</v>
      </c>
      <c r="H113" s="9" t="s">
        <v>196</v>
      </c>
      <c r="I113" s="5" t="s">
        <v>1314</v>
      </c>
      <c r="J113" s="5" t="s">
        <v>1315</v>
      </c>
      <c r="K113" s="6">
        <f t="shared" si="3"/>
        <v>1</v>
      </c>
    </row>
    <row r="114" spans="1:11" ht="30" customHeight="1">
      <c r="A114" s="4">
        <v>106</v>
      </c>
      <c r="B114" s="5" t="s">
        <v>128</v>
      </c>
      <c r="C114" s="5" t="s">
        <v>1356</v>
      </c>
      <c r="D114" s="5" t="s">
        <v>129</v>
      </c>
      <c r="E114" s="7" t="s">
        <v>105</v>
      </c>
      <c r="F114" s="8" t="s">
        <v>105</v>
      </c>
      <c r="G114" s="4" t="s">
        <v>442</v>
      </c>
      <c r="H114" s="9" t="s">
        <v>196</v>
      </c>
      <c r="I114" s="5" t="s">
        <v>1314</v>
      </c>
      <c r="J114" s="5" t="s">
        <v>1315</v>
      </c>
      <c r="K114" s="6">
        <f t="shared" si="3"/>
        <v>1</v>
      </c>
    </row>
    <row r="115" spans="1:11" ht="15" customHeight="1">
      <c r="A115" s="4">
        <v>107</v>
      </c>
      <c r="B115" s="5" t="s">
        <v>130</v>
      </c>
      <c r="C115" s="5" t="s">
        <v>1356</v>
      </c>
      <c r="D115" s="5" t="s">
        <v>131</v>
      </c>
      <c r="E115" s="7" t="s">
        <v>105</v>
      </c>
      <c r="F115" s="8" t="s">
        <v>105</v>
      </c>
      <c r="G115" s="4" t="s">
        <v>442</v>
      </c>
      <c r="H115" s="9" t="s">
        <v>196</v>
      </c>
      <c r="I115" s="5" t="s">
        <v>1314</v>
      </c>
      <c r="J115" s="5" t="s">
        <v>1315</v>
      </c>
      <c r="K115" s="6">
        <f t="shared" si="3"/>
        <v>1</v>
      </c>
    </row>
    <row r="116" spans="1:11" ht="15" customHeight="1">
      <c r="A116" s="4">
        <v>108</v>
      </c>
      <c r="B116" s="5" t="s">
        <v>130</v>
      </c>
      <c r="C116" s="5" t="s">
        <v>1356</v>
      </c>
      <c r="D116" s="5" t="s">
        <v>132</v>
      </c>
      <c r="E116" s="7" t="s">
        <v>105</v>
      </c>
      <c r="F116" s="8" t="s">
        <v>105</v>
      </c>
      <c r="G116" s="4" t="s">
        <v>442</v>
      </c>
      <c r="H116" s="9" t="s">
        <v>196</v>
      </c>
      <c r="I116" s="5" t="s">
        <v>1314</v>
      </c>
      <c r="J116" s="5" t="s">
        <v>1315</v>
      </c>
      <c r="K116" s="6">
        <f t="shared" si="3"/>
        <v>1</v>
      </c>
    </row>
    <row r="117" spans="1:11" ht="15" customHeight="1">
      <c r="A117" s="4">
        <v>109</v>
      </c>
      <c r="B117" s="5" t="s">
        <v>539</v>
      </c>
      <c r="C117" s="5" t="s">
        <v>1356</v>
      </c>
      <c r="D117" s="5" t="s">
        <v>540</v>
      </c>
      <c r="E117" s="7" t="s">
        <v>105</v>
      </c>
      <c r="F117" s="8" t="s">
        <v>105</v>
      </c>
      <c r="G117" s="4" t="s">
        <v>442</v>
      </c>
      <c r="H117" s="9" t="s">
        <v>196</v>
      </c>
      <c r="I117" s="5" t="s">
        <v>1314</v>
      </c>
      <c r="J117" s="5" t="s">
        <v>1315</v>
      </c>
      <c r="K117" s="6">
        <f t="shared" si="3"/>
        <v>1</v>
      </c>
    </row>
    <row r="118" spans="1:11" ht="15" customHeight="1">
      <c r="A118" s="4">
        <v>110</v>
      </c>
      <c r="B118" s="5" t="s">
        <v>133</v>
      </c>
      <c r="C118" s="5" t="s">
        <v>1356</v>
      </c>
      <c r="D118" s="5" t="s">
        <v>719</v>
      </c>
      <c r="E118" s="7" t="s">
        <v>105</v>
      </c>
      <c r="F118" s="8" t="s">
        <v>105</v>
      </c>
      <c r="G118" s="4" t="s">
        <v>442</v>
      </c>
      <c r="H118" s="9" t="s">
        <v>196</v>
      </c>
      <c r="I118" s="5" t="s">
        <v>1314</v>
      </c>
      <c r="J118" s="5" t="s">
        <v>1315</v>
      </c>
      <c r="K118" s="6">
        <f t="shared" si="3"/>
        <v>1</v>
      </c>
    </row>
    <row r="119" spans="1:11" ht="15" customHeight="1">
      <c r="A119" s="4">
        <v>111</v>
      </c>
      <c r="B119" s="5" t="s">
        <v>133</v>
      </c>
      <c r="C119" s="5" t="s">
        <v>1356</v>
      </c>
      <c r="D119" s="5" t="s">
        <v>142</v>
      </c>
      <c r="E119" s="7" t="s">
        <v>105</v>
      </c>
      <c r="F119" s="8" t="s">
        <v>105</v>
      </c>
      <c r="G119" s="4" t="s">
        <v>442</v>
      </c>
      <c r="H119" s="9" t="s">
        <v>196</v>
      </c>
      <c r="I119" s="5" t="s">
        <v>1314</v>
      </c>
      <c r="J119" s="5" t="s">
        <v>1315</v>
      </c>
      <c r="K119" s="6">
        <f t="shared" si="3"/>
        <v>1</v>
      </c>
    </row>
    <row r="120" spans="1:11" ht="15" customHeight="1">
      <c r="A120" s="4">
        <v>112</v>
      </c>
      <c r="B120" s="5" t="s">
        <v>135</v>
      </c>
      <c r="C120" s="5" t="s">
        <v>1356</v>
      </c>
      <c r="D120" s="5" t="s">
        <v>144</v>
      </c>
      <c r="E120" s="7" t="s">
        <v>105</v>
      </c>
      <c r="F120" s="8" t="s">
        <v>105</v>
      </c>
      <c r="G120" s="4" t="s">
        <v>442</v>
      </c>
      <c r="H120" s="9" t="s">
        <v>196</v>
      </c>
      <c r="I120" s="5" t="s">
        <v>1314</v>
      </c>
      <c r="J120" s="5" t="s">
        <v>1315</v>
      </c>
      <c r="K120" s="6">
        <f t="shared" si="3"/>
        <v>1</v>
      </c>
    </row>
    <row r="121" spans="1:11" ht="15" customHeight="1">
      <c r="A121" s="4">
        <v>113</v>
      </c>
      <c r="B121" s="5" t="s">
        <v>135</v>
      </c>
      <c r="C121" s="5" t="s">
        <v>1356</v>
      </c>
      <c r="D121" s="5" t="s">
        <v>616</v>
      </c>
      <c r="E121" s="7" t="s">
        <v>105</v>
      </c>
      <c r="F121" s="8" t="s">
        <v>105</v>
      </c>
      <c r="G121" s="4" t="s">
        <v>442</v>
      </c>
      <c r="H121" s="9" t="s">
        <v>196</v>
      </c>
      <c r="I121" s="5" t="s">
        <v>1314</v>
      </c>
      <c r="J121" s="5" t="s">
        <v>1315</v>
      </c>
      <c r="K121" s="6">
        <f t="shared" si="3"/>
        <v>1</v>
      </c>
    </row>
    <row r="122" spans="1:11" ht="15" customHeight="1">
      <c r="A122" s="4">
        <v>114</v>
      </c>
      <c r="B122" s="5" t="s">
        <v>147</v>
      </c>
      <c r="C122" s="5" t="s">
        <v>1356</v>
      </c>
      <c r="D122" s="5" t="s">
        <v>1357</v>
      </c>
      <c r="E122" s="7" t="s">
        <v>105</v>
      </c>
      <c r="F122" s="8" t="s">
        <v>105</v>
      </c>
      <c r="G122" s="4" t="s">
        <v>442</v>
      </c>
      <c r="H122" s="9" t="s">
        <v>196</v>
      </c>
      <c r="I122" s="5" t="s">
        <v>1314</v>
      </c>
      <c r="J122" s="5" t="s">
        <v>1315</v>
      </c>
      <c r="K122" s="6">
        <f t="shared" si="3"/>
        <v>1</v>
      </c>
    </row>
    <row r="123" spans="1:11" ht="15" customHeight="1">
      <c r="A123" s="4">
        <v>115</v>
      </c>
      <c r="B123" s="5" t="s">
        <v>120</v>
      </c>
      <c r="C123" s="5" t="s">
        <v>1358</v>
      </c>
      <c r="D123" s="5" t="s">
        <v>122</v>
      </c>
      <c r="E123" s="7" t="s">
        <v>105</v>
      </c>
      <c r="F123" s="8" t="s">
        <v>105</v>
      </c>
      <c r="G123" s="4" t="s">
        <v>442</v>
      </c>
      <c r="H123" s="9" t="s">
        <v>196</v>
      </c>
      <c r="I123" s="5" t="s">
        <v>1314</v>
      </c>
      <c r="J123" s="5" t="s">
        <v>1315</v>
      </c>
      <c r="K123" s="6">
        <f t="shared" si="3"/>
        <v>1</v>
      </c>
    </row>
    <row r="124" spans="1:11" ht="15" customHeight="1">
      <c r="A124" s="4">
        <v>116</v>
      </c>
      <c r="B124" s="5" t="s">
        <v>120</v>
      </c>
      <c r="C124" s="5" t="s">
        <v>1358</v>
      </c>
      <c r="D124" s="5" t="s">
        <v>123</v>
      </c>
      <c r="E124" s="7" t="s">
        <v>105</v>
      </c>
      <c r="F124" s="8" t="s">
        <v>105</v>
      </c>
      <c r="G124" s="4" t="s">
        <v>442</v>
      </c>
      <c r="H124" s="9" t="s">
        <v>196</v>
      </c>
      <c r="I124" s="5" t="s">
        <v>1314</v>
      </c>
      <c r="J124" s="5" t="s">
        <v>1315</v>
      </c>
      <c r="K124" s="6">
        <f t="shared" si="3"/>
        <v>1</v>
      </c>
    </row>
    <row r="125" spans="1:11" ht="30" customHeight="1">
      <c r="A125" s="4">
        <v>117</v>
      </c>
      <c r="B125" s="5" t="s">
        <v>124</v>
      </c>
      <c r="C125" s="5" t="s">
        <v>1358</v>
      </c>
      <c r="D125" s="5" t="s">
        <v>125</v>
      </c>
      <c r="E125" s="7" t="s">
        <v>105</v>
      </c>
      <c r="F125" s="8" t="s">
        <v>105</v>
      </c>
      <c r="G125" s="4" t="s">
        <v>442</v>
      </c>
      <c r="H125" s="9" t="s">
        <v>196</v>
      </c>
      <c r="I125" s="5" t="s">
        <v>1314</v>
      </c>
      <c r="J125" s="5" t="s">
        <v>1315</v>
      </c>
      <c r="K125" s="6">
        <f t="shared" si="3"/>
        <v>1</v>
      </c>
    </row>
    <row r="126" spans="1:11" ht="15" customHeight="1">
      <c r="A126" s="4">
        <v>118</v>
      </c>
      <c r="B126" s="5" t="s">
        <v>124</v>
      </c>
      <c r="C126" s="5" t="s">
        <v>1358</v>
      </c>
      <c r="D126" s="5" t="s">
        <v>126</v>
      </c>
      <c r="E126" s="7" t="s">
        <v>105</v>
      </c>
      <c r="F126" s="8" t="s">
        <v>105</v>
      </c>
      <c r="G126" s="4" t="s">
        <v>442</v>
      </c>
      <c r="H126" s="9" t="s">
        <v>196</v>
      </c>
      <c r="I126" s="5" t="s">
        <v>1314</v>
      </c>
      <c r="J126" s="5" t="s">
        <v>1315</v>
      </c>
      <c r="K126" s="6">
        <f t="shared" si="3"/>
        <v>1</v>
      </c>
    </row>
    <row r="127" spans="1:11" ht="15" customHeight="1">
      <c r="A127" s="4">
        <v>119</v>
      </c>
      <c r="B127" s="5" t="s">
        <v>95</v>
      </c>
      <c r="C127" s="5" t="s">
        <v>1358</v>
      </c>
      <c r="D127" s="5" t="s">
        <v>127</v>
      </c>
      <c r="E127" s="7" t="s">
        <v>105</v>
      </c>
      <c r="F127" s="8" t="s">
        <v>105</v>
      </c>
      <c r="G127" s="4" t="s">
        <v>442</v>
      </c>
      <c r="H127" s="9" t="s">
        <v>196</v>
      </c>
      <c r="I127" s="5" t="s">
        <v>1314</v>
      </c>
      <c r="J127" s="5" t="s">
        <v>1315</v>
      </c>
      <c r="K127" s="6">
        <f t="shared" si="3"/>
        <v>1</v>
      </c>
    </row>
    <row r="128" spans="1:11" ht="15" customHeight="1">
      <c r="A128" s="4">
        <v>120</v>
      </c>
      <c r="B128" s="5" t="s">
        <v>128</v>
      </c>
      <c r="C128" s="5" t="s">
        <v>1358</v>
      </c>
      <c r="D128" s="5" t="s">
        <v>129</v>
      </c>
      <c r="E128" s="7" t="s">
        <v>105</v>
      </c>
      <c r="F128" s="8" t="s">
        <v>105</v>
      </c>
      <c r="G128" s="4" t="s">
        <v>442</v>
      </c>
      <c r="H128" s="9" t="s">
        <v>196</v>
      </c>
      <c r="I128" s="5" t="s">
        <v>1314</v>
      </c>
      <c r="J128" s="5" t="s">
        <v>1315</v>
      </c>
      <c r="K128" s="6">
        <f t="shared" si="3"/>
        <v>1</v>
      </c>
    </row>
    <row r="129" spans="1:11" ht="15" customHeight="1">
      <c r="A129" s="4">
        <v>121</v>
      </c>
      <c r="B129" s="5" t="s">
        <v>130</v>
      </c>
      <c r="C129" s="5" t="s">
        <v>1358</v>
      </c>
      <c r="D129" s="5" t="s">
        <v>131</v>
      </c>
      <c r="E129" s="7" t="s">
        <v>105</v>
      </c>
      <c r="F129" s="8" t="s">
        <v>105</v>
      </c>
      <c r="G129" s="4" t="s">
        <v>442</v>
      </c>
      <c r="H129" s="9" t="s">
        <v>196</v>
      </c>
      <c r="I129" s="5" t="s">
        <v>1314</v>
      </c>
      <c r="J129" s="5" t="s">
        <v>1315</v>
      </c>
      <c r="K129" s="6">
        <f t="shared" si="3"/>
        <v>1</v>
      </c>
    </row>
    <row r="130" spans="1:11" ht="15" customHeight="1">
      <c r="A130" s="4">
        <v>122</v>
      </c>
      <c r="B130" s="5" t="s">
        <v>130</v>
      </c>
      <c r="C130" s="5" t="s">
        <v>1358</v>
      </c>
      <c r="D130" s="5" t="s">
        <v>132</v>
      </c>
      <c r="E130" s="7" t="s">
        <v>105</v>
      </c>
      <c r="F130" s="8" t="s">
        <v>105</v>
      </c>
      <c r="G130" s="4" t="s">
        <v>442</v>
      </c>
      <c r="H130" s="9" t="s">
        <v>196</v>
      </c>
      <c r="I130" s="5" t="s">
        <v>1314</v>
      </c>
      <c r="J130" s="5" t="s">
        <v>1315</v>
      </c>
      <c r="K130" s="6">
        <f t="shared" si="3"/>
        <v>1</v>
      </c>
    </row>
    <row r="131" spans="1:11" ht="15" customHeight="1">
      <c r="A131" s="4">
        <v>123</v>
      </c>
      <c r="B131" s="5" t="s">
        <v>133</v>
      </c>
      <c r="C131" s="5" t="s">
        <v>1358</v>
      </c>
      <c r="D131" s="5" t="s">
        <v>719</v>
      </c>
      <c r="E131" s="7" t="s">
        <v>105</v>
      </c>
      <c r="F131" s="8" t="s">
        <v>105</v>
      </c>
      <c r="G131" s="4" t="s">
        <v>442</v>
      </c>
      <c r="H131" s="9" t="s">
        <v>196</v>
      </c>
      <c r="I131" s="5" t="s">
        <v>1314</v>
      </c>
      <c r="J131" s="5" t="s">
        <v>1315</v>
      </c>
      <c r="K131" s="6">
        <f t="shared" si="3"/>
        <v>1</v>
      </c>
    </row>
    <row r="132" spans="1:11" ht="30" customHeight="1">
      <c r="A132" s="4">
        <v>124</v>
      </c>
      <c r="B132" s="5" t="s">
        <v>133</v>
      </c>
      <c r="C132" s="5" t="s">
        <v>1358</v>
      </c>
      <c r="D132" s="5" t="s">
        <v>142</v>
      </c>
      <c r="E132" s="7" t="s">
        <v>105</v>
      </c>
      <c r="F132" s="8" t="s">
        <v>105</v>
      </c>
      <c r="G132" s="4" t="s">
        <v>442</v>
      </c>
      <c r="H132" s="9" t="s">
        <v>196</v>
      </c>
      <c r="I132" s="5" t="s">
        <v>1314</v>
      </c>
      <c r="J132" s="5" t="s">
        <v>1315</v>
      </c>
      <c r="K132" s="6">
        <f t="shared" si="3"/>
        <v>1</v>
      </c>
    </row>
    <row r="133" spans="1:11" ht="15" customHeight="1">
      <c r="A133" s="4">
        <v>125</v>
      </c>
      <c r="B133" s="5" t="s">
        <v>133</v>
      </c>
      <c r="C133" s="5" t="s">
        <v>1358</v>
      </c>
      <c r="D133" s="5" t="s">
        <v>1359</v>
      </c>
      <c r="E133" s="7" t="s">
        <v>105</v>
      </c>
      <c r="F133" s="8" t="s">
        <v>105</v>
      </c>
      <c r="G133" s="4" t="s">
        <v>442</v>
      </c>
      <c r="H133" s="9" t="s">
        <v>196</v>
      </c>
      <c r="I133" s="5" t="s">
        <v>1314</v>
      </c>
      <c r="J133" s="5" t="s">
        <v>1315</v>
      </c>
      <c r="K133" s="6">
        <f t="shared" si="3"/>
        <v>1</v>
      </c>
    </row>
    <row r="134" spans="1:11" ht="15" customHeight="1">
      <c r="A134" s="4">
        <v>126</v>
      </c>
      <c r="B134" s="5" t="s">
        <v>120</v>
      </c>
      <c r="C134" s="5" t="s">
        <v>1360</v>
      </c>
      <c r="D134" s="5" t="s">
        <v>122</v>
      </c>
      <c r="E134" s="7" t="s">
        <v>105</v>
      </c>
      <c r="F134" s="8" t="s">
        <v>105</v>
      </c>
      <c r="G134" s="4" t="s">
        <v>442</v>
      </c>
      <c r="H134" s="9" t="s">
        <v>196</v>
      </c>
      <c r="I134" s="5" t="s">
        <v>1314</v>
      </c>
      <c r="J134" s="5" t="s">
        <v>1315</v>
      </c>
      <c r="K134" s="6">
        <f t="shared" si="3"/>
        <v>1</v>
      </c>
    </row>
    <row r="135" spans="1:11" ht="15" customHeight="1">
      <c r="A135" s="4">
        <v>127</v>
      </c>
      <c r="B135" s="5" t="s">
        <v>120</v>
      </c>
      <c r="C135" s="5" t="s">
        <v>1360</v>
      </c>
      <c r="D135" s="5" t="s">
        <v>123</v>
      </c>
      <c r="E135" s="7" t="s">
        <v>105</v>
      </c>
      <c r="F135" s="8" t="s">
        <v>105</v>
      </c>
      <c r="G135" s="4" t="s">
        <v>442</v>
      </c>
      <c r="H135" s="9" t="s">
        <v>196</v>
      </c>
      <c r="I135" s="5" t="s">
        <v>1314</v>
      </c>
      <c r="J135" s="5" t="s">
        <v>1315</v>
      </c>
      <c r="K135" s="6">
        <f t="shared" si="3"/>
        <v>1</v>
      </c>
    </row>
    <row r="136" spans="1:11" ht="15" customHeight="1">
      <c r="A136" s="4">
        <v>128</v>
      </c>
      <c r="B136" s="5" t="s">
        <v>124</v>
      </c>
      <c r="C136" s="5" t="s">
        <v>1360</v>
      </c>
      <c r="D136" s="5" t="s">
        <v>125</v>
      </c>
      <c r="E136" s="7" t="s">
        <v>105</v>
      </c>
      <c r="F136" s="8" t="s">
        <v>105</v>
      </c>
      <c r="G136" s="4" t="s">
        <v>442</v>
      </c>
      <c r="H136" s="9" t="s">
        <v>196</v>
      </c>
      <c r="I136" s="5" t="s">
        <v>1314</v>
      </c>
      <c r="J136" s="5" t="s">
        <v>1315</v>
      </c>
      <c r="K136" s="6">
        <f t="shared" si="3"/>
        <v>1</v>
      </c>
    </row>
    <row r="137" spans="1:11" ht="15" customHeight="1">
      <c r="A137" s="4">
        <v>129</v>
      </c>
      <c r="B137" s="5" t="s">
        <v>124</v>
      </c>
      <c r="C137" s="5" t="s">
        <v>1360</v>
      </c>
      <c r="D137" s="5" t="s">
        <v>126</v>
      </c>
      <c r="E137" s="7" t="s">
        <v>105</v>
      </c>
      <c r="F137" s="8" t="s">
        <v>105</v>
      </c>
      <c r="G137" s="4" t="s">
        <v>442</v>
      </c>
      <c r="H137" s="9" t="s">
        <v>196</v>
      </c>
      <c r="I137" s="5" t="s">
        <v>1314</v>
      </c>
      <c r="J137" s="5" t="s">
        <v>1315</v>
      </c>
      <c r="K137" s="6">
        <f t="shared" ref="K137:K168" si="4">IF(AND(E137="yes",F137="yes",H137="covered"),1,IF(H137="partial",0.5,0))</f>
        <v>1</v>
      </c>
    </row>
    <row r="138" spans="1:11" ht="15" customHeight="1">
      <c r="A138" s="4">
        <v>130</v>
      </c>
      <c r="B138" s="5" t="s">
        <v>95</v>
      </c>
      <c r="C138" s="5" t="s">
        <v>1360</v>
      </c>
      <c r="D138" s="5" t="s">
        <v>127</v>
      </c>
      <c r="E138" s="7" t="s">
        <v>105</v>
      </c>
      <c r="F138" s="8" t="s">
        <v>105</v>
      </c>
      <c r="G138" s="4" t="s">
        <v>442</v>
      </c>
      <c r="H138" s="9" t="s">
        <v>196</v>
      </c>
      <c r="I138" s="5" t="s">
        <v>1314</v>
      </c>
      <c r="J138" s="5" t="s">
        <v>1315</v>
      </c>
      <c r="K138" s="6">
        <f t="shared" si="4"/>
        <v>1</v>
      </c>
    </row>
    <row r="139" spans="1:11" ht="30" customHeight="1">
      <c r="A139" s="4">
        <v>131</v>
      </c>
      <c r="B139" s="5" t="s">
        <v>128</v>
      </c>
      <c r="C139" s="5" t="s">
        <v>1360</v>
      </c>
      <c r="D139" s="5" t="s">
        <v>129</v>
      </c>
      <c r="E139" s="7" t="s">
        <v>105</v>
      </c>
      <c r="F139" s="8" t="s">
        <v>105</v>
      </c>
      <c r="G139" s="4" t="s">
        <v>442</v>
      </c>
      <c r="H139" s="9" t="s">
        <v>196</v>
      </c>
      <c r="I139" s="5" t="s">
        <v>1314</v>
      </c>
      <c r="J139" s="5" t="s">
        <v>1315</v>
      </c>
      <c r="K139" s="6">
        <f t="shared" si="4"/>
        <v>1</v>
      </c>
    </row>
    <row r="140" spans="1:11" ht="15" customHeight="1">
      <c r="A140" s="4">
        <v>132</v>
      </c>
      <c r="B140" s="5" t="s">
        <v>133</v>
      </c>
      <c r="C140" s="5" t="s">
        <v>1360</v>
      </c>
      <c r="D140" s="5" t="s">
        <v>142</v>
      </c>
      <c r="E140" s="7" t="s">
        <v>105</v>
      </c>
      <c r="F140" s="8" t="s">
        <v>105</v>
      </c>
      <c r="G140" s="4" t="s">
        <v>442</v>
      </c>
      <c r="H140" s="9" t="s">
        <v>196</v>
      </c>
      <c r="I140" s="5" t="s">
        <v>1314</v>
      </c>
      <c r="J140" s="5" t="s">
        <v>1315</v>
      </c>
      <c r="K140" s="6">
        <f t="shared" si="4"/>
        <v>1</v>
      </c>
    </row>
    <row r="141" spans="1:11" ht="15" customHeight="1">
      <c r="A141" s="4">
        <v>133</v>
      </c>
      <c r="B141" s="5" t="s">
        <v>120</v>
      </c>
      <c r="C141" s="5" t="s">
        <v>1361</v>
      </c>
      <c r="D141" s="5" t="s">
        <v>122</v>
      </c>
      <c r="E141" s="7" t="s">
        <v>105</v>
      </c>
      <c r="F141" s="8" t="s">
        <v>105</v>
      </c>
      <c r="G141" s="4" t="s">
        <v>442</v>
      </c>
      <c r="H141" s="9" t="s">
        <v>196</v>
      </c>
      <c r="I141" s="5" t="s">
        <v>1314</v>
      </c>
      <c r="J141" s="5" t="s">
        <v>1315</v>
      </c>
      <c r="K141" s="6">
        <f t="shared" si="4"/>
        <v>1</v>
      </c>
    </row>
    <row r="142" spans="1:11" ht="15" customHeight="1">
      <c r="A142" s="4">
        <v>134</v>
      </c>
      <c r="B142" s="5" t="s">
        <v>120</v>
      </c>
      <c r="C142" s="5" t="s">
        <v>1361</v>
      </c>
      <c r="D142" s="5" t="s">
        <v>123</v>
      </c>
      <c r="E142" s="7" t="s">
        <v>105</v>
      </c>
      <c r="F142" s="8" t="s">
        <v>105</v>
      </c>
      <c r="G142" s="4" t="s">
        <v>442</v>
      </c>
      <c r="H142" s="9" t="s">
        <v>196</v>
      </c>
      <c r="I142" s="5" t="s">
        <v>1314</v>
      </c>
      <c r="J142" s="5" t="s">
        <v>1315</v>
      </c>
      <c r="K142" s="6">
        <f t="shared" si="4"/>
        <v>1</v>
      </c>
    </row>
    <row r="143" spans="1:11" ht="15" customHeight="1">
      <c r="A143" s="4">
        <v>135</v>
      </c>
      <c r="B143" s="5" t="s">
        <v>124</v>
      </c>
      <c r="C143" s="5" t="s">
        <v>1361</v>
      </c>
      <c r="D143" s="5" t="s">
        <v>125</v>
      </c>
      <c r="E143" s="7" t="s">
        <v>105</v>
      </c>
      <c r="F143" s="8" t="s">
        <v>105</v>
      </c>
      <c r="G143" s="4" t="s">
        <v>442</v>
      </c>
      <c r="H143" s="9" t="s">
        <v>196</v>
      </c>
      <c r="I143" s="5" t="s">
        <v>1314</v>
      </c>
      <c r="J143" s="5" t="s">
        <v>1315</v>
      </c>
      <c r="K143" s="6">
        <f t="shared" si="4"/>
        <v>1</v>
      </c>
    </row>
    <row r="144" spans="1:11" ht="15" customHeight="1">
      <c r="A144" s="4">
        <v>136</v>
      </c>
      <c r="B144" s="5" t="s">
        <v>124</v>
      </c>
      <c r="C144" s="5" t="s">
        <v>1361</v>
      </c>
      <c r="D144" s="5" t="s">
        <v>126</v>
      </c>
      <c r="E144" s="7" t="s">
        <v>105</v>
      </c>
      <c r="F144" s="8" t="s">
        <v>105</v>
      </c>
      <c r="G144" s="4" t="s">
        <v>442</v>
      </c>
      <c r="H144" s="9" t="s">
        <v>196</v>
      </c>
      <c r="I144" s="5" t="s">
        <v>1314</v>
      </c>
      <c r="J144" s="5" t="s">
        <v>1315</v>
      </c>
      <c r="K144" s="6">
        <f t="shared" si="4"/>
        <v>1</v>
      </c>
    </row>
    <row r="145" spans="1:11" ht="30" customHeight="1">
      <c r="A145" s="4">
        <v>137</v>
      </c>
      <c r="B145" s="5" t="s">
        <v>95</v>
      </c>
      <c r="C145" s="5" t="s">
        <v>1361</v>
      </c>
      <c r="D145" s="5" t="s">
        <v>127</v>
      </c>
      <c r="E145" s="7" t="s">
        <v>105</v>
      </c>
      <c r="F145" s="8" t="s">
        <v>105</v>
      </c>
      <c r="G145" s="4" t="s">
        <v>442</v>
      </c>
      <c r="H145" s="9" t="s">
        <v>196</v>
      </c>
      <c r="I145" s="5" t="s">
        <v>1314</v>
      </c>
      <c r="J145" s="5" t="s">
        <v>1315</v>
      </c>
      <c r="K145" s="6">
        <f t="shared" si="4"/>
        <v>1</v>
      </c>
    </row>
    <row r="146" spans="1:11" ht="15" customHeight="1">
      <c r="A146" s="4">
        <v>138</v>
      </c>
      <c r="B146" s="5" t="s">
        <v>128</v>
      </c>
      <c r="C146" s="5" t="s">
        <v>1361</v>
      </c>
      <c r="D146" s="5" t="s">
        <v>129</v>
      </c>
      <c r="E146" s="7" t="s">
        <v>105</v>
      </c>
      <c r="F146" s="8" t="s">
        <v>105</v>
      </c>
      <c r="G146" s="4" t="s">
        <v>442</v>
      </c>
      <c r="H146" s="9" t="s">
        <v>196</v>
      </c>
      <c r="I146" s="5" t="s">
        <v>1314</v>
      </c>
      <c r="J146" s="5" t="s">
        <v>1315</v>
      </c>
      <c r="K146" s="6">
        <f t="shared" si="4"/>
        <v>1</v>
      </c>
    </row>
    <row r="147" spans="1:11" ht="15" customHeight="1">
      <c r="A147" s="4">
        <v>139</v>
      </c>
      <c r="B147" s="5" t="s">
        <v>133</v>
      </c>
      <c r="C147" s="5" t="s">
        <v>1361</v>
      </c>
      <c r="D147" s="5" t="s">
        <v>142</v>
      </c>
      <c r="E147" s="7" t="s">
        <v>105</v>
      </c>
      <c r="F147" s="8" t="s">
        <v>105</v>
      </c>
      <c r="G147" s="4" t="s">
        <v>442</v>
      </c>
      <c r="H147" s="9" t="s">
        <v>196</v>
      </c>
      <c r="I147" s="5" t="s">
        <v>1314</v>
      </c>
      <c r="J147" s="5" t="s">
        <v>1315</v>
      </c>
      <c r="K147" s="6">
        <f t="shared" si="4"/>
        <v>1</v>
      </c>
    </row>
    <row r="148" spans="1:11" ht="15" customHeight="1">
      <c r="A148" s="4">
        <v>140</v>
      </c>
      <c r="B148" s="5" t="s">
        <v>153</v>
      </c>
      <c r="C148" s="5" t="s">
        <v>154</v>
      </c>
      <c r="D148" s="5" t="s">
        <v>1303</v>
      </c>
      <c r="E148" s="7" t="s">
        <v>105</v>
      </c>
      <c r="F148" s="8" t="s">
        <v>105</v>
      </c>
      <c r="G148" s="4" t="s">
        <v>442</v>
      </c>
      <c r="H148" s="9" t="s">
        <v>196</v>
      </c>
      <c r="I148" s="5" t="s">
        <v>1314</v>
      </c>
      <c r="J148" s="5" t="s">
        <v>1315</v>
      </c>
      <c r="K148" s="6">
        <f t="shared" si="4"/>
        <v>1</v>
      </c>
    </row>
    <row r="149" spans="1:11" ht="15" customHeight="1">
      <c r="A149" s="4">
        <v>141</v>
      </c>
      <c r="B149" s="5" t="s">
        <v>153</v>
      </c>
      <c r="C149" s="5" t="s">
        <v>154</v>
      </c>
      <c r="D149" s="5" t="s">
        <v>156</v>
      </c>
      <c r="E149" s="7" t="s">
        <v>105</v>
      </c>
      <c r="F149" s="8" t="s">
        <v>105</v>
      </c>
      <c r="G149" s="4" t="s">
        <v>442</v>
      </c>
      <c r="H149" s="9" t="s">
        <v>196</v>
      </c>
      <c r="I149" s="5" t="s">
        <v>1314</v>
      </c>
      <c r="J149" s="5" t="s">
        <v>1315</v>
      </c>
      <c r="K149" s="6">
        <f t="shared" si="4"/>
        <v>1</v>
      </c>
    </row>
    <row r="150" spans="1:11" ht="15" customHeight="1">
      <c r="A150" s="4">
        <v>142</v>
      </c>
      <c r="B150" s="5" t="s">
        <v>153</v>
      </c>
      <c r="C150" s="5" t="s">
        <v>154</v>
      </c>
      <c r="D150" s="5" t="s">
        <v>621</v>
      </c>
      <c r="E150" s="7" t="s">
        <v>105</v>
      </c>
      <c r="F150" s="8" t="s">
        <v>105</v>
      </c>
      <c r="G150" s="4" t="s">
        <v>442</v>
      </c>
      <c r="H150" s="9" t="s">
        <v>196</v>
      </c>
      <c r="I150" s="5" t="s">
        <v>1314</v>
      </c>
      <c r="J150" s="5" t="s">
        <v>1315</v>
      </c>
      <c r="K150" s="6">
        <f t="shared" si="4"/>
        <v>1</v>
      </c>
    </row>
    <row r="151" spans="1:11" ht="30" customHeight="1">
      <c r="A151" s="4">
        <v>143</v>
      </c>
      <c r="B151" s="5" t="s">
        <v>153</v>
      </c>
      <c r="C151" s="5" t="s">
        <v>154</v>
      </c>
      <c r="D151" s="5" t="s">
        <v>438</v>
      </c>
      <c r="E151" s="7" t="s">
        <v>105</v>
      </c>
      <c r="F151" s="8" t="s">
        <v>105</v>
      </c>
      <c r="G151" s="4" t="s">
        <v>442</v>
      </c>
      <c r="H151" s="9" t="s">
        <v>196</v>
      </c>
      <c r="I151" s="5" t="s">
        <v>1314</v>
      </c>
      <c r="J151" s="5" t="s">
        <v>1315</v>
      </c>
      <c r="K151" s="6">
        <f t="shared" si="4"/>
        <v>1</v>
      </c>
    </row>
    <row r="152" spans="1:11" ht="15" customHeight="1">
      <c r="A152" s="4">
        <v>144</v>
      </c>
      <c r="B152" s="5" t="s">
        <v>159</v>
      </c>
      <c r="C152" s="5" t="s">
        <v>154</v>
      </c>
      <c r="D152" s="5" t="s">
        <v>1362</v>
      </c>
      <c r="E152" s="7" t="s">
        <v>105</v>
      </c>
      <c r="F152" s="8" t="s">
        <v>105</v>
      </c>
      <c r="G152" s="4" t="s">
        <v>442</v>
      </c>
      <c r="H152" s="9" t="s">
        <v>196</v>
      </c>
      <c r="I152" s="5" t="s">
        <v>1314</v>
      </c>
      <c r="J152" s="5" t="s">
        <v>1315</v>
      </c>
      <c r="K152" s="6">
        <f t="shared" si="4"/>
        <v>1</v>
      </c>
    </row>
    <row r="153" spans="1:11" ht="15" customHeight="1">
      <c r="A153" s="4">
        <v>145</v>
      </c>
      <c r="B153" s="5" t="s">
        <v>159</v>
      </c>
      <c r="C153" s="5" t="s">
        <v>154</v>
      </c>
      <c r="D153" s="5" t="s">
        <v>160</v>
      </c>
      <c r="E153" s="7" t="s">
        <v>105</v>
      </c>
      <c r="F153" s="8" t="s">
        <v>105</v>
      </c>
      <c r="G153" s="4" t="s">
        <v>442</v>
      </c>
      <c r="H153" s="9" t="s">
        <v>196</v>
      </c>
      <c r="I153" s="5" t="s">
        <v>1314</v>
      </c>
      <c r="J153" s="5" t="s">
        <v>1315</v>
      </c>
      <c r="K153" s="6">
        <f t="shared" si="4"/>
        <v>1</v>
      </c>
    </row>
    <row r="154" spans="1:11" ht="15" customHeight="1">
      <c r="A154" s="4">
        <v>146</v>
      </c>
      <c r="B154" s="5" t="s">
        <v>159</v>
      </c>
      <c r="C154" s="5" t="s">
        <v>154</v>
      </c>
      <c r="D154" s="5" t="s">
        <v>1363</v>
      </c>
      <c r="E154" s="7" t="s">
        <v>105</v>
      </c>
      <c r="F154" s="8" t="s">
        <v>105</v>
      </c>
      <c r="G154" s="4" t="s">
        <v>442</v>
      </c>
      <c r="H154" s="9" t="s">
        <v>196</v>
      </c>
      <c r="I154" s="5" t="s">
        <v>1314</v>
      </c>
      <c r="J154" s="5" t="s">
        <v>1315</v>
      </c>
      <c r="K154" s="6">
        <f t="shared" si="4"/>
        <v>1</v>
      </c>
    </row>
    <row r="155" spans="1:11" ht="15" customHeight="1">
      <c r="A155" s="4">
        <v>147</v>
      </c>
      <c r="B155" s="5" t="s">
        <v>159</v>
      </c>
      <c r="C155" s="5" t="s">
        <v>154</v>
      </c>
      <c r="D155" s="5" t="s">
        <v>1364</v>
      </c>
      <c r="E155" s="7" t="s">
        <v>105</v>
      </c>
      <c r="F155" s="8" t="s">
        <v>105</v>
      </c>
      <c r="G155" s="4" t="s">
        <v>442</v>
      </c>
      <c r="H155" s="9" t="s">
        <v>196</v>
      </c>
      <c r="I155" s="5" t="s">
        <v>1314</v>
      </c>
      <c r="J155" s="5" t="s">
        <v>1315</v>
      </c>
      <c r="K155" s="6">
        <f t="shared" si="4"/>
        <v>1</v>
      </c>
    </row>
    <row r="156" spans="1:11" ht="15" customHeight="1">
      <c r="A156" s="4">
        <v>148</v>
      </c>
      <c r="B156" s="5" t="s">
        <v>159</v>
      </c>
      <c r="C156" s="5" t="s">
        <v>154</v>
      </c>
      <c r="D156" s="5" t="s">
        <v>624</v>
      </c>
      <c r="E156" s="7" t="s">
        <v>105</v>
      </c>
      <c r="F156" s="8" t="s">
        <v>105</v>
      </c>
      <c r="G156" s="4" t="s">
        <v>442</v>
      </c>
      <c r="H156" s="9" t="s">
        <v>196</v>
      </c>
      <c r="I156" s="5" t="s">
        <v>1314</v>
      </c>
      <c r="J156" s="5" t="s">
        <v>1315</v>
      </c>
      <c r="K156" s="6">
        <f t="shared" si="4"/>
        <v>1</v>
      </c>
    </row>
    <row r="157" spans="1:11" ht="30" customHeight="1">
      <c r="A157" s="4">
        <v>149</v>
      </c>
      <c r="B157" s="5" t="s">
        <v>159</v>
      </c>
      <c r="C157" s="5" t="s">
        <v>154</v>
      </c>
      <c r="D157" s="5" t="s">
        <v>1365</v>
      </c>
      <c r="E157" s="7" t="s">
        <v>105</v>
      </c>
      <c r="F157" s="8" t="s">
        <v>105</v>
      </c>
      <c r="G157" s="4" t="s">
        <v>442</v>
      </c>
      <c r="H157" s="9" t="s">
        <v>196</v>
      </c>
      <c r="I157" s="5" t="s">
        <v>1314</v>
      </c>
      <c r="J157" s="5" t="s">
        <v>1315</v>
      </c>
      <c r="K157" s="6">
        <f t="shared" si="4"/>
        <v>1</v>
      </c>
    </row>
    <row r="158" spans="1:11" ht="15" customHeight="1">
      <c r="A158" s="4">
        <v>150</v>
      </c>
      <c r="B158" s="5" t="s">
        <v>159</v>
      </c>
      <c r="C158" s="5" t="s">
        <v>154</v>
      </c>
      <c r="D158" s="5" t="s">
        <v>625</v>
      </c>
      <c r="E158" s="7" t="s">
        <v>105</v>
      </c>
      <c r="F158" s="8" t="s">
        <v>105</v>
      </c>
      <c r="G158" s="4" t="s">
        <v>442</v>
      </c>
      <c r="H158" s="9" t="s">
        <v>196</v>
      </c>
      <c r="I158" s="5" t="s">
        <v>1314</v>
      </c>
      <c r="J158" s="5" t="s">
        <v>1315</v>
      </c>
      <c r="K158" s="6">
        <f t="shared" si="4"/>
        <v>1</v>
      </c>
    </row>
    <row r="159" spans="1:11" ht="15" customHeight="1">
      <c r="A159" s="4">
        <v>151</v>
      </c>
      <c r="B159" s="5" t="s">
        <v>159</v>
      </c>
      <c r="C159" s="5" t="s">
        <v>154</v>
      </c>
      <c r="D159" s="5" t="s">
        <v>1366</v>
      </c>
      <c r="E159" s="7" t="s">
        <v>105</v>
      </c>
      <c r="F159" s="8" t="s">
        <v>105</v>
      </c>
      <c r="G159" s="4" t="s">
        <v>442</v>
      </c>
      <c r="H159" s="9" t="s">
        <v>196</v>
      </c>
      <c r="I159" s="5" t="s">
        <v>1314</v>
      </c>
      <c r="J159" s="5" t="s">
        <v>1315</v>
      </c>
      <c r="K159" s="6">
        <f t="shared" si="4"/>
        <v>1</v>
      </c>
    </row>
    <row r="160" spans="1:11" ht="15" customHeight="1">
      <c r="A160" s="4">
        <v>152</v>
      </c>
      <c r="B160" s="5" t="s">
        <v>159</v>
      </c>
      <c r="C160" s="5" t="s">
        <v>154</v>
      </c>
      <c r="D160" s="5" t="s">
        <v>1282</v>
      </c>
      <c r="E160" s="7" t="s">
        <v>105</v>
      </c>
      <c r="F160" s="8" t="s">
        <v>105</v>
      </c>
      <c r="G160" s="4" t="s">
        <v>442</v>
      </c>
      <c r="H160" s="9" t="s">
        <v>196</v>
      </c>
      <c r="I160" s="5" t="s">
        <v>1314</v>
      </c>
      <c r="J160" s="5" t="s">
        <v>1315</v>
      </c>
      <c r="K160" s="6">
        <f t="shared" si="4"/>
        <v>1</v>
      </c>
    </row>
    <row r="161" spans="1:11" ht="15" customHeight="1">
      <c r="A161" s="4">
        <v>153</v>
      </c>
      <c r="B161" s="5" t="s">
        <v>159</v>
      </c>
      <c r="C161" s="5" t="s">
        <v>154</v>
      </c>
      <c r="D161" s="5" t="s">
        <v>1367</v>
      </c>
      <c r="E161" s="7" t="s">
        <v>105</v>
      </c>
      <c r="F161" s="8" t="s">
        <v>105</v>
      </c>
      <c r="G161" s="4" t="s">
        <v>442</v>
      </c>
      <c r="H161" s="9" t="s">
        <v>196</v>
      </c>
      <c r="I161" s="5" t="s">
        <v>1314</v>
      </c>
      <c r="J161" s="5" t="s">
        <v>1315</v>
      </c>
      <c r="K161" s="6">
        <f t="shared" si="4"/>
        <v>1</v>
      </c>
    </row>
    <row r="162" spans="1:11" ht="15" customHeight="1">
      <c r="A162" s="4">
        <v>154</v>
      </c>
      <c r="B162" s="5" t="s">
        <v>159</v>
      </c>
      <c r="C162" s="5" t="s">
        <v>154</v>
      </c>
      <c r="D162" s="5" t="s">
        <v>162</v>
      </c>
      <c r="E162" s="7" t="s">
        <v>105</v>
      </c>
      <c r="F162" s="8" t="s">
        <v>105</v>
      </c>
      <c r="G162" s="4" t="s">
        <v>442</v>
      </c>
      <c r="H162" s="9" t="s">
        <v>196</v>
      </c>
      <c r="I162" s="5" t="s">
        <v>1314</v>
      </c>
      <c r="J162" s="5" t="s">
        <v>1315</v>
      </c>
      <c r="K162" s="6">
        <f t="shared" si="4"/>
        <v>1</v>
      </c>
    </row>
    <row r="163" spans="1:11" ht="30" customHeight="1">
      <c r="A163" s="4">
        <v>155</v>
      </c>
      <c r="B163" s="5" t="s">
        <v>159</v>
      </c>
      <c r="C163" s="5" t="s">
        <v>154</v>
      </c>
      <c r="D163" s="5" t="s">
        <v>163</v>
      </c>
      <c r="E163" s="7" t="s">
        <v>105</v>
      </c>
      <c r="F163" s="8" t="s">
        <v>105</v>
      </c>
      <c r="G163" s="4" t="s">
        <v>442</v>
      </c>
      <c r="H163" s="9" t="s">
        <v>196</v>
      </c>
      <c r="I163" s="5" t="s">
        <v>1314</v>
      </c>
      <c r="J163" s="5" t="s">
        <v>1315</v>
      </c>
      <c r="K163" s="6">
        <f t="shared" si="4"/>
        <v>1</v>
      </c>
    </row>
    <row r="164" spans="1:11" ht="15" customHeight="1">
      <c r="A164" s="4">
        <v>156</v>
      </c>
      <c r="B164" s="5" t="s">
        <v>130</v>
      </c>
      <c r="C164" s="5" t="s">
        <v>38</v>
      </c>
      <c r="D164" s="5" t="s">
        <v>164</v>
      </c>
      <c r="E164" s="7" t="s">
        <v>105</v>
      </c>
      <c r="F164" s="8" t="s">
        <v>105</v>
      </c>
      <c r="G164" s="4" t="s">
        <v>442</v>
      </c>
      <c r="H164" s="9" t="s">
        <v>196</v>
      </c>
      <c r="I164" s="5" t="s">
        <v>1314</v>
      </c>
      <c r="J164" s="5" t="s">
        <v>1315</v>
      </c>
      <c r="K164" s="6">
        <f t="shared" si="4"/>
        <v>1</v>
      </c>
    </row>
    <row r="165" spans="1:11" ht="15" customHeight="1">
      <c r="A165" s="4">
        <v>157</v>
      </c>
      <c r="B165" s="5" t="s">
        <v>130</v>
      </c>
      <c r="C165" s="5" t="s">
        <v>38</v>
      </c>
      <c r="D165" s="5" t="s">
        <v>165</v>
      </c>
      <c r="E165" s="7" t="s">
        <v>105</v>
      </c>
      <c r="F165" s="8" t="s">
        <v>105</v>
      </c>
      <c r="G165" s="4" t="s">
        <v>442</v>
      </c>
      <c r="H165" s="9" t="s">
        <v>196</v>
      </c>
      <c r="I165" s="5" t="s">
        <v>1314</v>
      </c>
      <c r="J165" s="5" t="s">
        <v>1315</v>
      </c>
      <c r="K165" s="6">
        <f t="shared" si="4"/>
        <v>1</v>
      </c>
    </row>
    <row r="166" spans="1:11" ht="15" customHeight="1">
      <c r="A166" s="4">
        <v>158</v>
      </c>
      <c r="B166" s="5" t="s">
        <v>130</v>
      </c>
      <c r="C166" s="5" t="s">
        <v>38</v>
      </c>
      <c r="D166" s="5" t="s">
        <v>166</v>
      </c>
      <c r="E166" s="7" t="s">
        <v>105</v>
      </c>
      <c r="F166" s="8" t="s">
        <v>105</v>
      </c>
      <c r="G166" s="4" t="s">
        <v>442</v>
      </c>
      <c r="H166" s="9" t="s">
        <v>196</v>
      </c>
      <c r="I166" s="5" t="s">
        <v>1314</v>
      </c>
      <c r="J166" s="5" t="s">
        <v>1315</v>
      </c>
      <c r="K166" s="6">
        <f t="shared" si="4"/>
        <v>1</v>
      </c>
    </row>
    <row r="167" spans="1:11" ht="15" customHeight="1">
      <c r="A167" s="4">
        <v>159</v>
      </c>
      <c r="B167" s="5" t="s">
        <v>130</v>
      </c>
      <c r="C167" s="5" t="s">
        <v>38</v>
      </c>
      <c r="D167" s="5" t="s">
        <v>167</v>
      </c>
      <c r="E167" s="7" t="s">
        <v>105</v>
      </c>
      <c r="F167" s="8" t="s">
        <v>105</v>
      </c>
      <c r="G167" s="4" t="s">
        <v>442</v>
      </c>
      <c r="H167" s="9" t="s">
        <v>196</v>
      </c>
      <c r="I167" s="5" t="s">
        <v>1314</v>
      </c>
      <c r="J167" s="5" t="s">
        <v>1315</v>
      </c>
      <c r="K167" s="6">
        <f t="shared" si="4"/>
        <v>1</v>
      </c>
    </row>
    <row r="168" spans="1:11" ht="15" customHeight="1">
      <c r="A168" s="4">
        <v>160</v>
      </c>
      <c r="B168" s="5" t="s">
        <v>130</v>
      </c>
      <c r="C168" s="5" t="s">
        <v>38</v>
      </c>
      <c r="D168" s="5" t="s">
        <v>168</v>
      </c>
      <c r="E168" s="7" t="s">
        <v>105</v>
      </c>
      <c r="F168" s="8" t="s">
        <v>105</v>
      </c>
      <c r="G168" s="4" t="s">
        <v>442</v>
      </c>
      <c r="H168" s="9" t="s">
        <v>196</v>
      </c>
      <c r="I168" s="5" t="s">
        <v>1314</v>
      </c>
      <c r="J168" s="5" t="s">
        <v>1315</v>
      </c>
      <c r="K168" s="6">
        <f t="shared" si="4"/>
        <v>1</v>
      </c>
    </row>
    <row r="169" spans="1:11" ht="30" customHeight="1">
      <c r="A169" s="4">
        <v>161</v>
      </c>
      <c r="B169" s="5" t="s">
        <v>135</v>
      </c>
      <c r="C169" s="5" t="s">
        <v>121</v>
      </c>
      <c r="D169" s="5" t="s">
        <v>169</v>
      </c>
      <c r="E169" s="7" t="s">
        <v>105</v>
      </c>
      <c r="F169" s="8" t="s">
        <v>105</v>
      </c>
      <c r="G169" s="4" t="s">
        <v>442</v>
      </c>
      <c r="H169" s="9" t="s">
        <v>196</v>
      </c>
      <c r="I169" s="5" t="s">
        <v>1314</v>
      </c>
      <c r="J169" s="5" t="s">
        <v>1315</v>
      </c>
      <c r="K169" s="6">
        <f t="shared" ref="K169:K184" si="5">IF(AND(E169="yes",F169="yes",H169="covered"),1,IF(H169="partial",0.5,0))</f>
        <v>1</v>
      </c>
    </row>
    <row r="170" spans="1:11" ht="15" customHeight="1">
      <c r="A170" s="4">
        <v>162</v>
      </c>
      <c r="B170" s="5" t="s">
        <v>135</v>
      </c>
      <c r="C170" s="5" t="s">
        <v>121</v>
      </c>
      <c r="D170" s="5" t="s">
        <v>170</v>
      </c>
      <c r="E170" s="7" t="s">
        <v>105</v>
      </c>
      <c r="F170" s="8" t="s">
        <v>105</v>
      </c>
      <c r="G170" s="4" t="s">
        <v>442</v>
      </c>
      <c r="H170" s="9" t="s">
        <v>196</v>
      </c>
      <c r="I170" s="5" t="s">
        <v>1314</v>
      </c>
      <c r="J170" s="5" t="s">
        <v>1315</v>
      </c>
      <c r="K170" s="6">
        <f t="shared" si="5"/>
        <v>1</v>
      </c>
    </row>
    <row r="171" spans="1:11" ht="15" customHeight="1">
      <c r="A171" s="4">
        <v>163</v>
      </c>
      <c r="B171" s="5" t="s">
        <v>135</v>
      </c>
      <c r="C171" s="5" t="s">
        <v>121</v>
      </c>
      <c r="D171" s="5" t="s">
        <v>171</v>
      </c>
      <c r="E171" s="7" t="s">
        <v>105</v>
      </c>
      <c r="F171" s="8" t="s">
        <v>105</v>
      </c>
      <c r="G171" s="4" t="s">
        <v>442</v>
      </c>
      <c r="H171" s="9" t="s">
        <v>196</v>
      </c>
      <c r="I171" s="5" t="s">
        <v>1314</v>
      </c>
      <c r="J171" s="5" t="s">
        <v>1315</v>
      </c>
      <c r="K171" s="6">
        <f t="shared" si="5"/>
        <v>1</v>
      </c>
    </row>
    <row r="172" spans="1:11" ht="15" customHeight="1">
      <c r="A172" s="4">
        <v>164</v>
      </c>
      <c r="B172" s="5" t="s">
        <v>135</v>
      </c>
      <c r="C172" s="5" t="s">
        <v>38</v>
      </c>
      <c r="D172" s="5" t="s">
        <v>627</v>
      </c>
      <c r="E172" s="7" t="s">
        <v>105</v>
      </c>
      <c r="F172" s="8" t="s">
        <v>105</v>
      </c>
      <c r="G172" s="4" t="s">
        <v>442</v>
      </c>
      <c r="H172" s="9" t="s">
        <v>196</v>
      </c>
      <c r="I172" s="5" t="s">
        <v>1314</v>
      </c>
      <c r="J172" s="5" t="s">
        <v>1315</v>
      </c>
      <c r="K172" s="6">
        <f t="shared" si="5"/>
        <v>1</v>
      </c>
    </row>
    <row r="173" spans="1:11" ht="15" customHeight="1">
      <c r="A173" s="4">
        <v>165</v>
      </c>
      <c r="B173" s="5" t="s">
        <v>135</v>
      </c>
      <c r="C173" s="5" t="s">
        <v>38</v>
      </c>
      <c r="D173" s="5" t="s">
        <v>628</v>
      </c>
      <c r="E173" s="7" t="s">
        <v>105</v>
      </c>
      <c r="F173" s="8" t="s">
        <v>105</v>
      </c>
      <c r="G173" s="4" t="s">
        <v>442</v>
      </c>
      <c r="H173" s="9" t="s">
        <v>196</v>
      </c>
      <c r="I173" s="5" t="s">
        <v>1314</v>
      </c>
      <c r="J173" s="5" t="s">
        <v>1315</v>
      </c>
      <c r="K173" s="6">
        <f t="shared" si="5"/>
        <v>1</v>
      </c>
    </row>
    <row r="174" spans="1:11" ht="15" customHeight="1">
      <c r="A174" s="4">
        <v>166</v>
      </c>
      <c r="B174" s="5" t="s">
        <v>135</v>
      </c>
      <c r="C174" s="5" t="s">
        <v>38</v>
      </c>
      <c r="D174" s="5" t="s">
        <v>629</v>
      </c>
      <c r="E174" s="7" t="s">
        <v>105</v>
      </c>
      <c r="F174" s="8" t="s">
        <v>105</v>
      </c>
      <c r="G174" s="4" t="s">
        <v>442</v>
      </c>
      <c r="H174" s="9" t="s">
        <v>196</v>
      </c>
      <c r="I174" s="5" t="s">
        <v>1314</v>
      </c>
      <c r="J174" s="5" t="s">
        <v>1315</v>
      </c>
      <c r="K174" s="6">
        <f t="shared" si="5"/>
        <v>1</v>
      </c>
    </row>
    <row r="175" spans="1:11" ht="30" customHeight="1">
      <c r="A175" s="4">
        <v>167</v>
      </c>
      <c r="B175" s="5" t="s">
        <v>135</v>
      </c>
      <c r="C175" s="5" t="s">
        <v>38</v>
      </c>
      <c r="D175" s="5" t="s">
        <v>630</v>
      </c>
      <c r="E175" s="7" t="s">
        <v>105</v>
      </c>
      <c r="F175" s="8" t="s">
        <v>105</v>
      </c>
      <c r="G175" s="4" t="s">
        <v>442</v>
      </c>
      <c r="H175" s="9" t="s">
        <v>196</v>
      </c>
      <c r="I175" s="5" t="s">
        <v>1314</v>
      </c>
      <c r="J175" s="5" t="s">
        <v>1315</v>
      </c>
      <c r="K175" s="6">
        <f t="shared" si="5"/>
        <v>1</v>
      </c>
    </row>
    <row r="176" spans="1:11" ht="15" customHeight="1">
      <c r="A176" s="4">
        <v>168</v>
      </c>
      <c r="B176" s="5" t="s">
        <v>591</v>
      </c>
      <c r="C176" s="5" t="s">
        <v>38</v>
      </c>
      <c r="D176" s="5" t="s">
        <v>631</v>
      </c>
      <c r="E176" s="7" t="s">
        <v>105</v>
      </c>
      <c r="F176" s="8" t="s">
        <v>105</v>
      </c>
      <c r="G176" s="4" t="s">
        <v>442</v>
      </c>
      <c r="H176" s="9" t="s">
        <v>196</v>
      </c>
      <c r="I176" s="5" t="s">
        <v>1314</v>
      </c>
      <c r="J176" s="5" t="s">
        <v>1315</v>
      </c>
      <c r="K176" s="6">
        <f t="shared" si="5"/>
        <v>1</v>
      </c>
    </row>
    <row r="177" spans="1:11" ht="15" customHeight="1">
      <c r="A177" s="4">
        <v>169</v>
      </c>
      <c r="B177" s="5" t="s">
        <v>591</v>
      </c>
      <c r="C177" s="5" t="s">
        <v>38</v>
      </c>
      <c r="D177" s="5" t="s">
        <v>632</v>
      </c>
      <c r="E177" s="7" t="s">
        <v>105</v>
      </c>
      <c r="F177" s="8" t="s">
        <v>105</v>
      </c>
      <c r="G177" s="4" t="s">
        <v>442</v>
      </c>
      <c r="H177" s="9" t="s">
        <v>196</v>
      </c>
      <c r="I177" s="5" t="s">
        <v>1314</v>
      </c>
      <c r="J177" s="5" t="s">
        <v>1315</v>
      </c>
      <c r="K177" s="6">
        <f t="shared" si="5"/>
        <v>1</v>
      </c>
    </row>
    <row r="178" spans="1:11" ht="15" customHeight="1">
      <c r="A178" s="4">
        <v>170</v>
      </c>
      <c r="B178" s="5" t="s">
        <v>172</v>
      </c>
      <c r="C178" s="5" t="s">
        <v>145</v>
      </c>
      <c r="D178" s="5" t="s">
        <v>173</v>
      </c>
      <c r="E178" s="7" t="s">
        <v>105</v>
      </c>
      <c r="F178" s="8" t="s">
        <v>105</v>
      </c>
      <c r="G178" s="4" t="s">
        <v>442</v>
      </c>
      <c r="H178" s="9" t="s">
        <v>196</v>
      </c>
      <c r="I178" s="5" t="s">
        <v>1314</v>
      </c>
      <c r="J178" s="5" t="s">
        <v>1315</v>
      </c>
      <c r="K178" s="6">
        <f t="shared" si="5"/>
        <v>1</v>
      </c>
    </row>
    <row r="179" spans="1:11" ht="15" customHeight="1">
      <c r="A179" s="4">
        <v>171</v>
      </c>
      <c r="B179" s="5" t="s">
        <v>172</v>
      </c>
      <c r="C179" s="5" t="s">
        <v>145</v>
      </c>
      <c r="D179" s="5" t="s">
        <v>174</v>
      </c>
      <c r="E179" s="7" t="s">
        <v>105</v>
      </c>
      <c r="F179" s="8" t="s">
        <v>105</v>
      </c>
      <c r="G179" s="4" t="s">
        <v>442</v>
      </c>
      <c r="H179" s="9" t="s">
        <v>196</v>
      </c>
      <c r="I179" s="5" t="s">
        <v>1314</v>
      </c>
      <c r="J179" s="5" t="s">
        <v>1315</v>
      </c>
      <c r="K179" s="6">
        <f t="shared" si="5"/>
        <v>1</v>
      </c>
    </row>
    <row r="180" spans="1:11" ht="15" customHeight="1">
      <c r="A180" s="4">
        <v>172</v>
      </c>
      <c r="B180" s="5" t="s">
        <v>172</v>
      </c>
      <c r="C180" s="5" t="s">
        <v>145</v>
      </c>
      <c r="D180" s="5" t="s">
        <v>175</v>
      </c>
      <c r="E180" s="7" t="s">
        <v>105</v>
      </c>
      <c r="F180" s="8" t="s">
        <v>105</v>
      </c>
      <c r="G180" s="4" t="s">
        <v>442</v>
      </c>
      <c r="H180" s="9" t="s">
        <v>196</v>
      </c>
      <c r="I180" s="5" t="s">
        <v>1314</v>
      </c>
      <c r="J180" s="5" t="s">
        <v>1315</v>
      </c>
      <c r="K180" s="6">
        <f t="shared" si="5"/>
        <v>1</v>
      </c>
    </row>
    <row r="181" spans="1:11" ht="30" customHeight="1">
      <c r="A181" s="4">
        <v>173</v>
      </c>
      <c r="B181" s="5" t="s">
        <v>172</v>
      </c>
      <c r="C181" s="5" t="s">
        <v>145</v>
      </c>
      <c r="D181" s="5" t="s">
        <v>176</v>
      </c>
      <c r="E181" s="7" t="s">
        <v>105</v>
      </c>
      <c r="F181" s="8" t="s">
        <v>105</v>
      </c>
      <c r="G181" s="4" t="s">
        <v>442</v>
      </c>
      <c r="H181" s="9" t="s">
        <v>196</v>
      </c>
      <c r="I181" s="5" t="s">
        <v>1314</v>
      </c>
      <c r="J181" s="5" t="s">
        <v>1315</v>
      </c>
      <c r="K181" s="6">
        <f t="shared" si="5"/>
        <v>1</v>
      </c>
    </row>
    <row r="182" spans="1:11" ht="15" customHeight="1">
      <c r="A182" s="4">
        <v>174</v>
      </c>
      <c r="B182" s="5" t="s">
        <v>177</v>
      </c>
      <c r="C182" s="5" t="s">
        <v>145</v>
      </c>
      <c r="D182" s="5" t="s">
        <v>178</v>
      </c>
      <c r="E182" s="7" t="s">
        <v>105</v>
      </c>
      <c r="F182" s="8" t="s">
        <v>105</v>
      </c>
      <c r="G182" s="4" t="s">
        <v>442</v>
      </c>
      <c r="H182" s="9" t="s">
        <v>196</v>
      </c>
      <c r="I182" s="5" t="s">
        <v>1314</v>
      </c>
      <c r="J182" s="5" t="s">
        <v>1315</v>
      </c>
      <c r="K182" s="6">
        <f t="shared" si="5"/>
        <v>1</v>
      </c>
    </row>
    <row r="183" spans="1:11" ht="15" customHeight="1">
      <c r="A183" s="4">
        <v>175</v>
      </c>
      <c r="B183" s="5" t="s">
        <v>179</v>
      </c>
      <c r="C183" s="5" t="s">
        <v>38</v>
      </c>
      <c r="D183" s="5" t="s">
        <v>633</v>
      </c>
      <c r="E183" s="7" t="s">
        <v>105</v>
      </c>
      <c r="F183" s="8" t="s">
        <v>105</v>
      </c>
      <c r="G183" s="4" t="s">
        <v>442</v>
      </c>
      <c r="H183" s="9" t="s">
        <v>196</v>
      </c>
      <c r="I183" s="5" t="s">
        <v>1314</v>
      </c>
      <c r="J183" s="5" t="s">
        <v>1315</v>
      </c>
      <c r="K183" s="6">
        <f t="shared" si="5"/>
        <v>1</v>
      </c>
    </row>
    <row r="184" spans="1:11" ht="15" customHeight="1">
      <c r="A184" s="4">
        <v>176</v>
      </c>
      <c r="B184" s="5" t="s">
        <v>179</v>
      </c>
      <c r="C184" s="5" t="s">
        <v>38</v>
      </c>
      <c r="D184" s="5" t="s">
        <v>634</v>
      </c>
      <c r="E184" s="7" t="s">
        <v>105</v>
      </c>
      <c r="F184" s="8" t="s">
        <v>105</v>
      </c>
      <c r="G184" s="4" t="s">
        <v>442</v>
      </c>
      <c r="H184" s="9" t="s">
        <v>196</v>
      </c>
      <c r="I184" s="5" t="s">
        <v>1314</v>
      </c>
      <c r="J184" s="5" t="s">
        <v>1315</v>
      </c>
      <c r="K184" s="6">
        <f t="shared" si="5"/>
        <v>1</v>
      </c>
    </row>
    <row r="185" spans="1:11" ht="15" customHeight="1"/>
    <row r="186" spans="1:11" ht="15" customHeight="1"/>
    <row r="187" spans="1:11" ht="15" customHeight="1"/>
    <row r="188" spans="1:11" ht="15" customHeight="1"/>
    <row r="189" spans="1:11" ht="15" customHeight="1"/>
    <row r="190" spans="1:11" ht="15" customHeight="1"/>
    <row r="191" spans="1:11" ht="15" customHeight="1"/>
    <row r="192" spans="1:11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30" customHeight="1"/>
    <row r="205" ht="15" customHeight="1"/>
    <row r="206" ht="15" customHeight="1"/>
    <row r="207" ht="15" customHeight="1"/>
    <row r="208" ht="15" customHeight="1"/>
    <row r="209" ht="15" customHeight="1"/>
    <row r="210" ht="30" customHeight="1"/>
    <row r="211" ht="30" customHeight="1"/>
    <row r="212" ht="30" customHeight="1"/>
    <row r="213" ht="30" customHeight="1"/>
    <row r="214" ht="15" customHeight="1"/>
    <row r="215" ht="30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54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1368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41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22">
        <v>1</v>
      </c>
      <c r="B9" s="23" t="s">
        <v>94</v>
      </c>
      <c r="C9" s="23" t="s">
        <v>95</v>
      </c>
      <c r="D9" s="23" t="s">
        <v>96</v>
      </c>
      <c r="E9" s="22" t="s">
        <v>105</v>
      </c>
      <c r="F9" s="22" t="s">
        <v>105</v>
      </c>
      <c r="G9" s="22" t="s">
        <v>442</v>
      </c>
      <c r="H9" s="22" t="s">
        <v>196</v>
      </c>
      <c r="I9" s="23" t="s">
        <v>1369</v>
      </c>
      <c r="J9" s="23" t="s">
        <v>109</v>
      </c>
      <c r="K9" s="24">
        <f>IF(H9="covered",1,IF(H9="partial",0.5,0))</f>
        <v>1</v>
      </c>
    </row>
    <row r="10" spans="1:11" ht="15" customHeight="1">
      <c r="A10" s="22">
        <v>2</v>
      </c>
      <c r="B10" s="23" t="s">
        <v>94</v>
      </c>
      <c r="C10" s="23" t="s">
        <v>95</v>
      </c>
      <c r="D10" s="23" t="s">
        <v>102</v>
      </c>
      <c r="E10" s="22" t="s">
        <v>105</v>
      </c>
      <c r="F10" s="22" t="s">
        <v>105</v>
      </c>
      <c r="G10" s="22" t="s">
        <v>442</v>
      </c>
      <c r="H10" s="22" t="s">
        <v>196</v>
      </c>
      <c r="I10" s="23" t="s">
        <v>1369</v>
      </c>
      <c r="J10" s="23" t="s">
        <v>109</v>
      </c>
      <c r="K10" s="24">
        <f>IF(H10="covered",1,IF(H10="partial",0.5,0))</f>
        <v>1</v>
      </c>
    </row>
    <row r="11" spans="1:11" ht="15" customHeight="1">
      <c r="A11" s="4">
        <v>3</v>
      </c>
      <c r="B11" s="5" t="s">
        <v>94</v>
      </c>
      <c r="C11" s="5" t="s">
        <v>39</v>
      </c>
      <c r="D11" s="5" t="s">
        <v>104</v>
      </c>
      <c r="E11" s="7" t="s">
        <v>105</v>
      </c>
      <c r="F11" s="8" t="s">
        <v>105</v>
      </c>
      <c r="G11" s="4" t="s">
        <v>564</v>
      </c>
      <c r="H11" s="9" t="s">
        <v>196</v>
      </c>
      <c r="I11" s="5" t="s">
        <v>1370</v>
      </c>
      <c r="J11" s="5"/>
      <c r="K11" s="6">
        <f t="shared" ref="K11:K49" si="0">IF(AND(E11="yes",F11="yes",H11="covered"),1,IF(H11="partial",0.5,0))</f>
        <v>1</v>
      </c>
    </row>
    <row r="12" spans="1:11" ht="15" customHeight="1">
      <c r="A12" s="4">
        <v>4</v>
      </c>
      <c r="B12" s="5" t="s">
        <v>94</v>
      </c>
      <c r="C12" s="5" t="s">
        <v>39</v>
      </c>
      <c r="D12" s="5" t="s">
        <v>110</v>
      </c>
      <c r="E12" s="7" t="s">
        <v>105</v>
      </c>
      <c r="F12" s="8" t="s">
        <v>105</v>
      </c>
      <c r="G12" s="4" t="s">
        <v>564</v>
      </c>
      <c r="H12" s="9" t="s">
        <v>196</v>
      </c>
      <c r="I12" s="5" t="s">
        <v>1370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39</v>
      </c>
      <c r="D13" s="5" t="s">
        <v>111</v>
      </c>
      <c r="E13" s="7" t="s">
        <v>105</v>
      </c>
      <c r="F13" s="8" t="s">
        <v>105</v>
      </c>
      <c r="G13" s="4" t="s">
        <v>564</v>
      </c>
      <c r="H13" s="9" t="s">
        <v>196</v>
      </c>
      <c r="I13" s="5" t="s">
        <v>1370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39</v>
      </c>
      <c r="D14" s="5" t="s">
        <v>112</v>
      </c>
      <c r="E14" s="7" t="s">
        <v>105</v>
      </c>
      <c r="F14" s="8" t="s">
        <v>105</v>
      </c>
      <c r="G14" s="4" t="s">
        <v>564</v>
      </c>
      <c r="H14" s="9" t="s">
        <v>196</v>
      </c>
      <c r="I14" s="5" t="s">
        <v>1370</v>
      </c>
      <c r="J14" s="5"/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121</v>
      </c>
      <c r="D15" s="5" t="s">
        <v>1371</v>
      </c>
      <c r="E15" s="7" t="s">
        <v>105</v>
      </c>
      <c r="F15" s="8" t="s">
        <v>105</v>
      </c>
      <c r="G15" s="4" t="s">
        <v>564</v>
      </c>
      <c r="H15" s="9" t="s">
        <v>196</v>
      </c>
      <c r="I15" s="5" t="s">
        <v>1370</v>
      </c>
      <c r="J15" s="5"/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121</v>
      </c>
      <c r="D16" s="5" t="s">
        <v>1372</v>
      </c>
      <c r="E16" s="7" t="s">
        <v>105</v>
      </c>
      <c r="F16" s="8" t="s">
        <v>105</v>
      </c>
      <c r="G16" s="4" t="s">
        <v>564</v>
      </c>
      <c r="H16" s="9" t="s">
        <v>196</v>
      </c>
      <c r="I16" s="5" t="s">
        <v>1370</v>
      </c>
      <c r="J16" s="5"/>
      <c r="K16" s="6">
        <f t="shared" si="0"/>
        <v>1</v>
      </c>
    </row>
    <row r="17" spans="1:11" ht="30" customHeight="1">
      <c r="A17" s="4">
        <v>9</v>
      </c>
      <c r="B17" s="5" t="s">
        <v>113</v>
      </c>
      <c r="C17" s="5" t="s">
        <v>121</v>
      </c>
      <c r="D17" s="5" t="s">
        <v>1373</v>
      </c>
      <c r="E17" s="7" t="s">
        <v>105</v>
      </c>
      <c r="F17" s="8" t="s">
        <v>105</v>
      </c>
      <c r="G17" s="4" t="s">
        <v>564</v>
      </c>
      <c r="H17" s="9" t="s">
        <v>196</v>
      </c>
      <c r="I17" s="5" t="s">
        <v>1370</v>
      </c>
      <c r="J17" s="5"/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121</v>
      </c>
      <c r="D18" s="5" t="s">
        <v>1374</v>
      </c>
      <c r="E18" s="7" t="s">
        <v>105</v>
      </c>
      <c r="F18" s="8" t="s">
        <v>105</v>
      </c>
      <c r="G18" s="4" t="s">
        <v>564</v>
      </c>
      <c r="H18" s="9" t="s">
        <v>196</v>
      </c>
      <c r="I18" s="5" t="s">
        <v>1370</v>
      </c>
      <c r="J18" s="5"/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121</v>
      </c>
      <c r="D19" s="5" t="s">
        <v>1375</v>
      </c>
      <c r="E19" s="7" t="s">
        <v>105</v>
      </c>
      <c r="F19" s="8" t="s">
        <v>105</v>
      </c>
      <c r="G19" s="4" t="s">
        <v>564</v>
      </c>
      <c r="H19" s="9" t="s">
        <v>196</v>
      </c>
      <c r="I19" s="5" t="s">
        <v>1370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121</v>
      </c>
      <c r="D20" s="5" t="s">
        <v>1376</v>
      </c>
      <c r="E20" s="7" t="s">
        <v>105</v>
      </c>
      <c r="F20" s="8" t="s">
        <v>105</v>
      </c>
      <c r="G20" s="4" t="s">
        <v>564</v>
      </c>
      <c r="H20" s="9" t="s">
        <v>196</v>
      </c>
      <c r="I20" s="5" t="s">
        <v>1370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564</v>
      </c>
      <c r="H21" s="9" t="s">
        <v>196</v>
      </c>
      <c r="I21" s="5" t="s">
        <v>1370</v>
      </c>
      <c r="J21" s="5"/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1377</v>
      </c>
      <c r="E22" s="7" t="s">
        <v>105</v>
      </c>
      <c r="F22" s="8" t="s">
        <v>105</v>
      </c>
      <c r="G22" s="4" t="s">
        <v>564</v>
      </c>
      <c r="H22" s="9" t="s">
        <v>196</v>
      </c>
      <c r="I22" s="5" t="s">
        <v>1370</v>
      </c>
      <c r="J22" s="5"/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1378</v>
      </c>
      <c r="E23" s="7" t="s">
        <v>105</v>
      </c>
      <c r="F23" s="8" t="s">
        <v>105</v>
      </c>
      <c r="G23" s="4" t="s">
        <v>564</v>
      </c>
      <c r="H23" s="9" t="s">
        <v>196</v>
      </c>
      <c r="I23" s="5" t="s">
        <v>1370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1379</v>
      </c>
      <c r="E24" s="7" t="s">
        <v>105</v>
      </c>
      <c r="F24" s="8" t="s">
        <v>105</v>
      </c>
      <c r="G24" s="4" t="s">
        <v>564</v>
      </c>
      <c r="H24" s="9" t="s">
        <v>196</v>
      </c>
      <c r="I24" s="5" t="s">
        <v>1370</v>
      </c>
      <c r="J24" s="5"/>
      <c r="K24" s="6">
        <f t="shared" si="0"/>
        <v>1</v>
      </c>
    </row>
    <row r="25" spans="1:11" ht="15" customHeight="1">
      <c r="A25" s="4">
        <v>17</v>
      </c>
      <c r="B25" s="5" t="s">
        <v>124</v>
      </c>
      <c r="C25" s="5" t="s">
        <v>121</v>
      </c>
      <c r="D25" s="5" t="s">
        <v>1380</v>
      </c>
      <c r="E25" s="7" t="s">
        <v>105</v>
      </c>
      <c r="F25" s="8" t="s">
        <v>105</v>
      </c>
      <c r="G25" s="4" t="s">
        <v>564</v>
      </c>
      <c r="H25" s="9" t="s">
        <v>196</v>
      </c>
      <c r="I25" s="5" t="s">
        <v>1370</v>
      </c>
      <c r="J25" s="5"/>
      <c r="K25" s="6">
        <f t="shared" si="0"/>
        <v>1</v>
      </c>
    </row>
    <row r="26" spans="1:11" ht="15" customHeight="1">
      <c r="A26" s="4">
        <v>18</v>
      </c>
      <c r="B26" s="5" t="s">
        <v>95</v>
      </c>
      <c r="C26" s="5" t="s">
        <v>121</v>
      </c>
      <c r="D26" s="5" t="s">
        <v>127</v>
      </c>
      <c r="E26" s="7" t="s">
        <v>105</v>
      </c>
      <c r="F26" s="8" t="s">
        <v>105</v>
      </c>
      <c r="G26" s="4" t="s">
        <v>564</v>
      </c>
      <c r="H26" s="9" t="s">
        <v>196</v>
      </c>
      <c r="I26" s="5" t="s">
        <v>1370</v>
      </c>
      <c r="J26" s="5"/>
      <c r="K26" s="6">
        <f t="shared" si="0"/>
        <v>1</v>
      </c>
    </row>
    <row r="27" spans="1:11" ht="15" customHeight="1">
      <c r="A27" s="4">
        <v>19</v>
      </c>
      <c r="B27" s="5" t="s">
        <v>133</v>
      </c>
      <c r="C27" s="5" t="s">
        <v>121</v>
      </c>
      <c r="D27" s="5" t="s">
        <v>1381</v>
      </c>
      <c r="E27" s="7" t="s">
        <v>105</v>
      </c>
      <c r="F27" s="8" t="s">
        <v>105</v>
      </c>
      <c r="G27" s="4" t="s">
        <v>564</v>
      </c>
      <c r="H27" s="9" t="s">
        <v>196</v>
      </c>
      <c r="I27" s="5" t="s">
        <v>1370</v>
      </c>
      <c r="J27" s="5"/>
      <c r="K27" s="6">
        <f t="shared" si="0"/>
        <v>1</v>
      </c>
    </row>
    <row r="28" spans="1:11" ht="15" customHeight="1">
      <c r="A28" s="4">
        <v>20</v>
      </c>
      <c r="B28" s="5" t="s">
        <v>133</v>
      </c>
      <c r="C28" s="5" t="s">
        <v>121</v>
      </c>
      <c r="D28" s="5" t="s">
        <v>1382</v>
      </c>
      <c r="E28" s="7" t="s">
        <v>105</v>
      </c>
      <c r="F28" s="8" t="s">
        <v>105</v>
      </c>
      <c r="G28" s="4" t="s">
        <v>564</v>
      </c>
      <c r="H28" s="9" t="s">
        <v>196</v>
      </c>
      <c r="I28" s="5" t="s">
        <v>1370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1383</v>
      </c>
      <c r="E29" s="7" t="s">
        <v>105</v>
      </c>
      <c r="F29" s="8" t="s">
        <v>105</v>
      </c>
      <c r="G29" s="4" t="s">
        <v>564</v>
      </c>
      <c r="H29" s="9" t="s">
        <v>196</v>
      </c>
      <c r="I29" s="5" t="s">
        <v>1370</v>
      </c>
      <c r="J29" s="5"/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1384</v>
      </c>
      <c r="E30" s="7" t="s">
        <v>105</v>
      </c>
      <c r="F30" s="8" t="s">
        <v>105</v>
      </c>
      <c r="G30" s="4" t="s">
        <v>564</v>
      </c>
      <c r="H30" s="9" t="s">
        <v>196</v>
      </c>
      <c r="I30" s="5" t="s">
        <v>1370</v>
      </c>
      <c r="J30" s="5"/>
      <c r="K30" s="6">
        <f t="shared" si="0"/>
        <v>1</v>
      </c>
    </row>
    <row r="31" spans="1:11" ht="15" customHeight="1">
      <c r="A31" s="4">
        <v>23</v>
      </c>
      <c r="B31" s="5" t="s">
        <v>130</v>
      </c>
      <c r="C31" s="5" t="s">
        <v>121</v>
      </c>
      <c r="D31" s="5" t="s">
        <v>131</v>
      </c>
      <c r="E31" s="7" t="s">
        <v>105</v>
      </c>
      <c r="F31" s="8" t="s">
        <v>105</v>
      </c>
      <c r="G31" s="4" t="s">
        <v>564</v>
      </c>
      <c r="H31" s="9" t="s">
        <v>196</v>
      </c>
      <c r="I31" s="5" t="s">
        <v>1370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130</v>
      </c>
      <c r="C32" s="5" t="s">
        <v>121</v>
      </c>
      <c r="D32" s="5" t="s">
        <v>132</v>
      </c>
      <c r="E32" s="7" t="s">
        <v>105</v>
      </c>
      <c r="F32" s="8" t="s">
        <v>105</v>
      </c>
      <c r="G32" s="4" t="s">
        <v>564</v>
      </c>
      <c r="H32" s="9" t="s">
        <v>196</v>
      </c>
      <c r="I32" s="5" t="s">
        <v>1370</v>
      </c>
      <c r="J32" s="5"/>
      <c r="K32" s="6">
        <f t="shared" si="0"/>
        <v>1</v>
      </c>
    </row>
    <row r="33" spans="1:11" ht="15" customHeight="1">
      <c r="A33" s="4">
        <v>25</v>
      </c>
      <c r="B33" s="5" t="s">
        <v>159</v>
      </c>
      <c r="C33" s="5" t="s">
        <v>121</v>
      </c>
      <c r="D33" s="5" t="s">
        <v>162</v>
      </c>
      <c r="E33" s="7" t="s">
        <v>105</v>
      </c>
      <c r="F33" s="8" t="s">
        <v>105</v>
      </c>
      <c r="G33" s="4" t="s">
        <v>564</v>
      </c>
      <c r="H33" s="9" t="s">
        <v>196</v>
      </c>
      <c r="I33" s="5" t="s">
        <v>1370</v>
      </c>
      <c r="J33" s="5"/>
      <c r="K33" s="6">
        <f t="shared" si="0"/>
        <v>1</v>
      </c>
    </row>
    <row r="34" spans="1:11" ht="15" customHeight="1">
      <c r="A34" s="4">
        <v>26</v>
      </c>
      <c r="B34" s="5" t="s">
        <v>159</v>
      </c>
      <c r="C34" s="5" t="s">
        <v>121</v>
      </c>
      <c r="D34" s="5" t="s">
        <v>1385</v>
      </c>
      <c r="E34" s="7" t="s">
        <v>105</v>
      </c>
      <c r="F34" s="8" t="s">
        <v>105</v>
      </c>
      <c r="G34" s="4" t="s">
        <v>564</v>
      </c>
      <c r="H34" s="9" t="s">
        <v>196</v>
      </c>
      <c r="I34" s="5" t="s">
        <v>1370</v>
      </c>
      <c r="J34" s="5"/>
      <c r="K34" s="6">
        <f t="shared" si="0"/>
        <v>1</v>
      </c>
    </row>
    <row r="35" spans="1:11" ht="15" customHeight="1">
      <c r="A35" s="4">
        <v>27</v>
      </c>
      <c r="B35" s="5" t="s">
        <v>159</v>
      </c>
      <c r="C35" s="5" t="s">
        <v>121</v>
      </c>
      <c r="D35" s="5" t="s">
        <v>1386</v>
      </c>
      <c r="E35" s="7" t="s">
        <v>105</v>
      </c>
      <c r="F35" s="8" t="s">
        <v>105</v>
      </c>
      <c r="G35" s="4" t="s">
        <v>564</v>
      </c>
      <c r="H35" s="9" t="s">
        <v>196</v>
      </c>
      <c r="I35" s="5" t="s">
        <v>1370</v>
      </c>
      <c r="J35" s="5"/>
      <c r="K35" s="6">
        <f t="shared" si="0"/>
        <v>1</v>
      </c>
    </row>
    <row r="36" spans="1:11" ht="15" customHeight="1">
      <c r="A36" s="4">
        <v>28</v>
      </c>
      <c r="B36" s="5" t="s">
        <v>159</v>
      </c>
      <c r="C36" s="5" t="s">
        <v>121</v>
      </c>
      <c r="D36" s="5" t="s">
        <v>1387</v>
      </c>
      <c r="E36" s="7" t="s">
        <v>105</v>
      </c>
      <c r="F36" s="8" t="s">
        <v>105</v>
      </c>
      <c r="G36" s="4" t="s">
        <v>564</v>
      </c>
      <c r="H36" s="9" t="s">
        <v>196</v>
      </c>
      <c r="I36" s="5" t="s">
        <v>1370</v>
      </c>
      <c r="J36" s="5"/>
      <c r="K36" s="6">
        <f t="shared" si="0"/>
        <v>1</v>
      </c>
    </row>
    <row r="37" spans="1:11" ht="15" customHeight="1">
      <c r="A37" s="4">
        <v>29</v>
      </c>
      <c r="B37" s="5" t="s">
        <v>159</v>
      </c>
      <c r="C37" s="5" t="s">
        <v>154</v>
      </c>
      <c r="D37" s="5" t="s">
        <v>1388</v>
      </c>
      <c r="E37" s="7" t="s">
        <v>105</v>
      </c>
      <c r="F37" s="8" t="s">
        <v>105</v>
      </c>
      <c r="G37" s="4" t="s">
        <v>564</v>
      </c>
      <c r="H37" s="9" t="s">
        <v>196</v>
      </c>
      <c r="I37" s="5" t="s">
        <v>1370</v>
      </c>
      <c r="J37" s="5"/>
      <c r="K37" s="6">
        <f t="shared" si="0"/>
        <v>1</v>
      </c>
    </row>
    <row r="38" spans="1:11" ht="15" customHeight="1">
      <c r="A38" s="4">
        <v>30</v>
      </c>
      <c r="B38" s="5" t="s">
        <v>159</v>
      </c>
      <c r="C38" s="5" t="s">
        <v>154</v>
      </c>
      <c r="D38" s="5" t="s">
        <v>1389</v>
      </c>
      <c r="E38" s="7" t="s">
        <v>105</v>
      </c>
      <c r="F38" s="8" t="s">
        <v>105</v>
      </c>
      <c r="G38" s="4" t="s">
        <v>564</v>
      </c>
      <c r="H38" s="9" t="s">
        <v>196</v>
      </c>
      <c r="I38" s="5" t="s">
        <v>1370</v>
      </c>
      <c r="J38" s="5"/>
      <c r="K38" s="6">
        <f t="shared" si="0"/>
        <v>1</v>
      </c>
    </row>
    <row r="39" spans="1:11" ht="15" customHeight="1">
      <c r="A39" s="4">
        <v>31</v>
      </c>
      <c r="B39" s="5" t="s">
        <v>159</v>
      </c>
      <c r="C39" s="5" t="s">
        <v>154</v>
      </c>
      <c r="D39" s="5" t="s">
        <v>1390</v>
      </c>
      <c r="E39" s="7" t="s">
        <v>105</v>
      </c>
      <c r="F39" s="8" t="s">
        <v>105</v>
      </c>
      <c r="G39" s="4" t="s">
        <v>564</v>
      </c>
      <c r="H39" s="9" t="s">
        <v>196</v>
      </c>
      <c r="I39" s="5" t="s">
        <v>1370</v>
      </c>
      <c r="J39" s="5"/>
      <c r="K39" s="6">
        <f t="shared" si="0"/>
        <v>1</v>
      </c>
    </row>
    <row r="40" spans="1:11" ht="15" customHeight="1">
      <c r="A40" s="4">
        <v>32</v>
      </c>
      <c r="B40" s="5" t="s">
        <v>159</v>
      </c>
      <c r="C40" s="5" t="s">
        <v>154</v>
      </c>
      <c r="D40" s="5" t="s">
        <v>1391</v>
      </c>
      <c r="E40" s="7" t="s">
        <v>105</v>
      </c>
      <c r="F40" s="8" t="s">
        <v>105</v>
      </c>
      <c r="G40" s="4" t="s">
        <v>564</v>
      </c>
      <c r="H40" s="9" t="s">
        <v>196</v>
      </c>
      <c r="I40" s="5" t="s">
        <v>1370</v>
      </c>
      <c r="J40" s="5"/>
      <c r="K40" s="6">
        <f t="shared" si="0"/>
        <v>1</v>
      </c>
    </row>
    <row r="41" spans="1:11" ht="30" customHeight="1">
      <c r="A41" s="4">
        <v>33</v>
      </c>
      <c r="B41" s="5" t="s">
        <v>130</v>
      </c>
      <c r="C41" s="5" t="s">
        <v>121</v>
      </c>
      <c r="D41" s="5" t="s">
        <v>1392</v>
      </c>
      <c r="E41" s="7" t="s">
        <v>105</v>
      </c>
      <c r="F41" s="8" t="s">
        <v>105</v>
      </c>
      <c r="G41" s="4" t="s">
        <v>564</v>
      </c>
      <c r="H41" s="9" t="s">
        <v>196</v>
      </c>
      <c r="I41" s="5" t="s">
        <v>1370</v>
      </c>
      <c r="J41" s="5"/>
      <c r="K41" s="6">
        <f t="shared" si="0"/>
        <v>1</v>
      </c>
    </row>
    <row r="42" spans="1:11" ht="15" customHeight="1">
      <c r="A42" s="4">
        <v>34</v>
      </c>
      <c r="B42" s="5" t="s">
        <v>130</v>
      </c>
      <c r="C42" s="5" t="s">
        <v>121</v>
      </c>
      <c r="D42" s="5" t="s">
        <v>165</v>
      </c>
      <c r="E42" s="7" t="s">
        <v>105</v>
      </c>
      <c r="F42" s="8" t="s">
        <v>105</v>
      </c>
      <c r="G42" s="4" t="s">
        <v>564</v>
      </c>
      <c r="H42" s="9" t="s">
        <v>196</v>
      </c>
      <c r="I42" s="5" t="s">
        <v>1370</v>
      </c>
      <c r="J42" s="5"/>
      <c r="K42" s="6">
        <f t="shared" si="0"/>
        <v>1</v>
      </c>
    </row>
    <row r="43" spans="1:11" ht="15" customHeight="1">
      <c r="A43" s="4">
        <v>35</v>
      </c>
      <c r="B43" s="5" t="s">
        <v>130</v>
      </c>
      <c r="C43" s="5" t="s">
        <v>121</v>
      </c>
      <c r="D43" s="5" t="s">
        <v>1393</v>
      </c>
      <c r="E43" s="7" t="s">
        <v>105</v>
      </c>
      <c r="F43" s="8" t="s">
        <v>105</v>
      </c>
      <c r="G43" s="4" t="s">
        <v>564</v>
      </c>
      <c r="H43" s="9" t="s">
        <v>196</v>
      </c>
      <c r="I43" s="5" t="s">
        <v>1370</v>
      </c>
      <c r="J43" s="5"/>
      <c r="K43" s="6">
        <f t="shared" si="0"/>
        <v>1</v>
      </c>
    </row>
    <row r="44" spans="1:11" ht="15" customHeight="1">
      <c r="A44" s="4">
        <v>36</v>
      </c>
      <c r="B44" s="5" t="s">
        <v>130</v>
      </c>
      <c r="C44" s="5" t="s">
        <v>121</v>
      </c>
      <c r="D44" s="5" t="s">
        <v>1394</v>
      </c>
      <c r="E44" s="7" t="s">
        <v>105</v>
      </c>
      <c r="F44" s="8" t="s">
        <v>105</v>
      </c>
      <c r="G44" s="4" t="s">
        <v>564</v>
      </c>
      <c r="H44" s="9" t="s">
        <v>196</v>
      </c>
      <c r="I44" s="5" t="s">
        <v>1370</v>
      </c>
      <c r="J44" s="5"/>
      <c r="K44" s="6">
        <f t="shared" si="0"/>
        <v>1</v>
      </c>
    </row>
    <row r="45" spans="1:11" ht="15" customHeight="1">
      <c r="A45" s="4">
        <v>37</v>
      </c>
      <c r="B45" s="5" t="s">
        <v>130</v>
      </c>
      <c r="C45" s="5" t="s">
        <v>121</v>
      </c>
      <c r="D45" s="5" t="s">
        <v>168</v>
      </c>
      <c r="E45" s="7" t="s">
        <v>105</v>
      </c>
      <c r="F45" s="8" t="s">
        <v>105</v>
      </c>
      <c r="G45" s="4" t="s">
        <v>564</v>
      </c>
      <c r="H45" s="9" t="s">
        <v>196</v>
      </c>
      <c r="I45" s="5" t="s">
        <v>1370</v>
      </c>
      <c r="J45" s="5"/>
      <c r="K45" s="6">
        <f t="shared" si="0"/>
        <v>1</v>
      </c>
    </row>
    <row r="46" spans="1:11" ht="15" customHeight="1">
      <c r="A46" s="4">
        <v>38</v>
      </c>
      <c r="B46" s="5" t="s">
        <v>135</v>
      </c>
      <c r="C46" s="5" t="s">
        <v>121</v>
      </c>
      <c r="D46" s="5" t="s">
        <v>1395</v>
      </c>
      <c r="E46" s="7" t="s">
        <v>105</v>
      </c>
      <c r="F46" s="8" t="s">
        <v>105</v>
      </c>
      <c r="G46" s="4" t="s">
        <v>564</v>
      </c>
      <c r="H46" s="9" t="s">
        <v>196</v>
      </c>
      <c r="I46" s="5" t="s">
        <v>1370</v>
      </c>
      <c r="J46" s="5"/>
      <c r="K46" s="6">
        <f t="shared" si="0"/>
        <v>1</v>
      </c>
    </row>
    <row r="47" spans="1:11" ht="30" customHeight="1">
      <c r="A47" s="4">
        <v>39</v>
      </c>
      <c r="B47" s="5" t="s">
        <v>594</v>
      </c>
      <c r="C47" s="5" t="s">
        <v>121</v>
      </c>
      <c r="D47" s="5" t="s">
        <v>1396</v>
      </c>
      <c r="E47" s="7" t="s">
        <v>105</v>
      </c>
      <c r="F47" s="8" t="s">
        <v>105</v>
      </c>
      <c r="G47" s="4" t="s">
        <v>564</v>
      </c>
      <c r="H47" s="9" t="s">
        <v>196</v>
      </c>
      <c r="I47" s="5" t="s">
        <v>1370</v>
      </c>
      <c r="J47" s="5"/>
      <c r="K47" s="6">
        <f t="shared" si="0"/>
        <v>1</v>
      </c>
    </row>
    <row r="48" spans="1:11" ht="30" customHeight="1">
      <c r="A48" s="4">
        <v>40</v>
      </c>
      <c r="B48" s="5" t="s">
        <v>1283</v>
      </c>
      <c r="C48" s="5" t="s">
        <v>1284</v>
      </c>
      <c r="D48" s="5" t="s">
        <v>1397</v>
      </c>
      <c r="E48" s="7" t="s">
        <v>105</v>
      </c>
      <c r="F48" s="8" t="s">
        <v>105</v>
      </c>
      <c r="G48" s="4" t="s">
        <v>1286</v>
      </c>
      <c r="H48" s="9" t="s">
        <v>196</v>
      </c>
      <c r="I48" s="5" t="s">
        <v>1398</v>
      </c>
      <c r="J48" s="5" t="s">
        <v>1288</v>
      </c>
      <c r="K48" s="6">
        <f t="shared" si="0"/>
        <v>1</v>
      </c>
    </row>
    <row r="49" spans="1:11" ht="30" customHeight="1">
      <c r="A49" s="4">
        <v>41</v>
      </c>
      <c r="B49" s="5" t="s">
        <v>1283</v>
      </c>
      <c r="C49" s="5" t="s">
        <v>1289</v>
      </c>
      <c r="D49" s="5" t="s">
        <v>1399</v>
      </c>
      <c r="E49" s="7" t="s">
        <v>105</v>
      </c>
      <c r="F49" s="8" t="s">
        <v>105</v>
      </c>
      <c r="G49" s="4" t="s">
        <v>1286</v>
      </c>
      <c r="H49" s="9" t="s">
        <v>196</v>
      </c>
      <c r="I49" s="5" t="s">
        <v>1400</v>
      </c>
      <c r="J49" s="5" t="s">
        <v>1288</v>
      </c>
      <c r="K49" s="6">
        <f t="shared" si="0"/>
        <v>1</v>
      </c>
    </row>
    <row r="50" spans="1:11" ht="30" customHeight="1">
      <c r="A50" s="4"/>
      <c r="B50" s="5"/>
      <c r="C50" s="5"/>
      <c r="D50" s="5"/>
      <c r="E50" s="7"/>
      <c r="F50" s="8"/>
      <c r="G50" s="4"/>
      <c r="H50" s="9"/>
      <c r="I50" s="5"/>
      <c r="J50" s="5"/>
      <c r="K50" s="6"/>
    </row>
    <row r="51" spans="1:11" ht="15" customHeight="1">
      <c r="A51" s="4"/>
      <c r="B51" s="5"/>
      <c r="C51" s="5"/>
      <c r="D51" s="5"/>
      <c r="E51" s="7"/>
      <c r="F51" s="8"/>
      <c r="G51" s="4"/>
      <c r="H51" s="9"/>
      <c r="I51" s="5"/>
      <c r="J51" s="5"/>
      <c r="K51" s="6"/>
    </row>
    <row r="52" spans="1:11" ht="30" customHeight="1">
      <c r="A52" s="4"/>
      <c r="B52" s="5"/>
      <c r="C52" s="5"/>
      <c r="D52" s="5"/>
      <c r="E52" s="7"/>
      <c r="F52" s="8"/>
      <c r="G52" s="4"/>
      <c r="H52" s="9"/>
      <c r="I52" s="5"/>
      <c r="J52" s="5"/>
      <c r="K52" s="6"/>
    </row>
    <row r="53" spans="1:11">
      <c r="A53" s="4"/>
      <c r="B53" s="5"/>
      <c r="C53" s="5"/>
      <c r="D53" s="5"/>
      <c r="E53" s="7"/>
      <c r="F53" s="8"/>
      <c r="G53" s="4"/>
      <c r="H53" s="9"/>
      <c r="I53" s="5"/>
      <c r="J53" s="5"/>
      <c r="K53" s="6"/>
    </row>
    <row r="54" spans="1:11">
      <c r="A54" s="4"/>
      <c r="B54" s="5"/>
      <c r="C54" s="5"/>
      <c r="D54" s="5"/>
      <c r="E54" s="7"/>
      <c r="F54" s="8"/>
      <c r="G54" s="4"/>
      <c r="H54" s="9"/>
      <c r="I54" s="5"/>
      <c r="J54" s="5"/>
      <c r="K54" s="6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1B00-000000000000}">
  <dimension ref="A1:K59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1401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51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45" customHeight="1">
      <c r="A9" s="4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>1</v>
      </c>
    </row>
    <row r="10" spans="1:11" ht="45" customHeight="1">
      <c r="A10" s="4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>1</v>
      </c>
    </row>
    <row r="11" spans="1:11" ht="45" customHeight="1">
      <c r="A11" s="4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>1</v>
      </c>
    </row>
    <row r="12" spans="1:11" ht="45" customHeight="1">
      <c r="A12" s="4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>1</v>
      </c>
    </row>
    <row r="13" spans="1:11" ht="45" customHeight="1">
      <c r="A13" s="4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>1</v>
      </c>
    </row>
    <row r="14" spans="1:11" ht="45" customHeight="1">
      <c r="A14" s="4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>1</v>
      </c>
    </row>
    <row r="15" spans="1:11" ht="45" customHeight="1">
      <c r="A15" s="4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>1</v>
      </c>
    </row>
    <row r="16" spans="1:11" ht="45" customHeight="1">
      <c r="A16" s="4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>1</v>
      </c>
    </row>
    <row r="17" spans="1:11" ht="45" customHeight="1">
      <c r="A17" s="4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>1</v>
      </c>
    </row>
    <row r="18" spans="1:11" ht="45" customHeight="1">
      <c r="A18" s="4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>1</v>
      </c>
    </row>
    <row r="19" spans="1:11" ht="45" customHeight="1">
      <c r="A19" s="4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>1</v>
      </c>
    </row>
    <row r="20" spans="1:11" ht="45" customHeight="1">
      <c r="A20" s="4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>1</v>
      </c>
    </row>
    <row r="21" spans="1:11" ht="45" customHeight="1">
      <c r="A21" s="4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>1</v>
      </c>
    </row>
    <row r="22" spans="1:11" ht="45" customHeight="1">
      <c r="A22" s="4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>1</v>
      </c>
    </row>
    <row r="23" spans="1:11" ht="45" customHeight="1">
      <c r="A23" s="4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>1</v>
      </c>
    </row>
    <row r="24" spans="1:11" ht="45" customHeight="1">
      <c r="A24" s="4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>1</v>
      </c>
    </row>
    <row r="25" spans="1:11" ht="45" customHeight="1">
      <c r="A25" s="4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>1</v>
      </c>
    </row>
    <row r="26" spans="1:11" ht="45" customHeight="1">
      <c r="A26" s="4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>1</v>
      </c>
    </row>
    <row r="27" spans="1:11" ht="45" customHeight="1">
      <c r="A27" s="4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>1</v>
      </c>
    </row>
    <row r="28" spans="1:11" ht="45" customHeight="1">
      <c r="A28" s="4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>1</v>
      </c>
    </row>
    <row r="29" spans="1:11" ht="45" customHeight="1">
      <c r="A29" s="4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>1</v>
      </c>
    </row>
    <row r="30" spans="1:11" ht="45" customHeight="1">
      <c r="A30" s="4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>1</v>
      </c>
    </row>
    <row r="31" spans="1:11" ht="45" customHeight="1">
      <c r="A31" s="4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>1</v>
      </c>
    </row>
    <row r="32" spans="1:11" ht="45" customHeight="1">
      <c r="A32" s="4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>1</v>
      </c>
    </row>
    <row r="33" spans="1:11" ht="45" customHeight="1">
      <c r="A33" s="4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>1</v>
      </c>
    </row>
    <row r="34" spans="1:11" ht="45" customHeight="1">
      <c r="A34" s="4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>1</v>
      </c>
    </row>
    <row r="35" spans="1:11" ht="45" customHeight="1">
      <c r="A35" s="4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>1</v>
      </c>
    </row>
    <row r="36" spans="1:11" ht="45" customHeight="1">
      <c r="A36" s="4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>1</v>
      </c>
    </row>
    <row r="37" spans="1:11" ht="45" customHeight="1">
      <c r="A37" s="4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>1</v>
      </c>
    </row>
    <row r="38" spans="1:11" ht="45" customHeight="1">
      <c r="A38" s="4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>1</v>
      </c>
    </row>
    <row r="39" spans="1:11" ht="45" customHeight="1">
      <c r="A39" s="4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>1</v>
      </c>
    </row>
    <row r="40" spans="1:11" ht="45" customHeight="1">
      <c r="A40" s="4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>1</v>
      </c>
    </row>
    <row r="41" spans="1:11" ht="45" customHeight="1">
      <c r="A41" s="4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>1</v>
      </c>
    </row>
    <row r="42" spans="1:11" ht="45" customHeight="1">
      <c r="A42" s="4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>1</v>
      </c>
    </row>
    <row r="43" spans="1:11" ht="45" customHeight="1">
      <c r="A43" s="4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>1</v>
      </c>
    </row>
    <row r="44" spans="1:11" ht="45" customHeight="1">
      <c r="A44" s="4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>1</v>
      </c>
    </row>
    <row r="45" spans="1:11" ht="45" customHeight="1">
      <c r="A45" s="4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>1</v>
      </c>
    </row>
    <row r="46" spans="1:11" ht="45" customHeight="1">
      <c r="A46" s="4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>1</v>
      </c>
    </row>
    <row r="47" spans="1:11" ht="45" customHeight="1">
      <c r="A47" s="4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>1</v>
      </c>
    </row>
    <row r="48" spans="1:11" ht="45" customHeight="1">
      <c r="A48" s="4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>1</v>
      </c>
    </row>
    <row r="49" spans="1:11" ht="45" customHeight="1">
      <c r="A49" s="4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>1</v>
      </c>
    </row>
    <row r="50" spans="1:11" ht="45" customHeight="1">
      <c r="A50" s="4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>1</v>
      </c>
    </row>
    <row r="51" spans="1:11" ht="45" customHeight="1">
      <c r="A51" s="4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>1</v>
      </c>
    </row>
    <row r="52" spans="1:11" ht="45" customHeight="1">
      <c r="A52" s="4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>1</v>
      </c>
    </row>
    <row r="53" spans="1:11" ht="45" customHeight="1">
      <c r="A53" s="4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>1</v>
      </c>
    </row>
    <row r="54" spans="1:11" ht="45" customHeight="1">
      <c r="A54" s="4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>1</v>
      </c>
    </row>
    <row r="55" spans="1:11" ht="45" customHeight="1">
      <c r="A55" s="4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>1</v>
      </c>
    </row>
    <row r="56" spans="1:11" ht="45" customHeight="1">
      <c r="A56" s="4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>1</v>
      </c>
    </row>
    <row r="57" spans="1:11" ht="45" customHeight="1">
      <c r="A57" s="4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>1</v>
      </c>
    </row>
    <row r="58" spans="1:11" ht="45" customHeight="1">
      <c r="A58" s="4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>1</v>
      </c>
    </row>
    <row r="59" spans="1:11" ht="45" customHeight="1">
      <c r="A59" s="4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79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1427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67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1286</v>
      </c>
      <c r="H9" s="9" t="s">
        <v>196</v>
      </c>
      <c r="I9" s="5" t="s">
        <v>100</v>
      </c>
      <c r="J9" s="5" t="s">
        <v>1288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1286</v>
      </c>
      <c r="H10" s="9" t="s">
        <v>196</v>
      </c>
      <c r="I10" s="5" t="s">
        <v>100</v>
      </c>
      <c r="J10" s="5" t="s">
        <v>1288</v>
      </c>
      <c r="K10" s="6">
        <f t="shared" si="0"/>
        <v>1</v>
      </c>
    </row>
    <row r="11" spans="1:11" ht="30" customHeight="1">
      <c r="A11" s="4">
        <v>3</v>
      </c>
      <c r="B11" s="5" t="s">
        <v>94</v>
      </c>
      <c r="C11" s="5" t="s">
        <v>41</v>
      </c>
      <c r="D11" s="5" t="s">
        <v>104</v>
      </c>
      <c r="E11" s="7" t="s">
        <v>105</v>
      </c>
      <c r="F11" s="8" t="s">
        <v>105</v>
      </c>
      <c r="G11" s="4" t="s">
        <v>1286</v>
      </c>
      <c r="H11" s="9" t="s">
        <v>196</v>
      </c>
      <c r="I11" s="5" t="s">
        <v>1428</v>
      </c>
      <c r="J11" s="5" t="s">
        <v>1288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41</v>
      </c>
      <c r="D12" s="5" t="s">
        <v>110</v>
      </c>
      <c r="E12" s="7" t="s">
        <v>105</v>
      </c>
      <c r="F12" s="8" t="s">
        <v>105</v>
      </c>
      <c r="G12" s="4" t="s">
        <v>1286</v>
      </c>
      <c r="H12" s="9" t="s">
        <v>196</v>
      </c>
      <c r="I12" s="5" t="s">
        <v>1428</v>
      </c>
      <c r="J12" s="5" t="s">
        <v>1288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41</v>
      </c>
      <c r="D13" s="5" t="s">
        <v>111</v>
      </c>
      <c r="E13" s="7" t="s">
        <v>105</v>
      </c>
      <c r="F13" s="8" t="s">
        <v>105</v>
      </c>
      <c r="G13" s="4" t="s">
        <v>1286</v>
      </c>
      <c r="H13" s="9" t="s">
        <v>196</v>
      </c>
      <c r="I13" s="5" t="s">
        <v>1429</v>
      </c>
      <c r="J13" s="5" t="s">
        <v>1288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41</v>
      </c>
      <c r="D14" s="5" t="s">
        <v>112</v>
      </c>
      <c r="E14" s="7" t="s">
        <v>105</v>
      </c>
      <c r="F14" s="8" t="s">
        <v>105</v>
      </c>
      <c r="G14" s="4" t="s">
        <v>1286</v>
      </c>
      <c r="H14" s="9" t="s">
        <v>196</v>
      </c>
      <c r="I14" s="5" t="s">
        <v>1428</v>
      </c>
      <c r="J14" s="5" t="s">
        <v>1288</v>
      </c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41</v>
      </c>
      <c r="D15" s="5" t="s">
        <v>1430</v>
      </c>
      <c r="E15" s="7" t="s">
        <v>105</v>
      </c>
      <c r="F15" s="8" t="s">
        <v>105</v>
      </c>
      <c r="G15" s="4" t="s">
        <v>1286</v>
      </c>
      <c r="H15" s="9" t="s">
        <v>196</v>
      </c>
      <c r="I15" s="5" t="s">
        <v>1428</v>
      </c>
      <c r="J15" s="5" t="s">
        <v>1288</v>
      </c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41</v>
      </c>
      <c r="D16" s="5" t="s">
        <v>1431</v>
      </c>
      <c r="E16" s="7" t="s">
        <v>105</v>
      </c>
      <c r="F16" s="8" t="s">
        <v>105</v>
      </c>
      <c r="G16" s="4" t="s">
        <v>1286</v>
      </c>
      <c r="H16" s="9" t="s">
        <v>196</v>
      </c>
      <c r="I16" s="5" t="s">
        <v>1428</v>
      </c>
      <c r="J16" s="5" t="s">
        <v>1288</v>
      </c>
      <c r="K16" s="6">
        <f t="shared" si="0"/>
        <v>1</v>
      </c>
    </row>
    <row r="17" spans="1:11" ht="30" customHeight="1">
      <c r="A17" s="4">
        <v>9</v>
      </c>
      <c r="B17" s="5" t="s">
        <v>113</v>
      </c>
      <c r="C17" s="5" t="s">
        <v>41</v>
      </c>
      <c r="D17" s="5" t="s">
        <v>1432</v>
      </c>
      <c r="E17" s="7" t="s">
        <v>105</v>
      </c>
      <c r="F17" s="8" t="s">
        <v>105</v>
      </c>
      <c r="G17" s="4" t="s">
        <v>1286</v>
      </c>
      <c r="H17" s="9" t="s">
        <v>196</v>
      </c>
      <c r="I17" s="5" t="s">
        <v>1428</v>
      </c>
      <c r="J17" s="5" t="s">
        <v>1288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41</v>
      </c>
      <c r="D18" s="5" t="s">
        <v>1433</v>
      </c>
      <c r="E18" s="7" t="s">
        <v>105</v>
      </c>
      <c r="F18" s="8" t="s">
        <v>105</v>
      </c>
      <c r="G18" s="4" t="s">
        <v>1286</v>
      </c>
      <c r="H18" s="9" t="s">
        <v>196</v>
      </c>
      <c r="I18" s="5" t="s">
        <v>1428</v>
      </c>
      <c r="J18" s="5" t="s">
        <v>1288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41</v>
      </c>
      <c r="D19" s="5" t="s">
        <v>1434</v>
      </c>
      <c r="E19" s="7" t="s">
        <v>105</v>
      </c>
      <c r="F19" s="8" t="s">
        <v>105</v>
      </c>
      <c r="G19" s="4" t="s">
        <v>1286</v>
      </c>
      <c r="H19" s="9" t="s">
        <v>196</v>
      </c>
      <c r="I19" s="5" t="s">
        <v>1428</v>
      </c>
      <c r="J19" s="5" t="s">
        <v>1288</v>
      </c>
      <c r="K19" s="6">
        <f t="shared" si="0"/>
        <v>1</v>
      </c>
    </row>
    <row r="20" spans="1:11" ht="45" customHeight="1">
      <c r="A20" s="4">
        <v>12</v>
      </c>
      <c r="B20" s="5" t="s">
        <v>113</v>
      </c>
      <c r="C20" s="5" t="s">
        <v>41</v>
      </c>
      <c r="D20" s="5" t="s">
        <v>1435</v>
      </c>
      <c r="E20" s="7" t="s">
        <v>105</v>
      </c>
      <c r="F20" s="8" t="s">
        <v>105</v>
      </c>
      <c r="G20" s="4" t="s">
        <v>1286</v>
      </c>
      <c r="H20" s="9" t="s">
        <v>196</v>
      </c>
      <c r="I20" s="5" t="s">
        <v>1428</v>
      </c>
      <c r="J20" s="5" t="s">
        <v>1288</v>
      </c>
      <c r="K20" s="6">
        <f t="shared" si="0"/>
        <v>1</v>
      </c>
    </row>
    <row r="21" spans="1:11" ht="4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1286</v>
      </c>
      <c r="H21" s="9" t="s">
        <v>196</v>
      </c>
      <c r="I21" s="5" t="s">
        <v>1428</v>
      </c>
      <c r="J21" s="5" t="s">
        <v>1288</v>
      </c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1286</v>
      </c>
      <c r="H22" s="9" t="s">
        <v>196</v>
      </c>
      <c r="I22" s="5" t="s">
        <v>1436</v>
      </c>
      <c r="J22" s="5" t="s">
        <v>1288</v>
      </c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1286</v>
      </c>
      <c r="H23" s="9" t="s">
        <v>196</v>
      </c>
      <c r="I23" s="5" t="s">
        <v>1437</v>
      </c>
      <c r="J23" s="5" t="s">
        <v>1288</v>
      </c>
      <c r="K23" s="6">
        <f t="shared" si="0"/>
        <v>1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1286</v>
      </c>
      <c r="H24" s="9" t="s">
        <v>196</v>
      </c>
      <c r="I24" s="5" t="s">
        <v>1428</v>
      </c>
      <c r="J24" s="5" t="s">
        <v>1288</v>
      </c>
      <c r="K24" s="6">
        <f t="shared" si="0"/>
        <v>1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1286</v>
      </c>
      <c r="H25" s="9" t="s">
        <v>196</v>
      </c>
      <c r="I25" s="5" t="s">
        <v>1428</v>
      </c>
      <c r="J25" s="5" t="s">
        <v>1288</v>
      </c>
      <c r="K25" s="6">
        <f t="shared" si="0"/>
        <v>1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1286</v>
      </c>
      <c r="H26" s="9" t="s">
        <v>196</v>
      </c>
      <c r="I26" s="5" t="s">
        <v>1428</v>
      </c>
      <c r="J26" s="5" t="s">
        <v>1288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105</v>
      </c>
      <c r="G27" s="4" t="s">
        <v>1286</v>
      </c>
      <c r="H27" s="9" t="s">
        <v>196</v>
      </c>
      <c r="I27" s="5" t="s">
        <v>1428</v>
      </c>
      <c r="J27" s="5" t="s">
        <v>1288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105</v>
      </c>
      <c r="G28" s="4" t="s">
        <v>1286</v>
      </c>
      <c r="H28" s="9" t="s">
        <v>196</v>
      </c>
      <c r="I28" s="5" t="s">
        <v>1428</v>
      </c>
      <c r="J28" s="5" t="s">
        <v>1288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105</v>
      </c>
      <c r="G29" s="4" t="s">
        <v>1286</v>
      </c>
      <c r="H29" s="9" t="s">
        <v>196</v>
      </c>
      <c r="I29" s="5" t="s">
        <v>1428</v>
      </c>
      <c r="J29" s="5" t="s">
        <v>1288</v>
      </c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140</v>
      </c>
      <c r="E30" s="7" t="s">
        <v>105</v>
      </c>
      <c r="F30" s="8" t="s">
        <v>105</v>
      </c>
      <c r="G30" s="4" t="s">
        <v>1286</v>
      </c>
      <c r="H30" s="9" t="s">
        <v>196</v>
      </c>
      <c r="I30" s="5" t="s">
        <v>1428</v>
      </c>
      <c r="J30" s="5" t="s">
        <v>1288</v>
      </c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612</v>
      </c>
      <c r="E31" s="7" t="s">
        <v>105</v>
      </c>
      <c r="F31" s="8" t="s">
        <v>105</v>
      </c>
      <c r="G31" s="4" t="s">
        <v>1286</v>
      </c>
      <c r="H31" s="9" t="s">
        <v>196</v>
      </c>
      <c r="I31" s="5" t="s">
        <v>1428</v>
      </c>
      <c r="J31" s="5" t="s">
        <v>1288</v>
      </c>
      <c r="K31" s="6">
        <f t="shared" si="0"/>
        <v>1</v>
      </c>
    </row>
    <row r="32" spans="1:11" ht="45" customHeight="1">
      <c r="A32" s="4">
        <v>24</v>
      </c>
      <c r="B32" s="5" t="s">
        <v>135</v>
      </c>
      <c r="C32" s="5" t="s">
        <v>121</v>
      </c>
      <c r="D32" s="5" t="s">
        <v>610</v>
      </c>
      <c r="E32" s="7" t="s">
        <v>105</v>
      </c>
      <c r="F32" s="8" t="s">
        <v>105</v>
      </c>
      <c r="G32" s="4" t="s">
        <v>1286</v>
      </c>
      <c r="H32" s="9" t="s">
        <v>196</v>
      </c>
      <c r="I32" s="5" t="s">
        <v>1428</v>
      </c>
      <c r="J32" s="5" t="s">
        <v>1288</v>
      </c>
      <c r="K32" s="6">
        <f t="shared" si="0"/>
        <v>1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611</v>
      </c>
      <c r="E33" s="7" t="s">
        <v>105</v>
      </c>
      <c r="F33" s="8" t="s">
        <v>105</v>
      </c>
      <c r="G33" s="4" t="s">
        <v>1286</v>
      </c>
      <c r="H33" s="9" t="s">
        <v>196</v>
      </c>
      <c r="I33" s="5" t="s">
        <v>1428</v>
      </c>
      <c r="J33" s="5" t="s">
        <v>1288</v>
      </c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1272</v>
      </c>
      <c r="E34" s="7" t="s">
        <v>105</v>
      </c>
      <c r="F34" s="8" t="s">
        <v>105</v>
      </c>
      <c r="G34" s="4" t="s">
        <v>1286</v>
      </c>
      <c r="H34" s="9" t="s">
        <v>196</v>
      </c>
      <c r="I34" s="5" t="s">
        <v>1436</v>
      </c>
      <c r="J34" s="5" t="s">
        <v>1288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142</v>
      </c>
      <c r="E35" s="7" t="s">
        <v>105</v>
      </c>
      <c r="F35" s="8" t="s">
        <v>105</v>
      </c>
      <c r="G35" s="4" t="s">
        <v>1286</v>
      </c>
      <c r="H35" s="9" t="s">
        <v>196</v>
      </c>
      <c r="I35" s="5" t="s">
        <v>1428</v>
      </c>
      <c r="J35" s="5" t="s">
        <v>1288</v>
      </c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722</v>
      </c>
      <c r="E36" s="7" t="s">
        <v>105</v>
      </c>
      <c r="F36" s="8" t="s">
        <v>105</v>
      </c>
      <c r="G36" s="4" t="s">
        <v>1286</v>
      </c>
      <c r="H36" s="9" t="s">
        <v>196</v>
      </c>
      <c r="I36" s="5" t="s">
        <v>1428</v>
      </c>
      <c r="J36" s="5" t="s">
        <v>1288</v>
      </c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960</v>
      </c>
      <c r="E37" s="7" t="s">
        <v>105</v>
      </c>
      <c r="F37" s="8" t="s">
        <v>105</v>
      </c>
      <c r="G37" s="4" t="s">
        <v>1286</v>
      </c>
      <c r="H37" s="9" t="s">
        <v>196</v>
      </c>
      <c r="I37" s="5" t="s">
        <v>1428</v>
      </c>
      <c r="J37" s="5" t="s">
        <v>1288</v>
      </c>
      <c r="K37" s="6">
        <f t="shared" si="0"/>
        <v>1</v>
      </c>
    </row>
    <row r="38" spans="1:11" ht="15" customHeight="1">
      <c r="A38" s="4">
        <v>30</v>
      </c>
      <c r="B38" s="5" t="s">
        <v>135</v>
      </c>
      <c r="C38" s="5" t="s">
        <v>121</v>
      </c>
      <c r="D38" s="5" t="s">
        <v>144</v>
      </c>
      <c r="E38" s="7" t="s">
        <v>105</v>
      </c>
      <c r="F38" s="8" t="s">
        <v>105</v>
      </c>
      <c r="G38" s="4" t="s">
        <v>1286</v>
      </c>
      <c r="H38" s="9" t="s">
        <v>196</v>
      </c>
      <c r="I38" s="5" t="s">
        <v>1428</v>
      </c>
      <c r="J38" s="5" t="s">
        <v>1288</v>
      </c>
      <c r="K38" s="6">
        <f t="shared" si="0"/>
        <v>1</v>
      </c>
    </row>
    <row r="39" spans="1:11" ht="15" customHeight="1">
      <c r="A39" s="4">
        <v>31</v>
      </c>
      <c r="B39" s="5" t="s">
        <v>135</v>
      </c>
      <c r="C39" s="5" t="s">
        <v>121</v>
      </c>
      <c r="D39" s="5" t="s">
        <v>1273</v>
      </c>
      <c r="E39" s="7" t="s">
        <v>105</v>
      </c>
      <c r="F39" s="8" t="s">
        <v>105</v>
      </c>
      <c r="G39" s="4" t="s">
        <v>1286</v>
      </c>
      <c r="H39" s="9" t="s">
        <v>196</v>
      </c>
      <c r="I39" s="5" t="s">
        <v>1428</v>
      </c>
      <c r="J39" s="5" t="s">
        <v>1288</v>
      </c>
      <c r="K39" s="6">
        <f t="shared" si="0"/>
        <v>1</v>
      </c>
    </row>
    <row r="40" spans="1:11" ht="15" customHeight="1">
      <c r="A40" s="4">
        <v>32</v>
      </c>
      <c r="B40" s="5" t="s">
        <v>135</v>
      </c>
      <c r="C40" s="5" t="s">
        <v>121</v>
      </c>
      <c r="D40" s="5" t="s">
        <v>616</v>
      </c>
      <c r="E40" s="7" t="s">
        <v>105</v>
      </c>
      <c r="F40" s="8" t="s">
        <v>105</v>
      </c>
      <c r="G40" s="4" t="s">
        <v>1286</v>
      </c>
      <c r="H40" s="9" t="s">
        <v>196</v>
      </c>
      <c r="I40" s="5" t="s">
        <v>1428</v>
      </c>
      <c r="J40" s="5" t="s">
        <v>1288</v>
      </c>
      <c r="K40" s="6">
        <f t="shared" si="0"/>
        <v>1</v>
      </c>
    </row>
    <row r="41" spans="1:11" ht="15" customHeight="1">
      <c r="A41" s="4">
        <v>33</v>
      </c>
      <c r="B41" s="5" t="s">
        <v>135</v>
      </c>
      <c r="C41" s="5" t="s">
        <v>121</v>
      </c>
      <c r="D41" s="5" t="s">
        <v>617</v>
      </c>
      <c r="E41" s="7" t="s">
        <v>105</v>
      </c>
      <c r="F41" s="8" t="s">
        <v>105</v>
      </c>
      <c r="G41" s="4" t="s">
        <v>1286</v>
      </c>
      <c r="H41" s="9" t="s">
        <v>196</v>
      </c>
      <c r="I41" s="5" t="s">
        <v>1428</v>
      </c>
      <c r="J41" s="5" t="s">
        <v>1288</v>
      </c>
      <c r="K41" s="6">
        <f t="shared" ref="K41:K75" si="1">IF(AND(E41="yes",F41="yes",H41="covered"),1,IF(H41="partial",0.5,0))</f>
        <v>1</v>
      </c>
    </row>
    <row r="42" spans="1:11" ht="45" customHeight="1">
      <c r="A42" s="4">
        <v>34</v>
      </c>
      <c r="B42" s="5" t="s">
        <v>120</v>
      </c>
      <c r="C42" s="5" t="s">
        <v>718</v>
      </c>
      <c r="D42" s="5" t="s">
        <v>122</v>
      </c>
      <c r="E42" s="7" t="s">
        <v>105</v>
      </c>
      <c r="F42" s="8" t="s">
        <v>105</v>
      </c>
      <c r="G42" s="4" t="s">
        <v>1286</v>
      </c>
      <c r="H42" s="9" t="s">
        <v>196</v>
      </c>
      <c r="I42" s="5" t="s">
        <v>1428</v>
      </c>
      <c r="J42" s="5" t="s">
        <v>1288</v>
      </c>
      <c r="K42" s="6">
        <f t="shared" si="1"/>
        <v>1</v>
      </c>
    </row>
    <row r="43" spans="1:11" ht="45" customHeight="1">
      <c r="A43" s="4">
        <v>35</v>
      </c>
      <c r="B43" s="5" t="s">
        <v>120</v>
      </c>
      <c r="C43" s="5" t="s">
        <v>718</v>
      </c>
      <c r="D43" s="5" t="s">
        <v>123</v>
      </c>
      <c r="E43" s="7" t="s">
        <v>105</v>
      </c>
      <c r="F43" s="8" t="s">
        <v>105</v>
      </c>
      <c r="G43" s="4" t="s">
        <v>1286</v>
      </c>
      <c r="H43" s="9" t="s">
        <v>196</v>
      </c>
      <c r="I43" s="5" t="s">
        <v>1436</v>
      </c>
      <c r="J43" s="5" t="s">
        <v>1288</v>
      </c>
      <c r="K43" s="6">
        <f t="shared" si="1"/>
        <v>1</v>
      </c>
    </row>
    <row r="44" spans="1:11" ht="15" customHeight="1">
      <c r="A44" s="4">
        <v>36</v>
      </c>
      <c r="B44" s="5" t="s">
        <v>124</v>
      </c>
      <c r="C44" s="5" t="s">
        <v>718</v>
      </c>
      <c r="D44" s="5" t="s">
        <v>125</v>
      </c>
      <c r="E44" s="7" t="s">
        <v>105</v>
      </c>
      <c r="F44" s="8" t="s">
        <v>105</v>
      </c>
      <c r="G44" s="4" t="s">
        <v>1286</v>
      </c>
      <c r="H44" s="9" t="s">
        <v>196</v>
      </c>
      <c r="I44" s="5" t="s">
        <v>1436</v>
      </c>
      <c r="J44" s="5" t="s">
        <v>1288</v>
      </c>
      <c r="K44" s="6">
        <f t="shared" si="1"/>
        <v>1</v>
      </c>
    </row>
    <row r="45" spans="1:11" ht="30" customHeight="1">
      <c r="A45" s="4">
        <v>37</v>
      </c>
      <c r="B45" s="5" t="s">
        <v>124</v>
      </c>
      <c r="C45" s="5" t="s">
        <v>718</v>
      </c>
      <c r="D45" s="5" t="s">
        <v>126</v>
      </c>
      <c r="E45" s="7" t="s">
        <v>105</v>
      </c>
      <c r="F45" s="8" t="s">
        <v>105</v>
      </c>
      <c r="G45" s="4" t="s">
        <v>1286</v>
      </c>
      <c r="H45" s="9" t="s">
        <v>196</v>
      </c>
      <c r="I45" s="5" t="s">
        <v>1428</v>
      </c>
      <c r="J45" s="5" t="s">
        <v>1288</v>
      </c>
      <c r="K45" s="6">
        <f t="shared" si="1"/>
        <v>1</v>
      </c>
    </row>
    <row r="46" spans="1:11" ht="15" customHeight="1">
      <c r="A46" s="4">
        <v>38</v>
      </c>
      <c r="B46" s="5" t="s">
        <v>95</v>
      </c>
      <c r="C46" s="5" t="s">
        <v>718</v>
      </c>
      <c r="D46" s="5" t="s">
        <v>127</v>
      </c>
      <c r="E46" s="7" t="s">
        <v>105</v>
      </c>
      <c r="F46" s="8" t="s">
        <v>105</v>
      </c>
      <c r="G46" s="4" t="s">
        <v>1286</v>
      </c>
      <c r="H46" s="9" t="s">
        <v>196</v>
      </c>
      <c r="I46" s="5" t="s">
        <v>1428</v>
      </c>
      <c r="J46" s="5" t="s">
        <v>1288</v>
      </c>
      <c r="K46" s="6">
        <f t="shared" si="1"/>
        <v>1</v>
      </c>
    </row>
    <row r="47" spans="1:11" ht="15" customHeight="1">
      <c r="A47" s="4">
        <v>39</v>
      </c>
      <c r="B47" s="5" t="s">
        <v>128</v>
      </c>
      <c r="C47" s="5" t="s">
        <v>718</v>
      </c>
      <c r="D47" s="5" t="s">
        <v>129</v>
      </c>
      <c r="E47" s="7" t="s">
        <v>105</v>
      </c>
      <c r="F47" s="8" t="s">
        <v>105</v>
      </c>
      <c r="G47" s="4" t="s">
        <v>1286</v>
      </c>
      <c r="H47" s="9" t="s">
        <v>196</v>
      </c>
      <c r="I47" s="5" t="s">
        <v>1428</v>
      </c>
      <c r="J47" s="5" t="s">
        <v>1288</v>
      </c>
      <c r="K47" s="6">
        <f t="shared" si="1"/>
        <v>1</v>
      </c>
    </row>
    <row r="48" spans="1:11" ht="15" customHeight="1">
      <c r="A48" s="4">
        <v>40</v>
      </c>
      <c r="B48" s="5" t="s">
        <v>135</v>
      </c>
      <c r="C48" s="5" t="s">
        <v>718</v>
      </c>
      <c r="D48" s="5" t="s">
        <v>1438</v>
      </c>
      <c r="E48" s="7" t="s">
        <v>105</v>
      </c>
      <c r="F48" s="8" t="s">
        <v>105</v>
      </c>
      <c r="G48" s="4" t="s">
        <v>1286</v>
      </c>
      <c r="H48" s="9" t="s">
        <v>196</v>
      </c>
      <c r="I48" s="5" t="s">
        <v>1428</v>
      </c>
      <c r="J48" s="5" t="s">
        <v>1288</v>
      </c>
      <c r="K48" s="6">
        <f t="shared" si="1"/>
        <v>1</v>
      </c>
    </row>
    <row r="49" spans="1:11" ht="15" customHeight="1">
      <c r="A49" s="4">
        <v>41</v>
      </c>
      <c r="B49" s="5" t="s">
        <v>130</v>
      </c>
      <c r="C49" s="5" t="s">
        <v>718</v>
      </c>
      <c r="D49" s="5" t="s">
        <v>131</v>
      </c>
      <c r="E49" s="7" t="s">
        <v>105</v>
      </c>
      <c r="F49" s="8" t="s">
        <v>105</v>
      </c>
      <c r="G49" s="4" t="s">
        <v>1286</v>
      </c>
      <c r="H49" s="9" t="s">
        <v>196</v>
      </c>
      <c r="I49" s="5" t="s">
        <v>1428</v>
      </c>
      <c r="J49" s="5" t="s">
        <v>1288</v>
      </c>
      <c r="K49" s="6">
        <f t="shared" si="1"/>
        <v>1</v>
      </c>
    </row>
    <row r="50" spans="1:11" ht="15" customHeight="1">
      <c r="A50" s="4">
        <v>42</v>
      </c>
      <c r="B50" s="5" t="s">
        <v>130</v>
      </c>
      <c r="C50" s="5" t="s">
        <v>718</v>
      </c>
      <c r="D50" s="5" t="s">
        <v>132</v>
      </c>
      <c r="E50" s="7" t="s">
        <v>105</v>
      </c>
      <c r="F50" s="8" t="s">
        <v>105</v>
      </c>
      <c r="G50" s="4" t="s">
        <v>1286</v>
      </c>
      <c r="H50" s="9" t="s">
        <v>196</v>
      </c>
      <c r="I50" s="5" t="s">
        <v>1428</v>
      </c>
      <c r="J50" s="5" t="s">
        <v>1288</v>
      </c>
      <c r="K50" s="6">
        <f t="shared" si="1"/>
        <v>1</v>
      </c>
    </row>
    <row r="51" spans="1:11" ht="15" customHeight="1">
      <c r="A51" s="4">
        <v>43</v>
      </c>
      <c r="B51" s="5" t="s">
        <v>133</v>
      </c>
      <c r="C51" s="5" t="s">
        <v>718</v>
      </c>
      <c r="D51" s="5" t="s">
        <v>142</v>
      </c>
      <c r="E51" s="7" t="s">
        <v>105</v>
      </c>
      <c r="F51" s="8" t="s">
        <v>105</v>
      </c>
      <c r="G51" s="4" t="s">
        <v>1286</v>
      </c>
      <c r="H51" s="9" t="s">
        <v>196</v>
      </c>
      <c r="I51" s="5" t="s">
        <v>1428</v>
      </c>
      <c r="J51" s="5" t="s">
        <v>1288</v>
      </c>
      <c r="K51" s="6">
        <f t="shared" si="1"/>
        <v>1</v>
      </c>
    </row>
    <row r="52" spans="1:11" ht="45" customHeight="1">
      <c r="A52" s="4">
        <v>44</v>
      </c>
      <c r="B52" s="5" t="s">
        <v>135</v>
      </c>
      <c r="C52" s="5" t="s">
        <v>718</v>
      </c>
      <c r="D52" s="5" t="s">
        <v>144</v>
      </c>
      <c r="E52" s="7" t="s">
        <v>105</v>
      </c>
      <c r="F52" s="8" t="s">
        <v>105</v>
      </c>
      <c r="G52" s="4" t="s">
        <v>1286</v>
      </c>
      <c r="H52" s="9" t="s">
        <v>196</v>
      </c>
      <c r="I52" s="5" t="s">
        <v>1428</v>
      </c>
      <c r="J52" s="5" t="s">
        <v>1288</v>
      </c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718</v>
      </c>
      <c r="D53" s="5" t="s">
        <v>720</v>
      </c>
      <c r="E53" s="7" t="s">
        <v>105</v>
      </c>
      <c r="F53" s="8" t="s">
        <v>105</v>
      </c>
      <c r="G53" s="4" t="s">
        <v>1286</v>
      </c>
      <c r="H53" s="9" t="s">
        <v>196</v>
      </c>
      <c r="I53" s="5" t="s">
        <v>1436</v>
      </c>
      <c r="J53" s="5" t="s">
        <v>1288</v>
      </c>
      <c r="K53" s="6">
        <f t="shared" si="1"/>
        <v>1</v>
      </c>
    </row>
    <row r="54" spans="1:11" ht="30" customHeight="1">
      <c r="A54" s="4">
        <v>46</v>
      </c>
      <c r="B54" s="5" t="s">
        <v>153</v>
      </c>
      <c r="C54" s="5" t="s">
        <v>154</v>
      </c>
      <c r="D54" s="5" t="s">
        <v>1303</v>
      </c>
      <c r="E54" s="7" t="s">
        <v>105</v>
      </c>
      <c r="F54" s="8" t="s">
        <v>105</v>
      </c>
      <c r="G54" s="4" t="s">
        <v>1286</v>
      </c>
      <c r="H54" s="9" t="s">
        <v>196</v>
      </c>
      <c r="I54" s="5" t="s">
        <v>1428</v>
      </c>
      <c r="J54" s="5" t="s">
        <v>1288</v>
      </c>
      <c r="K54" s="6">
        <f t="shared" si="1"/>
        <v>1</v>
      </c>
    </row>
    <row r="55" spans="1:11" ht="15" customHeight="1">
      <c r="A55" s="4">
        <v>47</v>
      </c>
      <c r="B55" s="5" t="s">
        <v>153</v>
      </c>
      <c r="C55" s="5" t="s">
        <v>154</v>
      </c>
      <c r="D55" s="5" t="s">
        <v>562</v>
      </c>
      <c r="E55" s="7" t="s">
        <v>105</v>
      </c>
      <c r="F55" s="8" t="s">
        <v>105</v>
      </c>
      <c r="G55" s="4" t="s">
        <v>1286</v>
      </c>
      <c r="H55" s="9" t="s">
        <v>196</v>
      </c>
      <c r="I55" s="5" t="s">
        <v>1439</v>
      </c>
      <c r="J55" s="5" t="s">
        <v>1288</v>
      </c>
      <c r="K55" s="6">
        <f t="shared" si="1"/>
        <v>1</v>
      </c>
    </row>
    <row r="56" spans="1:11" ht="30" customHeight="1">
      <c r="A56" s="4">
        <v>48</v>
      </c>
      <c r="B56" s="5" t="s">
        <v>153</v>
      </c>
      <c r="C56" s="5" t="s">
        <v>154</v>
      </c>
      <c r="D56" s="5" t="s">
        <v>621</v>
      </c>
      <c r="E56" s="7" t="s">
        <v>105</v>
      </c>
      <c r="F56" s="8" t="s">
        <v>105</v>
      </c>
      <c r="G56" s="4" t="s">
        <v>1286</v>
      </c>
      <c r="H56" s="9" t="s">
        <v>196</v>
      </c>
      <c r="I56" s="5" t="s">
        <v>1428</v>
      </c>
      <c r="J56" s="5" t="s">
        <v>1288</v>
      </c>
      <c r="K56" s="6">
        <f t="shared" si="1"/>
        <v>1</v>
      </c>
    </row>
    <row r="57" spans="1:11" ht="15" customHeight="1">
      <c r="A57" s="4">
        <v>49</v>
      </c>
      <c r="B57" s="5" t="s">
        <v>153</v>
      </c>
      <c r="C57" s="5" t="s">
        <v>154</v>
      </c>
      <c r="D57" s="5" t="s">
        <v>438</v>
      </c>
      <c r="E57" s="7" t="s">
        <v>105</v>
      </c>
      <c r="F57" s="8" t="s">
        <v>105</v>
      </c>
      <c r="G57" s="4" t="s">
        <v>1286</v>
      </c>
      <c r="H57" s="9" t="s">
        <v>196</v>
      </c>
      <c r="I57" s="5" t="s">
        <v>1439</v>
      </c>
      <c r="J57" s="5" t="s">
        <v>1288</v>
      </c>
      <c r="K57" s="6">
        <f t="shared" si="1"/>
        <v>1</v>
      </c>
    </row>
    <row r="58" spans="1:11" ht="15" customHeight="1">
      <c r="A58" s="4">
        <v>50</v>
      </c>
      <c r="B58" s="5" t="s">
        <v>153</v>
      </c>
      <c r="C58" s="5" t="s">
        <v>154</v>
      </c>
      <c r="D58" s="5" t="s">
        <v>622</v>
      </c>
      <c r="E58" s="7" t="s">
        <v>105</v>
      </c>
      <c r="F58" s="8" t="s">
        <v>105</v>
      </c>
      <c r="G58" s="4" t="s">
        <v>1286</v>
      </c>
      <c r="H58" s="9" t="s">
        <v>196</v>
      </c>
      <c r="I58" s="5" t="s">
        <v>1428</v>
      </c>
      <c r="J58" s="5" t="s">
        <v>1288</v>
      </c>
      <c r="K58" s="6">
        <f t="shared" si="1"/>
        <v>1</v>
      </c>
    </row>
    <row r="59" spans="1:11" ht="15" customHeight="1">
      <c r="A59" s="4">
        <v>51</v>
      </c>
      <c r="B59" s="5" t="s">
        <v>153</v>
      </c>
      <c r="C59" s="5" t="s">
        <v>154</v>
      </c>
      <c r="D59" s="5" t="s">
        <v>623</v>
      </c>
      <c r="E59" s="7" t="s">
        <v>105</v>
      </c>
      <c r="F59" s="8" t="s">
        <v>105</v>
      </c>
      <c r="G59" s="4" t="s">
        <v>1286</v>
      </c>
      <c r="H59" s="9" t="s">
        <v>196</v>
      </c>
      <c r="I59" s="5" t="s">
        <v>1428</v>
      </c>
      <c r="J59" s="5" t="s">
        <v>1288</v>
      </c>
      <c r="K59" s="6">
        <f t="shared" si="1"/>
        <v>1</v>
      </c>
    </row>
    <row r="60" spans="1:11" ht="15" customHeight="1">
      <c r="A60" s="4">
        <v>52</v>
      </c>
      <c r="B60" s="5" t="s">
        <v>159</v>
      </c>
      <c r="C60" s="5" t="s">
        <v>154</v>
      </c>
      <c r="D60" s="5" t="s">
        <v>160</v>
      </c>
      <c r="E60" s="7" t="s">
        <v>105</v>
      </c>
      <c r="F60" s="8" t="s">
        <v>105</v>
      </c>
      <c r="G60" s="4" t="s">
        <v>1286</v>
      </c>
      <c r="H60" s="9" t="s">
        <v>196</v>
      </c>
      <c r="I60" s="5" t="s">
        <v>1428</v>
      </c>
      <c r="J60" s="5" t="s">
        <v>1288</v>
      </c>
      <c r="K60" s="6">
        <f t="shared" si="1"/>
        <v>1</v>
      </c>
    </row>
    <row r="61" spans="1:11" ht="15" customHeight="1">
      <c r="A61" s="4">
        <v>53</v>
      </c>
      <c r="B61" s="5" t="s">
        <v>159</v>
      </c>
      <c r="C61" s="5" t="s">
        <v>154</v>
      </c>
      <c r="D61" s="5" t="s">
        <v>1364</v>
      </c>
      <c r="E61" s="7" t="s">
        <v>105</v>
      </c>
      <c r="F61" s="8" t="s">
        <v>105</v>
      </c>
      <c r="G61" s="4" t="s">
        <v>1286</v>
      </c>
      <c r="H61" s="9" t="s">
        <v>196</v>
      </c>
      <c r="I61" s="5" t="s">
        <v>1428</v>
      </c>
      <c r="J61" s="5" t="s">
        <v>1288</v>
      </c>
      <c r="K61" s="6">
        <f t="shared" si="1"/>
        <v>1</v>
      </c>
    </row>
    <row r="62" spans="1:11" ht="30" customHeight="1">
      <c r="A62" s="4">
        <v>54</v>
      </c>
      <c r="B62" s="5" t="s">
        <v>159</v>
      </c>
      <c r="C62" s="5" t="s">
        <v>154</v>
      </c>
      <c r="D62" s="5" t="s">
        <v>989</v>
      </c>
      <c r="E62" s="7" t="s">
        <v>105</v>
      </c>
      <c r="F62" s="8" t="s">
        <v>105</v>
      </c>
      <c r="G62" s="4" t="s">
        <v>1286</v>
      </c>
      <c r="H62" s="9" t="s">
        <v>196</v>
      </c>
      <c r="I62" s="5" t="s">
        <v>1428</v>
      </c>
      <c r="J62" s="5" t="s">
        <v>1288</v>
      </c>
      <c r="K62" s="6">
        <f t="shared" si="1"/>
        <v>1</v>
      </c>
    </row>
    <row r="63" spans="1:11" ht="15" customHeight="1">
      <c r="A63" s="4">
        <v>55</v>
      </c>
      <c r="B63" s="5" t="s">
        <v>159</v>
      </c>
      <c r="C63" s="5" t="s">
        <v>154</v>
      </c>
      <c r="D63" s="5" t="s">
        <v>728</v>
      </c>
      <c r="E63" s="7" t="s">
        <v>105</v>
      </c>
      <c r="F63" s="8" t="s">
        <v>105</v>
      </c>
      <c r="G63" s="4" t="s">
        <v>1286</v>
      </c>
      <c r="H63" s="9" t="s">
        <v>196</v>
      </c>
      <c r="I63" s="5" t="s">
        <v>1439</v>
      </c>
      <c r="J63" s="5" t="s">
        <v>1288</v>
      </c>
      <c r="K63" s="6">
        <f t="shared" si="1"/>
        <v>1</v>
      </c>
    </row>
    <row r="64" spans="1:11" ht="15" customHeight="1">
      <c r="A64" s="4">
        <v>56</v>
      </c>
      <c r="B64" s="5" t="s">
        <v>159</v>
      </c>
      <c r="C64" s="5" t="s">
        <v>154</v>
      </c>
      <c r="D64" s="5" t="s">
        <v>624</v>
      </c>
      <c r="E64" s="7" t="s">
        <v>105</v>
      </c>
      <c r="F64" s="8" t="s">
        <v>105</v>
      </c>
      <c r="G64" s="4" t="s">
        <v>1286</v>
      </c>
      <c r="H64" s="9" t="s">
        <v>196</v>
      </c>
      <c r="I64" s="5" t="s">
        <v>1428</v>
      </c>
      <c r="J64" s="5" t="s">
        <v>1288</v>
      </c>
      <c r="K64" s="6">
        <f t="shared" si="1"/>
        <v>1</v>
      </c>
    </row>
    <row r="65" spans="1:11" ht="15" customHeight="1">
      <c r="A65" s="4">
        <v>57</v>
      </c>
      <c r="B65" s="5" t="s">
        <v>159</v>
      </c>
      <c r="C65" s="5" t="s">
        <v>154</v>
      </c>
      <c r="D65" s="5" t="s">
        <v>625</v>
      </c>
      <c r="E65" s="7" t="s">
        <v>105</v>
      </c>
      <c r="F65" s="8" t="s">
        <v>105</v>
      </c>
      <c r="G65" s="4" t="s">
        <v>1286</v>
      </c>
      <c r="H65" s="9" t="s">
        <v>196</v>
      </c>
      <c r="I65" s="5" t="s">
        <v>1428</v>
      </c>
      <c r="J65" s="5" t="s">
        <v>1288</v>
      </c>
      <c r="K65" s="6">
        <f t="shared" si="1"/>
        <v>1</v>
      </c>
    </row>
    <row r="66" spans="1:11" ht="15" customHeight="1">
      <c r="A66" s="4">
        <v>58</v>
      </c>
      <c r="B66" s="5" t="s">
        <v>159</v>
      </c>
      <c r="C66" s="5" t="s">
        <v>154</v>
      </c>
      <c r="D66" s="5" t="s">
        <v>1282</v>
      </c>
      <c r="E66" s="7" t="s">
        <v>105</v>
      </c>
      <c r="F66" s="8" t="s">
        <v>105</v>
      </c>
      <c r="G66" s="4" t="s">
        <v>1286</v>
      </c>
      <c r="H66" s="9" t="s">
        <v>196</v>
      </c>
      <c r="I66" s="5" t="s">
        <v>1428</v>
      </c>
      <c r="J66" s="5" t="s">
        <v>1288</v>
      </c>
      <c r="K66" s="6">
        <f t="shared" si="1"/>
        <v>1</v>
      </c>
    </row>
    <row r="67" spans="1:11" ht="15" customHeight="1">
      <c r="A67" s="4">
        <v>59</v>
      </c>
      <c r="B67" s="5" t="s">
        <v>159</v>
      </c>
      <c r="C67" s="5" t="s">
        <v>154</v>
      </c>
      <c r="D67" s="5" t="s">
        <v>162</v>
      </c>
      <c r="E67" s="7" t="s">
        <v>105</v>
      </c>
      <c r="F67" s="8" t="s">
        <v>105</v>
      </c>
      <c r="G67" s="4" t="s">
        <v>1286</v>
      </c>
      <c r="H67" s="9" t="s">
        <v>196</v>
      </c>
      <c r="I67" s="5" t="s">
        <v>1428</v>
      </c>
      <c r="J67" s="5" t="s">
        <v>1288</v>
      </c>
      <c r="K67" s="6">
        <f t="shared" si="1"/>
        <v>1</v>
      </c>
    </row>
    <row r="68" spans="1:11" ht="30" customHeight="1">
      <c r="A68" s="4">
        <v>60</v>
      </c>
      <c r="B68" s="5" t="s">
        <v>135</v>
      </c>
      <c r="C68" s="5" t="s">
        <v>121</v>
      </c>
      <c r="D68" s="5" t="s">
        <v>169</v>
      </c>
      <c r="E68" s="7" t="s">
        <v>105</v>
      </c>
      <c r="F68" s="8" t="s">
        <v>105</v>
      </c>
      <c r="G68" s="4" t="s">
        <v>1286</v>
      </c>
      <c r="H68" s="9" t="s">
        <v>196</v>
      </c>
      <c r="I68" s="5" t="s">
        <v>1428</v>
      </c>
      <c r="J68" s="5" t="s">
        <v>1288</v>
      </c>
      <c r="K68" s="6">
        <f t="shared" si="1"/>
        <v>1</v>
      </c>
    </row>
    <row r="69" spans="1:11" ht="15" customHeight="1">
      <c r="A69" s="4">
        <v>61</v>
      </c>
      <c r="B69" s="5" t="s">
        <v>135</v>
      </c>
      <c r="C69" s="5" t="s">
        <v>121</v>
      </c>
      <c r="D69" s="5" t="s">
        <v>170</v>
      </c>
      <c r="E69" s="7" t="s">
        <v>105</v>
      </c>
      <c r="F69" s="8" t="s">
        <v>105</v>
      </c>
      <c r="G69" s="4" t="s">
        <v>1286</v>
      </c>
      <c r="H69" s="9" t="s">
        <v>196</v>
      </c>
      <c r="I69" s="5" t="s">
        <v>1428</v>
      </c>
      <c r="J69" s="5" t="s">
        <v>1288</v>
      </c>
      <c r="K69" s="6">
        <f t="shared" si="1"/>
        <v>1</v>
      </c>
    </row>
    <row r="70" spans="1:11" ht="15" customHeight="1">
      <c r="A70" s="4">
        <v>62</v>
      </c>
      <c r="B70" s="5" t="s">
        <v>135</v>
      </c>
      <c r="C70" s="5" t="s">
        <v>121</v>
      </c>
      <c r="D70" s="5" t="s">
        <v>171</v>
      </c>
      <c r="E70" s="7" t="s">
        <v>105</v>
      </c>
      <c r="F70" s="8" t="s">
        <v>105</v>
      </c>
      <c r="G70" s="4" t="s">
        <v>1286</v>
      </c>
      <c r="H70" s="9" t="s">
        <v>196</v>
      </c>
      <c r="I70" s="5" t="s">
        <v>1428</v>
      </c>
      <c r="J70" s="5" t="s">
        <v>1288</v>
      </c>
      <c r="K70" s="6">
        <f t="shared" si="1"/>
        <v>1</v>
      </c>
    </row>
    <row r="71" spans="1:11" ht="15" customHeight="1">
      <c r="A71" s="4">
        <v>63</v>
      </c>
      <c r="B71" s="5" t="s">
        <v>135</v>
      </c>
      <c r="C71" s="5" t="s">
        <v>41</v>
      </c>
      <c r="D71" s="5" t="s">
        <v>627</v>
      </c>
      <c r="E71" s="7" t="s">
        <v>105</v>
      </c>
      <c r="F71" s="8" t="s">
        <v>105</v>
      </c>
      <c r="G71" s="4" t="s">
        <v>1286</v>
      </c>
      <c r="H71" s="9" t="s">
        <v>196</v>
      </c>
      <c r="I71" s="5" t="s">
        <v>1428</v>
      </c>
      <c r="J71" s="5" t="s">
        <v>1288</v>
      </c>
      <c r="K71" s="6">
        <f t="shared" si="1"/>
        <v>1</v>
      </c>
    </row>
    <row r="72" spans="1:11" ht="15" customHeight="1">
      <c r="A72" s="4">
        <v>64</v>
      </c>
      <c r="B72" s="5" t="s">
        <v>135</v>
      </c>
      <c r="C72" s="5" t="s">
        <v>41</v>
      </c>
      <c r="D72" s="5" t="s">
        <v>628</v>
      </c>
      <c r="E72" s="7" t="s">
        <v>105</v>
      </c>
      <c r="F72" s="8" t="s">
        <v>105</v>
      </c>
      <c r="G72" s="4" t="s">
        <v>1286</v>
      </c>
      <c r="H72" s="9" t="s">
        <v>196</v>
      </c>
      <c r="I72" s="5" t="s">
        <v>1428</v>
      </c>
      <c r="J72" s="5" t="s">
        <v>1288</v>
      </c>
      <c r="K72" s="6">
        <f t="shared" si="1"/>
        <v>1</v>
      </c>
    </row>
    <row r="73" spans="1:11" ht="15" customHeight="1">
      <c r="A73" s="4">
        <v>65</v>
      </c>
      <c r="B73" s="5" t="s">
        <v>135</v>
      </c>
      <c r="C73" s="5" t="s">
        <v>41</v>
      </c>
      <c r="D73" s="5" t="s">
        <v>629</v>
      </c>
      <c r="E73" s="7" t="s">
        <v>105</v>
      </c>
      <c r="F73" s="8" t="s">
        <v>105</v>
      </c>
      <c r="G73" s="4" t="s">
        <v>1286</v>
      </c>
      <c r="H73" s="9" t="s">
        <v>196</v>
      </c>
      <c r="I73" s="5" t="s">
        <v>1428</v>
      </c>
      <c r="J73" s="5" t="s">
        <v>1288</v>
      </c>
      <c r="K73" s="6">
        <f t="shared" si="1"/>
        <v>1</v>
      </c>
    </row>
    <row r="74" spans="1:11" ht="30" customHeight="1">
      <c r="A74" s="4">
        <v>66</v>
      </c>
      <c r="B74" s="5" t="s">
        <v>135</v>
      </c>
      <c r="C74" s="5" t="s">
        <v>41</v>
      </c>
      <c r="D74" s="5" t="s">
        <v>630</v>
      </c>
      <c r="E74" s="7" t="s">
        <v>105</v>
      </c>
      <c r="F74" s="8" t="s">
        <v>105</v>
      </c>
      <c r="G74" s="4" t="s">
        <v>1286</v>
      </c>
      <c r="H74" s="9" t="s">
        <v>196</v>
      </c>
      <c r="I74" s="5" t="s">
        <v>1428</v>
      </c>
      <c r="J74" s="5" t="s">
        <v>1288</v>
      </c>
      <c r="K74" s="6">
        <f t="shared" si="1"/>
        <v>1</v>
      </c>
    </row>
    <row r="75" spans="1:11" ht="30" customHeight="1">
      <c r="A75" s="4">
        <v>67</v>
      </c>
      <c r="B75" s="5" t="s">
        <v>591</v>
      </c>
      <c r="C75" s="5" t="s">
        <v>41</v>
      </c>
      <c r="D75" s="5" t="s">
        <v>631</v>
      </c>
      <c r="E75" s="7" t="s">
        <v>105</v>
      </c>
      <c r="F75" s="8" t="s">
        <v>105</v>
      </c>
      <c r="G75" s="4" t="s">
        <v>1286</v>
      </c>
      <c r="H75" s="9" t="s">
        <v>196</v>
      </c>
      <c r="I75" s="5" t="s">
        <v>1428</v>
      </c>
      <c r="J75" s="5" t="s">
        <v>1288</v>
      </c>
      <c r="K75" s="6">
        <f t="shared" si="1"/>
        <v>1</v>
      </c>
    </row>
    <row r="76" spans="1:11" ht="30" customHeight="1"/>
    <row r="77" spans="1:11" ht="30" customHeight="1"/>
    <row r="78" spans="1:11" ht="15" customHeight="1"/>
    <row r="79" spans="1:11" ht="30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K39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1440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IFERROR(SUM(K9:K39)/COUNTA(A9:A39),0)</f>
        <v>1</v>
      </c>
      <c r="C4" s="1" t="s">
        <v>8</v>
      </c>
      <c r="D4" s="2">
        <f>COUNTIF(H9:H39,"covered")</f>
        <v>31</v>
      </c>
      <c r="E4" s="1" t="s">
        <v>9</v>
      </c>
      <c r="F4" s="2">
        <f>COUNTIF(H9:H39,"partial")</f>
        <v>0</v>
      </c>
      <c r="G4" s="1" t="s">
        <v>10</v>
      </c>
      <c r="H4" s="2">
        <f>COUNTIF(H9:H39,"missing")</f>
        <v>0</v>
      </c>
      <c r="I4" s="1" t="s">
        <v>11</v>
      </c>
      <c r="J4" s="2">
        <f>COUNTIF(F9:F39,"no")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7" t="s">
        <v>105</v>
      </c>
      <c r="G9" s="4" t="s">
        <v>442</v>
      </c>
      <c r="H9" s="12" t="s">
        <v>196</v>
      </c>
      <c r="I9" s="5" t="s">
        <v>1441</v>
      </c>
      <c r="J9" s="5"/>
      <c r="K9" s="6">
        <f t="shared" ref="K9:K39" si="0">IF(AND(E9="yes",F9="yes",H9="covered"),1,IF(AND(E9="yes",H9="partial"),0.5,0))</f>
        <v>1</v>
      </c>
    </row>
    <row r="10" spans="1:11" ht="30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7" t="s">
        <v>105</v>
      </c>
      <c r="G10" s="4" t="s">
        <v>442</v>
      </c>
      <c r="H10" s="12" t="s">
        <v>196</v>
      </c>
      <c r="I10" s="5" t="s">
        <v>1441</v>
      </c>
      <c r="J10" s="5"/>
      <c r="K10" s="6">
        <f t="shared" si="0"/>
        <v>1</v>
      </c>
    </row>
    <row r="11" spans="1:11" ht="30" customHeight="1">
      <c r="A11" s="4">
        <v>3</v>
      </c>
      <c r="B11" s="5" t="s">
        <v>94</v>
      </c>
      <c r="C11" s="5" t="s">
        <v>42</v>
      </c>
      <c r="D11" s="5" t="s">
        <v>1442</v>
      </c>
      <c r="E11" s="7" t="s">
        <v>105</v>
      </c>
      <c r="F11" s="7" t="s">
        <v>105</v>
      </c>
      <c r="G11" s="4" t="s">
        <v>442</v>
      </c>
      <c r="H11" s="11" t="s">
        <v>196</v>
      </c>
      <c r="I11" s="5" t="s">
        <v>1443</v>
      </c>
      <c r="J11" s="5"/>
      <c r="K11" s="6">
        <f t="shared" si="0"/>
        <v>1</v>
      </c>
    </row>
    <row r="12" spans="1:11" ht="30" customHeight="1">
      <c r="A12" s="4">
        <v>4</v>
      </c>
      <c r="B12" s="5" t="s">
        <v>94</v>
      </c>
      <c r="C12" s="5" t="s">
        <v>42</v>
      </c>
      <c r="D12" s="5" t="s">
        <v>1444</v>
      </c>
      <c r="E12" s="7" t="s">
        <v>105</v>
      </c>
      <c r="F12" s="7" t="s">
        <v>105</v>
      </c>
      <c r="G12" s="4" t="s">
        <v>442</v>
      </c>
      <c r="H12" s="11" t="s">
        <v>196</v>
      </c>
      <c r="I12" s="5" t="s">
        <v>1445</v>
      </c>
      <c r="J12" s="5"/>
      <c r="K12" s="6">
        <f t="shared" si="0"/>
        <v>1</v>
      </c>
    </row>
    <row r="13" spans="1:11" ht="30" customHeight="1">
      <c r="A13" s="4">
        <v>5</v>
      </c>
      <c r="B13" s="5" t="s">
        <v>94</v>
      </c>
      <c r="C13" s="5" t="s">
        <v>42</v>
      </c>
      <c r="D13" s="5" t="s">
        <v>1446</v>
      </c>
      <c r="E13" s="7" t="s">
        <v>105</v>
      </c>
      <c r="F13" s="7" t="s">
        <v>105</v>
      </c>
      <c r="G13" s="4" t="s">
        <v>442</v>
      </c>
      <c r="H13" s="11" t="s">
        <v>196</v>
      </c>
      <c r="I13" s="5" t="s">
        <v>1447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42</v>
      </c>
      <c r="D14" s="5" t="s">
        <v>1448</v>
      </c>
      <c r="E14" s="7" t="s">
        <v>105</v>
      </c>
      <c r="F14" s="7" t="s">
        <v>105</v>
      </c>
      <c r="G14" s="4" t="s">
        <v>442</v>
      </c>
      <c r="H14" s="11" t="s">
        <v>196</v>
      </c>
      <c r="I14" s="5" t="s">
        <v>1449</v>
      </c>
      <c r="J14" s="5"/>
      <c r="K14" s="6">
        <f t="shared" si="0"/>
        <v>1</v>
      </c>
    </row>
    <row r="15" spans="1:11" ht="15" customHeight="1">
      <c r="A15" s="4">
        <v>7</v>
      </c>
      <c r="B15" s="5" t="s">
        <v>120</v>
      </c>
      <c r="C15" s="5" t="s">
        <v>121</v>
      </c>
      <c r="D15" s="5" t="s">
        <v>1450</v>
      </c>
      <c r="E15" s="7" t="s">
        <v>105</v>
      </c>
      <c r="F15" s="7" t="s">
        <v>105</v>
      </c>
      <c r="G15" s="4" t="s">
        <v>442</v>
      </c>
      <c r="H15" s="11" t="s">
        <v>196</v>
      </c>
      <c r="I15" s="5" t="s">
        <v>1451</v>
      </c>
      <c r="J15" s="5"/>
      <c r="K15" s="6">
        <f t="shared" si="0"/>
        <v>1</v>
      </c>
    </row>
    <row r="16" spans="1:11" ht="30" customHeight="1">
      <c r="A16" s="4">
        <v>8</v>
      </c>
      <c r="B16" s="5" t="s">
        <v>124</v>
      </c>
      <c r="C16" s="5" t="s">
        <v>121</v>
      </c>
      <c r="D16" s="5" t="s">
        <v>1452</v>
      </c>
      <c r="E16" s="7" t="s">
        <v>105</v>
      </c>
      <c r="F16" s="7" t="s">
        <v>105</v>
      </c>
      <c r="G16" s="4" t="s">
        <v>442</v>
      </c>
      <c r="H16" s="11" t="s">
        <v>196</v>
      </c>
      <c r="I16" s="5" t="s">
        <v>1453</v>
      </c>
      <c r="J16" s="5"/>
      <c r="K16" s="6">
        <f t="shared" si="0"/>
        <v>1</v>
      </c>
    </row>
    <row r="17" spans="1:11" ht="30" customHeight="1">
      <c r="A17" s="4">
        <v>9</v>
      </c>
      <c r="B17" s="5" t="s">
        <v>124</v>
      </c>
      <c r="C17" s="5" t="s">
        <v>121</v>
      </c>
      <c r="D17" s="5" t="s">
        <v>1454</v>
      </c>
      <c r="E17" s="7" t="s">
        <v>105</v>
      </c>
      <c r="F17" s="7" t="s">
        <v>105</v>
      </c>
      <c r="G17" s="4" t="s">
        <v>442</v>
      </c>
      <c r="H17" s="11" t="s">
        <v>196</v>
      </c>
      <c r="I17" s="5" t="s">
        <v>1455</v>
      </c>
      <c r="J17" s="5"/>
      <c r="K17" s="6">
        <f t="shared" si="0"/>
        <v>1</v>
      </c>
    </row>
    <row r="18" spans="1:11" ht="30" customHeight="1">
      <c r="A18" s="4">
        <v>10</v>
      </c>
      <c r="B18" s="5" t="s">
        <v>147</v>
      </c>
      <c r="C18" s="5" t="s">
        <v>121</v>
      </c>
      <c r="D18" s="5" t="s">
        <v>1456</v>
      </c>
      <c r="E18" s="7" t="s">
        <v>105</v>
      </c>
      <c r="F18" s="7" t="s">
        <v>105</v>
      </c>
      <c r="G18" s="4" t="s">
        <v>442</v>
      </c>
      <c r="H18" s="11" t="s">
        <v>196</v>
      </c>
      <c r="I18" s="5" t="s">
        <v>1457</v>
      </c>
      <c r="J18" s="5"/>
      <c r="K18" s="6">
        <f t="shared" si="0"/>
        <v>1</v>
      </c>
    </row>
    <row r="19" spans="1:11" ht="30" customHeight="1">
      <c r="A19" s="4">
        <v>11</v>
      </c>
      <c r="B19" s="5" t="s">
        <v>159</v>
      </c>
      <c r="C19" s="5" t="s">
        <v>121</v>
      </c>
      <c r="D19" s="5" t="s">
        <v>1458</v>
      </c>
      <c r="E19" s="7" t="s">
        <v>105</v>
      </c>
      <c r="F19" s="7" t="s">
        <v>105</v>
      </c>
      <c r="G19" s="4" t="s">
        <v>442</v>
      </c>
      <c r="H19" s="11" t="s">
        <v>196</v>
      </c>
      <c r="I19" s="5" t="s">
        <v>1459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159</v>
      </c>
      <c r="C20" s="5" t="s">
        <v>121</v>
      </c>
      <c r="D20" s="5" t="s">
        <v>1460</v>
      </c>
      <c r="E20" s="7" t="s">
        <v>105</v>
      </c>
      <c r="F20" s="7" t="s">
        <v>105</v>
      </c>
      <c r="G20" s="4" t="s">
        <v>442</v>
      </c>
      <c r="H20" s="11" t="s">
        <v>196</v>
      </c>
      <c r="I20" s="5" t="s">
        <v>1461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1462</v>
      </c>
      <c r="C21" s="5" t="s">
        <v>121</v>
      </c>
      <c r="D21" s="5" t="s">
        <v>1463</v>
      </c>
      <c r="E21" s="7" t="s">
        <v>105</v>
      </c>
      <c r="F21" s="7" t="s">
        <v>105</v>
      </c>
      <c r="G21" s="4" t="s">
        <v>442</v>
      </c>
      <c r="H21" s="11" t="s">
        <v>196</v>
      </c>
      <c r="I21" s="5" t="s">
        <v>1464</v>
      </c>
      <c r="J21" s="5"/>
      <c r="K21" s="6">
        <f t="shared" si="0"/>
        <v>1</v>
      </c>
    </row>
    <row r="22" spans="1:11" ht="30" customHeight="1">
      <c r="A22" s="4">
        <v>14</v>
      </c>
      <c r="B22" s="5" t="s">
        <v>1462</v>
      </c>
      <c r="C22" s="5" t="s">
        <v>121</v>
      </c>
      <c r="D22" s="5" t="s">
        <v>1465</v>
      </c>
      <c r="E22" s="7" t="s">
        <v>105</v>
      </c>
      <c r="F22" s="7" t="s">
        <v>105</v>
      </c>
      <c r="G22" s="4" t="s">
        <v>442</v>
      </c>
      <c r="H22" s="11" t="s">
        <v>196</v>
      </c>
      <c r="I22" s="5" t="s">
        <v>1466</v>
      </c>
      <c r="J22" s="5"/>
      <c r="K22" s="6">
        <f t="shared" si="0"/>
        <v>1</v>
      </c>
    </row>
    <row r="23" spans="1:11" ht="30" customHeight="1">
      <c r="A23" s="4">
        <v>15</v>
      </c>
      <c r="B23" s="5" t="s">
        <v>1467</v>
      </c>
      <c r="C23" s="5" t="s">
        <v>121</v>
      </c>
      <c r="D23" s="5" t="s">
        <v>1468</v>
      </c>
      <c r="E23" s="7" t="s">
        <v>105</v>
      </c>
      <c r="F23" s="7" t="s">
        <v>105</v>
      </c>
      <c r="G23" s="4" t="s">
        <v>442</v>
      </c>
      <c r="H23" s="11" t="s">
        <v>196</v>
      </c>
      <c r="I23" s="5" t="s">
        <v>1469</v>
      </c>
      <c r="J23" s="5"/>
      <c r="K23" s="6">
        <f t="shared" si="0"/>
        <v>1</v>
      </c>
    </row>
    <row r="24" spans="1:11" ht="30" customHeight="1">
      <c r="A24" s="4">
        <v>16</v>
      </c>
      <c r="B24" s="5" t="s">
        <v>1467</v>
      </c>
      <c r="C24" s="5" t="s">
        <v>121</v>
      </c>
      <c r="D24" s="5" t="s">
        <v>1470</v>
      </c>
      <c r="E24" s="7" t="s">
        <v>105</v>
      </c>
      <c r="F24" s="7" t="s">
        <v>105</v>
      </c>
      <c r="G24" s="4" t="s">
        <v>442</v>
      </c>
      <c r="H24" s="11" t="s">
        <v>196</v>
      </c>
      <c r="I24" s="5" t="s">
        <v>1471</v>
      </c>
      <c r="J24" s="5"/>
      <c r="K24" s="6">
        <f t="shared" si="0"/>
        <v>1</v>
      </c>
    </row>
    <row r="25" spans="1:11" ht="30" customHeight="1">
      <c r="A25" s="4">
        <v>17</v>
      </c>
      <c r="B25" s="5" t="s">
        <v>135</v>
      </c>
      <c r="C25" s="5" t="s">
        <v>121</v>
      </c>
      <c r="D25" s="5" t="s">
        <v>1472</v>
      </c>
      <c r="E25" s="7" t="s">
        <v>105</v>
      </c>
      <c r="F25" s="7" t="s">
        <v>105</v>
      </c>
      <c r="G25" s="4" t="s">
        <v>442</v>
      </c>
      <c r="H25" s="11" t="s">
        <v>196</v>
      </c>
      <c r="I25" s="5" t="s">
        <v>1473</v>
      </c>
      <c r="J25" s="5"/>
      <c r="K25" s="6">
        <f t="shared" si="0"/>
        <v>1</v>
      </c>
    </row>
    <row r="26" spans="1:11" ht="30" customHeight="1">
      <c r="A26" s="4">
        <v>18</v>
      </c>
      <c r="B26" s="5" t="s">
        <v>135</v>
      </c>
      <c r="C26" s="5" t="s">
        <v>121</v>
      </c>
      <c r="D26" s="5" t="s">
        <v>1474</v>
      </c>
      <c r="E26" s="7" t="s">
        <v>105</v>
      </c>
      <c r="F26" s="7" t="s">
        <v>105</v>
      </c>
      <c r="G26" s="4" t="s">
        <v>442</v>
      </c>
      <c r="H26" s="11" t="s">
        <v>196</v>
      </c>
      <c r="I26" s="5" t="s">
        <v>1475</v>
      </c>
      <c r="J26" s="5"/>
      <c r="K26" s="6">
        <f t="shared" si="0"/>
        <v>1</v>
      </c>
    </row>
    <row r="27" spans="1:11" ht="30" customHeight="1">
      <c r="A27" s="4">
        <v>19</v>
      </c>
      <c r="B27" s="5" t="s">
        <v>135</v>
      </c>
      <c r="C27" s="5" t="s">
        <v>121</v>
      </c>
      <c r="D27" s="5" t="s">
        <v>1476</v>
      </c>
      <c r="E27" s="7" t="s">
        <v>105</v>
      </c>
      <c r="F27" s="7" t="s">
        <v>105</v>
      </c>
      <c r="G27" s="4" t="s">
        <v>442</v>
      </c>
      <c r="H27" s="11" t="s">
        <v>196</v>
      </c>
      <c r="I27" s="5" t="s">
        <v>1477</v>
      </c>
      <c r="J27" s="5"/>
      <c r="K27" s="6">
        <f t="shared" si="0"/>
        <v>1</v>
      </c>
    </row>
    <row r="28" spans="1:11" ht="30" customHeight="1">
      <c r="A28" s="4">
        <v>20</v>
      </c>
      <c r="B28" s="5" t="s">
        <v>135</v>
      </c>
      <c r="C28" s="5" t="s">
        <v>121</v>
      </c>
      <c r="D28" s="5" t="s">
        <v>1478</v>
      </c>
      <c r="E28" s="7" t="s">
        <v>105</v>
      </c>
      <c r="F28" s="7" t="s">
        <v>105</v>
      </c>
      <c r="G28" s="4" t="s">
        <v>442</v>
      </c>
      <c r="H28" s="11" t="s">
        <v>196</v>
      </c>
      <c r="I28" s="5" t="s">
        <v>1479</v>
      </c>
      <c r="J28" s="5"/>
      <c r="K28" s="6">
        <f t="shared" si="0"/>
        <v>1</v>
      </c>
    </row>
    <row r="29" spans="1:11" ht="30" customHeight="1">
      <c r="A29" s="4">
        <v>21</v>
      </c>
      <c r="B29" s="5" t="s">
        <v>135</v>
      </c>
      <c r="C29" s="5" t="s">
        <v>121</v>
      </c>
      <c r="D29" s="5" t="s">
        <v>1480</v>
      </c>
      <c r="E29" s="7" t="s">
        <v>105</v>
      </c>
      <c r="F29" s="7" t="s">
        <v>105</v>
      </c>
      <c r="G29" s="4" t="s">
        <v>442</v>
      </c>
      <c r="H29" s="11" t="s">
        <v>196</v>
      </c>
      <c r="I29" s="5" t="s">
        <v>1481</v>
      </c>
      <c r="J29" s="5"/>
      <c r="K29" s="6">
        <f t="shared" si="0"/>
        <v>1</v>
      </c>
    </row>
    <row r="30" spans="1:11" ht="30" customHeight="1">
      <c r="A30" s="4">
        <v>22</v>
      </c>
      <c r="B30" s="5" t="s">
        <v>135</v>
      </c>
      <c r="C30" s="5" t="s">
        <v>121</v>
      </c>
      <c r="D30" s="5" t="s">
        <v>1482</v>
      </c>
      <c r="E30" s="7" t="s">
        <v>105</v>
      </c>
      <c r="F30" s="7" t="s">
        <v>105</v>
      </c>
      <c r="G30" s="4" t="s">
        <v>442</v>
      </c>
      <c r="H30" s="11" t="s">
        <v>196</v>
      </c>
      <c r="I30" s="5" t="s">
        <v>1483</v>
      </c>
      <c r="J30" s="5"/>
      <c r="K30" s="6">
        <f t="shared" si="0"/>
        <v>1</v>
      </c>
    </row>
    <row r="31" spans="1:11" ht="30" customHeight="1">
      <c r="A31" s="4">
        <v>23</v>
      </c>
      <c r="B31" s="5" t="s">
        <v>135</v>
      </c>
      <c r="C31" s="5" t="s">
        <v>121</v>
      </c>
      <c r="D31" s="5" t="s">
        <v>1484</v>
      </c>
      <c r="E31" s="7" t="s">
        <v>105</v>
      </c>
      <c r="F31" s="7" t="s">
        <v>105</v>
      </c>
      <c r="G31" s="4" t="s">
        <v>442</v>
      </c>
      <c r="H31" s="11" t="s">
        <v>196</v>
      </c>
      <c r="I31" s="5" t="s">
        <v>1485</v>
      </c>
      <c r="J31" s="5"/>
      <c r="K31" s="6">
        <f t="shared" si="0"/>
        <v>1</v>
      </c>
    </row>
    <row r="32" spans="1:11" ht="30" customHeight="1">
      <c r="A32" s="4">
        <v>24</v>
      </c>
      <c r="B32" s="5" t="s">
        <v>135</v>
      </c>
      <c r="C32" s="5" t="s">
        <v>121</v>
      </c>
      <c r="D32" s="5" t="s">
        <v>1486</v>
      </c>
      <c r="E32" s="7" t="s">
        <v>105</v>
      </c>
      <c r="F32" s="7" t="s">
        <v>105</v>
      </c>
      <c r="G32" s="4" t="s">
        <v>442</v>
      </c>
      <c r="H32" s="11" t="s">
        <v>196</v>
      </c>
      <c r="I32" s="5" t="s">
        <v>1487</v>
      </c>
      <c r="J32" s="5"/>
      <c r="K32" s="6">
        <f t="shared" si="0"/>
        <v>1</v>
      </c>
    </row>
    <row r="33" spans="1:11" ht="30" customHeight="1">
      <c r="A33" s="4">
        <v>25</v>
      </c>
      <c r="B33" s="5" t="s">
        <v>130</v>
      </c>
      <c r="C33" s="5" t="s">
        <v>121</v>
      </c>
      <c r="D33" s="5" t="s">
        <v>1488</v>
      </c>
      <c r="E33" s="7" t="s">
        <v>105</v>
      </c>
      <c r="F33" s="7" t="s">
        <v>105</v>
      </c>
      <c r="G33" s="4" t="s">
        <v>442</v>
      </c>
      <c r="H33" s="11" t="s">
        <v>196</v>
      </c>
      <c r="I33" s="5" t="s">
        <v>1489</v>
      </c>
      <c r="J33" s="5"/>
      <c r="K33" s="6">
        <f t="shared" si="0"/>
        <v>1</v>
      </c>
    </row>
    <row r="34" spans="1:11" ht="30" customHeight="1">
      <c r="A34" s="4">
        <v>26</v>
      </c>
      <c r="B34" s="5" t="s">
        <v>130</v>
      </c>
      <c r="C34" s="5" t="s">
        <v>121</v>
      </c>
      <c r="D34" s="5" t="s">
        <v>1490</v>
      </c>
      <c r="E34" s="7" t="s">
        <v>105</v>
      </c>
      <c r="F34" s="7" t="s">
        <v>105</v>
      </c>
      <c r="G34" s="4" t="s">
        <v>442</v>
      </c>
      <c r="H34" s="11" t="s">
        <v>196</v>
      </c>
      <c r="I34" s="5" t="s">
        <v>1491</v>
      </c>
      <c r="J34" s="5"/>
      <c r="K34" s="6">
        <f t="shared" si="0"/>
        <v>1</v>
      </c>
    </row>
    <row r="35" spans="1:11" ht="30" customHeight="1">
      <c r="A35" s="4">
        <v>27</v>
      </c>
      <c r="B35" s="5" t="s">
        <v>130</v>
      </c>
      <c r="C35" s="5" t="s">
        <v>121</v>
      </c>
      <c r="D35" s="5" t="s">
        <v>1492</v>
      </c>
      <c r="E35" s="7" t="s">
        <v>105</v>
      </c>
      <c r="F35" s="7" t="s">
        <v>105</v>
      </c>
      <c r="G35" s="4" t="s">
        <v>442</v>
      </c>
      <c r="H35" s="11" t="s">
        <v>196</v>
      </c>
      <c r="I35" s="5" t="s">
        <v>1493</v>
      </c>
      <c r="J35" s="5"/>
      <c r="K35" s="6">
        <f t="shared" si="0"/>
        <v>1</v>
      </c>
    </row>
    <row r="36" spans="1:11" ht="30" customHeight="1">
      <c r="A36" s="4">
        <v>28</v>
      </c>
      <c r="B36" s="5" t="s">
        <v>130</v>
      </c>
      <c r="C36" s="5" t="s">
        <v>121</v>
      </c>
      <c r="D36" s="5" t="s">
        <v>1494</v>
      </c>
      <c r="E36" s="7" t="s">
        <v>105</v>
      </c>
      <c r="F36" s="7" t="s">
        <v>105</v>
      </c>
      <c r="G36" s="4" t="s">
        <v>442</v>
      </c>
      <c r="H36" s="11" t="s">
        <v>196</v>
      </c>
      <c r="I36" s="5" t="s">
        <v>1495</v>
      </c>
      <c r="J36" s="5"/>
      <c r="K36" s="6">
        <f t="shared" si="0"/>
        <v>1</v>
      </c>
    </row>
    <row r="37" spans="1:11" ht="30" customHeight="1">
      <c r="A37" s="4">
        <v>29</v>
      </c>
      <c r="B37" s="5" t="s">
        <v>130</v>
      </c>
      <c r="C37" s="5" t="s">
        <v>121</v>
      </c>
      <c r="D37" s="5" t="s">
        <v>1496</v>
      </c>
      <c r="E37" s="7" t="s">
        <v>105</v>
      </c>
      <c r="F37" s="7" t="s">
        <v>105</v>
      </c>
      <c r="G37" s="4" t="s">
        <v>442</v>
      </c>
      <c r="H37" s="11" t="s">
        <v>196</v>
      </c>
      <c r="I37" s="5" t="s">
        <v>1497</v>
      </c>
      <c r="J37" s="5"/>
      <c r="K37" s="6">
        <f t="shared" si="0"/>
        <v>1</v>
      </c>
    </row>
    <row r="38" spans="1:11">
      <c r="A38">
        <v>30</v>
      </c>
      <c r="B38" t="s">
        <v>1283</v>
      </c>
      <c r="C38" t="s">
        <v>1284</v>
      </c>
      <c r="D38" t="s">
        <v>1498</v>
      </c>
      <c r="E38" t="s">
        <v>105</v>
      </c>
      <c r="F38" t="s">
        <v>105</v>
      </c>
      <c r="G38" t="s">
        <v>442</v>
      </c>
      <c r="H38" t="s">
        <v>196</v>
      </c>
      <c r="I38" t="s">
        <v>1499</v>
      </c>
      <c r="K38">
        <f t="shared" si="0"/>
        <v>1</v>
      </c>
    </row>
    <row r="39" spans="1:11">
      <c r="A39">
        <v>31</v>
      </c>
      <c r="B39" t="s">
        <v>1283</v>
      </c>
      <c r="C39" t="s">
        <v>1289</v>
      </c>
      <c r="D39" t="s">
        <v>1500</v>
      </c>
      <c r="E39" t="s">
        <v>105</v>
      </c>
      <c r="F39" t="s">
        <v>105</v>
      </c>
      <c r="G39" t="s">
        <v>442</v>
      </c>
      <c r="H39" t="s">
        <v>196</v>
      </c>
      <c r="I39" t="s">
        <v>1501</v>
      </c>
      <c r="K39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K50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1502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IFERROR(SUM(K9:K50)/COUNTA(A9:A50),0)</f>
        <v>1</v>
      </c>
      <c r="C4" s="1" t="s">
        <v>8</v>
      </c>
      <c r="D4" s="2">
        <f>COUNTIF(H9:H50,"covered")</f>
        <v>42</v>
      </c>
      <c r="E4" s="1" t="s">
        <v>9</v>
      </c>
      <c r="F4" s="2">
        <f>COUNTIF(H9:H50,"partial")</f>
        <v>0</v>
      </c>
      <c r="G4" s="1" t="s">
        <v>10</v>
      </c>
      <c r="H4" s="2">
        <f>COUNTIF(H9:H50,"missing")</f>
        <v>0</v>
      </c>
      <c r="I4" s="1" t="s">
        <v>11</v>
      </c>
      <c r="J4" s="2">
        <f>COUNTIF(F9:F50,"no")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7" t="s">
        <v>105</v>
      </c>
      <c r="G9" s="4" t="s">
        <v>442</v>
      </c>
      <c r="H9" s="12" t="s">
        <v>196</v>
      </c>
      <c r="I9" s="5" t="s">
        <v>1503</v>
      </c>
      <c r="J9" s="5"/>
      <c r="K9" s="6">
        <f t="shared" ref="K9:K50" si="0">IF(AND(E9="yes",F9="yes",H9="covered"),1,IF(AND(E9="yes",H9="partial"),0.5,0))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7" t="s">
        <v>105</v>
      </c>
      <c r="G10" s="4" t="s">
        <v>442</v>
      </c>
      <c r="H10" s="12" t="s">
        <v>196</v>
      </c>
      <c r="I10" s="5" t="s">
        <v>1503</v>
      </c>
      <c r="J10" s="5"/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43</v>
      </c>
      <c r="D11" s="5" t="s">
        <v>104</v>
      </c>
      <c r="E11" s="7" t="s">
        <v>105</v>
      </c>
      <c r="F11" s="7" t="s">
        <v>105</v>
      </c>
      <c r="G11" s="4" t="s">
        <v>442</v>
      </c>
      <c r="H11" s="11" t="s">
        <v>196</v>
      </c>
      <c r="I11" s="5" t="s">
        <v>1504</v>
      </c>
      <c r="J11" s="5"/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43</v>
      </c>
      <c r="D12" s="5" t="s">
        <v>110</v>
      </c>
      <c r="E12" s="7" t="s">
        <v>105</v>
      </c>
      <c r="F12" s="7" t="s">
        <v>105</v>
      </c>
      <c r="G12" s="4" t="s">
        <v>442</v>
      </c>
      <c r="H12" s="11" t="s">
        <v>196</v>
      </c>
      <c r="I12" s="5" t="s">
        <v>1504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43</v>
      </c>
      <c r="D13" s="5" t="s">
        <v>111</v>
      </c>
      <c r="E13" s="7" t="s">
        <v>105</v>
      </c>
      <c r="F13" s="7" t="s">
        <v>105</v>
      </c>
      <c r="G13" s="4" t="s">
        <v>442</v>
      </c>
      <c r="H13" s="11" t="s">
        <v>196</v>
      </c>
      <c r="I13" s="5" t="s">
        <v>1504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43</v>
      </c>
      <c r="D14" s="5" t="s">
        <v>112</v>
      </c>
      <c r="E14" s="7" t="s">
        <v>105</v>
      </c>
      <c r="F14" s="7" t="s">
        <v>105</v>
      </c>
      <c r="G14" s="4" t="s">
        <v>442</v>
      </c>
      <c r="H14" s="11" t="s">
        <v>196</v>
      </c>
      <c r="I14" s="5" t="s">
        <v>1504</v>
      </c>
      <c r="J14" s="5"/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43</v>
      </c>
      <c r="D15" s="5" t="s">
        <v>1505</v>
      </c>
      <c r="E15" s="7" t="s">
        <v>105</v>
      </c>
      <c r="F15" s="7" t="s">
        <v>105</v>
      </c>
      <c r="G15" s="4" t="s">
        <v>442</v>
      </c>
      <c r="H15" s="11" t="s">
        <v>196</v>
      </c>
      <c r="I15" s="5" t="s">
        <v>1504</v>
      </c>
      <c r="J15" s="5"/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43</v>
      </c>
      <c r="D16" s="5" t="s">
        <v>1506</v>
      </c>
      <c r="E16" s="7" t="s">
        <v>105</v>
      </c>
      <c r="F16" s="7" t="s">
        <v>105</v>
      </c>
      <c r="G16" s="4" t="s">
        <v>442</v>
      </c>
      <c r="H16" s="11" t="s">
        <v>196</v>
      </c>
      <c r="I16" s="5" t="s">
        <v>1504</v>
      </c>
      <c r="J16" s="5"/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43</v>
      </c>
      <c r="D17" s="5" t="s">
        <v>1507</v>
      </c>
      <c r="E17" s="7" t="s">
        <v>105</v>
      </c>
      <c r="F17" s="7" t="s">
        <v>105</v>
      </c>
      <c r="G17" s="4" t="s">
        <v>442</v>
      </c>
      <c r="H17" s="11" t="s">
        <v>196</v>
      </c>
      <c r="I17" s="5" t="s">
        <v>1504</v>
      </c>
      <c r="J17" s="5"/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43</v>
      </c>
      <c r="D18" s="5" t="s">
        <v>1508</v>
      </c>
      <c r="E18" s="7" t="s">
        <v>105</v>
      </c>
      <c r="F18" s="7" t="s">
        <v>105</v>
      </c>
      <c r="G18" s="4" t="s">
        <v>442</v>
      </c>
      <c r="H18" s="11" t="s">
        <v>196</v>
      </c>
      <c r="I18" s="5" t="s">
        <v>1504</v>
      </c>
      <c r="J18" s="5"/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43</v>
      </c>
      <c r="D19" s="5" t="s">
        <v>1509</v>
      </c>
      <c r="E19" s="7" t="s">
        <v>105</v>
      </c>
      <c r="F19" s="7" t="s">
        <v>105</v>
      </c>
      <c r="G19" s="4" t="s">
        <v>442</v>
      </c>
      <c r="H19" s="11" t="s">
        <v>196</v>
      </c>
      <c r="I19" s="5" t="s">
        <v>1504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7" t="s">
        <v>105</v>
      </c>
      <c r="G20" s="4" t="s">
        <v>442</v>
      </c>
      <c r="H20" s="11" t="s">
        <v>196</v>
      </c>
      <c r="I20" s="5" t="s">
        <v>1504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7" t="s">
        <v>105</v>
      </c>
      <c r="G21" s="4" t="s">
        <v>442</v>
      </c>
      <c r="H21" s="11" t="s">
        <v>196</v>
      </c>
      <c r="I21" s="5" t="s">
        <v>1504</v>
      </c>
      <c r="J21" s="5"/>
      <c r="K21" s="6">
        <f t="shared" si="0"/>
        <v>1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7" t="s">
        <v>105</v>
      </c>
      <c r="G22" s="4" t="s">
        <v>442</v>
      </c>
      <c r="H22" s="11" t="s">
        <v>196</v>
      </c>
      <c r="I22" s="5" t="s">
        <v>1504</v>
      </c>
      <c r="J22" s="5"/>
      <c r="K22" s="6">
        <f t="shared" si="0"/>
        <v>1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7" t="s">
        <v>105</v>
      </c>
      <c r="G23" s="4" t="s">
        <v>442</v>
      </c>
      <c r="H23" s="11" t="s">
        <v>196</v>
      </c>
      <c r="I23" s="5" t="s">
        <v>1504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7" t="s">
        <v>105</v>
      </c>
      <c r="G24" s="4" t="s">
        <v>442</v>
      </c>
      <c r="H24" s="11" t="s">
        <v>196</v>
      </c>
      <c r="I24" s="5" t="s">
        <v>1504</v>
      </c>
      <c r="J24" s="5"/>
      <c r="K24" s="6">
        <f t="shared" si="0"/>
        <v>1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7" t="s">
        <v>105</v>
      </c>
      <c r="G25" s="4" t="s">
        <v>442</v>
      </c>
      <c r="H25" s="11" t="s">
        <v>196</v>
      </c>
      <c r="I25" s="5" t="s">
        <v>1504</v>
      </c>
      <c r="J25" s="5"/>
      <c r="K25" s="6">
        <f t="shared" si="0"/>
        <v>1</v>
      </c>
    </row>
    <row r="26" spans="1:11" ht="15" customHeight="1">
      <c r="A26" s="4">
        <v>18</v>
      </c>
      <c r="B26" s="5" t="s">
        <v>133</v>
      </c>
      <c r="C26" s="5" t="s">
        <v>121</v>
      </c>
      <c r="D26" s="5" t="s">
        <v>1510</v>
      </c>
      <c r="E26" s="7" t="s">
        <v>105</v>
      </c>
      <c r="F26" s="7" t="s">
        <v>105</v>
      </c>
      <c r="G26" s="4" t="s">
        <v>442</v>
      </c>
      <c r="H26" s="11" t="s">
        <v>196</v>
      </c>
      <c r="I26" s="5" t="s">
        <v>1504</v>
      </c>
      <c r="J26" s="5"/>
      <c r="K26" s="6">
        <f t="shared" si="0"/>
        <v>1</v>
      </c>
    </row>
    <row r="27" spans="1:11" ht="15" customHeight="1">
      <c r="A27" s="4">
        <v>19</v>
      </c>
      <c r="B27" s="5" t="s">
        <v>130</v>
      </c>
      <c r="C27" s="5" t="s">
        <v>121</v>
      </c>
      <c r="D27" s="5" t="s">
        <v>131</v>
      </c>
      <c r="E27" s="7" t="s">
        <v>105</v>
      </c>
      <c r="F27" s="7" t="s">
        <v>105</v>
      </c>
      <c r="G27" s="4" t="s">
        <v>442</v>
      </c>
      <c r="H27" s="11" t="s">
        <v>196</v>
      </c>
      <c r="I27" s="5" t="s">
        <v>1504</v>
      </c>
      <c r="J27" s="5"/>
      <c r="K27" s="6">
        <f t="shared" si="0"/>
        <v>1</v>
      </c>
    </row>
    <row r="28" spans="1:11" ht="15" customHeight="1">
      <c r="A28" s="4">
        <v>20</v>
      </c>
      <c r="B28" s="5" t="s">
        <v>130</v>
      </c>
      <c r="C28" s="5" t="s">
        <v>121</v>
      </c>
      <c r="D28" s="5" t="s">
        <v>132</v>
      </c>
      <c r="E28" s="7" t="s">
        <v>105</v>
      </c>
      <c r="F28" s="7" t="s">
        <v>105</v>
      </c>
      <c r="G28" s="4" t="s">
        <v>442</v>
      </c>
      <c r="H28" s="11" t="s">
        <v>196</v>
      </c>
      <c r="I28" s="5" t="s">
        <v>1504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142</v>
      </c>
      <c r="E29" s="7" t="s">
        <v>105</v>
      </c>
      <c r="F29" s="7" t="s">
        <v>105</v>
      </c>
      <c r="G29" s="4" t="s">
        <v>442</v>
      </c>
      <c r="H29" s="11" t="s">
        <v>196</v>
      </c>
      <c r="I29" s="5" t="s">
        <v>1504</v>
      </c>
      <c r="J29" s="5"/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1511</v>
      </c>
      <c r="E30" s="7" t="s">
        <v>105</v>
      </c>
      <c r="F30" s="7" t="s">
        <v>105</v>
      </c>
      <c r="G30" s="4" t="s">
        <v>442</v>
      </c>
      <c r="H30" s="11" t="s">
        <v>196</v>
      </c>
      <c r="I30" s="5" t="s">
        <v>1504</v>
      </c>
      <c r="J30" s="5"/>
      <c r="K30" s="6">
        <f t="shared" si="0"/>
        <v>1</v>
      </c>
    </row>
    <row r="31" spans="1:11" ht="15" customHeight="1">
      <c r="A31" s="4">
        <v>23</v>
      </c>
      <c r="B31" s="5" t="s">
        <v>120</v>
      </c>
      <c r="C31" s="5" t="s">
        <v>150</v>
      </c>
      <c r="D31" s="5" t="s">
        <v>122</v>
      </c>
      <c r="E31" s="7" t="s">
        <v>105</v>
      </c>
      <c r="F31" s="7" t="s">
        <v>105</v>
      </c>
      <c r="G31" s="4" t="s">
        <v>442</v>
      </c>
      <c r="H31" s="11" t="s">
        <v>196</v>
      </c>
      <c r="I31" s="5" t="s">
        <v>1504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120</v>
      </c>
      <c r="C32" s="5" t="s">
        <v>150</v>
      </c>
      <c r="D32" s="5" t="s">
        <v>123</v>
      </c>
      <c r="E32" s="7" t="s">
        <v>105</v>
      </c>
      <c r="F32" s="7" t="s">
        <v>105</v>
      </c>
      <c r="G32" s="4" t="s">
        <v>442</v>
      </c>
      <c r="H32" s="11" t="s">
        <v>196</v>
      </c>
      <c r="I32" s="5" t="s">
        <v>1504</v>
      </c>
      <c r="J32" s="5"/>
      <c r="K32" s="6">
        <f t="shared" si="0"/>
        <v>1</v>
      </c>
    </row>
    <row r="33" spans="1:11" ht="30" customHeight="1">
      <c r="A33" s="4">
        <v>25</v>
      </c>
      <c r="B33" s="5" t="s">
        <v>124</v>
      </c>
      <c r="C33" s="5" t="s">
        <v>150</v>
      </c>
      <c r="D33" s="5" t="s">
        <v>125</v>
      </c>
      <c r="E33" s="7" t="s">
        <v>105</v>
      </c>
      <c r="F33" s="7" t="s">
        <v>105</v>
      </c>
      <c r="G33" s="4" t="s">
        <v>442</v>
      </c>
      <c r="H33" s="11" t="s">
        <v>196</v>
      </c>
      <c r="I33" s="5" t="s">
        <v>1504</v>
      </c>
      <c r="J33" s="5"/>
      <c r="K33" s="6">
        <f t="shared" si="0"/>
        <v>1</v>
      </c>
    </row>
    <row r="34" spans="1:11" ht="15" customHeight="1">
      <c r="A34" s="4">
        <v>26</v>
      </c>
      <c r="B34" s="5" t="s">
        <v>124</v>
      </c>
      <c r="C34" s="5" t="s">
        <v>150</v>
      </c>
      <c r="D34" s="5" t="s">
        <v>126</v>
      </c>
      <c r="E34" s="7" t="s">
        <v>105</v>
      </c>
      <c r="F34" s="7" t="s">
        <v>105</v>
      </c>
      <c r="G34" s="4" t="s">
        <v>442</v>
      </c>
      <c r="H34" s="11" t="s">
        <v>196</v>
      </c>
      <c r="I34" s="5" t="s">
        <v>1504</v>
      </c>
      <c r="J34" s="5"/>
      <c r="K34" s="6">
        <f t="shared" si="0"/>
        <v>1</v>
      </c>
    </row>
    <row r="35" spans="1:11" ht="15" customHeight="1">
      <c r="A35" s="4">
        <v>27</v>
      </c>
      <c r="B35" s="5" t="s">
        <v>95</v>
      </c>
      <c r="C35" s="5" t="s">
        <v>150</v>
      </c>
      <c r="D35" s="5" t="s">
        <v>127</v>
      </c>
      <c r="E35" s="7" t="s">
        <v>105</v>
      </c>
      <c r="F35" s="7" t="s">
        <v>105</v>
      </c>
      <c r="G35" s="4" t="s">
        <v>442</v>
      </c>
      <c r="H35" s="11" t="s">
        <v>196</v>
      </c>
      <c r="I35" s="5" t="s">
        <v>1504</v>
      </c>
      <c r="J35" s="5"/>
      <c r="K35" s="6">
        <f t="shared" si="0"/>
        <v>1</v>
      </c>
    </row>
    <row r="36" spans="1:11" ht="15" customHeight="1">
      <c r="A36" s="4">
        <v>28</v>
      </c>
      <c r="B36" s="5" t="s">
        <v>128</v>
      </c>
      <c r="C36" s="5" t="s">
        <v>150</v>
      </c>
      <c r="D36" s="5" t="s">
        <v>129</v>
      </c>
      <c r="E36" s="7" t="s">
        <v>105</v>
      </c>
      <c r="F36" s="7" t="s">
        <v>105</v>
      </c>
      <c r="G36" s="4" t="s">
        <v>442</v>
      </c>
      <c r="H36" s="11" t="s">
        <v>196</v>
      </c>
      <c r="I36" s="5" t="s">
        <v>1504</v>
      </c>
      <c r="J36" s="5"/>
      <c r="K36" s="6">
        <f t="shared" si="0"/>
        <v>1</v>
      </c>
    </row>
    <row r="37" spans="1:11" ht="15" customHeight="1">
      <c r="A37" s="4">
        <v>29</v>
      </c>
      <c r="B37" s="5" t="s">
        <v>135</v>
      </c>
      <c r="C37" s="5" t="s">
        <v>150</v>
      </c>
      <c r="D37" s="5" t="s">
        <v>140</v>
      </c>
      <c r="E37" s="7" t="s">
        <v>105</v>
      </c>
      <c r="F37" s="7" t="s">
        <v>105</v>
      </c>
      <c r="G37" s="4" t="s">
        <v>442</v>
      </c>
      <c r="H37" s="11" t="s">
        <v>196</v>
      </c>
      <c r="I37" s="5" t="s">
        <v>1504</v>
      </c>
      <c r="J37" s="5"/>
      <c r="K37" s="6">
        <f t="shared" si="0"/>
        <v>1</v>
      </c>
    </row>
    <row r="38" spans="1:11" ht="15" customHeight="1">
      <c r="A38" s="4">
        <v>30</v>
      </c>
      <c r="B38" s="5" t="s">
        <v>130</v>
      </c>
      <c r="C38" s="5" t="s">
        <v>150</v>
      </c>
      <c r="D38" s="5" t="s">
        <v>131</v>
      </c>
      <c r="E38" s="7" t="s">
        <v>105</v>
      </c>
      <c r="F38" s="7" t="s">
        <v>105</v>
      </c>
      <c r="G38" s="4" t="s">
        <v>442</v>
      </c>
      <c r="H38" s="11" t="s">
        <v>196</v>
      </c>
      <c r="I38" s="5" t="s">
        <v>1504</v>
      </c>
      <c r="J38" s="5"/>
      <c r="K38" s="6">
        <f t="shared" si="0"/>
        <v>1</v>
      </c>
    </row>
    <row r="39" spans="1:11" ht="15" customHeight="1">
      <c r="A39" s="4">
        <v>31</v>
      </c>
      <c r="B39" s="5" t="s">
        <v>130</v>
      </c>
      <c r="C39" s="5" t="s">
        <v>150</v>
      </c>
      <c r="D39" s="5" t="s">
        <v>132</v>
      </c>
      <c r="E39" s="7" t="s">
        <v>105</v>
      </c>
      <c r="F39" s="7" t="s">
        <v>105</v>
      </c>
      <c r="G39" s="4" t="s">
        <v>442</v>
      </c>
      <c r="H39" s="11" t="s">
        <v>196</v>
      </c>
      <c r="I39" s="5" t="s">
        <v>1504</v>
      </c>
      <c r="J39" s="5"/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150</v>
      </c>
      <c r="D40" s="5" t="s">
        <v>142</v>
      </c>
      <c r="E40" s="7" t="s">
        <v>105</v>
      </c>
      <c r="F40" s="7" t="s">
        <v>105</v>
      </c>
      <c r="G40" s="4" t="s">
        <v>442</v>
      </c>
      <c r="H40" s="11" t="s">
        <v>196</v>
      </c>
      <c r="I40" s="5" t="s">
        <v>1504</v>
      </c>
      <c r="J40" s="5"/>
      <c r="K40" s="6">
        <f t="shared" si="0"/>
        <v>1</v>
      </c>
    </row>
    <row r="41" spans="1:11" ht="15" customHeight="1">
      <c r="A41" s="4">
        <v>33</v>
      </c>
      <c r="B41" s="5" t="s">
        <v>135</v>
      </c>
      <c r="C41" s="5" t="s">
        <v>150</v>
      </c>
      <c r="D41" s="5" t="s">
        <v>144</v>
      </c>
      <c r="E41" s="7" t="s">
        <v>105</v>
      </c>
      <c r="F41" s="7" t="s">
        <v>105</v>
      </c>
      <c r="G41" s="4" t="s">
        <v>442</v>
      </c>
      <c r="H41" s="11" t="s">
        <v>196</v>
      </c>
      <c r="I41" s="5" t="s">
        <v>1504</v>
      </c>
      <c r="J41" s="5"/>
      <c r="K41" s="6">
        <f t="shared" si="0"/>
        <v>1</v>
      </c>
    </row>
    <row r="42" spans="1:11" ht="15" customHeight="1">
      <c r="A42" s="4">
        <v>34</v>
      </c>
      <c r="B42" s="5" t="s">
        <v>153</v>
      </c>
      <c r="C42" s="5" t="s">
        <v>154</v>
      </c>
      <c r="D42" s="5" t="s">
        <v>156</v>
      </c>
      <c r="E42" s="7" t="s">
        <v>105</v>
      </c>
      <c r="F42" s="7" t="s">
        <v>105</v>
      </c>
      <c r="G42" s="4" t="s">
        <v>442</v>
      </c>
      <c r="H42" s="11" t="s">
        <v>196</v>
      </c>
      <c r="I42" s="5" t="s">
        <v>1504</v>
      </c>
      <c r="J42" s="5"/>
      <c r="K42" s="6">
        <f t="shared" si="0"/>
        <v>1</v>
      </c>
    </row>
    <row r="43" spans="1:11" ht="15" customHeight="1">
      <c r="A43" s="4">
        <v>35</v>
      </c>
      <c r="B43" s="5" t="s">
        <v>159</v>
      </c>
      <c r="C43" s="5" t="s">
        <v>154</v>
      </c>
      <c r="D43" s="5" t="s">
        <v>160</v>
      </c>
      <c r="E43" s="7" t="s">
        <v>105</v>
      </c>
      <c r="F43" s="7" t="s">
        <v>105</v>
      </c>
      <c r="G43" s="4" t="s">
        <v>442</v>
      </c>
      <c r="H43" s="11" t="s">
        <v>196</v>
      </c>
      <c r="I43" s="5" t="s">
        <v>1504</v>
      </c>
      <c r="J43" s="5"/>
      <c r="K43" s="6">
        <f t="shared" si="0"/>
        <v>1</v>
      </c>
    </row>
    <row r="44" spans="1:11" ht="15" customHeight="1">
      <c r="A44" s="4">
        <v>36</v>
      </c>
      <c r="B44" s="5" t="s">
        <v>159</v>
      </c>
      <c r="C44" s="5" t="s">
        <v>154</v>
      </c>
      <c r="D44" s="5" t="s">
        <v>1512</v>
      </c>
      <c r="E44" s="7" t="s">
        <v>105</v>
      </c>
      <c r="F44" s="7" t="s">
        <v>105</v>
      </c>
      <c r="G44" s="4" t="s">
        <v>442</v>
      </c>
      <c r="H44" s="11" t="s">
        <v>196</v>
      </c>
      <c r="I44" s="5" t="s">
        <v>1504</v>
      </c>
      <c r="J44" s="5"/>
      <c r="K44" s="6">
        <f t="shared" si="0"/>
        <v>1</v>
      </c>
    </row>
    <row r="45" spans="1:11" ht="15" customHeight="1">
      <c r="A45" s="4">
        <v>37</v>
      </c>
      <c r="B45" s="5" t="s">
        <v>159</v>
      </c>
      <c r="C45" s="5" t="s">
        <v>154</v>
      </c>
      <c r="D45" s="5" t="s">
        <v>162</v>
      </c>
      <c r="E45" s="7" t="s">
        <v>105</v>
      </c>
      <c r="F45" s="7" t="s">
        <v>105</v>
      </c>
      <c r="G45" s="4" t="s">
        <v>442</v>
      </c>
      <c r="H45" s="11" t="s">
        <v>196</v>
      </c>
      <c r="I45" s="5" t="s">
        <v>1504</v>
      </c>
      <c r="J45" s="5"/>
      <c r="K45" s="6">
        <f t="shared" si="0"/>
        <v>1</v>
      </c>
    </row>
    <row r="46" spans="1:11" ht="15" customHeight="1">
      <c r="A46" s="4">
        <v>38</v>
      </c>
      <c r="B46" s="5" t="s">
        <v>130</v>
      </c>
      <c r="C46" s="5" t="s">
        <v>43</v>
      </c>
      <c r="D46" s="5" t="s">
        <v>164</v>
      </c>
      <c r="E46" s="7" t="s">
        <v>105</v>
      </c>
      <c r="F46" s="7" t="s">
        <v>105</v>
      </c>
      <c r="G46" s="4" t="s">
        <v>442</v>
      </c>
      <c r="H46" s="11" t="s">
        <v>196</v>
      </c>
      <c r="I46" s="5" t="s">
        <v>1504</v>
      </c>
      <c r="J46" s="5"/>
      <c r="K46" s="6">
        <f t="shared" si="0"/>
        <v>1</v>
      </c>
    </row>
    <row r="47" spans="1:11" ht="15" customHeight="1">
      <c r="A47" s="4">
        <v>39</v>
      </c>
      <c r="B47" s="5" t="s">
        <v>130</v>
      </c>
      <c r="C47" s="5" t="s">
        <v>43</v>
      </c>
      <c r="D47" s="5" t="s">
        <v>165</v>
      </c>
      <c r="E47" s="7" t="s">
        <v>105</v>
      </c>
      <c r="F47" s="7" t="s">
        <v>105</v>
      </c>
      <c r="G47" s="4" t="s">
        <v>442</v>
      </c>
      <c r="H47" s="11" t="s">
        <v>196</v>
      </c>
      <c r="I47" s="5" t="s">
        <v>1504</v>
      </c>
      <c r="J47" s="5"/>
      <c r="K47" s="6">
        <f t="shared" si="0"/>
        <v>1</v>
      </c>
    </row>
    <row r="48" spans="1:11" ht="15" customHeight="1">
      <c r="A48" s="4">
        <v>40</v>
      </c>
      <c r="B48" s="5" t="s">
        <v>130</v>
      </c>
      <c r="C48" s="5" t="s">
        <v>43</v>
      </c>
      <c r="D48" s="5" t="s">
        <v>167</v>
      </c>
      <c r="E48" s="7" t="s">
        <v>105</v>
      </c>
      <c r="F48" s="7" t="s">
        <v>105</v>
      </c>
      <c r="G48" s="4" t="s">
        <v>442</v>
      </c>
      <c r="H48" s="11" t="s">
        <v>196</v>
      </c>
      <c r="I48" s="5" t="s">
        <v>1504</v>
      </c>
      <c r="J48" s="5"/>
      <c r="K48" s="6">
        <f t="shared" si="0"/>
        <v>1</v>
      </c>
    </row>
    <row r="49" spans="1:11" ht="15" customHeight="1">
      <c r="A49" s="4">
        <v>41</v>
      </c>
      <c r="B49" s="5" t="s">
        <v>130</v>
      </c>
      <c r="C49" s="5" t="s">
        <v>43</v>
      </c>
      <c r="D49" s="5" t="s">
        <v>168</v>
      </c>
      <c r="E49" s="7" t="s">
        <v>105</v>
      </c>
      <c r="F49" s="7" t="s">
        <v>105</v>
      </c>
      <c r="G49" s="4" t="s">
        <v>442</v>
      </c>
      <c r="H49" s="11" t="s">
        <v>196</v>
      </c>
      <c r="I49" s="5" t="s">
        <v>1504</v>
      </c>
      <c r="J49" s="5"/>
      <c r="K49" s="6">
        <f t="shared" si="0"/>
        <v>1</v>
      </c>
    </row>
    <row r="50" spans="1:11" ht="15" customHeight="1">
      <c r="A50" s="4">
        <v>42</v>
      </c>
      <c r="B50" s="5" t="s">
        <v>179</v>
      </c>
      <c r="C50" s="5" t="s">
        <v>43</v>
      </c>
      <c r="D50" s="5" t="s">
        <v>184</v>
      </c>
      <c r="E50" s="7" t="s">
        <v>105</v>
      </c>
      <c r="F50" s="7" t="s">
        <v>105</v>
      </c>
      <c r="G50" s="4" t="s">
        <v>442</v>
      </c>
      <c r="H50" s="11" t="s">
        <v>196</v>
      </c>
      <c r="I50" s="5" t="s">
        <v>1504</v>
      </c>
      <c r="J50" s="5"/>
      <c r="K50" s="6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K128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1513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120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442</v>
      </c>
      <c r="H9" s="9" t="s">
        <v>196</v>
      </c>
      <c r="I9" s="5" t="s">
        <v>1514</v>
      </c>
      <c r="J9" s="5" t="s">
        <v>1515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442</v>
      </c>
      <c r="H10" s="9" t="s">
        <v>196</v>
      </c>
      <c r="I10" s="5" t="s">
        <v>1514</v>
      </c>
      <c r="J10" s="5" t="s">
        <v>1515</v>
      </c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44</v>
      </c>
      <c r="D11" s="5" t="s">
        <v>104</v>
      </c>
      <c r="E11" s="7" t="s">
        <v>105</v>
      </c>
      <c r="F11" s="8" t="s">
        <v>105</v>
      </c>
      <c r="G11" s="4" t="s">
        <v>442</v>
      </c>
      <c r="H11" s="9" t="s">
        <v>196</v>
      </c>
      <c r="I11" s="5" t="s">
        <v>1514</v>
      </c>
      <c r="J11" s="5" t="s">
        <v>1515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44</v>
      </c>
      <c r="D12" s="5" t="s">
        <v>110</v>
      </c>
      <c r="E12" s="7" t="s">
        <v>105</v>
      </c>
      <c r="F12" s="8" t="s">
        <v>105</v>
      </c>
      <c r="G12" s="4" t="s">
        <v>442</v>
      </c>
      <c r="H12" s="9" t="s">
        <v>196</v>
      </c>
      <c r="I12" s="5" t="s">
        <v>1514</v>
      </c>
      <c r="J12" s="5" t="s">
        <v>1515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44</v>
      </c>
      <c r="D13" s="5" t="s">
        <v>111</v>
      </c>
      <c r="E13" s="7" t="s">
        <v>105</v>
      </c>
      <c r="F13" s="8" t="s">
        <v>105</v>
      </c>
      <c r="G13" s="4" t="s">
        <v>442</v>
      </c>
      <c r="H13" s="9" t="s">
        <v>196</v>
      </c>
      <c r="I13" s="5" t="s">
        <v>1514</v>
      </c>
      <c r="J13" s="5" t="s">
        <v>1515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44</v>
      </c>
      <c r="D14" s="5" t="s">
        <v>112</v>
      </c>
      <c r="E14" s="7" t="s">
        <v>105</v>
      </c>
      <c r="F14" s="8" t="s">
        <v>105</v>
      </c>
      <c r="G14" s="4" t="s">
        <v>442</v>
      </c>
      <c r="H14" s="9" t="s">
        <v>196</v>
      </c>
      <c r="I14" s="5" t="s">
        <v>1514</v>
      </c>
      <c r="J14" s="5" t="s">
        <v>1515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44</v>
      </c>
      <c r="D15" s="5" t="s">
        <v>1516</v>
      </c>
      <c r="E15" s="7" t="s">
        <v>105</v>
      </c>
      <c r="F15" s="8" t="s">
        <v>105</v>
      </c>
      <c r="G15" s="4" t="s">
        <v>442</v>
      </c>
      <c r="H15" s="9" t="s">
        <v>196</v>
      </c>
      <c r="I15" s="5" t="s">
        <v>1514</v>
      </c>
      <c r="J15" s="5" t="s">
        <v>1515</v>
      </c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44</v>
      </c>
      <c r="D16" s="5" t="s">
        <v>1517</v>
      </c>
      <c r="E16" s="7" t="s">
        <v>105</v>
      </c>
      <c r="F16" s="8" t="s">
        <v>105</v>
      </c>
      <c r="G16" s="4" t="s">
        <v>442</v>
      </c>
      <c r="H16" s="9" t="s">
        <v>196</v>
      </c>
      <c r="I16" s="5" t="s">
        <v>1514</v>
      </c>
      <c r="J16" s="5" t="s">
        <v>1515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44</v>
      </c>
      <c r="D17" s="5" t="s">
        <v>1518</v>
      </c>
      <c r="E17" s="7" t="s">
        <v>105</v>
      </c>
      <c r="F17" s="8" t="s">
        <v>105</v>
      </c>
      <c r="G17" s="4" t="s">
        <v>442</v>
      </c>
      <c r="H17" s="9" t="s">
        <v>196</v>
      </c>
      <c r="I17" s="5" t="s">
        <v>1514</v>
      </c>
      <c r="J17" s="5" t="s">
        <v>1515</v>
      </c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44</v>
      </c>
      <c r="D18" s="5" t="s">
        <v>1519</v>
      </c>
      <c r="E18" s="7" t="s">
        <v>105</v>
      </c>
      <c r="F18" s="8" t="s">
        <v>105</v>
      </c>
      <c r="G18" s="4" t="s">
        <v>442</v>
      </c>
      <c r="H18" s="9" t="s">
        <v>196</v>
      </c>
      <c r="I18" s="5" t="s">
        <v>1514</v>
      </c>
      <c r="J18" s="5" t="s">
        <v>1515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44</v>
      </c>
      <c r="D19" s="5" t="s">
        <v>1520</v>
      </c>
      <c r="E19" s="7" t="s">
        <v>105</v>
      </c>
      <c r="F19" s="8" t="s">
        <v>105</v>
      </c>
      <c r="G19" s="4" t="s">
        <v>442</v>
      </c>
      <c r="H19" s="9" t="s">
        <v>196</v>
      </c>
      <c r="I19" s="5" t="s">
        <v>1514</v>
      </c>
      <c r="J19" s="5" t="s">
        <v>1515</v>
      </c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44</v>
      </c>
      <c r="D20" s="5" t="s">
        <v>1521</v>
      </c>
      <c r="E20" s="7" t="s">
        <v>105</v>
      </c>
      <c r="F20" s="8" t="s">
        <v>105</v>
      </c>
      <c r="G20" s="4" t="s">
        <v>442</v>
      </c>
      <c r="H20" s="9" t="s">
        <v>196</v>
      </c>
      <c r="I20" s="5" t="s">
        <v>1514</v>
      </c>
      <c r="J20" s="5" t="s">
        <v>1515</v>
      </c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442</v>
      </c>
      <c r="H21" s="9" t="s">
        <v>196</v>
      </c>
      <c r="I21" s="5" t="s">
        <v>1514</v>
      </c>
      <c r="J21" s="5" t="s">
        <v>1515</v>
      </c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442</v>
      </c>
      <c r="H22" s="9" t="s">
        <v>196</v>
      </c>
      <c r="I22" s="5" t="s">
        <v>1514</v>
      </c>
      <c r="J22" s="5" t="s">
        <v>1515</v>
      </c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442</v>
      </c>
      <c r="H23" s="9" t="s">
        <v>196</v>
      </c>
      <c r="I23" s="5" t="s">
        <v>1514</v>
      </c>
      <c r="J23" s="5" t="s">
        <v>1515</v>
      </c>
      <c r="K23" s="6">
        <f t="shared" si="0"/>
        <v>1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442</v>
      </c>
      <c r="H24" s="9" t="s">
        <v>196</v>
      </c>
      <c r="I24" s="5" t="s">
        <v>1514</v>
      </c>
      <c r="J24" s="5" t="s">
        <v>1515</v>
      </c>
      <c r="K24" s="6">
        <f t="shared" si="0"/>
        <v>1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442</v>
      </c>
      <c r="H25" s="9" t="s">
        <v>196</v>
      </c>
      <c r="I25" s="5" t="s">
        <v>1514</v>
      </c>
      <c r="J25" s="5" t="s">
        <v>1515</v>
      </c>
      <c r="K25" s="6">
        <f t="shared" si="0"/>
        <v>1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442</v>
      </c>
      <c r="H26" s="9" t="s">
        <v>196</v>
      </c>
      <c r="I26" s="5" t="s">
        <v>1514</v>
      </c>
      <c r="J26" s="5" t="s">
        <v>1515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105</v>
      </c>
      <c r="G27" s="4" t="s">
        <v>442</v>
      </c>
      <c r="H27" s="9" t="s">
        <v>196</v>
      </c>
      <c r="I27" s="5" t="s">
        <v>1514</v>
      </c>
      <c r="J27" s="5" t="s">
        <v>1515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105</v>
      </c>
      <c r="G28" s="4" t="s">
        <v>442</v>
      </c>
      <c r="H28" s="9" t="s">
        <v>196</v>
      </c>
      <c r="I28" s="5" t="s">
        <v>1514</v>
      </c>
      <c r="J28" s="5" t="s">
        <v>1515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105</v>
      </c>
      <c r="G29" s="4" t="s">
        <v>442</v>
      </c>
      <c r="H29" s="9" t="s">
        <v>196</v>
      </c>
      <c r="I29" s="5" t="s">
        <v>1514</v>
      </c>
      <c r="J29" s="5" t="s">
        <v>1515</v>
      </c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1330</v>
      </c>
      <c r="E30" s="7" t="s">
        <v>105</v>
      </c>
      <c r="F30" s="8" t="s">
        <v>105</v>
      </c>
      <c r="G30" s="4" t="s">
        <v>442</v>
      </c>
      <c r="H30" s="9" t="s">
        <v>196</v>
      </c>
      <c r="I30" s="5" t="s">
        <v>1514</v>
      </c>
      <c r="J30" s="5" t="s">
        <v>1515</v>
      </c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140</v>
      </c>
      <c r="E31" s="7" t="s">
        <v>105</v>
      </c>
      <c r="F31" s="8" t="s">
        <v>105</v>
      </c>
      <c r="G31" s="4" t="s">
        <v>442</v>
      </c>
      <c r="H31" s="9" t="s">
        <v>196</v>
      </c>
      <c r="I31" s="5" t="s">
        <v>1514</v>
      </c>
      <c r="J31" s="5" t="s">
        <v>1515</v>
      </c>
      <c r="K31" s="6">
        <f t="shared" si="0"/>
        <v>1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610</v>
      </c>
      <c r="E32" s="7" t="s">
        <v>105</v>
      </c>
      <c r="F32" s="8" t="s">
        <v>105</v>
      </c>
      <c r="G32" s="4" t="s">
        <v>442</v>
      </c>
      <c r="H32" s="9" t="s">
        <v>196</v>
      </c>
      <c r="I32" s="5" t="s">
        <v>1514</v>
      </c>
      <c r="J32" s="5" t="s">
        <v>1515</v>
      </c>
      <c r="K32" s="6">
        <f t="shared" si="0"/>
        <v>1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612</v>
      </c>
      <c r="E33" s="7" t="s">
        <v>105</v>
      </c>
      <c r="F33" s="8" t="s">
        <v>105</v>
      </c>
      <c r="G33" s="4" t="s">
        <v>442</v>
      </c>
      <c r="H33" s="9" t="s">
        <v>196</v>
      </c>
      <c r="I33" s="5" t="s">
        <v>1514</v>
      </c>
      <c r="J33" s="5" t="s">
        <v>1515</v>
      </c>
      <c r="K33" s="6">
        <f t="shared" si="0"/>
        <v>1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611</v>
      </c>
      <c r="E34" s="7" t="s">
        <v>105</v>
      </c>
      <c r="F34" s="8" t="s">
        <v>105</v>
      </c>
      <c r="G34" s="4" t="s">
        <v>442</v>
      </c>
      <c r="H34" s="9" t="s">
        <v>196</v>
      </c>
      <c r="I34" s="5" t="s">
        <v>1514</v>
      </c>
      <c r="J34" s="5" t="s">
        <v>1515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141</v>
      </c>
      <c r="E35" s="7" t="s">
        <v>105</v>
      </c>
      <c r="F35" s="8" t="s">
        <v>105</v>
      </c>
      <c r="G35" s="4" t="s">
        <v>442</v>
      </c>
      <c r="H35" s="9" t="s">
        <v>196</v>
      </c>
      <c r="I35" s="5" t="s">
        <v>1514</v>
      </c>
      <c r="J35" s="5" t="s">
        <v>1515</v>
      </c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955</v>
      </c>
      <c r="E36" s="7" t="s">
        <v>105</v>
      </c>
      <c r="F36" s="8" t="s">
        <v>105</v>
      </c>
      <c r="G36" s="4" t="s">
        <v>442</v>
      </c>
      <c r="H36" s="9" t="s">
        <v>196</v>
      </c>
      <c r="I36" s="5" t="s">
        <v>1514</v>
      </c>
      <c r="J36" s="5" t="s">
        <v>1515</v>
      </c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613</v>
      </c>
      <c r="E37" s="7" t="s">
        <v>105</v>
      </c>
      <c r="F37" s="8" t="s">
        <v>105</v>
      </c>
      <c r="G37" s="4" t="s">
        <v>442</v>
      </c>
      <c r="H37" s="9" t="s">
        <v>196</v>
      </c>
      <c r="I37" s="5" t="s">
        <v>1514</v>
      </c>
      <c r="J37" s="5" t="s">
        <v>1515</v>
      </c>
      <c r="K37" s="6">
        <f t="shared" si="0"/>
        <v>1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614</v>
      </c>
      <c r="E38" s="7" t="s">
        <v>105</v>
      </c>
      <c r="F38" s="8" t="s">
        <v>105</v>
      </c>
      <c r="G38" s="4" t="s">
        <v>442</v>
      </c>
      <c r="H38" s="9" t="s">
        <v>196</v>
      </c>
      <c r="I38" s="5" t="s">
        <v>1514</v>
      </c>
      <c r="J38" s="5" t="s">
        <v>1515</v>
      </c>
      <c r="K38" s="6">
        <f t="shared" si="0"/>
        <v>1</v>
      </c>
    </row>
    <row r="39" spans="1:11" ht="15" customHeight="1">
      <c r="A39" s="4">
        <v>31</v>
      </c>
      <c r="B39" s="5" t="s">
        <v>130</v>
      </c>
      <c r="C39" s="5" t="s">
        <v>121</v>
      </c>
      <c r="D39" s="5" t="s">
        <v>131</v>
      </c>
      <c r="E39" s="7" t="s">
        <v>105</v>
      </c>
      <c r="F39" s="8" t="s">
        <v>105</v>
      </c>
      <c r="G39" s="4" t="s">
        <v>442</v>
      </c>
      <c r="H39" s="9" t="s">
        <v>196</v>
      </c>
      <c r="I39" s="5" t="s">
        <v>1514</v>
      </c>
      <c r="J39" s="5" t="s">
        <v>1515</v>
      </c>
      <c r="K39" s="6">
        <f t="shared" si="0"/>
        <v>1</v>
      </c>
    </row>
    <row r="40" spans="1:11" ht="15" customHeight="1">
      <c r="A40" s="4">
        <v>32</v>
      </c>
      <c r="B40" s="5" t="s">
        <v>130</v>
      </c>
      <c r="C40" s="5" t="s">
        <v>121</v>
      </c>
      <c r="D40" s="5" t="s">
        <v>132</v>
      </c>
      <c r="E40" s="7" t="s">
        <v>105</v>
      </c>
      <c r="F40" s="8" t="s">
        <v>105</v>
      </c>
      <c r="G40" s="4" t="s">
        <v>442</v>
      </c>
      <c r="H40" s="9" t="s">
        <v>196</v>
      </c>
      <c r="I40" s="5" t="s">
        <v>1514</v>
      </c>
      <c r="J40" s="5" t="s">
        <v>1515</v>
      </c>
      <c r="K40" s="6">
        <f t="shared" si="0"/>
        <v>1</v>
      </c>
    </row>
    <row r="41" spans="1:11" ht="15" customHeight="1">
      <c r="A41" s="4">
        <v>33</v>
      </c>
      <c r="B41" s="5" t="s">
        <v>133</v>
      </c>
      <c r="C41" s="5" t="s">
        <v>121</v>
      </c>
      <c r="D41" s="5" t="s">
        <v>142</v>
      </c>
      <c r="E41" s="7" t="s">
        <v>105</v>
      </c>
      <c r="F41" s="8" t="s">
        <v>105</v>
      </c>
      <c r="G41" s="4" t="s">
        <v>442</v>
      </c>
      <c r="H41" s="9" t="s">
        <v>196</v>
      </c>
      <c r="I41" s="5" t="s">
        <v>1514</v>
      </c>
      <c r="J41" s="5" t="s">
        <v>1515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133</v>
      </c>
      <c r="C42" s="5" t="s">
        <v>121</v>
      </c>
      <c r="D42" s="5" t="s">
        <v>143</v>
      </c>
      <c r="E42" s="7" t="s">
        <v>105</v>
      </c>
      <c r="F42" s="8" t="s">
        <v>105</v>
      </c>
      <c r="G42" s="4" t="s">
        <v>442</v>
      </c>
      <c r="H42" s="9" t="s">
        <v>196</v>
      </c>
      <c r="I42" s="5" t="s">
        <v>1514</v>
      </c>
      <c r="J42" s="5" t="s">
        <v>1515</v>
      </c>
      <c r="K42" s="6">
        <f t="shared" si="1"/>
        <v>1</v>
      </c>
    </row>
    <row r="43" spans="1:11" ht="15" customHeight="1">
      <c r="A43" s="4">
        <v>35</v>
      </c>
      <c r="B43" s="5" t="s">
        <v>133</v>
      </c>
      <c r="C43" s="5" t="s">
        <v>121</v>
      </c>
      <c r="D43" s="5" t="s">
        <v>1522</v>
      </c>
      <c r="E43" s="7" t="s">
        <v>105</v>
      </c>
      <c r="F43" s="8" t="s">
        <v>105</v>
      </c>
      <c r="G43" s="4" t="s">
        <v>442</v>
      </c>
      <c r="H43" s="9" t="s">
        <v>196</v>
      </c>
      <c r="I43" s="5" t="s">
        <v>1514</v>
      </c>
      <c r="J43" s="5" t="s">
        <v>1515</v>
      </c>
      <c r="K43" s="6">
        <f t="shared" si="1"/>
        <v>1</v>
      </c>
    </row>
    <row r="44" spans="1:11" ht="15" customHeight="1">
      <c r="A44" s="4">
        <v>36</v>
      </c>
      <c r="B44" s="5" t="s">
        <v>133</v>
      </c>
      <c r="C44" s="5" t="s">
        <v>121</v>
      </c>
      <c r="D44" s="5" t="s">
        <v>722</v>
      </c>
      <c r="E44" s="7" t="s">
        <v>105</v>
      </c>
      <c r="F44" s="8" t="s">
        <v>105</v>
      </c>
      <c r="G44" s="4" t="s">
        <v>442</v>
      </c>
      <c r="H44" s="9" t="s">
        <v>196</v>
      </c>
      <c r="I44" s="5" t="s">
        <v>1514</v>
      </c>
      <c r="J44" s="5" t="s">
        <v>1515</v>
      </c>
      <c r="K44" s="6">
        <f t="shared" si="1"/>
        <v>1</v>
      </c>
    </row>
    <row r="45" spans="1:11" ht="15" customHeight="1">
      <c r="A45" s="4">
        <v>37</v>
      </c>
      <c r="B45" s="5" t="s">
        <v>135</v>
      </c>
      <c r="C45" s="5" t="s">
        <v>121</v>
      </c>
      <c r="D45" s="5" t="s">
        <v>144</v>
      </c>
      <c r="E45" s="7" t="s">
        <v>105</v>
      </c>
      <c r="F45" s="8" t="s">
        <v>105</v>
      </c>
      <c r="G45" s="4" t="s">
        <v>442</v>
      </c>
      <c r="H45" s="9" t="s">
        <v>196</v>
      </c>
      <c r="I45" s="5" t="s">
        <v>1514</v>
      </c>
      <c r="J45" s="5" t="s">
        <v>1515</v>
      </c>
      <c r="K45" s="6">
        <f t="shared" si="1"/>
        <v>1</v>
      </c>
    </row>
    <row r="46" spans="1:11" ht="15" customHeight="1">
      <c r="A46" s="4">
        <v>38</v>
      </c>
      <c r="B46" s="5" t="s">
        <v>135</v>
      </c>
      <c r="C46" s="5" t="s">
        <v>121</v>
      </c>
      <c r="D46" s="5" t="s">
        <v>616</v>
      </c>
      <c r="E46" s="7" t="s">
        <v>105</v>
      </c>
      <c r="F46" s="8" t="s">
        <v>105</v>
      </c>
      <c r="G46" s="4" t="s">
        <v>442</v>
      </c>
      <c r="H46" s="9" t="s">
        <v>196</v>
      </c>
      <c r="I46" s="5" t="s">
        <v>1514</v>
      </c>
      <c r="J46" s="5" t="s">
        <v>1515</v>
      </c>
      <c r="K46" s="6">
        <f t="shared" si="1"/>
        <v>1</v>
      </c>
    </row>
    <row r="47" spans="1:11" ht="15" customHeight="1">
      <c r="A47" s="4">
        <v>39</v>
      </c>
      <c r="B47" s="5" t="s">
        <v>135</v>
      </c>
      <c r="C47" s="5" t="s">
        <v>121</v>
      </c>
      <c r="D47" s="5" t="s">
        <v>617</v>
      </c>
      <c r="E47" s="7" t="s">
        <v>105</v>
      </c>
      <c r="F47" s="8" t="s">
        <v>105</v>
      </c>
      <c r="G47" s="4" t="s">
        <v>442</v>
      </c>
      <c r="H47" s="9" t="s">
        <v>196</v>
      </c>
      <c r="I47" s="5" t="s">
        <v>1514</v>
      </c>
      <c r="J47" s="5" t="s">
        <v>1515</v>
      </c>
      <c r="K47" s="6">
        <f t="shared" si="1"/>
        <v>1</v>
      </c>
    </row>
    <row r="48" spans="1:11" ht="15" customHeight="1">
      <c r="A48" s="4">
        <v>40</v>
      </c>
      <c r="B48" s="5" t="s">
        <v>120</v>
      </c>
      <c r="C48" s="5" t="s">
        <v>482</v>
      </c>
      <c r="D48" s="5" t="s">
        <v>122</v>
      </c>
      <c r="E48" s="7" t="s">
        <v>105</v>
      </c>
      <c r="F48" s="8" t="s">
        <v>105</v>
      </c>
      <c r="G48" s="4" t="s">
        <v>442</v>
      </c>
      <c r="H48" s="9" t="s">
        <v>196</v>
      </c>
      <c r="I48" s="5" t="s">
        <v>1514</v>
      </c>
      <c r="J48" s="5" t="s">
        <v>1515</v>
      </c>
      <c r="K48" s="6">
        <f t="shared" si="1"/>
        <v>1</v>
      </c>
    </row>
    <row r="49" spans="1:11" ht="15" customHeight="1">
      <c r="A49" s="4">
        <v>41</v>
      </c>
      <c r="B49" s="5" t="s">
        <v>120</v>
      </c>
      <c r="C49" s="5" t="s">
        <v>482</v>
      </c>
      <c r="D49" s="5" t="s">
        <v>123</v>
      </c>
      <c r="E49" s="7" t="s">
        <v>105</v>
      </c>
      <c r="F49" s="8" t="s">
        <v>105</v>
      </c>
      <c r="G49" s="4" t="s">
        <v>442</v>
      </c>
      <c r="H49" s="9" t="s">
        <v>196</v>
      </c>
      <c r="I49" s="5" t="s">
        <v>1514</v>
      </c>
      <c r="J49" s="5" t="s">
        <v>1515</v>
      </c>
      <c r="K49" s="6">
        <f t="shared" si="1"/>
        <v>1</v>
      </c>
    </row>
    <row r="50" spans="1:11" ht="30" customHeight="1">
      <c r="A50" s="4">
        <v>42</v>
      </c>
      <c r="B50" s="5" t="s">
        <v>124</v>
      </c>
      <c r="C50" s="5" t="s">
        <v>482</v>
      </c>
      <c r="D50" s="5" t="s">
        <v>125</v>
      </c>
      <c r="E50" s="7" t="s">
        <v>105</v>
      </c>
      <c r="F50" s="8" t="s">
        <v>105</v>
      </c>
      <c r="G50" s="4" t="s">
        <v>442</v>
      </c>
      <c r="H50" s="9" t="s">
        <v>196</v>
      </c>
      <c r="I50" s="5" t="s">
        <v>1514</v>
      </c>
      <c r="J50" s="5" t="s">
        <v>1515</v>
      </c>
      <c r="K50" s="6">
        <f t="shared" si="1"/>
        <v>1</v>
      </c>
    </row>
    <row r="51" spans="1:11" ht="15" customHeight="1">
      <c r="A51" s="4">
        <v>43</v>
      </c>
      <c r="B51" s="5" t="s">
        <v>124</v>
      </c>
      <c r="C51" s="5" t="s">
        <v>482</v>
      </c>
      <c r="D51" s="5" t="s">
        <v>126</v>
      </c>
      <c r="E51" s="7" t="s">
        <v>105</v>
      </c>
      <c r="F51" s="8" t="s">
        <v>105</v>
      </c>
      <c r="G51" s="4" t="s">
        <v>442</v>
      </c>
      <c r="H51" s="9" t="s">
        <v>196</v>
      </c>
      <c r="I51" s="5" t="s">
        <v>1514</v>
      </c>
      <c r="J51" s="5" t="s">
        <v>1515</v>
      </c>
      <c r="K51" s="6">
        <f t="shared" si="1"/>
        <v>1</v>
      </c>
    </row>
    <row r="52" spans="1:11" ht="15" customHeight="1">
      <c r="A52" s="4">
        <v>44</v>
      </c>
      <c r="B52" s="5" t="s">
        <v>95</v>
      </c>
      <c r="C52" s="5" t="s">
        <v>482</v>
      </c>
      <c r="D52" s="5" t="s">
        <v>127</v>
      </c>
      <c r="E52" s="7" t="s">
        <v>105</v>
      </c>
      <c r="F52" s="8" t="s">
        <v>105</v>
      </c>
      <c r="G52" s="4" t="s">
        <v>442</v>
      </c>
      <c r="H52" s="9" t="s">
        <v>196</v>
      </c>
      <c r="I52" s="5" t="s">
        <v>1514</v>
      </c>
      <c r="J52" s="5" t="s">
        <v>1515</v>
      </c>
      <c r="K52" s="6">
        <f t="shared" si="1"/>
        <v>1</v>
      </c>
    </row>
    <row r="53" spans="1:11" ht="15" customHeight="1">
      <c r="A53" s="4">
        <v>45</v>
      </c>
      <c r="B53" s="5" t="s">
        <v>128</v>
      </c>
      <c r="C53" s="5" t="s">
        <v>482</v>
      </c>
      <c r="D53" s="5" t="s">
        <v>129</v>
      </c>
      <c r="E53" s="7" t="s">
        <v>105</v>
      </c>
      <c r="F53" s="8" t="s">
        <v>105</v>
      </c>
      <c r="G53" s="4" t="s">
        <v>442</v>
      </c>
      <c r="H53" s="9" t="s">
        <v>196</v>
      </c>
      <c r="I53" s="5" t="s">
        <v>1514</v>
      </c>
      <c r="J53" s="5" t="s">
        <v>1515</v>
      </c>
      <c r="K53" s="6">
        <f t="shared" si="1"/>
        <v>1</v>
      </c>
    </row>
    <row r="54" spans="1:11" ht="15" customHeight="1">
      <c r="A54" s="4">
        <v>46</v>
      </c>
      <c r="B54" s="5" t="s">
        <v>133</v>
      </c>
      <c r="C54" s="5" t="s">
        <v>482</v>
      </c>
      <c r="D54" s="5" t="s">
        <v>1523</v>
      </c>
      <c r="E54" s="7" t="s">
        <v>105</v>
      </c>
      <c r="F54" s="8" t="s">
        <v>105</v>
      </c>
      <c r="G54" s="4" t="s">
        <v>442</v>
      </c>
      <c r="H54" s="9" t="s">
        <v>196</v>
      </c>
      <c r="I54" s="5" t="s">
        <v>1514</v>
      </c>
      <c r="J54" s="5" t="s">
        <v>1515</v>
      </c>
      <c r="K54" s="6">
        <f t="shared" si="1"/>
        <v>1</v>
      </c>
    </row>
    <row r="55" spans="1:11" ht="15" customHeight="1">
      <c r="A55" s="4">
        <v>47</v>
      </c>
      <c r="B55" s="5" t="s">
        <v>133</v>
      </c>
      <c r="C55" s="5" t="s">
        <v>482</v>
      </c>
      <c r="D55" s="5" t="s">
        <v>1524</v>
      </c>
      <c r="E55" s="7" t="s">
        <v>105</v>
      </c>
      <c r="F55" s="8" t="s">
        <v>105</v>
      </c>
      <c r="G55" s="4" t="s">
        <v>442</v>
      </c>
      <c r="H55" s="9" t="s">
        <v>196</v>
      </c>
      <c r="I55" s="5" t="s">
        <v>1514</v>
      </c>
      <c r="J55" s="5" t="s">
        <v>1515</v>
      </c>
      <c r="K55" s="6">
        <f t="shared" si="1"/>
        <v>1</v>
      </c>
    </row>
    <row r="56" spans="1:11" ht="15" customHeight="1">
      <c r="A56" s="4">
        <v>48</v>
      </c>
      <c r="B56" s="5" t="s">
        <v>120</v>
      </c>
      <c r="C56" s="5" t="s">
        <v>42</v>
      </c>
      <c r="D56" s="5" t="s">
        <v>122</v>
      </c>
      <c r="E56" s="7" t="s">
        <v>105</v>
      </c>
      <c r="F56" s="8" t="s">
        <v>105</v>
      </c>
      <c r="G56" s="4" t="s">
        <v>442</v>
      </c>
      <c r="H56" s="9" t="s">
        <v>196</v>
      </c>
      <c r="I56" s="5" t="s">
        <v>1514</v>
      </c>
      <c r="J56" s="5" t="s">
        <v>1515</v>
      </c>
      <c r="K56" s="6">
        <f t="shared" si="1"/>
        <v>1</v>
      </c>
    </row>
    <row r="57" spans="1:11" ht="15" customHeight="1">
      <c r="A57" s="4">
        <v>49</v>
      </c>
      <c r="B57" s="5" t="s">
        <v>120</v>
      </c>
      <c r="C57" s="5" t="s">
        <v>42</v>
      </c>
      <c r="D57" s="5" t="s">
        <v>123</v>
      </c>
      <c r="E57" s="7" t="s">
        <v>105</v>
      </c>
      <c r="F57" s="8" t="s">
        <v>105</v>
      </c>
      <c r="G57" s="4" t="s">
        <v>442</v>
      </c>
      <c r="H57" s="9" t="s">
        <v>196</v>
      </c>
      <c r="I57" s="5" t="s">
        <v>1514</v>
      </c>
      <c r="J57" s="5" t="s">
        <v>1515</v>
      </c>
      <c r="K57" s="6">
        <f t="shared" si="1"/>
        <v>1</v>
      </c>
    </row>
    <row r="58" spans="1:11" ht="30" customHeight="1">
      <c r="A58" s="4">
        <v>50</v>
      </c>
      <c r="B58" s="5" t="s">
        <v>124</v>
      </c>
      <c r="C58" s="5" t="s">
        <v>42</v>
      </c>
      <c r="D58" s="5" t="s">
        <v>125</v>
      </c>
      <c r="E58" s="7" t="s">
        <v>105</v>
      </c>
      <c r="F58" s="8" t="s">
        <v>105</v>
      </c>
      <c r="G58" s="4" t="s">
        <v>442</v>
      </c>
      <c r="H58" s="9" t="s">
        <v>196</v>
      </c>
      <c r="I58" s="5" t="s">
        <v>1514</v>
      </c>
      <c r="J58" s="5" t="s">
        <v>1515</v>
      </c>
      <c r="K58" s="6">
        <f t="shared" si="1"/>
        <v>1</v>
      </c>
    </row>
    <row r="59" spans="1:11" ht="15" customHeight="1">
      <c r="A59" s="4">
        <v>51</v>
      </c>
      <c r="B59" s="5" t="s">
        <v>124</v>
      </c>
      <c r="C59" s="5" t="s">
        <v>42</v>
      </c>
      <c r="D59" s="5" t="s">
        <v>126</v>
      </c>
      <c r="E59" s="7" t="s">
        <v>105</v>
      </c>
      <c r="F59" s="8" t="s">
        <v>105</v>
      </c>
      <c r="G59" s="4" t="s">
        <v>442</v>
      </c>
      <c r="H59" s="9" t="s">
        <v>196</v>
      </c>
      <c r="I59" s="5" t="s">
        <v>1514</v>
      </c>
      <c r="J59" s="5" t="s">
        <v>1515</v>
      </c>
      <c r="K59" s="6">
        <f t="shared" si="1"/>
        <v>1</v>
      </c>
    </row>
    <row r="60" spans="1:11" ht="15" customHeight="1">
      <c r="A60" s="4">
        <v>52</v>
      </c>
      <c r="B60" s="5" t="s">
        <v>95</v>
      </c>
      <c r="C60" s="5" t="s">
        <v>42</v>
      </c>
      <c r="D60" s="5" t="s">
        <v>127</v>
      </c>
      <c r="E60" s="7" t="s">
        <v>105</v>
      </c>
      <c r="F60" s="8" t="s">
        <v>105</v>
      </c>
      <c r="G60" s="4" t="s">
        <v>442</v>
      </c>
      <c r="H60" s="9" t="s">
        <v>196</v>
      </c>
      <c r="I60" s="5" t="s">
        <v>1514</v>
      </c>
      <c r="J60" s="5" t="s">
        <v>1515</v>
      </c>
      <c r="K60" s="6">
        <f t="shared" si="1"/>
        <v>1</v>
      </c>
    </row>
    <row r="61" spans="1:11" ht="15" customHeight="1">
      <c r="A61" s="4">
        <v>53</v>
      </c>
      <c r="B61" s="5" t="s">
        <v>128</v>
      </c>
      <c r="C61" s="5" t="s">
        <v>42</v>
      </c>
      <c r="D61" s="5" t="s">
        <v>129</v>
      </c>
      <c r="E61" s="7" t="s">
        <v>105</v>
      </c>
      <c r="F61" s="8" t="s">
        <v>105</v>
      </c>
      <c r="G61" s="4" t="s">
        <v>442</v>
      </c>
      <c r="H61" s="9" t="s">
        <v>196</v>
      </c>
      <c r="I61" s="5" t="s">
        <v>1514</v>
      </c>
      <c r="J61" s="5" t="s">
        <v>1515</v>
      </c>
      <c r="K61" s="6">
        <f t="shared" si="1"/>
        <v>1</v>
      </c>
    </row>
    <row r="62" spans="1:11" ht="15" customHeight="1">
      <c r="A62" s="4">
        <v>54</v>
      </c>
      <c r="B62" s="5" t="s">
        <v>120</v>
      </c>
      <c r="C62" s="5" t="s">
        <v>1525</v>
      </c>
      <c r="D62" s="5" t="s">
        <v>122</v>
      </c>
      <c r="E62" s="7" t="s">
        <v>105</v>
      </c>
      <c r="F62" s="8" t="s">
        <v>105</v>
      </c>
      <c r="G62" s="4" t="s">
        <v>442</v>
      </c>
      <c r="H62" s="9" t="s">
        <v>196</v>
      </c>
      <c r="I62" s="5" t="s">
        <v>1514</v>
      </c>
      <c r="J62" s="5" t="s">
        <v>1515</v>
      </c>
      <c r="K62" s="6">
        <f t="shared" si="1"/>
        <v>1</v>
      </c>
    </row>
    <row r="63" spans="1:11" ht="15" customHeight="1">
      <c r="A63" s="4">
        <v>55</v>
      </c>
      <c r="B63" s="5" t="s">
        <v>120</v>
      </c>
      <c r="C63" s="5" t="s">
        <v>1525</v>
      </c>
      <c r="D63" s="5" t="s">
        <v>123</v>
      </c>
      <c r="E63" s="7" t="s">
        <v>105</v>
      </c>
      <c r="F63" s="8" t="s">
        <v>105</v>
      </c>
      <c r="G63" s="4" t="s">
        <v>442</v>
      </c>
      <c r="H63" s="9" t="s">
        <v>196</v>
      </c>
      <c r="I63" s="5" t="s">
        <v>1514</v>
      </c>
      <c r="J63" s="5" t="s">
        <v>1515</v>
      </c>
      <c r="K63" s="6">
        <f t="shared" si="1"/>
        <v>1</v>
      </c>
    </row>
    <row r="64" spans="1:11" ht="30" customHeight="1">
      <c r="A64" s="4">
        <v>56</v>
      </c>
      <c r="B64" s="5" t="s">
        <v>124</v>
      </c>
      <c r="C64" s="5" t="s">
        <v>1525</v>
      </c>
      <c r="D64" s="5" t="s">
        <v>125</v>
      </c>
      <c r="E64" s="7" t="s">
        <v>105</v>
      </c>
      <c r="F64" s="8" t="s">
        <v>105</v>
      </c>
      <c r="G64" s="4" t="s">
        <v>442</v>
      </c>
      <c r="H64" s="9" t="s">
        <v>196</v>
      </c>
      <c r="I64" s="5" t="s">
        <v>1514</v>
      </c>
      <c r="J64" s="5" t="s">
        <v>1515</v>
      </c>
      <c r="K64" s="6">
        <f t="shared" si="1"/>
        <v>1</v>
      </c>
    </row>
    <row r="65" spans="1:11" ht="15" customHeight="1">
      <c r="A65" s="4">
        <v>57</v>
      </c>
      <c r="B65" s="5" t="s">
        <v>124</v>
      </c>
      <c r="C65" s="5" t="s">
        <v>1525</v>
      </c>
      <c r="D65" s="5" t="s">
        <v>126</v>
      </c>
      <c r="E65" s="7" t="s">
        <v>105</v>
      </c>
      <c r="F65" s="8" t="s">
        <v>105</v>
      </c>
      <c r="G65" s="4" t="s">
        <v>442</v>
      </c>
      <c r="H65" s="9" t="s">
        <v>196</v>
      </c>
      <c r="I65" s="5" t="s">
        <v>1514</v>
      </c>
      <c r="J65" s="5" t="s">
        <v>1515</v>
      </c>
      <c r="K65" s="6">
        <f t="shared" si="1"/>
        <v>1</v>
      </c>
    </row>
    <row r="66" spans="1:11" ht="15" customHeight="1">
      <c r="A66" s="4">
        <v>58</v>
      </c>
      <c r="B66" s="5" t="s">
        <v>95</v>
      </c>
      <c r="C66" s="5" t="s">
        <v>1525</v>
      </c>
      <c r="D66" s="5" t="s">
        <v>127</v>
      </c>
      <c r="E66" s="7" t="s">
        <v>105</v>
      </c>
      <c r="F66" s="8" t="s">
        <v>105</v>
      </c>
      <c r="G66" s="4" t="s">
        <v>442</v>
      </c>
      <c r="H66" s="9" t="s">
        <v>196</v>
      </c>
      <c r="I66" s="5" t="s">
        <v>1514</v>
      </c>
      <c r="J66" s="5" t="s">
        <v>1515</v>
      </c>
      <c r="K66" s="6">
        <f t="shared" si="1"/>
        <v>1</v>
      </c>
    </row>
    <row r="67" spans="1:11" ht="15" customHeight="1">
      <c r="A67" s="4">
        <v>59</v>
      </c>
      <c r="B67" s="5" t="s">
        <v>128</v>
      </c>
      <c r="C67" s="5" t="s">
        <v>1525</v>
      </c>
      <c r="D67" s="5" t="s">
        <v>129</v>
      </c>
      <c r="E67" s="7" t="s">
        <v>105</v>
      </c>
      <c r="F67" s="8" t="s">
        <v>105</v>
      </c>
      <c r="G67" s="4" t="s">
        <v>442</v>
      </c>
      <c r="H67" s="9" t="s">
        <v>196</v>
      </c>
      <c r="I67" s="5" t="s">
        <v>1514</v>
      </c>
      <c r="J67" s="5" t="s">
        <v>1515</v>
      </c>
      <c r="K67" s="6">
        <f t="shared" si="1"/>
        <v>1</v>
      </c>
    </row>
    <row r="68" spans="1:11" ht="15" customHeight="1">
      <c r="A68" s="4">
        <v>60</v>
      </c>
      <c r="B68" s="5" t="s">
        <v>135</v>
      </c>
      <c r="C68" s="5" t="s">
        <v>1525</v>
      </c>
      <c r="D68" s="5" t="s">
        <v>136</v>
      </c>
      <c r="E68" s="7" t="s">
        <v>105</v>
      </c>
      <c r="F68" s="8" t="s">
        <v>105</v>
      </c>
      <c r="G68" s="4" t="s">
        <v>442</v>
      </c>
      <c r="H68" s="9" t="s">
        <v>196</v>
      </c>
      <c r="I68" s="5" t="s">
        <v>1514</v>
      </c>
      <c r="J68" s="5" t="s">
        <v>1515</v>
      </c>
      <c r="K68" s="6">
        <f t="shared" si="1"/>
        <v>1</v>
      </c>
    </row>
    <row r="69" spans="1:11" ht="15" customHeight="1">
      <c r="A69" s="4">
        <v>61</v>
      </c>
      <c r="B69" s="5" t="s">
        <v>133</v>
      </c>
      <c r="C69" s="5" t="s">
        <v>1525</v>
      </c>
      <c r="D69" s="5" t="s">
        <v>716</v>
      </c>
      <c r="E69" s="7" t="s">
        <v>105</v>
      </c>
      <c r="F69" s="8" t="s">
        <v>105</v>
      </c>
      <c r="G69" s="4" t="s">
        <v>442</v>
      </c>
      <c r="H69" s="9" t="s">
        <v>196</v>
      </c>
      <c r="I69" s="5" t="s">
        <v>1514</v>
      </c>
      <c r="J69" s="5" t="s">
        <v>1515</v>
      </c>
      <c r="K69" s="6">
        <f t="shared" si="1"/>
        <v>1</v>
      </c>
    </row>
    <row r="70" spans="1:11" ht="15" customHeight="1">
      <c r="A70" s="4">
        <v>62</v>
      </c>
      <c r="B70" s="5" t="s">
        <v>135</v>
      </c>
      <c r="C70" s="5" t="s">
        <v>1525</v>
      </c>
      <c r="D70" s="5" t="s">
        <v>140</v>
      </c>
      <c r="E70" s="7" t="s">
        <v>105</v>
      </c>
      <c r="F70" s="8" t="s">
        <v>105</v>
      </c>
      <c r="G70" s="4" t="s">
        <v>442</v>
      </c>
      <c r="H70" s="9" t="s">
        <v>196</v>
      </c>
      <c r="I70" s="5" t="s">
        <v>1514</v>
      </c>
      <c r="J70" s="5" t="s">
        <v>1515</v>
      </c>
      <c r="K70" s="6">
        <f t="shared" si="1"/>
        <v>1</v>
      </c>
    </row>
    <row r="71" spans="1:11" ht="15" customHeight="1">
      <c r="A71" s="4">
        <v>63</v>
      </c>
      <c r="B71" s="5" t="s">
        <v>130</v>
      </c>
      <c r="C71" s="5" t="s">
        <v>1525</v>
      </c>
      <c r="D71" s="5" t="s">
        <v>131</v>
      </c>
      <c r="E71" s="7" t="s">
        <v>105</v>
      </c>
      <c r="F71" s="8" t="s">
        <v>105</v>
      </c>
      <c r="G71" s="4" t="s">
        <v>442</v>
      </c>
      <c r="H71" s="9" t="s">
        <v>196</v>
      </c>
      <c r="I71" s="5" t="s">
        <v>1514</v>
      </c>
      <c r="J71" s="5" t="s">
        <v>1515</v>
      </c>
      <c r="K71" s="6">
        <f t="shared" si="1"/>
        <v>1</v>
      </c>
    </row>
    <row r="72" spans="1:11" ht="15" customHeight="1">
      <c r="A72" s="4">
        <v>64</v>
      </c>
      <c r="B72" s="5" t="s">
        <v>130</v>
      </c>
      <c r="C72" s="5" t="s">
        <v>1525</v>
      </c>
      <c r="D72" s="5" t="s">
        <v>132</v>
      </c>
      <c r="E72" s="7" t="s">
        <v>105</v>
      </c>
      <c r="F72" s="8" t="s">
        <v>105</v>
      </c>
      <c r="G72" s="4" t="s">
        <v>442</v>
      </c>
      <c r="H72" s="9" t="s">
        <v>196</v>
      </c>
      <c r="I72" s="5" t="s">
        <v>1514</v>
      </c>
      <c r="J72" s="5" t="s">
        <v>1515</v>
      </c>
      <c r="K72" s="6">
        <f t="shared" si="1"/>
        <v>1</v>
      </c>
    </row>
    <row r="73" spans="1:11" ht="15" customHeight="1">
      <c r="A73" s="4">
        <v>65</v>
      </c>
      <c r="B73" s="5" t="s">
        <v>133</v>
      </c>
      <c r="C73" s="5" t="s">
        <v>1525</v>
      </c>
      <c r="D73" s="5" t="s">
        <v>142</v>
      </c>
      <c r="E73" s="7" t="s">
        <v>105</v>
      </c>
      <c r="F73" s="8" t="s">
        <v>105</v>
      </c>
      <c r="G73" s="4" t="s">
        <v>442</v>
      </c>
      <c r="H73" s="9" t="s">
        <v>196</v>
      </c>
      <c r="I73" s="5" t="s">
        <v>1514</v>
      </c>
      <c r="J73" s="5" t="s">
        <v>1515</v>
      </c>
      <c r="K73" s="6">
        <f t="shared" ref="K73:K104" si="2">IF(AND(E73="yes",F73="yes",H73="covered"),1,IF(H73="partial",0.5,0))</f>
        <v>1</v>
      </c>
    </row>
    <row r="74" spans="1:11" ht="15" customHeight="1">
      <c r="A74" s="4">
        <v>66</v>
      </c>
      <c r="B74" s="5" t="s">
        <v>135</v>
      </c>
      <c r="C74" s="5" t="s">
        <v>1525</v>
      </c>
      <c r="D74" s="5" t="s">
        <v>544</v>
      </c>
      <c r="E74" s="7" t="s">
        <v>105</v>
      </c>
      <c r="F74" s="8" t="s">
        <v>105</v>
      </c>
      <c r="G74" s="4" t="s">
        <v>442</v>
      </c>
      <c r="H74" s="9" t="s">
        <v>196</v>
      </c>
      <c r="I74" s="5" t="s">
        <v>1514</v>
      </c>
      <c r="J74" s="5" t="s">
        <v>1515</v>
      </c>
      <c r="K74" s="6">
        <f t="shared" si="2"/>
        <v>1</v>
      </c>
    </row>
    <row r="75" spans="1:11" ht="15" customHeight="1">
      <c r="A75" s="4">
        <v>67</v>
      </c>
      <c r="B75" s="5" t="s">
        <v>133</v>
      </c>
      <c r="C75" s="5" t="s">
        <v>1525</v>
      </c>
      <c r="D75" s="5" t="s">
        <v>146</v>
      </c>
      <c r="E75" s="7" t="s">
        <v>105</v>
      </c>
      <c r="F75" s="8" t="s">
        <v>105</v>
      </c>
      <c r="G75" s="4" t="s">
        <v>442</v>
      </c>
      <c r="H75" s="9" t="s">
        <v>196</v>
      </c>
      <c r="I75" s="5" t="s">
        <v>1514</v>
      </c>
      <c r="J75" s="5" t="s">
        <v>1515</v>
      </c>
      <c r="K75" s="6">
        <f t="shared" si="2"/>
        <v>1</v>
      </c>
    </row>
    <row r="76" spans="1:11" ht="15" customHeight="1">
      <c r="A76" s="4">
        <v>68</v>
      </c>
      <c r="B76" s="5" t="s">
        <v>135</v>
      </c>
      <c r="C76" s="5" t="s">
        <v>1525</v>
      </c>
      <c r="D76" s="5" t="s">
        <v>967</v>
      </c>
      <c r="E76" s="7" t="s">
        <v>105</v>
      </c>
      <c r="F76" s="8" t="s">
        <v>105</v>
      </c>
      <c r="G76" s="4" t="s">
        <v>442</v>
      </c>
      <c r="H76" s="9" t="s">
        <v>196</v>
      </c>
      <c r="I76" s="5" t="s">
        <v>1514</v>
      </c>
      <c r="J76" s="5" t="s">
        <v>1515</v>
      </c>
      <c r="K76" s="6">
        <f t="shared" si="2"/>
        <v>1</v>
      </c>
    </row>
    <row r="77" spans="1:11" ht="15" customHeight="1">
      <c r="A77" s="4">
        <v>69</v>
      </c>
      <c r="B77" s="5" t="s">
        <v>133</v>
      </c>
      <c r="C77" s="5" t="s">
        <v>1525</v>
      </c>
      <c r="D77" s="5" t="s">
        <v>717</v>
      </c>
      <c r="E77" s="7" t="s">
        <v>105</v>
      </c>
      <c r="F77" s="8" t="s">
        <v>105</v>
      </c>
      <c r="G77" s="4" t="s">
        <v>442</v>
      </c>
      <c r="H77" s="9" t="s">
        <v>196</v>
      </c>
      <c r="I77" s="5" t="s">
        <v>1514</v>
      </c>
      <c r="J77" s="5" t="s">
        <v>1515</v>
      </c>
      <c r="K77" s="6">
        <f t="shared" si="2"/>
        <v>1</v>
      </c>
    </row>
    <row r="78" spans="1:11" ht="15" customHeight="1">
      <c r="A78" s="4">
        <v>70</v>
      </c>
      <c r="B78" s="5" t="s">
        <v>135</v>
      </c>
      <c r="C78" s="5" t="s">
        <v>1525</v>
      </c>
      <c r="D78" s="5" t="s">
        <v>144</v>
      </c>
      <c r="E78" s="7" t="s">
        <v>105</v>
      </c>
      <c r="F78" s="8" t="s">
        <v>105</v>
      </c>
      <c r="G78" s="4" t="s">
        <v>442</v>
      </c>
      <c r="H78" s="9" t="s">
        <v>196</v>
      </c>
      <c r="I78" s="5" t="s">
        <v>1514</v>
      </c>
      <c r="J78" s="5" t="s">
        <v>1515</v>
      </c>
      <c r="K78" s="6">
        <f t="shared" si="2"/>
        <v>1</v>
      </c>
    </row>
    <row r="79" spans="1:11" ht="15" customHeight="1">
      <c r="A79" s="4">
        <v>71</v>
      </c>
      <c r="B79" s="5" t="s">
        <v>120</v>
      </c>
      <c r="C79" s="5" t="s">
        <v>1526</v>
      </c>
      <c r="D79" s="5" t="s">
        <v>122</v>
      </c>
      <c r="E79" s="7" t="s">
        <v>105</v>
      </c>
      <c r="F79" s="8" t="s">
        <v>105</v>
      </c>
      <c r="G79" s="4" t="s">
        <v>442</v>
      </c>
      <c r="H79" s="9" t="s">
        <v>196</v>
      </c>
      <c r="I79" s="5" t="s">
        <v>1514</v>
      </c>
      <c r="J79" s="5" t="s">
        <v>1515</v>
      </c>
      <c r="K79" s="6">
        <f t="shared" si="2"/>
        <v>1</v>
      </c>
    </row>
    <row r="80" spans="1:11" ht="15" customHeight="1">
      <c r="A80" s="4">
        <v>72</v>
      </c>
      <c r="B80" s="5" t="s">
        <v>120</v>
      </c>
      <c r="C80" s="5" t="s">
        <v>1526</v>
      </c>
      <c r="D80" s="5" t="s">
        <v>123</v>
      </c>
      <c r="E80" s="7" t="s">
        <v>105</v>
      </c>
      <c r="F80" s="8" t="s">
        <v>105</v>
      </c>
      <c r="G80" s="4" t="s">
        <v>442</v>
      </c>
      <c r="H80" s="9" t="s">
        <v>196</v>
      </c>
      <c r="I80" s="5" t="s">
        <v>1514</v>
      </c>
      <c r="J80" s="5" t="s">
        <v>1515</v>
      </c>
      <c r="K80" s="6">
        <f t="shared" si="2"/>
        <v>1</v>
      </c>
    </row>
    <row r="81" spans="1:11" ht="30" customHeight="1">
      <c r="A81" s="4">
        <v>73</v>
      </c>
      <c r="B81" s="5" t="s">
        <v>124</v>
      </c>
      <c r="C81" s="5" t="s">
        <v>1526</v>
      </c>
      <c r="D81" s="5" t="s">
        <v>125</v>
      </c>
      <c r="E81" s="7" t="s">
        <v>105</v>
      </c>
      <c r="F81" s="8" t="s">
        <v>105</v>
      </c>
      <c r="G81" s="4" t="s">
        <v>442</v>
      </c>
      <c r="H81" s="9" t="s">
        <v>196</v>
      </c>
      <c r="I81" s="5" t="s">
        <v>1514</v>
      </c>
      <c r="J81" s="5" t="s">
        <v>1515</v>
      </c>
      <c r="K81" s="6">
        <f t="shared" si="2"/>
        <v>1</v>
      </c>
    </row>
    <row r="82" spans="1:11" ht="15" customHeight="1">
      <c r="A82" s="4">
        <v>74</v>
      </c>
      <c r="B82" s="5" t="s">
        <v>124</v>
      </c>
      <c r="C82" s="5" t="s">
        <v>1526</v>
      </c>
      <c r="D82" s="5" t="s">
        <v>126</v>
      </c>
      <c r="E82" s="7" t="s">
        <v>105</v>
      </c>
      <c r="F82" s="8" t="s">
        <v>105</v>
      </c>
      <c r="G82" s="4" t="s">
        <v>442</v>
      </c>
      <c r="H82" s="9" t="s">
        <v>196</v>
      </c>
      <c r="I82" s="5" t="s">
        <v>1514</v>
      </c>
      <c r="J82" s="5" t="s">
        <v>1515</v>
      </c>
      <c r="K82" s="6">
        <f t="shared" si="2"/>
        <v>1</v>
      </c>
    </row>
    <row r="83" spans="1:11" ht="15" customHeight="1">
      <c r="A83" s="4">
        <v>75</v>
      </c>
      <c r="B83" s="5" t="s">
        <v>95</v>
      </c>
      <c r="C83" s="5" t="s">
        <v>1526</v>
      </c>
      <c r="D83" s="5" t="s">
        <v>127</v>
      </c>
      <c r="E83" s="7" t="s">
        <v>105</v>
      </c>
      <c r="F83" s="8" t="s">
        <v>105</v>
      </c>
      <c r="G83" s="4" t="s">
        <v>442</v>
      </c>
      <c r="H83" s="9" t="s">
        <v>196</v>
      </c>
      <c r="I83" s="5" t="s">
        <v>1514</v>
      </c>
      <c r="J83" s="5" t="s">
        <v>1515</v>
      </c>
      <c r="K83" s="6">
        <f t="shared" si="2"/>
        <v>1</v>
      </c>
    </row>
    <row r="84" spans="1:11" ht="15" customHeight="1">
      <c r="A84" s="4">
        <v>76</v>
      </c>
      <c r="B84" s="5" t="s">
        <v>128</v>
      </c>
      <c r="C84" s="5" t="s">
        <v>1526</v>
      </c>
      <c r="D84" s="5" t="s">
        <v>129</v>
      </c>
      <c r="E84" s="7" t="s">
        <v>105</v>
      </c>
      <c r="F84" s="8" t="s">
        <v>105</v>
      </c>
      <c r="G84" s="4" t="s">
        <v>442</v>
      </c>
      <c r="H84" s="9" t="s">
        <v>196</v>
      </c>
      <c r="I84" s="5" t="s">
        <v>1514</v>
      </c>
      <c r="J84" s="5" t="s">
        <v>1515</v>
      </c>
      <c r="K84" s="6">
        <f t="shared" si="2"/>
        <v>1</v>
      </c>
    </row>
    <row r="85" spans="1:11" ht="15" customHeight="1">
      <c r="A85" s="4">
        <v>77</v>
      </c>
      <c r="B85" s="5" t="s">
        <v>133</v>
      </c>
      <c r="C85" s="5" t="s">
        <v>1526</v>
      </c>
      <c r="D85" s="5" t="s">
        <v>142</v>
      </c>
      <c r="E85" s="7" t="s">
        <v>105</v>
      </c>
      <c r="F85" s="8" t="s">
        <v>105</v>
      </c>
      <c r="G85" s="4" t="s">
        <v>442</v>
      </c>
      <c r="H85" s="9" t="s">
        <v>196</v>
      </c>
      <c r="I85" s="5" t="s">
        <v>1514</v>
      </c>
      <c r="J85" s="5" t="s">
        <v>1515</v>
      </c>
      <c r="K85" s="6">
        <f t="shared" si="2"/>
        <v>1</v>
      </c>
    </row>
    <row r="86" spans="1:11" ht="15" customHeight="1">
      <c r="A86" s="4">
        <v>78</v>
      </c>
      <c r="B86" s="5" t="s">
        <v>153</v>
      </c>
      <c r="C86" s="5" t="s">
        <v>154</v>
      </c>
      <c r="D86" s="5" t="s">
        <v>724</v>
      </c>
      <c r="E86" s="7" t="s">
        <v>105</v>
      </c>
      <c r="F86" s="8" t="s">
        <v>105</v>
      </c>
      <c r="G86" s="4" t="s">
        <v>442</v>
      </c>
      <c r="H86" s="9" t="s">
        <v>196</v>
      </c>
      <c r="I86" s="5" t="s">
        <v>1514</v>
      </c>
      <c r="J86" s="5" t="s">
        <v>1515</v>
      </c>
      <c r="K86" s="6">
        <f t="shared" si="2"/>
        <v>1</v>
      </c>
    </row>
    <row r="87" spans="1:11" ht="15" customHeight="1">
      <c r="A87" s="4">
        <v>79</v>
      </c>
      <c r="B87" s="5" t="s">
        <v>153</v>
      </c>
      <c r="C87" s="5" t="s">
        <v>154</v>
      </c>
      <c r="D87" s="5" t="s">
        <v>1303</v>
      </c>
      <c r="E87" s="7" t="s">
        <v>105</v>
      </c>
      <c r="F87" s="8" t="s">
        <v>105</v>
      </c>
      <c r="G87" s="4" t="s">
        <v>442</v>
      </c>
      <c r="H87" s="9" t="s">
        <v>196</v>
      </c>
      <c r="I87" s="5" t="s">
        <v>1514</v>
      </c>
      <c r="J87" s="5" t="s">
        <v>1515</v>
      </c>
      <c r="K87" s="6">
        <f t="shared" si="2"/>
        <v>1</v>
      </c>
    </row>
    <row r="88" spans="1:11" ht="15" customHeight="1">
      <c r="A88" s="4">
        <v>80</v>
      </c>
      <c r="B88" s="5" t="s">
        <v>153</v>
      </c>
      <c r="C88" s="5" t="s">
        <v>154</v>
      </c>
      <c r="D88" s="5" t="s">
        <v>156</v>
      </c>
      <c r="E88" s="7" t="s">
        <v>105</v>
      </c>
      <c r="F88" s="8" t="s">
        <v>105</v>
      </c>
      <c r="G88" s="4" t="s">
        <v>442</v>
      </c>
      <c r="H88" s="9" t="s">
        <v>196</v>
      </c>
      <c r="I88" s="5" t="s">
        <v>1514</v>
      </c>
      <c r="J88" s="5" t="s">
        <v>1515</v>
      </c>
      <c r="K88" s="6">
        <f t="shared" si="2"/>
        <v>1</v>
      </c>
    </row>
    <row r="89" spans="1:11" ht="15" customHeight="1">
      <c r="A89" s="4">
        <v>81</v>
      </c>
      <c r="B89" s="5" t="s">
        <v>153</v>
      </c>
      <c r="C89" s="5" t="s">
        <v>154</v>
      </c>
      <c r="D89" s="5" t="s">
        <v>562</v>
      </c>
      <c r="E89" s="7" t="s">
        <v>105</v>
      </c>
      <c r="F89" s="8" t="s">
        <v>105</v>
      </c>
      <c r="G89" s="4" t="s">
        <v>442</v>
      </c>
      <c r="H89" s="9" t="s">
        <v>196</v>
      </c>
      <c r="I89" s="5" t="s">
        <v>1514</v>
      </c>
      <c r="J89" s="5" t="s">
        <v>1515</v>
      </c>
      <c r="K89" s="6">
        <f t="shared" si="2"/>
        <v>1</v>
      </c>
    </row>
    <row r="90" spans="1:11" ht="15" customHeight="1">
      <c r="A90" s="4">
        <v>82</v>
      </c>
      <c r="B90" s="5" t="s">
        <v>153</v>
      </c>
      <c r="C90" s="5" t="s">
        <v>154</v>
      </c>
      <c r="D90" s="5" t="s">
        <v>621</v>
      </c>
      <c r="E90" s="7" t="s">
        <v>105</v>
      </c>
      <c r="F90" s="8" t="s">
        <v>105</v>
      </c>
      <c r="G90" s="4" t="s">
        <v>442</v>
      </c>
      <c r="H90" s="9" t="s">
        <v>196</v>
      </c>
      <c r="I90" s="5" t="s">
        <v>1514</v>
      </c>
      <c r="J90" s="5" t="s">
        <v>1515</v>
      </c>
      <c r="K90" s="6">
        <f t="shared" si="2"/>
        <v>1</v>
      </c>
    </row>
    <row r="91" spans="1:11" ht="15" customHeight="1">
      <c r="A91" s="4">
        <v>83</v>
      </c>
      <c r="B91" s="5" t="s">
        <v>153</v>
      </c>
      <c r="C91" s="5" t="s">
        <v>154</v>
      </c>
      <c r="D91" s="5" t="s">
        <v>158</v>
      </c>
      <c r="E91" s="7" t="s">
        <v>105</v>
      </c>
      <c r="F91" s="8" t="s">
        <v>105</v>
      </c>
      <c r="G91" s="4" t="s">
        <v>442</v>
      </c>
      <c r="H91" s="9" t="s">
        <v>196</v>
      </c>
      <c r="I91" s="5" t="s">
        <v>1514</v>
      </c>
      <c r="J91" s="5" t="s">
        <v>1515</v>
      </c>
      <c r="K91" s="6">
        <f t="shared" si="2"/>
        <v>1</v>
      </c>
    </row>
    <row r="92" spans="1:11" ht="15" customHeight="1">
      <c r="A92" s="4">
        <v>84</v>
      </c>
      <c r="B92" s="5" t="s">
        <v>153</v>
      </c>
      <c r="C92" s="5" t="s">
        <v>154</v>
      </c>
      <c r="D92" s="5" t="s">
        <v>983</v>
      </c>
      <c r="E92" s="7" t="s">
        <v>105</v>
      </c>
      <c r="F92" s="8" t="s">
        <v>105</v>
      </c>
      <c r="G92" s="4" t="s">
        <v>442</v>
      </c>
      <c r="H92" s="9" t="s">
        <v>196</v>
      </c>
      <c r="I92" s="5" t="s">
        <v>1514</v>
      </c>
      <c r="J92" s="5" t="s">
        <v>1515</v>
      </c>
      <c r="K92" s="6">
        <f t="shared" si="2"/>
        <v>1</v>
      </c>
    </row>
    <row r="93" spans="1:11" ht="15" customHeight="1">
      <c r="A93" s="4">
        <v>85</v>
      </c>
      <c r="B93" s="5" t="s">
        <v>153</v>
      </c>
      <c r="C93" s="5" t="s">
        <v>154</v>
      </c>
      <c r="D93" s="5" t="s">
        <v>1107</v>
      </c>
      <c r="E93" s="7" t="s">
        <v>105</v>
      </c>
      <c r="F93" s="8" t="s">
        <v>105</v>
      </c>
      <c r="G93" s="4" t="s">
        <v>442</v>
      </c>
      <c r="H93" s="9" t="s">
        <v>196</v>
      </c>
      <c r="I93" s="5" t="s">
        <v>1514</v>
      </c>
      <c r="J93" s="5" t="s">
        <v>1515</v>
      </c>
      <c r="K93" s="6">
        <f t="shared" si="2"/>
        <v>1</v>
      </c>
    </row>
    <row r="94" spans="1:11" ht="15" customHeight="1">
      <c r="A94" s="4">
        <v>86</v>
      </c>
      <c r="B94" s="5" t="s">
        <v>153</v>
      </c>
      <c r="C94" s="5" t="s">
        <v>154</v>
      </c>
      <c r="D94" s="5" t="s">
        <v>622</v>
      </c>
      <c r="E94" s="7" t="s">
        <v>105</v>
      </c>
      <c r="F94" s="8" t="s">
        <v>105</v>
      </c>
      <c r="G94" s="4" t="s">
        <v>442</v>
      </c>
      <c r="H94" s="9" t="s">
        <v>196</v>
      </c>
      <c r="I94" s="5" t="s">
        <v>1514</v>
      </c>
      <c r="J94" s="5" t="s">
        <v>1515</v>
      </c>
      <c r="K94" s="6">
        <f t="shared" si="2"/>
        <v>1</v>
      </c>
    </row>
    <row r="95" spans="1:11" ht="15" customHeight="1">
      <c r="A95" s="4">
        <v>87</v>
      </c>
      <c r="B95" s="5" t="s">
        <v>153</v>
      </c>
      <c r="C95" s="5" t="s">
        <v>154</v>
      </c>
      <c r="D95" s="5" t="s">
        <v>623</v>
      </c>
      <c r="E95" s="7" t="s">
        <v>105</v>
      </c>
      <c r="F95" s="8" t="s">
        <v>105</v>
      </c>
      <c r="G95" s="4" t="s">
        <v>442</v>
      </c>
      <c r="H95" s="9" t="s">
        <v>196</v>
      </c>
      <c r="I95" s="5" t="s">
        <v>1514</v>
      </c>
      <c r="J95" s="5" t="s">
        <v>1515</v>
      </c>
      <c r="K95" s="6">
        <f t="shared" si="2"/>
        <v>1</v>
      </c>
    </row>
    <row r="96" spans="1:11" ht="15" customHeight="1">
      <c r="A96" s="4">
        <v>88</v>
      </c>
      <c r="B96" s="5" t="s">
        <v>153</v>
      </c>
      <c r="C96" s="5" t="s">
        <v>154</v>
      </c>
      <c r="D96" s="5" t="s">
        <v>727</v>
      </c>
      <c r="E96" s="7" t="s">
        <v>105</v>
      </c>
      <c r="F96" s="8" t="s">
        <v>105</v>
      </c>
      <c r="G96" s="4" t="s">
        <v>442</v>
      </c>
      <c r="H96" s="9" t="s">
        <v>196</v>
      </c>
      <c r="I96" s="5" t="s">
        <v>1514</v>
      </c>
      <c r="J96" s="5" t="s">
        <v>1515</v>
      </c>
      <c r="K96" s="6">
        <f t="shared" si="2"/>
        <v>1</v>
      </c>
    </row>
    <row r="97" spans="1:11" ht="15" customHeight="1">
      <c r="A97" s="4">
        <v>89</v>
      </c>
      <c r="B97" s="5" t="s">
        <v>159</v>
      </c>
      <c r="C97" s="5" t="s">
        <v>154</v>
      </c>
      <c r="D97" s="5" t="s">
        <v>160</v>
      </c>
      <c r="E97" s="7" t="s">
        <v>105</v>
      </c>
      <c r="F97" s="8" t="s">
        <v>105</v>
      </c>
      <c r="G97" s="4" t="s">
        <v>442</v>
      </c>
      <c r="H97" s="9" t="s">
        <v>196</v>
      </c>
      <c r="I97" s="5" t="s">
        <v>1514</v>
      </c>
      <c r="J97" s="5" t="s">
        <v>1515</v>
      </c>
      <c r="K97" s="6">
        <f t="shared" si="2"/>
        <v>1</v>
      </c>
    </row>
    <row r="98" spans="1:11" ht="15" customHeight="1">
      <c r="A98" s="4">
        <v>90</v>
      </c>
      <c r="B98" s="5" t="s">
        <v>159</v>
      </c>
      <c r="C98" s="5" t="s">
        <v>154</v>
      </c>
      <c r="D98" s="5" t="s">
        <v>1364</v>
      </c>
      <c r="E98" s="7" t="s">
        <v>105</v>
      </c>
      <c r="F98" s="8" t="s">
        <v>105</v>
      </c>
      <c r="G98" s="4" t="s">
        <v>442</v>
      </c>
      <c r="H98" s="9" t="s">
        <v>196</v>
      </c>
      <c r="I98" s="5" t="s">
        <v>1514</v>
      </c>
      <c r="J98" s="5" t="s">
        <v>1515</v>
      </c>
      <c r="K98" s="6">
        <f t="shared" si="2"/>
        <v>1</v>
      </c>
    </row>
    <row r="99" spans="1:11" ht="15" customHeight="1">
      <c r="A99" s="4">
        <v>91</v>
      </c>
      <c r="B99" s="5" t="s">
        <v>159</v>
      </c>
      <c r="C99" s="5" t="s">
        <v>154</v>
      </c>
      <c r="D99" s="5" t="s">
        <v>729</v>
      </c>
      <c r="E99" s="7" t="s">
        <v>105</v>
      </c>
      <c r="F99" s="8" t="s">
        <v>105</v>
      </c>
      <c r="G99" s="4" t="s">
        <v>442</v>
      </c>
      <c r="H99" s="9" t="s">
        <v>196</v>
      </c>
      <c r="I99" s="5" t="s">
        <v>1514</v>
      </c>
      <c r="J99" s="5" t="s">
        <v>1515</v>
      </c>
      <c r="K99" s="6">
        <f t="shared" si="2"/>
        <v>1</v>
      </c>
    </row>
    <row r="100" spans="1:11" ht="15" customHeight="1">
      <c r="A100" s="4">
        <v>92</v>
      </c>
      <c r="B100" s="5" t="s">
        <v>159</v>
      </c>
      <c r="C100" s="5" t="s">
        <v>154</v>
      </c>
      <c r="D100" s="5" t="s">
        <v>624</v>
      </c>
      <c r="E100" s="7" t="s">
        <v>105</v>
      </c>
      <c r="F100" s="8" t="s">
        <v>105</v>
      </c>
      <c r="G100" s="4" t="s">
        <v>442</v>
      </c>
      <c r="H100" s="9" t="s">
        <v>196</v>
      </c>
      <c r="I100" s="5" t="s">
        <v>1514</v>
      </c>
      <c r="J100" s="5" t="s">
        <v>1515</v>
      </c>
      <c r="K100" s="6">
        <f t="shared" si="2"/>
        <v>1</v>
      </c>
    </row>
    <row r="101" spans="1:11" ht="15" customHeight="1">
      <c r="A101" s="4">
        <v>93</v>
      </c>
      <c r="B101" s="5" t="s">
        <v>159</v>
      </c>
      <c r="C101" s="5" t="s">
        <v>154</v>
      </c>
      <c r="D101" s="5" t="s">
        <v>1527</v>
      </c>
      <c r="E101" s="7" t="s">
        <v>105</v>
      </c>
      <c r="F101" s="8" t="s">
        <v>105</v>
      </c>
      <c r="G101" s="4" t="s">
        <v>442</v>
      </c>
      <c r="H101" s="9" t="s">
        <v>196</v>
      </c>
      <c r="I101" s="5" t="s">
        <v>1514</v>
      </c>
      <c r="J101" s="5" t="s">
        <v>1515</v>
      </c>
      <c r="K101" s="6">
        <f t="shared" si="2"/>
        <v>1</v>
      </c>
    </row>
    <row r="102" spans="1:11" ht="15" customHeight="1">
      <c r="A102" s="4">
        <v>94</v>
      </c>
      <c r="B102" s="5" t="s">
        <v>159</v>
      </c>
      <c r="C102" s="5" t="s">
        <v>154</v>
      </c>
      <c r="D102" s="5" t="s">
        <v>625</v>
      </c>
      <c r="E102" s="7" t="s">
        <v>105</v>
      </c>
      <c r="F102" s="8" t="s">
        <v>105</v>
      </c>
      <c r="G102" s="4" t="s">
        <v>442</v>
      </c>
      <c r="H102" s="9" t="s">
        <v>196</v>
      </c>
      <c r="I102" s="5" t="s">
        <v>1514</v>
      </c>
      <c r="J102" s="5" t="s">
        <v>1515</v>
      </c>
      <c r="K102" s="6">
        <f t="shared" si="2"/>
        <v>1</v>
      </c>
    </row>
    <row r="103" spans="1:11" ht="15" customHeight="1">
      <c r="A103" s="4">
        <v>95</v>
      </c>
      <c r="B103" s="5" t="s">
        <v>159</v>
      </c>
      <c r="C103" s="5" t="s">
        <v>154</v>
      </c>
      <c r="D103" s="5" t="s">
        <v>1001</v>
      </c>
      <c r="E103" s="7" t="s">
        <v>105</v>
      </c>
      <c r="F103" s="8" t="s">
        <v>105</v>
      </c>
      <c r="G103" s="4" t="s">
        <v>442</v>
      </c>
      <c r="H103" s="9" t="s">
        <v>196</v>
      </c>
      <c r="I103" s="5" t="s">
        <v>1514</v>
      </c>
      <c r="J103" s="5" t="s">
        <v>1515</v>
      </c>
      <c r="K103" s="6">
        <f t="shared" si="2"/>
        <v>1</v>
      </c>
    </row>
    <row r="104" spans="1:11" ht="15" customHeight="1">
      <c r="A104" s="4">
        <v>96</v>
      </c>
      <c r="B104" s="5" t="s">
        <v>159</v>
      </c>
      <c r="C104" s="5" t="s">
        <v>154</v>
      </c>
      <c r="D104" s="5" t="s">
        <v>162</v>
      </c>
      <c r="E104" s="7" t="s">
        <v>105</v>
      </c>
      <c r="F104" s="8" t="s">
        <v>105</v>
      </c>
      <c r="G104" s="4" t="s">
        <v>442</v>
      </c>
      <c r="H104" s="9" t="s">
        <v>196</v>
      </c>
      <c r="I104" s="5" t="s">
        <v>1514</v>
      </c>
      <c r="J104" s="5" t="s">
        <v>1515</v>
      </c>
      <c r="K104" s="6">
        <f t="shared" si="2"/>
        <v>1</v>
      </c>
    </row>
    <row r="105" spans="1:11" ht="15" customHeight="1">
      <c r="A105" s="4">
        <v>97</v>
      </c>
      <c r="B105" s="5" t="s">
        <v>159</v>
      </c>
      <c r="C105" s="5" t="s">
        <v>154</v>
      </c>
      <c r="D105" s="5" t="s">
        <v>163</v>
      </c>
      <c r="E105" s="7" t="s">
        <v>105</v>
      </c>
      <c r="F105" s="8" t="s">
        <v>105</v>
      </c>
      <c r="G105" s="4" t="s">
        <v>442</v>
      </c>
      <c r="H105" s="9" t="s">
        <v>196</v>
      </c>
      <c r="I105" s="5" t="s">
        <v>1514</v>
      </c>
      <c r="J105" s="5" t="s">
        <v>1515</v>
      </c>
      <c r="K105" s="6">
        <f t="shared" ref="K105:K128" si="3">IF(AND(E105="yes",F105="yes",H105="covered"),1,IF(H105="partial",0.5,0))</f>
        <v>1</v>
      </c>
    </row>
    <row r="106" spans="1:11" ht="15" customHeight="1">
      <c r="A106" s="4">
        <v>98</v>
      </c>
      <c r="B106" s="5" t="s">
        <v>159</v>
      </c>
      <c r="C106" s="5" t="s">
        <v>154</v>
      </c>
      <c r="D106" s="5" t="s">
        <v>551</v>
      </c>
      <c r="E106" s="7" t="s">
        <v>105</v>
      </c>
      <c r="F106" s="8" t="s">
        <v>105</v>
      </c>
      <c r="G106" s="4" t="s">
        <v>442</v>
      </c>
      <c r="H106" s="9" t="s">
        <v>196</v>
      </c>
      <c r="I106" s="5" t="s">
        <v>1514</v>
      </c>
      <c r="J106" s="5" t="s">
        <v>1515</v>
      </c>
      <c r="K106" s="6">
        <f t="shared" si="3"/>
        <v>1</v>
      </c>
    </row>
    <row r="107" spans="1:11" ht="30" customHeight="1">
      <c r="A107" s="4">
        <v>99</v>
      </c>
      <c r="B107" s="5" t="s">
        <v>130</v>
      </c>
      <c r="C107" s="5" t="s">
        <v>44</v>
      </c>
      <c r="D107" s="5" t="s">
        <v>164</v>
      </c>
      <c r="E107" s="7" t="s">
        <v>105</v>
      </c>
      <c r="F107" s="8" t="s">
        <v>105</v>
      </c>
      <c r="G107" s="4" t="s">
        <v>442</v>
      </c>
      <c r="H107" s="9" t="s">
        <v>196</v>
      </c>
      <c r="I107" s="5" t="s">
        <v>1514</v>
      </c>
      <c r="J107" s="5" t="s">
        <v>1515</v>
      </c>
      <c r="K107" s="6">
        <f t="shared" si="3"/>
        <v>1</v>
      </c>
    </row>
    <row r="108" spans="1:11" ht="15" customHeight="1">
      <c r="A108" s="4">
        <v>100</v>
      </c>
      <c r="B108" s="5" t="s">
        <v>130</v>
      </c>
      <c r="C108" s="5" t="s">
        <v>44</v>
      </c>
      <c r="D108" s="5" t="s">
        <v>165</v>
      </c>
      <c r="E108" s="7" t="s">
        <v>105</v>
      </c>
      <c r="F108" s="8" t="s">
        <v>105</v>
      </c>
      <c r="G108" s="4" t="s">
        <v>442</v>
      </c>
      <c r="H108" s="9" t="s">
        <v>196</v>
      </c>
      <c r="I108" s="5" t="s">
        <v>1514</v>
      </c>
      <c r="J108" s="5" t="s">
        <v>1515</v>
      </c>
      <c r="K108" s="6">
        <f t="shared" si="3"/>
        <v>1</v>
      </c>
    </row>
    <row r="109" spans="1:11" ht="15" customHeight="1">
      <c r="A109" s="4">
        <v>101</v>
      </c>
      <c r="B109" s="5" t="s">
        <v>130</v>
      </c>
      <c r="C109" s="5" t="s">
        <v>44</v>
      </c>
      <c r="D109" s="5" t="s">
        <v>166</v>
      </c>
      <c r="E109" s="7" t="s">
        <v>105</v>
      </c>
      <c r="F109" s="8" t="s">
        <v>105</v>
      </c>
      <c r="G109" s="4" t="s">
        <v>442</v>
      </c>
      <c r="H109" s="9" t="s">
        <v>196</v>
      </c>
      <c r="I109" s="5" t="s">
        <v>1514</v>
      </c>
      <c r="J109" s="5" t="s">
        <v>1515</v>
      </c>
      <c r="K109" s="6">
        <f t="shared" si="3"/>
        <v>1</v>
      </c>
    </row>
    <row r="110" spans="1:11" ht="15" customHeight="1">
      <c r="A110" s="4">
        <v>102</v>
      </c>
      <c r="B110" s="5" t="s">
        <v>130</v>
      </c>
      <c r="C110" s="5" t="s">
        <v>44</v>
      </c>
      <c r="D110" s="5" t="s">
        <v>167</v>
      </c>
      <c r="E110" s="7" t="s">
        <v>105</v>
      </c>
      <c r="F110" s="8" t="s">
        <v>105</v>
      </c>
      <c r="G110" s="4" t="s">
        <v>442</v>
      </c>
      <c r="H110" s="9" t="s">
        <v>196</v>
      </c>
      <c r="I110" s="5" t="s">
        <v>1514</v>
      </c>
      <c r="J110" s="5" t="s">
        <v>1515</v>
      </c>
      <c r="K110" s="6">
        <f t="shared" si="3"/>
        <v>1</v>
      </c>
    </row>
    <row r="111" spans="1:11" ht="15" customHeight="1">
      <c r="A111" s="4">
        <v>103</v>
      </c>
      <c r="B111" s="5" t="s">
        <v>130</v>
      </c>
      <c r="C111" s="5" t="s">
        <v>44</v>
      </c>
      <c r="D111" s="5" t="s">
        <v>168</v>
      </c>
      <c r="E111" s="7" t="s">
        <v>105</v>
      </c>
      <c r="F111" s="8" t="s">
        <v>105</v>
      </c>
      <c r="G111" s="4" t="s">
        <v>442</v>
      </c>
      <c r="H111" s="9" t="s">
        <v>196</v>
      </c>
      <c r="I111" s="5" t="s">
        <v>1514</v>
      </c>
      <c r="J111" s="5" t="s">
        <v>1515</v>
      </c>
      <c r="K111" s="6">
        <f t="shared" si="3"/>
        <v>1</v>
      </c>
    </row>
    <row r="112" spans="1:11" ht="15" customHeight="1">
      <c r="A112" s="4">
        <v>104</v>
      </c>
      <c r="B112" s="5" t="s">
        <v>135</v>
      </c>
      <c r="C112" s="5" t="s">
        <v>121</v>
      </c>
      <c r="D112" s="5" t="s">
        <v>169</v>
      </c>
      <c r="E112" s="7" t="s">
        <v>105</v>
      </c>
      <c r="F112" s="8" t="s">
        <v>105</v>
      </c>
      <c r="G112" s="4" t="s">
        <v>442</v>
      </c>
      <c r="H112" s="9" t="s">
        <v>196</v>
      </c>
      <c r="I112" s="5" t="s">
        <v>1514</v>
      </c>
      <c r="J112" s="5" t="s">
        <v>1515</v>
      </c>
      <c r="K112" s="6">
        <f t="shared" si="3"/>
        <v>1</v>
      </c>
    </row>
    <row r="113" spans="1:11" ht="30" customHeight="1">
      <c r="A113" s="4">
        <v>105</v>
      </c>
      <c r="B113" s="5" t="s">
        <v>135</v>
      </c>
      <c r="C113" s="5" t="s">
        <v>121</v>
      </c>
      <c r="D113" s="5" t="s">
        <v>170</v>
      </c>
      <c r="E113" s="7" t="s">
        <v>105</v>
      </c>
      <c r="F113" s="8" t="s">
        <v>105</v>
      </c>
      <c r="G113" s="4" t="s">
        <v>442</v>
      </c>
      <c r="H113" s="9" t="s">
        <v>196</v>
      </c>
      <c r="I113" s="5" t="s">
        <v>1514</v>
      </c>
      <c r="J113" s="5" t="s">
        <v>1515</v>
      </c>
      <c r="K113" s="6">
        <f t="shared" si="3"/>
        <v>1</v>
      </c>
    </row>
    <row r="114" spans="1:11" ht="30" customHeight="1">
      <c r="A114" s="4">
        <v>106</v>
      </c>
      <c r="B114" s="5" t="s">
        <v>135</v>
      </c>
      <c r="C114" s="5" t="s">
        <v>121</v>
      </c>
      <c r="D114" s="5" t="s">
        <v>171</v>
      </c>
      <c r="E114" s="7" t="s">
        <v>105</v>
      </c>
      <c r="F114" s="8" t="s">
        <v>105</v>
      </c>
      <c r="G114" s="4" t="s">
        <v>442</v>
      </c>
      <c r="H114" s="9" t="s">
        <v>196</v>
      </c>
      <c r="I114" s="5" t="s">
        <v>1514</v>
      </c>
      <c r="J114" s="5" t="s">
        <v>1515</v>
      </c>
      <c r="K114" s="6">
        <f t="shared" si="3"/>
        <v>1</v>
      </c>
    </row>
    <row r="115" spans="1:11" ht="30" customHeight="1">
      <c r="A115" s="4">
        <v>107</v>
      </c>
      <c r="B115" s="5" t="s">
        <v>135</v>
      </c>
      <c r="C115" s="5" t="s">
        <v>44</v>
      </c>
      <c r="D115" s="5" t="s">
        <v>627</v>
      </c>
      <c r="E115" s="7" t="s">
        <v>105</v>
      </c>
      <c r="F115" s="8" t="s">
        <v>105</v>
      </c>
      <c r="G115" s="4" t="s">
        <v>442</v>
      </c>
      <c r="H115" s="9" t="s">
        <v>196</v>
      </c>
      <c r="I115" s="5" t="s">
        <v>1514</v>
      </c>
      <c r="J115" s="5" t="s">
        <v>1515</v>
      </c>
      <c r="K115" s="6">
        <f t="shared" si="3"/>
        <v>1</v>
      </c>
    </row>
    <row r="116" spans="1:11" ht="30" customHeight="1">
      <c r="A116" s="4">
        <v>108</v>
      </c>
      <c r="B116" s="5" t="s">
        <v>135</v>
      </c>
      <c r="C116" s="5" t="s">
        <v>44</v>
      </c>
      <c r="D116" s="5" t="s">
        <v>628</v>
      </c>
      <c r="E116" s="7" t="s">
        <v>105</v>
      </c>
      <c r="F116" s="8" t="s">
        <v>105</v>
      </c>
      <c r="G116" s="4" t="s">
        <v>442</v>
      </c>
      <c r="H116" s="9" t="s">
        <v>196</v>
      </c>
      <c r="I116" s="5" t="s">
        <v>1514</v>
      </c>
      <c r="J116" s="5" t="s">
        <v>1515</v>
      </c>
      <c r="K116" s="6">
        <f t="shared" si="3"/>
        <v>1</v>
      </c>
    </row>
    <row r="117" spans="1:11" ht="15" customHeight="1">
      <c r="A117" s="4">
        <v>109</v>
      </c>
      <c r="B117" s="5" t="s">
        <v>135</v>
      </c>
      <c r="C117" s="5" t="s">
        <v>44</v>
      </c>
      <c r="D117" s="5" t="s">
        <v>629</v>
      </c>
      <c r="E117" s="7" t="s">
        <v>105</v>
      </c>
      <c r="F117" s="8" t="s">
        <v>105</v>
      </c>
      <c r="G117" s="4" t="s">
        <v>442</v>
      </c>
      <c r="H117" s="9" t="s">
        <v>196</v>
      </c>
      <c r="I117" s="5" t="s">
        <v>1514</v>
      </c>
      <c r="J117" s="5" t="s">
        <v>1515</v>
      </c>
      <c r="K117" s="6">
        <f t="shared" si="3"/>
        <v>1</v>
      </c>
    </row>
    <row r="118" spans="1:11" ht="30" customHeight="1">
      <c r="A118" s="4">
        <v>110</v>
      </c>
      <c r="B118" s="5" t="s">
        <v>135</v>
      </c>
      <c r="C118" s="5" t="s">
        <v>44</v>
      </c>
      <c r="D118" s="5" t="s">
        <v>630</v>
      </c>
      <c r="E118" s="7" t="s">
        <v>105</v>
      </c>
      <c r="F118" s="8" t="s">
        <v>105</v>
      </c>
      <c r="G118" s="4" t="s">
        <v>442</v>
      </c>
      <c r="H118" s="9" t="s">
        <v>196</v>
      </c>
      <c r="I118" s="5" t="s">
        <v>1514</v>
      </c>
      <c r="J118" s="5" t="s">
        <v>1515</v>
      </c>
      <c r="K118" s="6">
        <f t="shared" si="3"/>
        <v>1</v>
      </c>
    </row>
    <row r="119" spans="1:11" ht="15" customHeight="1">
      <c r="A119" s="4">
        <v>111</v>
      </c>
      <c r="B119" s="5" t="s">
        <v>591</v>
      </c>
      <c r="C119" s="5" t="s">
        <v>44</v>
      </c>
      <c r="D119" s="5" t="s">
        <v>631</v>
      </c>
      <c r="E119" s="7" t="s">
        <v>105</v>
      </c>
      <c r="F119" s="8" t="s">
        <v>105</v>
      </c>
      <c r="G119" s="4" t="s">
        <v>442</v>
      </c>
      <c r="H119" s="9" t="s">
        <v>196</v>
      </c>
      <c r="I119" s="5" t="s">
        <v>1514</v>
      </c>
      <c r="J119" s="5" t="s">
        <v>1515</v>
      </c>
      <c r="K119" s="6">
        <f t="shared" si="3"/>
        <v>1</v>
      </c>
    </row>
    <row r="120" spans="1:11" ht="15" customHeight="1">
      <c r="A120" s="4">
        <v>112</v>
      </c>
      <c r="B120" s="5" t="s">
        <v>591</v>
      </c>
      <c r="C120" s="5" t="s">
        <v>44</v>
      </c>
      <c r="D120" s="5" t="s">
        <v>632</v>
      </c>
      <c r="E120" s="7" t="s">
        <v>105</v>
      </c>
      <c r="F120" s="8" t="s">
        <v>105</v>
      </c>
      <c r="G120" s="4" t="s">
        <v>442</v>
      </c>
      <c r="H120" s="9" t="s">
        <v>196</v>
      </c>
      <c r="I120" s="5" t="s">
        <v>1514</v>
      </c>
      <c r="J120" s="5" t="s">
        <v>1515</v>
      </c>
      <c r="K120" s="6">
        <f t="shared" si="3"/>
        <v>1</v>
      </c>
    </row>
    <row r="121" spans="1:11" ht="15" customHeight="1">
      <c r="A121" s="4">
        <v>113</v>
      </c>
      <c r="B121" s="5" t="s">
        <v>179</v>
      </c>
      <c r="C121" s="5" t="s">
        <v>44</v>
      </c>
      <c r="D121" s="5" t="s">
        <v>182</v>
      </c>
      <c r="E121" s="7" t="s">
        <v>105</v>
      </c>
      <c r="F121" s="8" t="s">
        <v>105</v>
      </c>
      <c r="G121" s="4" t="s">
        <v>442</v>
      </c>
      <c r="H121" s="9" t="s">
        <v>196</v>
      </c>
      <c r="I121" s="5" t="s">
        <v>1514</v>
      </c>
      <c r="J121" s="5" t="s">
        <v>1515</v>
      </c>
      <c r="K121" s="6">
        <f t="shared" si="3"/>
        <v>1</v>
      </c>
    </row>
    <row r="122" spans="1:11" ht="15" customHeight="1">
      <c r="A122" s="4">
        <v>114</v>
      </c>
      <c r="B122" s="5" t="s">
        <v>179</v>
      </c>
      <c r="C122" s="5" t="s">
        <v>44</v>
      </c>
      <c r="D122" s="5" t="s">
        <v>183</v>
      </c>
      <c r="E122" s="7" t="s">
        <v>105</v>
      </c>
      <c r="F122" s="8" t="s">
        <v>105</v>
      </c>
      <c r="G122" s="4" t="s">
        <v>442</v>
      </c>
      <c r="H122" s="9" t="s">
        <v>196</v>
      </c>
      <c r="I122" s="5" t="s">
        <v>1514</v>
      </c>
      <c r="J122" s="5" t="s">
        <v>1515</v>
      </c>
      <c r="K122" s="6">
        <f t="shared" si="3"/>
        <v>1</v>
      </c>
    </row>
    <row r="123" spans="1:11" ht="15" customHeight="1">
      <c r="A123" s="4">
        <v>115</v>
      </c>
      <c r="B123" s="5" t="s">
        <v>179</v>
      </c>
      <c r="C123" s="5" t="s">
        <v>44</v>
      </c>
      <c r="D123" s="5" t="s">
        <v>184</v>
      </c>
      <c r="E123" s="7" t="s">
        <v>105</v>
      </c>
      <c r="F123" s="8" t="s">
        <v>105</v>
      </c>
      <c r="G123" s="4" t="s">
        <v>442</v>
      </c>
      <c r="H123" s="9" t="s">
        <v>196</v>
      </c>
      <c r="I123" s="5" t="s">
        <v>1514</v>
      </c>
      <c r="J123" s="5" t="s">
        <v>1515</v>
      </c>
      <c r="K123" s="6">
        <f t="shared" si="3"/>
        <v>1</v>
      </c>
    </row>
    <row r="124" spans="1:11" ht="30" customHeight="1">
      <c r="A124" s="4">
        <v>116</v>
      </c>
      <c r="B124" s="5" t="s">
        <v>179</v>
      </c>
      <c r="C124" s="5" t="s">
        <v>44</v>
      </c>
      <c r="D124" s="5" t="s">
        <v>185</v>
      </c>
      <c r="E124" s="7" t="s">
        <v>105</v>
      </c>
      <c r="F124" s="8" t="s">
        <v>105</v>
      </c>
      <c r="G124" s="4" t="s">
        <v>442</v>
      </c>
      <c r="H124" s="9" t="s">
        <v>196</v>
      </c>
      <c r="I124" s="5" t="s">
        <v>1514</v>
      </c>
      <c r="J124" s="5" t="s">
        <v>1515</v>
      </c>
      <c r="K124" s="6">
        <f t="shared" si="3"/>
        <v>1</v>
      </c>
    </row>
    <row r="125" spans="1:11" ht="30" customHeight="1">
      <c r="A125" s="4">
        <v>117</v>
      </c>
      <c r="B125" s="5" t="s">
        <v>177</v>
      </c>
      <c r="C125" s="5" t="s">
        <v>44</v>
      </c>
      <c r="D125" s="5" t="s">
        <v>186</v>
      </c>
      <c r="E125" s="7" t="s">
        <v>105</v>
      </c>
      <c r="F125" s="8" t="s">
        <v>105</v>
      </c>
      <c r="G125" s="4" t="s">
        <v>442</v>
      </c>
      <c r="H125" s="9" t="s">
        <v>196</v>
      </c>
      <c r="I125" s="5" t="s">
        <v>1514</v>
      </c>
      <c r="J125" s="5" t="s">
        <v>1515</v>
      </c>
      <c r="K125" s="6">
        <f t="shared" si="3"/>
        <v>1</v>
      </c>
    </row>
    <row r="126" spans="1:11" ht="30" customHeight="1">
      <c r="A126" s="4">
        <v>118</v>
      </c>
      <c r="B126" s="5" t="s">
        <v>31</v>
      </c>
      <c r="C126" s="5" t="s">
        <v>121</v>
      </c>
      <c r="D126" s="5" t="s">
        <v>187</v>
      </c>
      <c r="E126" s="10" t="s">
        <v>105</v>
      </c>
      <c r="F126" s="8" t="s">
        <v>105</v>
      </c>
      <c r="G126" s="4" t="s">
        <v>442</v>
      </c>
      <c r="H126" s="10" t="s">
        <v>196</v>
      </c>
      <c r="I126" s="5"/>
      <c r="J126" s="5" t="s">
        <v>1515</v>
      </c>
      <c r="K126" s="6">
        <f t="shared" si="3"/>
        <v>1</v>
      </c>
    </row>
    <row r="127" spans="1:11" ht="30" customHeight="1">
      <c r="A127" s="4">
        <v>119</v>
      </c>
      <c r="B127" s="5" t="s">
        <v>31</v>
      </c>
      <c r="C127" s="5" t="s">
        <v>121</v>
      </c>
      <c r="D127" s="5" t="s">
        <v>189</v>
      </c>
      <c r="E127" s="10" t="s">
        <v>105</v>
      </c>
      <c r="F127" s="8" t="s">
        <v>105</v>
      </c>
      <c r="G127" s="4" t="s">
        <v>442</v>
      </c>
      <c r="H127" s="10" t="s">
        <v>196</v>
      </c>
      <c r="I127" s="5"/>
      <c r="J127" s="5" t="s">
        <v>1515</v>
      </c>
      <c r="K127" s="6">
        <f t="shared" si="3"/>
        <v>1</v>
      </c>
    </row>
    <row r="128" spans="1:11" ht="15" customHeight="1">
      <c r="A128" s="4">
        <v>120</v>
      </c>
      <c r="B128" s="5" t="s">
        <v>94</v>
      </c>
      <c r="C128" s="5" t="s">
        <v>191</v>
      </c>
      <c r="D128" s="5" t="s">
        <v>192</v>
      </c>
      <c r="E128" s="10" t="s">
        <v>105</v>
      </c>
      <c r="F128" s="8" t="s">
        <v>105</v>
      </c>
      <c r="G128" s="4" t="s">
        <v>442</v>
      </c>
      <c r="H128" s="10" t="s">
        <v>196</v>
      </c>
      <c r="I128" s="5"/>
      <c r="J128" s="5" t="s">
        <v>1515</v>
      </c>
      <c r="K128" s="6">
        <f t="shared" si="3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K181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1528</v>
      </c>
      <c r="B1" s="60"/>
      <c r="C1" s="60"/>
      <c r="D1" s="60"/>
      <c r="E1" s="60"/>
      <c r="F1" s="60"/>
      <c r="G1" s="60"/>
      <c r="H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173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30" customHeight="1">
      <c r="A9" s="37">
        <v>1</v>
      </c>
      <c r="B9" s="38" t="s">
        <v>94</v>
      </c>
      <c r="C9" s="38" t="s">
        <v>95</v>
      </c>
      <c r="D9" s="38" t="s">
        <v>96</v>
      </c>
      <c r="E9" s="37" t="s">
        <v>105</v>
      </c>
      <c r="F9" s="37" t="s">
        <v>105</v>
      </c>
      <c r="G9" s="37" t="s">
        <v>564</v>
      </c>
      <c r="H9" s="37" t="s">
        <v>196</v>
      </c>
      <c r="I9" s="38" t="s">
        <v>1529</v>
      </c>
      <c r="J9" s="38" t="s">
        <v>566</v>
      </c>
      <c r="K9" s="39">
        <f t="shared" ref="K9:K40" si="0">IF(AND(E9="yes",F9="yes",H9="covered"),1,IF(H9="partial",0.5,0))</f>
        <v>1</v>
      </c>
    </row>
    <row r="10" spans="1:11" ht="30" customHeight="1">
      <c r="A10" s="37">
        <v>2</v>
      </c>
      <c r="B10" s="38" t="s">
        <v>94</v>
      </c>
      <c r="C10" s="38" t="s">
        <v>95</v>
      </c>
      <c r="D10" s="38" t="s">
        <v>102</v>
      </c>
      <c r="E10" s="37" t="s">
        <v>105</v>
      </c>
      <c r="F10" s="37" t="s">
        <v>105</v>
      </c>
      <c r="G10" s="37" t="s">
        <v>564</v>
      </c>
      <c r="H10" s="37" t="s">
        <v>196</v>
      </c>
      <c r="I10" s="38" t="s">
        <v>1529</v>
      </c>
      <c r="J10" s="38" t="s">
        <v>566</v>
      </c>
      <c r="K10" s="39">
        <f t="shared" si="0"/>
        <v>1</v>
      </c>
    </row>
    <row r="11" spans="1:11" ht="30" customHeight="1">
      <c r="A11" s="37">
        <v>3</v>
      </c>
      <c r="B11" s="38" t="s">
        <v>133</v>
      </c>
      <c r="C11" s="38" t="s">
        <v>121</v>
      </c>
      <c r="D11" s="38" t="s">
        <v>1130</v>
      </c>
      <c r="E11" s="37" t="s">
        <v>105</v>
      </c>
      <c r="F11" s="37" t="s">
        <v>105</v>
      </c>
      <c r="G11" s="37" t="s">
        <v>564</v>
      </c>
      <c r="H11" s="37" t="s">
        <v>196</v>
      </c>
      <c r="I11" s="38" t="s">
        <v>1529</v>
      </c>
      <c r="J11" s="38" t="s">
        <v>566</v>
      </c>
      <c r="K11" s="39">
        <f t="shared" si="0"/>
        <v>1</v>
      </c>
    </row>
    <row r="12" spans="1:11" ht="30" customHeight="1">
      <c r="A12" s="37">
        <v>4</v>
      </c>
      <c r="B12" s="38" t="s">
        <v>133</v>
      </c>
      <c r="C12" s="38" t="s">
        <v>121</v>
      </c>
      <c r="D12" s="38" t="s">
        <v>743</v>
      </c>
      <c r="E12" s="37" t="s">
        <v>105</v>
      </c>
      <c r="F12" s="37" t="s">
        <v>105</v>
      </c>
      <c r="G12" s="37" t="s">
        <v>564</v>
      </c>
      <c r="H12" s="37" t="s">
        <v>196</v>
      </c>
      <c r="I12" s="38" t="s">
        <v>1529</v>
      </c>
      <c r="J12" s="38" t="s">
        <v>566</v>
      </c>
      <c r="K12" s="39">
        <f t="shared" si="0"/>
        <v>1</v>
      </c>
    </row>
    <row r="13" spans="1:11" ht="30" customHeight="1">
      <c r="A13" s="37">
        <v>5</v>
      </c>
      <c r="B13" s="38" t="s">
        <v>133</v>
      </c>
      <c r="C13" s="38" t="s">
        <v>121</v>
      </c>
      <c r="D13" s="38" t="s">
        <v>744</v>
      </c>
      <c r="E13" s="37" t="s">
        <v>105</v>
      </c>
      <c r="F13" s="37" t="s">
        <v>105</v>
      </c>
      <c r="G13" s="37" t="s">
        <v>564</v>
      </c>
      <c r="H13" s="37" t="s">
        <v>196</v>
      </c>
      <c r="I13" s="38" t="s">
        <v>1529</v>
      </c>
      <c r="J13" s="38" t="s">
        <v>566</v>
      </c>
      <c r="K13" s="39">
        <f t="shared" si="0"/>
        <v>1</v>
      </c>
    </row>
    <row r="14" spans="1:11" ht="30" customHeight="1">
      <c r="A14" s="37">
        <v>6</v>
      </c>
      <c r="B14" s="38" t="s">
        <v>133</v>
      </c>
      <c r="C14" s="38" t="s">
        <v>121</v>
      </c>
      <c r="D14" s="38" t="s">
        <v>745</v>
      </c>
      <c r="E14" s="37" t="s">
        <v>105</v>
      </c>
      <c r="F14" s="37" t="s">
        <v>105</v>
      </c>
      <c r="G14" s="37" t="s">
        <v>564</v>
      </c>
      <c r="H14" s="37" t="s">
        <v>196</v>
      </c>
      <c r="I14" s="38" t="s">
        <v>1529</v>
      </c>
      <c r="J14" s="38" t="s">
        <v>566</v>
      </c>
      <c r="K14" s="39">
        <f t="shared" si="0"/>
        <v>1</v>
      </c>
    </row>
    <row r="15" spans="1:11" ht="30" customHeight="1">
      <c r="A15" s="37">
        <v>7</v>
      </c>
      <c r="B15" s="38" t="s">
        <v>133</v>
      </c>
      <c r="C15" s="38" t="s">
        <v>121</v>
      </c>
      <c r="D15" s="38" t="s">
        <v>1530</v>
      </c>
      <c r="E15" s="37" t="s">
        <v>105</v>
      </c>
      <c r="F15" s="37" t="s">
        <v>105</v>
      </c>
      <c r="G15" s="37" t="s">
        <v>564</v>
      </c>
      <c r="H15" s="37" t="s">
        <v>196</v>
      </c>
      <c r="I15" s="38" t="s">
        <v>1529</v>
      </c>
      <c r="J15" s="38" t="s">
        <v>566</v>
      </c>
      <c r="K15" s="39">
        <f t="shared" si="0"/>
        <v>1</v>
      </c>
    </row>
    <row r="16" spans="1:11" ht="30" customHeight="1">
      <c r="A16" s="37">
        <v>8</v>
      </c>
      <c r="B16" s="38" t="s">
        <v>133</v>
      </c>
      <c r="C16" s="38" t="s">
        <v>121</v>
      </c>
      <c r="D16" s="38" t="s">
        <v>747</v>
      </c>
      <c r="E16" s="37" t="s">
        <v>105</v>
      </c>
      <c r="F16" s="37" t="s">
        <v>105</v>
      </c>
      <c r="G16" s="37" t="s">
        <v>564</v>
      </c>
      <c r="H16" s="37" t="s">
        <v>196</v>
      </c>
      <c r="I16" s="38" t="s">
        <v>1529</v>
      </c>
      <c r="J16" s="38" t="s">
        <v>566</v>
      </c>
      <c r="K16" s="39">
        <f t="shared" si="0"/>
        <v>1</v>
      </c>
    </row>
    <row r="17" spans="1:11" ht="30" customHeight="1">
      <c r="A17" s="37">
        <v>9</v>
      </c>
      <c r="B17" s="38" t="s">
        <v>133</v>
      </c>
      <c r="C17" s="38" t="s">
        <v>121</v>
      </c>
      <c r="D17" s="38" t="s">
        <v>1131</v>
      </c>
      <c r="E17" s="37" t="s">
        <v>105</v>
      </c>
      <c r="F17" s="37" t="s">
        <v>105</v>
      </c>
      <c r="G17" s="37" t="s">
        <v>564</v>
      </c>
      <c r="H17" s="37" t="s">
        <v>196</v>
      </c>
      <c r="I17" s="38" t="s">
        <v>1529</v>
      </c>
      <c r="J17" s="38" t="s">
        <v>566</v>
      </c>
      <c r="K17" s="39">
        <f t="shared" si="0"/>
        <v>1</v>
      </c>
    </row>
    <row r="18" spans="1:11" ht="30" customHeight="1">
      <c r="A18" s="37">
        <v>10</v>
      </c>
      <c r="B18" s="38" t="s">
        <v>133</v>
      </c>
      <c r="C18" s="38" t="s">
        <v>121</v>
      </c>
      <c r="D18" s="38" t="s">
        <v>749</v>
      </c>
      <c r="E18" s="37" t="s">
        <v>105</v>
      </c>
      <c r="F18" s="37" t="s">
        <v>105</v>
      </c>
      <c r="G18" s="37" t="s">
        <v>564</v>
      </c>
      <c r="H18" s="37" t="s">
        <v>196</v>
      </c>
      <c r="I18" s="38" t="s">
        <v>1529</v>
      </c>
      <c r="J18" s="38" t="s">
        <v>566</v>
      </c>
      <c r="K18" s="39">
        <f t="shared" si="0"/>
        <v>1</v>
      </c>
    </row>
    <row r="19" spans="1:11" ht="30" customHeight="1">
      <c r="A19" s="37">
        <v>11</v>
      </c>
      <c r="B19" s="38" t="s">
        <v>133</v>
      </c>
      <c r="C19" s="38" t="s">
        <v>121</v>
      </c>
      <c r="D19" s="38" t="s">
        <v>750</v>
      </c>
      <c r="E19" s="37" t="s">
        <v>105</v>
      </c>
      <c r="F19" s="37" t="s">
        <v>105</v>
      </c>
      <c r="G19" s="37" t="s">
        <v>564</v>
      </c>
      <c r="H19" s="37" t="s">
        <v>196</v>
      </c>
      <c r="I19" s="38" t="s">
        <v>1529</v>
      </c>
      <c r="J19" s="38" t="s">
        <v>566</v>
      </c>
      <c r="K19" s="39">
        <f t="shared" si="0"/>
        <v>1</v>
      </c>
    </row>
    <row r="20" spans="1:11" ht="30" customHeight="1">
      <c r="A20" s="37">
        <v>12</v>
      </c>
      <c r="B20" s="38" t="s">
        <v>133</v>
      </c>
      <c r="C20" s="38" t="s">
        <v>121</v>
      </c>
      <c r="D20" s="38" t="s">
        <v>1132</v>
      </c>
      <c r="E20" s="37" t="s">
        <v>105</v>
      </c>
      <c r="F20" s="37" t="s">
        <v>105</v>
      </c>
      <c r="G20" s="37" t="s">
        <v>564</v>
      </c>
      <c r="H20" s="37" t="s">
        <v>196</v>
      </c>
      <c r="I20" s="38" t="s">
        <v>1529</v>
      </c>
      <c r="J20" s="38" t="s">
        <v>566</v>
      </c>
      <c r="K20" s="39">
        <f t="shared" si="0"/>
        <v>1</v>
      </c>
    </row>
    <row r="21" spans="1:11" ht="30" customHeight="1">
      <c r="A21" s="37">
        <v>13</v>
      </c>
      <c r="B21" s="38" t="s">
        <v>133</v>
      </c>
      <c r="C21" s="38" t="s">
        <v>121</v>
      </c>
      <c r="D21" s="38" t="s">
        <v>1133</v>
      </c>
      <c r="E21" s="37" t="s">
        <v>105</v>
      </c>
      <c r="F21" s="37" t="s">
        <v>105</v>
      </c>
      <c r="G21" s="37" t="s">
        <v>564</v>
      </c>
      <c r="H21" s="37" t="s">
        <v>196</v>
      </c>
      <c r="I21" s="38" t="s">
        <v>1529</v>
      </c>
      <c r="J21" s="38" t="s">
        <v>566</v>
      </c>
      <c r="K21" s="39">
        <f t="shared" si="0"/>
        <v>1</v>
      </c>
    </row>
    <row r="22" spans="1:11" ht="30" customHeight="1">
      <c r="A22" s="37">
        <v>14</v>
      </c>
      <c r="B22" s="38" t="s">
        <v>133</v>
      </c>
      <c r="C22" s="38" t="s">
        <v>121</v>
      </c>
      <c r="D22" s="38" t="s">
        <v>1134</v>
      </c>
      <c r="E22" s="37" t="s">
        <v>105</v>
      </c>
      <c r="F22" s="37" t="s">
        <v>105</v>
      </c>
      <c r="G22" s="37" t="s">
        <v>564</v>
      </c>
      <c r="H22" s="37" t="s">
        <v>196</v>
      </c>
      <c r="I22" s="38" t="s">
        <v>1529</v>
      </c>
      <c r="J22" s="38" t="s">
        <v>566</v>
      </c>
      <c r="K22" s="39">
        <f t="shared" si="0"/>
        <v>1</v>
      </c>
    </row>
    <row r="23" spans="1:11" ht="30" customHeight="1">
      <c r="A23" s="37">
        <v>15</v>
      </c>
      <c r="B23" s="38" t="s">
        <v>133</v>
      </c>
      <c r="C23" s="38" t="s">
        <v>147</v>
      </c>
      <c r="D23" s="38" t="s">
        <v>774</v>
      </c>
      <c r="E23" s="37" t="s">
        <v>105</v>
      </c>
      <c r="F23" s="37" t="s">
        <v>105</v>
      </c>
      <c r="G23" s="37" t="s">
        <v>564</v>
      </c>
      <c r="H23" s="37" t="s">
        <v>196</v>
      </c>
      <c r="I23" s="38" t="s">
        <v>1529</v>
      </c>
      <c r="J23" s="38" t="s">
        <v>566</v>
      </c>
      <c r="K23" s="39">
        <f t="shared" si="0"/>
        <v>1</v>
      </c>
    </row>
    <row r="24" spans="1:11" ht="30" customHeight="1">
      <c r="A24" s="37">
        <v>16</v>
      </c>
      <c r="B24" s="38" t="s">
        <v>133</v>
      </c>
      <c r="C24" s="38" t="s">
        <v>147</v>
      </c>
      <c r="D24" s="38" t="s">
        <v>775</v>
      </c>
      <c r="E24" s="37" t="s">
        <v>105</v>
      </c>
      <c r="F24" s="37" t="s">
        <v>105</v>
      </c>
      <c r="G24" s="37" t="s">
        <v>564</v>
      </c>
      <c r="H24" s="37" t="s">
        <v>196</v>
      </c>
      <c r="I24" s="38" t="s">
        <v>1529</v>
      </c>
      <c r="J24" s="38" t="s">
        <v>566</v>
      </c>
      <c r="K24" s="39">
        <f t="shared" si="0"/>
        <v>1</v>
      </c>
    </row>
    <row r="25" spans="1:11" ht="45" customHeight="1">
      <c r="A25" s="37">
        <v>17</v>
      </c>
      <c r="B25" s="38" t="s">
        <v>133</v>
      </c>
      <c r="C25" s="38" t="s">
        <v>147</v>
      </c>
      <c r="D25" s="38" t="s">
        <v>776</v>
      </c>
      <c r="E25" s="37" t="s">
        <v>105</v>
      </c>
      <c r="F25" s="37" t="s">
        <v>105</v>
      </c>
      <c r="G25" s="37" t="s">
        <v>564</v>
      </c>
      <c r="H25" s="37" t="s">
        <v>196</v>
      </c>
      <c r="I25" s="38" t="s">
        <v>1529</v>
      </c>
      <c r="J25" s="38" t="s">
        <v>566</v>
      </c>
      <c r="K25" s="39">
        <f t="shared" si="0"/>
        <v>1</v>
      </c>
    </row>
    <row r="26" spans="1:11" ht="30" customHeight="1">
      <c r="A26" s="37">
        <v>18</v>
      </c>
      <c r="B26" s="38" t="s">
        <v>133</v>
      </c>
      <c r="C26" s="38" t="s">
        <v>147</v>
      </c>
      <c r="D26" s="38" t="s">
        <v>777</v>
      </c>
      <c r="E26" s="37" t="s">
        <v>105</v>
      </c>
      <c r="F26" s="37" t="s">
        <v>105</v>
      </c>
      <c r="G26" s="37" t="s">
        <v>564</v>
      </c>
      <c r="H26" s="37" t="s">
        <v>196</v>
      </c>
      <c r="I26" s="38" t="s">
        <v>1529</v>
      </c>
      <c r="J26" s="38" t="s">
        <v>566</v>
      </c>
      <c r="K26" s="39">
        <f t="shared" si="0"/>
        <v>1</v>
      </c>
    </row>
    <row r="27" spans="1:11" ht="30" customHeight="1">
      <c r="A27" s="37">
        <v>19</v>
      </c>
      <c r="B27" s="38" t="s">
        <v>133</v>
      </c>
      <c r="C27" s="38" t="s">
        <v>147</v>
      </c>
      <c r="D27" s="38" t="s">
        <v>778</v>
      </c>
      <c r="E27" s="37" t="s">
        <v>105</v>
      </c>
      <c r="F27" s="37" t="s">
        <v>105</v>
      </c>
      <c r="G27" s="37" t="s">
        <v>564</v>
      </c>
      <c r="H27" s="37" t="s">
        <v>196</v>
      </c>
      <c r="I27" s="38" t="s">
        <v>1529</v>
      </c>
      <c r="J27" s="38" t="s">
        <v>566</v>
      </c>
      <c r="K27" s="39">
        <f t="shared" si="0"/>
        <v>1</v>
      </c>
    </row>
    <row r="28" spans="1:11" ht="30" customHeight="1">
      <c r="A28" s="37">
        <v>20</v>
      </c>
      <c r="B28" s="38" t="s">
        <v>133</v>
      </c>
      <c r="C28" s="38" t="s">
        <v>147</v>
      </c>
      <c r="D28" s="38" t="s">
        <v>779</v>
      </c>
      <c r="E28" s="37" t="s">
        <v>105</v>
      </c>
      <c r="F28" s="37" t="s">
        <v>105</v>
      </c>
      <c r="G28" s="37" t="s">
        <v>564</v>
      </c>
      <c r="H28" s="37" t="s">
        <v>196</v>
      </c>
      <c r="I28" s="38" t="s">
        <v>1529</v>
      </c>
      <c r="J28" s="38" t="s">
        <v>566</v>
      </c>
      <c r="K28" s="39">
        <f t="shared" si="0"/>
        <v>1</v>
      </c>
    </row>
    <row r="29" spans="1:11" ht="30" customHeight="1">
      <c r="A29" s="37">
        <v>21</v>
      </c>
      <c r="B29" s="38" t="s">
        <v>133</v>
      </c>
      <c r="C29" s="38" t="s">
        <v>147</v>
      </c>
      <c r="D29" s="38" t="s">
        <v>781</v>
      </c>
      <c r="E29" s="37" t="s">
        <v>105</v>
      </c>
      <c r="F29" s="37" t="s">
        <v>105</v>
      </c>
      <c r="G29" s="37" t="s">
        <v>564</v>
      </c>
      <c r="H29" s="37" t="s">
        <v>196</v>
      </c>
      <c r="I29" s="38" t="s">
        <v>1529</v>
      </c>
      <c r="J29" s="38" t="s">
        <v>566</v>
      </c>
      <c r="K29" s="39">
        <f t="shared" si="0"/>
        <v>1</v>
      </c>
    </row>
    <row r="30" spans="1:11" ht="30" customHeight="1">
      <c r="A30" s="37">
        <v>22</v>
      </c>
      <c r="B30" s="38" t="s">
        <v>133</v>
      </c>
      <c r="C30" s="38" t="s">
        <v>147</v>
      </c>
      <c r="D30" s="38" t="s">
        <v>782</v>
      </c>
      <c r="E30" s="37" t="s">
        <v>105</v>
      </c>
      <c r="F30" s="37" t="s">
        <v>105</v>
      </c>
      <c r="G30" s="37" t="s">
        <v>564</v>
      </c>
      <c r="H30" s="37" t="s">
        <v>196</v>
      </c>
      <c r="I30" s="38" t="s">
        <v>1529</v>
      </c>
      <c r="J30" s="38" t="s">
        <v>566</v>
      </c>
      <c r="K30" s="39">
        <f t="shared" si="0"/>
        <v>1</v>
      </c>
    </row>
    <row r="31" spans="1:11" ht="30" customHeight="1">
      <c r="A31" s="37">
        <v>23</v>
      </c>
      <c r="B31" s="38" t="s">
        <v>133</v>
      </c>
      <c r="C31" s="38" t="s">
        <v>147</v>
      </c>
      <c r="D31" s="38" t="s">
        <v>783</v>
      </c>
      <c r="E31" s="37" t="s">
        <v>105</v>
      </c>
      <c r="F31" s="37" t="s">
        <v>105</v>
      </c>
      <c r="G31" s="37" t="s">
        <v>564</v>
      </c>
      <c r="H31" s="37" t="s">
        <v>196</v>
      </c>
      <c r="I31" s="38" t="s">
        <v>1529</v>
      </c>
      <c r="J31" s="38" t="s">
        <v>566</v>
      </c>
      <c r="K31" s="39">
        <f t="shared" si="0"/>
        <v>1</v>
      </c>
    </row>
    <row r="32" spans="1:11" ht="30" customHeight="1">
      <c r="A32" s="37">
        <v>24</v>
      </c>
      <c r="B32" s="38" t="s">
        <v>133</v>
      </c>
      <c r="C32" s="38" t="s">
        <v>147</v>
      </c>
      <c r="D32" s="38" t="s">
        <v>784</v>
      </c>
      <c r="E32" s="37" t="s">
        <v>105</v>
      </c>
      <c r="F32" s="37" t="s">
        <v>105</v>
      </c>
      <c r="G32" s="37" t="s">
        <v>564</v>
      </c>
      <c r="H32" s="37" t="s">
        <v>196</v>
      </c>
      <c r="I32" s="38" t="s">
        <v>1529</v>
      </c>
      <c r="J32" s="38" t="s">
        <v>566</v>
      </c>
      <c r="K32" s="39">
        <f t="shared" si="0"/>
        <v>1</v>
      </c>
    </row>
    <row r="33" spans="1:11" ht="30" customHeight="1">
      <c r="A33" s="37">
        <v>25</v>
      </c>
      <c r="B33" s="38" t="s">
        <v>133</v>
      </c>
      <c r="C33" s="38" t="s">
        <v>147</v>
      </c>
      <c r="D33" s="38" t="s">
        <v>285</v>
      </c>
      <c r="E33" s="37" t="s">
        <v>105</v>
      </c>
      <c r="F33" s="37" t="s">
        <v>105</v>
      </c>
      <c r="G33" s="37" t="s">
        <v>564</v>
      </c>
      <c r="H33" s="37" t="s">
        <v>196</v>
      </c>
      <c r="I33" s="38" t="s">
        <v>1529</v>
      </c>
      <c r="J33" s="38" t="s">
        <v>566</v>
      </c>
      <c r="K33" s="39">
        <f t="shared" si="0"/>
        <v>1</v>
      </c>
    </row>
    <row r="34" spans="1:11" ht="45" customHeight="1">
      <c r="A34" s="37">
        <v>26</v>
      </c>
      <c r="B34" s="38" t="s">
        <v>133</v>
      </c>
      <c r="C34" s="38" t="s">
        <v>147</v>
      </c>
      <c r="D34" s="38" t="s">
        <v>785</v>
      </c>
      <c r="E34" s="37" t="s">
        <v>105</v>
      </c>
      <c r="F34" s="37" t="s">
        <v>105</v>
      </c>
      <c r="G34" s="37" t="s">
        <v>564</v>
      </c>
      <c r="H34" s="37" t="s">
        <v>196</v>
      </c>
      <c r="I34" s="38" t="s">
        <v>1529</v>
      </c>
      <c r="J34" s="38" t="s">
        <v>566</v>
      </c>
      <c r="K34" s="39">
        <f t="shared" si="0"/>
        <v>1</v>
      </c>
    </row>
    <row r="35" spans="1:11" ht="45" customHeight="1">
      <c r="A35" s="37">
        <v>27</v>
      </c>
      <c r="B35" s="38" t="s">
        <v>133</v>
      </c>
      <c r="C35" s="38" t="s">
        <v>147</v>
      </c>
      <c r="D35" s="38" t="s">
        <v>786</v>
      </c>
      <c r="E35" s="37" t="s">
        <v>105</v>
      </c>
      <c r="F35" s="37" t="s">
        <v>105</v>
      </c>
      <c r="G35" s="37" t="s">
        <v>564</v>
      </c>
      <c r="H35" s="37" t="s">
        <v>196</v>
      </c>
      <c r="I35" s="38" t="s">
        <v>1529</v>
      </c>
      <c r="J35" s="38" t="s">
        <v>566</v>
      </c>
      <c r="K35" s="39">
        <f t="shared" si="0"/>
        <v>1</v>
      </c>
    </row>
    <row r="36" spans="1:11" ht="30" customHeight="1">
      <c r="A36" s="37">
        <v>28</v>
      </c>
      <c r="B36" s="38" t="s">
        <v>133</v>
      </c>
      <c r="C36" s="38" t="s">
        <v>147</v>
      </c>
      <c r="D36" s="38" t="s">
        <v>787</v>
      </c>
      <c r="E36" s="37" t="s">
        <v>105</v>
      </c>
      <c r="F36" s="37" t="s">
        <v>105</v>
      </c>
      <c r="G36" s="37" t="s">
        <v>564</v>
      </c>
      <c r="H36" s="37" t="s">
        <v>196</v>
      </c>
      <c r="I36" s="38" t="s">
        <v>1529</v>
      </c>
      <c r="J36" s="38" t="s">
        <v>566</v>
      </c>
      <c r="K36" s="39">
        <f t="shared" si="0"/>
        <v>1</v>
      </c>
    </row>
    <row r="37" spans="1:11" ht="45" customHeight="1">
      <c r="A37" s="37">
        <v>29</v>
      </c>
      <c r="B37" s="38" t="s">
        <v>133</v>
      </c>
      <c r="C37" s="38" t="s">
        <v>147</v>
      </c>
      <c r="D37" s="38" t="s">
        <v>788</v>
      </c>
      <c r="E37" s="37" t="s">
        <v>105</v>
      </c>
      <c r="F37" s="37" t="s">
        <v>105</v>
      </c>
      <c r="G37" s="37" t="s">
        <v>564</v>
      </c>
      <c r="H37" s="37" t="s">
        <v>196</v>
      </c>
      <c r="I37" s="38" t="s">
        <v>1529</v>
      </c>
      <c r="J37" s="38" t="s">
        <v>566</v>
      </c>
      <c r="K37" s="39">
        <f t="shared" si="0"/>
        <v>1</v>
      </c>
    </row>
    <row r="38" spans="1:11" ht="30" customHeight="1">
      <c r="A38" s="37">
        <v>30</v>
      </c>
      <c r="B38" s="38" t="s">
        <v>133</v>
      </c>
      <c r="C38" s="38" t="s">
        <v>147</v>
      </c>
      <c r="D38" s="38" t="s">
        <v>1531</v>
      </c>
      <c r="E38" s="37" t="s">
        <v>105</v>
      </c>
      <c r="F38" s="37" t="s">
        <v>105</v>
      </c>
      <c r="G38" s="37" t="s">
        <v>564</v>
      </c>
      <c r="H38" s="37" t="s">
        <v>196</v>
      </c>
      <c r="I38" s="38" t="s">
        <v>1529</v>
      </c>
      <c r="J38" s="38" t="s">
        <v>566</v>
      </c>
      <c r="K38" s="39">
        <f t="shared" si="0"/>
        <v>1</v>
      </c>
    </row>
    <row r="39" spans="1:11" ht="30" customHeight="1">
      <c r="A39" s="37">
        <v>31</v>
      </c>
      <c r="B39" s="38" t="s">
        <v>133</v>
      </c>
      <c r="C39" s="38" t="s">
        <v>147</v>
      </c>
      <c r="D39" s="38" t="s">
        <v>769</v>
      </c>
      <c r="E39" s="37" t="s">
        <v>105</v>
      </c>
      <c r="F39" s="37" t="s">
        <v>105</v>
      </c>
      <c r="G39" s="37" t="s">
        <v>564</v>
      </c>
      <c r="H39" s="37" t="s">
        <v>196</v>
      </c>
      <c r="I39" s="38" t="s">
        <v>1529</v>
      </c>
      <c r="J39" s="38" t="s">
        <v>566</v>
      </c>
      <c r="K39" s="39">
        <f t="shared" si="0"/>
        <v>1</v>
      </c>
    </row>
    <row r="40" spans="1:11" ht="30" customHeight="1">
      <c r="A40" s="37">
        <v>32</v>
      </c>
      <c r="B40" s="38" t="s">
        <v>133</v>
      </c>
      <c r="C40" s="38" t="s">
        <v>147</v>
      </c>
      <c r="D40" s="38" t="s">
        <v>789</v>
      </c>
      <c r="E40" s="37" t="s">
        <v>105</v>
      </c>
      <c r="F40" s="37" t="s">
        <v>105</v>
      </c>
      <c r="G40" s="37" t="s">
        <v>564</v>
      </c>
      <c r="H40" s="37" t="s">
        <v>196</v>
      </c>
      <c r="I40" s="38" t="s">
        <v>1529</v>
      </c>
      <c r="J40" s="38" t="s">
        <v>566</v>
      </c>
      <c r="K40" s="39">
        <f t="shared" si="0"/>
        <v>1</v>
      </c>
    </row>
    <row r="41" spans="1:11" ht="30" customHeight="1">
      <c r="A41" s="37">
        <v>33</v>
      </c>
      <c r="B41" s="38" t="s">
        <v>133</v>
      </c>
      <c r="C41" s="38" t="s">
        <v>150</v>
      </c>
      <c r="D41" s="38" t="s">
        <v>790</v>
      </c>
      <c r="E41" s="37" t="s">
        <v>105</v>
      </c>
      <c r="F41" s="37" t="s">
        <v>105</v>
      </c>
      <c r="G41" s="37" t="s">
        <v>564</v>
      </c>
      <c r="H41" s="37" t="s">
        <v>196</v>
      </c>
      <c r="I41" s="38" t="s">
        <v>1529</v>
      </c>
      <c r="J41" s="38" t="s">
        <v>566</v>
      </c>
      <c r="K41" s="39">
        <f t="shared" ref="K41:K72" si="1">IF(AND(E41="yes",F41="yes",H41="covered"),1,IF(H41="partial",0.5,0))</f>
        <v>1</v>
      </c>
    </row>
    <row r="42" spans="1:11" ht="30" customHeight="1">
      <c r="A42" s="37">
        <v>34</v>
      </c>
      <c r="B42" s="38" t="s">
        <v>133</v>
      </c>
      <c r="C42" s="38" t="s">
        <v>150</v>
      </c>
      <c r="D42" s="38" t="s">
        <v>791</v>
      </c>
      <c r="E42" s="37" t="s">
        <v>105</v>
      </c>
      <c r="F42" s="37" t="s">
        <v>105</v>
      </c>
      <c r="G42" s="37" t="s">
        <v>564</v>
      </c>
      <c r="H42" s="37" t="s">
        <v>196</v>
      </c>
      <c r="I42" s="38" t="s">
        <v>1529</v>
      </c>
      <c r="J42" s="38" t="s">
        <v>566</v>
      </c>
      <c r="K42" s="39">
        <f t="shared" si="1"/>
        <v>1</v>
      </c>
    </row>
    <row r="43" spans="1:11" ht="30" customHeight="1">
      <c r="A43" s="37">
        <v>35</v>
      </c>
      <c r="B43" s="38" t="s">
        <v>133</v>
      </c>
      <c r="C43" s="38" t="s">
        <v>150</v>
      </c>
      <c r="D43" s="38" t="s">
        <v>838</v>
      </c>
      <c r="E43" s="37" t="s">
        <v>105</v>
      </c>
      <c r="F43" s="37" t="s">
        <v>105</v>
      </c>
      <c r="G43" s="37" t="s">
        <v>564</v>
      </c>
      <c r="H43" s="37" t="s">
        <v>196</v>
      </c>
      <c r="I43" s="38" t="s">
        <v>1529</v>
      </c>
      <c r="J43" s="38" t="s">
        <v>566</v>
      </c>
      <c r="K43" s="39">
        <f t="shared" si="1"/>
        <v>1</v>
      </c>
    </row>
    <row r="44" spans="1:11" ht="30" customHeight="1">
      <c r="A44" s="37">
        <v>36</v>
      </c>
      <c r="B44" s="38" t="s">
        <v>133</v>
      </c>
      <c r="C44" s="38" t="s">
        <v>150</v>
      </c>
      <c r="D44" s="38" t="s">
        <v>793</v>
      </c>
      <c r="E44" s="37" t="s">
        <v>105</v>
      </c>
      <c r="F44" s="37" t="s">
        <v>105</v>
      </c>
      <c r="G44" s="37" t="s">
        <v>564</v>
      </c>
      <c r="H44" s="37" t="s">
        <v>196</v>
      </c>
      <c r="I44" s="38" t="s">
        <v>1529</v>
      </c>
      <c r="J44" s="38" t="s">
        <v>566</v>
      </c>
      <c r="K44" s="39">
        <f t="shared" si="1"/>
        <v>1</v>
      </c>
    </row>
    <row r="45" spans="1:11" ht="30" customHeight="1">
      <c r="A45" s="37">
        <v>37</v>
      </c>
      <c r="B45" s="38" t="s">
        <v>133</v>
      </c>
      <c r="C45" s="38" t="s">
        <v>150</v>
      </c>
      <c r="D45" s="38" t="s">
        <v>1169</v>
      </c>
      <c r="E45" s="37" t="s">
        <v>105</v>
      </c>
      <c r="F45" s="37" t="s">
        <v>105</v>
      </c>
      <c r="G45" s="37" t="s">
        <v>564</v>
      </c>
      <c r="H45" s="37" t="s">
        <v>196</v>
      </c>
      <c r="I45" s="38" t="s">
        <v>1529</v>
      </c>
      <c r="J45" s="38" t="s">
        <v>566</v>
      </c>
      <c r="K45" s="39">
        <f t="shared" si="1"/>
        <v>1</v>
      </c>
    </row>
    <row r="46" spans="1:11" ht="30" customHeight="1">
      <c r="A46" s="37">
        <v>38</v>
      </c>
      <c r="B46" s="38" t="s">
        <v>133</v>
      </c>
      <c r="C46" s="38" t="s">
        <v>150</v>
      </c>
      <c r="D46" s="38" t="s">
        <v>1170</v>
      </c>
      <c r="E46" s="37" t="s">
        <v>105</v>
      </c>
      <c r="F46" s="37" t="s">
        <v>105</v>
      </c>
      <c r="G46" s="37" t="s">
        <v>564</v>
      </c>
      <c r="H46" s="37" t="s">
        <v>196</v>
      </c>
      <c r="I46" s="38" t="s">
        <v>1529</v>
      </c>
      <c r="J46" s="38" t="s">
        <v>566</v>
      </c>
      <c r="K46" s="39">
        <f t="shared" si="1"/>
        <v>1</v>
      </c>
    </row>
    <row r="47" spans="1:11" ht="30" customHeight="1">
      <c r="A47" s="37">
        <v>39</v>
      </c>
      <c r="B47" s="38" t="s">
        <v>133</v>
      </c>
      <c r="C47" s="38" t="s">
        <v>150</v>
      </c>
      <c r="D47" s="38" t="s">
        <v>1171</v>
      </c>
      <c r="E47" s="37" t="s">
        <v>105</v>
      </c>
      <c r="F47" s="37" t="s">
        <v>105</v>
      </c>
      <c r="G47" s="37" t="s">
        <v>564</v>
      </c>
      <c r="H47" s="37" t="s">
        <v>196</v>
      </c>
      <c r="I47" s="38" t="s">
        <v>1529</v>
      </c>
      <c r="J47" s="38" t="s">
        <v>566</v>
      </c>
      <c r="K47" s="39">
        <f t="shared" si="1"/>
        <v>1</v>
      </c>
    </row>
    <row r="48" spans="1:11" ht="30" customHeight="1">
      <c r="A48" s="37">
        <v>40</v>
      </c>
      <c r="B48" s="38" t="s">
        <v>133</v>
      </c>
      <c r="C48" s="38" t="s">
        <v>150</v>
      </c>
      <c r="D48" s="38" t="s">
        <v>1172</v>
      </c>
      <c r="E48" s="37" t="s">
        <v>105</v>
      </c>
      <c r="F48" s="37" t="s">
        <v>105</v>
      </c>
      <c r="G48" s="37" t="s">
        <v>564</v>
      </c>
      <c r="H48" s="37" t="s">
        <v>196</v>
      </c>
      <c r="I48" s="38" t="s">
        <v>1529</v>
      </c>
      <c r="J48" s="38" t="s">
        <v>566</v>
      </c>
      <c r="K48" s="39">
        <f t="shared" si="1"/>
        <v>1</v>
      </c>
    </row>
    <row r="49" spans="1:11" ht="30" customHeight="1">
      <c r="A49" s="37">
        <v>41</v>
      </c>
      <c r="B49" s="38" t="s">
        <v>133</v>
      </c>
      <c r="C49" s="38" t="s">
        <v>150</v>
      </c>
      <c r="D49" s="38" t="s">
        <v>1173</v>
      </c>
      <c r="E49" s="37" t="s">
        <v>105</v>
      </c>
      <c r="F49" s="37" t="s">
        <v>105</v>
      </c>
      <c r="G49" s="37" t="s">
        <v>564</v>
      </c>
      <c r="H49" s="37" t="s">
        <v>196</v>
      </c>
      <c r="I49" s="38" t="s">
        <v>1529</v>
      </c>
      <c r="J49" s="38" t="s">
        <v>566</v>
      </c>
      <c r="K49" s="39">
        <f t="shared" si="1"/>
        <v>1</v>
      </c>
    </row>
    <row r="50" spans="1:11" ht="30" customHeight="1">
      <c r="A50" s="37">
        <v>42</v>
      </c>
      <c r="B50" s="38" t="s">
        <v>133</v>
      </c>
      <c r="C50" s="38" t="s">
        <v>150</v>
      </c>
      <c r="D50" s="38" t="s">
        <v>1174</v>
      </c>
      <c r="E50" s="37" t="s">
        <v>105</v>
      </c>
      <c r="F50" s="37" t="s">
        <v>105</v>
      </c>
      <c r="G50" s="37" t="s">
        <v>564</v>
      </c>
      <c r="H50" s="37" t="s">
        <v>196</v>
      </c>
      <c r="I50" s="38" t="s">
        <v>1529</v>
      </c>
      <c r="J50" s="38" t="s">
        <v>566</v>
      </c>
      <c r="K50" s="39">
        <f t="shared" si="1"/>
        <v>1</v>
      </c>
    </row>
    <row r="51" spans="1:11" ht="30" customHeight="1">
      <c r="A51" s="37">
        <v>43</v>
      </c>
      <c r="B51" s="38" t="s">
        <v>133</v>
      </c>
      <c r="C51" s="38" t="s">
        <v>150</v>
      </c>
      <c r="D51" s="38" t="s">
        <v>1175</v>
      </c>
      <c r="E51" s="37" t="s">
        <v>105</v>
      </c>
      <c r="F51" s="37" t="s">
        <v>105</v>
      </c>
      <c r="G51" s="37" t="s">
        <v>564</v>
      </c>
      <c r="H51" s="37" t="s">
        <v>196</v>
      </c>
      <c r="I51" s="38" t="s">
        <v>1529</v>
      </c>
      <c r="J51" s="38" t="s">
        <v>566</v>
      </c>
      <c r="K51" s="39">
        <f t="shared" si="1"/>
        <v>1</v>
      </c>
    </row>
    <row r="52" spans="1:11" ht="45" customHeight="1">
      <c r="A52" s="37">
        <v>44</v>
      </c>
      <c r="B52" s="38" t="s">
        <v>133</v>
      </c>
      <c r="C52" s="38" t="s">
        <v>150</v>
      </c>
      <c r="D52" s="38" t="s">
        <v>1176</v>
      </c>
      <c r="E52" s="37" t="s">
        <v>105</v>
      </c>
      <c r="F52" s="37" t="s">
        <v>105</v>
      </c>
      <c r="G52" s="37" t="s">
        <v>564</v>
      </c>
      <c r="H52" s="37" t="s">
        <v>196</v>
      </c>
      <c r="I52" s="38" t="s">
        <v>1529</v>
      </c>
      <c r="J52" s="38" t="s">
        <v>566</v>
      </c>
      <c r="K52" s="39">
        <f t="shared" si="1"/>
        <v>1</v>
      </c>
    </row>
    <row r="53" spans="1:11" ht="30" customHeight="1">
      <c r="A53" s="37">
        <v>45</v>
      </c>
      <c r="B53" s="38" t="s">
        <v>133</v>
      </c>
      <c r="C53" s="38" t="s">
        <v>150</v>
      </c>
      <c r="D53" s="38" t="s">
        <v>799</v>
      </c>
      <c r="E53" s="37" t="s">
        <v>105</v>
      </c>
      <c r="F53" s="37" t="s">
        <v>105</v>
      </c>
      <c r="G53" s="37" t="s">
        <v>564</v>
      </c>
      <c r="H53" s="37" t="s">
        <v>196</v>
      </c>
      <c r="I53" s="38" t="s">
        <v>1529</v>
      </c>
      <c r="J53" s="38" t="s">
        <v>566</v>
      </c>
      <c r="K53" s="39">
        <f t="shared" si="1"/>
        <v>1</v>
      </c>
    </row>
    <row r="54" spans="1:11" ht="30" customHeight="1">
      <c r="A54" s="37">
        <v>46</v>
      </c>
      <c r="B54" s="38" t="s">
        <v>133</v>
      </c>
      <c r="C54" s="38" t="s">
        <v>150</v>
      </c>
      <c r="D54" s="38" t="s">
        <v>769</v>
      </c>
      <c r="E54" s="37" t="s">
        <v>105</v>
      </c>
      <c r="F54" s="37" t="s">
        <v>105</v>
      </c>
      <c r="G54" s="37" t="s">
        <v>564</v>
      </c>
      <c r="H54" s="37" t="s">
        <v>196</v>
      </c>
      <c r="I54" s="38" t="s">
        <v>1529</v>
      </c>
      <c r="J54" s="38" t="s">
        <v>566</v>
      </c>
      <c r="K54" s="39">
        <f t="shared" si="1"/>
        <v>1</v>
      </c>
    </row>
    <row r="55" spans="1:11" ht="30" customHeight="1">
      <c r="A55" s="37">
        <v>47</v>
      </c>
      <c r="B55" s="38" t="s">
        <v>133</v>
      </c>
      <c r="C55" s="38" t="s">
        <v>800</v>
      </c>
      <c r="D55" s="38" t="s">
        <v>801</v>
      </c>
      <c r="E55" s="37" t="s">
        <v>105</v>
      </c>
      <c r="F55" s="37" t="s">
        <v>105</v>
      </c>
      <c r="G55" s="37" t="s">
        <v>564</v>
      </c>
      <c r="H55" s="37" t="s">
        <v>196</v>
      </c>
      <c r="I55" s="38" t="s">
        <v>1529</v>
      </c>
      <c r="J55" s="38" t="s">
        <v>566</v>
      </c>
      <c r="K55" s="39">
        <f t="shared" si="1"/>
        <v>1</v>
      </c>
    </row>
    <row r="56" spans="1:11" ht="30" customHeight="1">
      <c r="A56" s="37">
        <v>48</v>
      </c>
      <c r="B56" s="38" t="s">
        <v>133</v>
      </c>
      <c r="C56" s="38" t="s">
        <v>800</v>
      </c>
      <c r="D56" s="38" t="s">
        <v>1177</v>
      </c>
      <c r="E56" s="37" t="s">
        <v>105</v>
      </c>
      <c r="F56" s="37" t="s">
        <v>105</v>
      </c>
      <c r="G56" s="37" t="s">
        <v>564</v>
      </c>
      <c r="H56" s="37" t="s">
        <v>196</v>
      </c>
      <c r="I56" s="38" t="s">
        <v>1529</v>
      </c>
      <c r="J56" s="38" t="s">
        <v>566</v>
      </c>
      <c r="K56" s="39">
        <f t="shared" si="1"/>
        <v>1</v>
      </c>
    </row>
    <row r="57" spans="1:11" ht="30" customHeight="1">
      <c r="A57" s="37">
        <v>49</v>
      </c>
      <c r="B57" s="38" t="s">
        <v>133</v>
      </c>
      <c r="C57" s="38" t="s">
        <v>800</v>
      </c>
      <c r="D57" s="38" t="s">
        <v>1178</v>
      </c>
      <c r="E57" s="37" t="s">
        <v>105</v>
      </c>
      <c r="F57" s="37" t="s">
        <v>105</v>
      </c>
      <c r="G57" s="37" t="s">
        <v>564</v>
      </c>
      <c r="H57" s="37" t="s">
        <v>196</v>
      </c>
      <c r="I57" s="38" t="s">
        <v>1529</v>
      </c>
      <c r="J57" s="38" t="s">
        <v>566</v>
      </c>
      <c r="K57" s="39">
        <f t="shared" si="1"/>
        <v>1</v>
      </c>
    </row>
    <row r="58" spans="1:11" ht="30" customHeight="1">
      <c r="A58" s="37">
        <v>50</v>
      </c>
      <c r="B58" s="38" t="s">
        <v>133</v>
      </c>
      <c r="C58" s="38" t="s">
        <v>800</v>
      </c>
      <c r="D58" s="38" t="s">
        <v>1179</v>
      </c>
      <c r="E58" s="37" t="s">
        <v>105</v>
      </c>
      <c r="F58" s="37" t="s">
        <v>105</v>
      </c>
      <c r="G58" s="37" t="s">
        <v>564</v>
      </c>
      <c r="H58" s="37" t="s">
        <v>196</v>
      </c>
      <c r="I58" s="38" t="s">
        <v>1529</v>
      </c>
      <c r="J58" s="38" t="s">
        <v>566</v>
      </c>
      <c r="K58" s="39">
        <f t="shared" si="1"/>
        <v>1</v>
      </c>
    </row>
    <row r="59" spans="1:11" ht="30" customHeight="1">
      <c r="A59" s="37">
        <v>51</v>
      </c>
      <c r="B59" s="38" t="s">
        <v>133</v>
      </c>
      <c r="C59" s="38" t="s">
        <v>800</v>
      </c>
      <c r="D59" s="38" t="s">
        <v>1180</v>
      </c>
      <c r="E59" s="37" t="s">
        <v>105</v>
      </c>
      <c r="F59" s="37" t="s">
        <v>105</v>
      </c>
      <c r="G59" s="37" t="s">
        <v>564</v>
      </c>
      <c r="H59" s="37" t="s">
        <v>196</v>
      </c>
      <c r="I59" s="38" t="s">
        <v>1529</v>
      </c>
      <c r="J59" s="38" t="s">
        <v>566</v>
      </c>
      <c r="K59" s="39">
        <f t="shared" si="1"/>
        <v>1</v>
      </c>
    </row>
    <row r="60" spans="1:11" ht="30" customHeight="1">
      <c r="A60" s="37">
        <v>52</v>
      </c>
      <c r="B60" s="38" t="s">
        <v>133</v>
      </c>
      <c r="C60" s="38" t="s">
        <v>800</v>
      </c>
      <c r="D60" s="38" t="s">
        <v>1181</v>
      </c>
      <c r="E60" s="37" t="s">
        <v>105</v>
      </c>
      <c r="F60" s="37" t="s">
        <v>105</v>
      </c>
      <c r="G60" s="37" t="s">
        <v>564</v>
      </c>
      <c r="H60" s="37" t="s">
        <v>196</v>
      </c>
      <c r="I60" s="38" t="s">
        <v>1529</v>
      </c>
      <c r="J60" s="38" t="s">
        <v>566</v>
      </c>
      <c r="K60" s="39">
        <f t="shared" si="1"/>
        <v>1</v>
      </c>
    </row>
    <row r="61" spans="1:11" ht="30" customHeight="1">
      <c r="A61" s="37">
        <v>53</v>
      </c>
      <c r="B61" s="38" t="s">
        <v>133</v>
      </c>
      <c r="C61" s="38" t="s">
        <v>800</v>
      </c>
      <c r="D61" s="38" t="s">
        <v>807</v>
      </c>
      <c r="E61" s="37" t="s">
        <v>105</v>
      </c>
      <c r="F61" s="37" t="s">
        <v>105</v>
      </c>
      <c r="G61" s="37" t="s">
        <v>564</v>
      </c>
      <c r="H61" s="37" t="s">
        <v>196</v>
      </c>
      <c r="I61" s="38" t="s">
        <v>1529</v>
      </c>
      <c r="J61" s="38" t="s">
        <v>566</v>
      </c>
      <c r="K61" s="39">
        <f t="shared" si="1"/>
        <v>1</v>
      </c>
    </row>
    <row r="62" spans="1:11" ht="30" customHeight="1">
      <c r="A62" s="37">
        <v>54</v>
      </c>
      <c r="B62" s="38" t="s">
        <v>133</v>
      </c>
      <c r="C62" s="38" t="s">
        <v>800</v>
      </c>
      <c r="D62" s="38" t="s">
        <v>808</v>
      </c>
      <c r="E62" s="37" t="s">
        <v>105</v>
      </c>
      <c r="F62" s="37" t="s">
        <v>105</v>
      </c>
      <c r="G62" s="37" t="s">
        <v>564</v>
      </c>
      <c r="H62" s="37" t="s">
        <v>196</v>
      </c>
      <c r="I62" s="38" t="s">
        <v>1529</v>
      </c>
      <c r="J62" s="38" t="s">
        <v>566</v>
      </c>
      <c r="K62" s="39">
        <f t="shared" si="1"/>
        <v>1</v>
      </c>
    </row>
    <row r="63" spans="1:11" ht="30" customHeight="1">
      <c r="A63" s="37">
        <v>55</v>
      </c>
      <c r="B63" s="38" t="s">
        <v>133</v>
      </c>
      <c r="C63" s="38" t="s">
        <v>800</v>
      </c>
      <c r="D63" s="38" t="s">
        <v>838</v>
      </c>
      <c r="E63" s="37" t="s">
        <v>105</v>
      </c>
      <c r="F63" s="37" t="s">
        <v>105</v>
      </c>
      <c r="G63" s="37" t="s">
        <v>564</v>
      </c>
      <c r="H63" s="37" t="s">
        <v>196</v>
      </c>
      <c r="I63" s="38" t="s">
        <v>1529</v>
      </c>
      <c r="J63" s="38" t="s">
        <v>566</v>
      </c>
      <c r="K63" s="39">
        <f t="shared" si="1"/>
        <v>1</v>
      </c>
    </row>
    <row r="64" spans="1:11" ht="30" customHeight="1">
      <c r="A64" s="37">
        <v>56</v>
      </c>
      <c r="B64" s="38" t="s">
        <v>133</v>
      </c>
      <c r="C64" s="38" t="s">
        <v>809</v>
      </c>
      <c r="D64" s="38" t="s">
        <v>810</v>
      </c>
      <c r="E64" s="37" t="s">
        <v>105</v>
      </c>
      <c r="F64" s="37" t="s">
        <v>105</v>
      </c>
      <c r="G64" s="37" t="s">
        <v>564</v>
      </c>
      <c r="H64" s="37" t="s">
        <v>196</v>
      </c>
      <c r="I64" s="38" t="s">
        <v>1529</v>
      </c>
      <c r="J64" s="38" t="s">
        <v>566</v>
      </c>
      <c r="K64" s="39">
        <f t="shared" si="1"/>
        <v>1</v>
      </c>
    </row>
    <row r="65" spans="1:11" ht="30" customHeight="1">
      <c r="A65" s="37">
        <v>57</v>
      </c>
      <c r="B65" s="38" t="s">
        <v>133</v>
      </c>
      <c r="C65" s="38" t="s">
        <v>809</v>
      </c>
      <c r="D65" s="38" t="s">
        <v>811</v>
      </c>
      <c r="E65" s="37" t="s">
        <v>105</v>
      </c>
      <c r="F65" s="37" t="s">
        <v>105</v>
      </c>
      <c r="G65" s="37" t="s">
        <v>564</v>
      </c>
      <c r="H65" s="37" t="s">
        <v>196</v>
      </c>
      <c r="I65" s="38" t="s">
        <v>1529</v>
      </c>
      <c r="J65" s="38" t="s">
        <v>566</v>
      </c>
      <c r="K65" s="39">
        <f t="shared" si="1"/>
        <v>1</v>
      </c>
    </row>
    <row r="66" spans="1:11" ht="45" customHeight="1">
      <c r="A66" s="37">
        <v>58</v>
      </c>
      <c r="B66" s="38" t="s">
        <v>133</v>
      </c>
      <c r="C66" s="38" t="s">
        <v>809</v>
      </c>
      <c r="D66" s="38" t="s">
        <v>1182</v>
      </c>
      <c r="E66" s="37" t="s">
        <v>105</v>
      </c>
      <c r="F66" s="37" t="s">
        <v>105</v>
      </c>
      <c r="G66" s="37" t="s">
        <v>564</v>
      </c>
      <c r="H66" s="37" t="s">
        <v>196</v>
      </c>
      <c r="I66" s="38" t="s">
        <v>1529</v>
      </c>
      <c r="J66" s="38" t="s">
        <v>566</v>
      </c>
      <c r="K66" s="39">
        <f t="shared" si="1"/>
        <v>1</v>
      </c>
    </row>
    <row r="67" spans="1:11" ht="45" customHeight="1">
      <c r="A67" s="37">
        <v>59</v>
      </c>
      <c r="B67" s="38" t="s">
        <v>133</v>
      </c>
      <c r="C67" s="38" t="s">
        <v>809</v>
      </c>
      <c r="D67" s="38" t="s">
        <v>1183</v>
      </c>
      <c r="E67" s="37" t="s">
        <v>105</v>
      </c>
      <c r="F67" s="37" t="s">
        <v>105</v>
      </c>
      <c r="G67" s="37" t="s">
        <v>564</v>
      </c>
      <c r="H67" s="37" t="s">
        <v>196</v>
      </c>
      <c r="I67" s="38" t="s">
        <v>1529</v>
      </c>
      <c r="J67" s="38" t="s">
        <v>566</v>
      </c>
      <c r="K67" s="39">
        <f t="shared" si="1"/>
        <v>1</v>
      </c>
    </row>
    <row r="68" spans="1:11" ht="30" customHeight="1">
      <c r="A68" s="37">
        <v>60</v>
      </c>
      <c r="B68" s="38" t="s">
        <v>133</v>
      </c>
      <c r="C68" s="38" t="s">
        <v>809</v>
      </c>
      <c r="D68" s="38" t="s">
        <v>1184</v>
      </c>
      <c r="E68" s="37" t="s">
        <v>105</v>
      </c>
      <c r="F68" s="37" t="s">
        <v>105</v>
      </c>
      <c r="G68" s="37" t="s">
        <v>564</v>
      </c>
      <c r="H68" s="37" t="s">
        <v>196</v>
      </c>
      <c r="I68" s="38" t="s">
        <v>1529</v>
      </c>
      <c r="J68" s="38" t="s">
        <v>566</v>
      </c>
      <c r="K68" s="39">
        <f t="shared" si="1"/>
        <v>1</v>
      </c>
    </row>
    <row r="69" spans="1:11" ht="30" customHeight="1">
      <c r="A69" s="37">
        <v>61</v>
      </c>
      <c r="B69" s="38" t="s">
        <v>133</v>
      </c>
      <c r="C69" s="38" t="s">
        <v>809</v>
      </c>
      <c r="D69" s="38" t="s">
        <v>769</v>
      </c>
      <c r="E69" s="37" t="s">
        <v>105</v>
      </c>
      <c r="F69" s="37" t="s">
        <v>105</v>
      </c>
      <c r="G69" s="37" t="s">
        <v>564</v>
      </c>
      <c r="H69" s="37" t="s">
        <v>196</v>
      </c>
      <c r="I69" s="38" t="s">
        <v>1529</v>
      </c>
      <c r="J69" s="38" t="s">
        <v>566</v>
      </c>
      <c r="K69" s="39">
        <f t="shared" si="1"/>
        <v>1</v>
      </c>
    </row>
    <row r="70" spans="1:11" ht="30" customHeight="1">
      <c r="A70" s="37">
        <v>62</v>
      </c>
      <c r="B70" s="38" t="s">
        <v>133</v>
      </c>
      <c r="C70" s="38" t="s">
        <v>814</v>
      </c>
      <c r="D70" s="38" t="s">
        <v>815</v>
      </c>
      <c r="E70" s="37" t="s">
        <v>105</v>
      </c>
      <c r="F70" s="37" t="s">
        <v>105</v>
      </c>
      <c r="G70" s="37" t="s">
        <v>564</v>
      </c>
      <c r="H70" s="37" t="s">
        <v>196</v>
      </c>
      <c r="I70" s="38" t="s">
        <v>1529</v>
      </c>
      <c r="J70" s="38" t="s">
        <v>566</v>
      </c>
      <c r="K70" s="39">
        <f t="shared" si="1"/>
        <v>1</v>
      </c>
    </row>
    <row r="71" spans="1:11" ht="30" customHeight="1">
      <c r="A71" s="37">
        <v>63</v>
      </c>
      <c r="B71" s="38" t="s">
        <v>133</v>
      </c>
      <c r="C71" s="38" t="s">
        <v>814</v>
      </c>
      <c r="D71" s="38" t="s">
        <v>1185</v>
      </c>
      <c r="E71" s="37" t="s">
        <v>105</v>
      </c>
      <c r="F71" s="37" t="s">
        <v>105</v>
      </c>
      <c r="G71" s="37" t="s">
        <v>564</v>
      </c>
      <c r="H71" s="37" t="s">
        <v>196</v>
      </c>
      <c r="I71" s="38" t="s">
        <v>1529</v>
      </c>
      <c r="J71" s="38" t="s">
        <v>566</v>
      </c>
      <c r="K71" s="39">
        <f t="shared" si="1"/>
        <v>1</v>
      </c>
    </row>
    <row r="72" spans="1:11" ht="30" customHeight="1">
      <c r="A72" s="37">
        <v>64</v>
      </c>
      <c r="B72" s="38" t="s">
        <v>133</v>
      </c>
      <c r="C72" s="38" t="s">
        <v>814</v>
      </c>
      <c r="D72" s="38" t="s">
        <v>1186</v>
      </c>
      <c r="E72" s="37" t="s">
        <v>105</v>
      </c>
      <c r="F72" s="37" t="s">
        <v>105</v>
      </c>
      <c r="G72" s="37" t="s">
        <v>564</v>
      </c>
      <c r="H72" s="37" t="s">
        <v>196</v>
      </c>
      <c r="I72" s="38" t="s">
        <v>1529</v>
      </c>
      <c r="J72" s="38" t="s">
        <v>566</v>
      </c>
      <c r="K72" s="39">
        <f t="shared" si="1"/>
        <v>1</v>
      </c>
    </row>
    <row r="73" spans="1:11" ht="30" customHeight="1">
      <c r="A73" s="37">
        <v>65</v>
      </c>
      <c r="B73" s="38" t="s">
        <v>133</v>
      </c>
      <c r="C73" s="38" t="s">
        <v>814</v>
      </c>
      <c r="D73" s="38" t="s">
        <v>1187</v>
      </c>
      <c r="E73" s="37" t="s">
        <v>105</v>
      </c>
      <c r="F73" s="37" t="s">
        <v>105</v>
      </c>
      <c r="G73" s="37" t="s">
        <v>564</v>
      </c>
      <c r="H73" s="37" t="s">
        <v>196</v>
      </c>
      <c r="I73" s="38" t="s">
        <v>1529</v>
      </c>
      <c r="J73" s="38" t="s">
        <v>566</v>
      </c>
      <c r="K73" s="39">
        <f t="shared" ref="K73:K104" si="2">IF(AND(E73="yes",F73="yes",H73="covered"),1,IF(H73="partial",0.5,0))</f>
        <v>1</v>
      </c>
    </row>
    <row r="74" spans="1:11" ht="30" customHeight="1">
      <c r="A74" s="37">
        <v>66</v>
      </c>
      <c r="B74" s="38" t="s">
        <v>133</v>
      </c>
      <c r="C74" s="38" t="s">
        <v>814</v>
      </c>
      <c r="D74" s="38" t="s">
        <v>818</v>
      </c>
      <c r="E74" s="37" t="s">
        <v>105</v>
      </c>
      <c r="F74" s="37" t="s">
        <v>105</v>
      </c>
      <c r="G74" s="37" t="s">
        <v>564</v>
      </c>
      <c r="H74" s="37" t="s">
        <v>196</v>
      </c>
      <c r="I74" s="38" t="s">
        <v>1529</v>
      </c>
      <c r="J74" s="38" t="s">
        <v>566</v>
      </c>
      <c r="K74" s="39">
        <f t="shared" si="2"/>
        <v>1</v>
      </c>
    </row>
    <row r="75" spans="1:11" ht="30" customHeight="1">
      <c r="A75" s="37">
        <v>67</v>
      </c>
      <c r="B75" s="38" t="s">
        <v>133</v>
      </c>
      <c r="C75" s="38" t="s">
        <v>814</v>
      </c>
      <c r="D75" s="38" t="s">
        <v>819</v>
      </c>
      <c r="E75" s="37" t="s">
        <v>105</v>
      </c>
      <c r="F75" s="37" t="s">
        <v>105</v>
      </c>
      <c r="G75" s="37" t="s">
        <v>564</v>
      </c>
      <c r="H75" s="37" t="s">
        <v>196</v>
      </c>
      <c r="I75" s="38" t="s">
        <v>1529</v>
      </c>
      <c r="J75" s="38" t="s">
        <v>566</v>
      </c>
      <c r="K75" s="39">
        <f t="shared" si="2"/>
        <v>1</v>
      </c>
    </row>
    <row r="76" spans="1:11" ht="30" customHeight="1">
      <c r="A76" s="37">
        <v>68</v>
      </c>
      <c r="B76" s="38" t="s">
        <v>133</v>
      </c>
      <c r="C76" s="38" t="s">
        <v>814</v>
      </c>
      <c r="D76" s="38" t="s">
        <v>1181</v>
      </c>
      <c r="E76" s="37" t="s">
        <v>105</v>
      </c>
      <c r="F76" s="37" t="s">
        <v>105</v>
      </c>
      <c r="G76" s="37" t="s">
        <v>564</v>
      </c>
      <c r="H76" s="37" t="s">
        <v>196</v>
      </c>
      <c r="I76" s="38" t="s">
        <v>1529</v>
      </c>
      <c r="J76" s="38" t="s">
        <v>566</v>
      </c>
      <c r="K76" s="39">
        <f t="shared" si="2"/>
        <v>1</v>
      </c>
    </row>
    <row r="77" spans="1:11" ht="30" customHeight="1">
      <c r="A77" s="37">
        <v>69</v>
      </c>
      <c r="B77" s="38" t="s">
        <v>133</v>
      </c>
      <c r="C77" s="38" t="s">
        <v>814</v>
      </c>
      <c r="D77" s="38" t="s">
        <v>807</v>
      </c>
      <c r="E77" s="37" t="s">
        <v>105</v>
      </c>
      <c r="F77" s="37" t="s">
        <v>105</v>
      </c>
      <c r="G77" s="37" t="s">
        <v>564</v>
      </c>
      <c r="H77" s="37" t="s">
        <v>196</v>
      </c>
      <c r="I77" s="38" t="s">
        <v>1529</v>
      </c>
      <c r="J77" s="38" t="s">
        <v>566</v>
      </c>
      <c r="K77" s="39">
        <f t="shared" si="2"/>
        <v>1</v>
      </c>
    </row>
    <row r="78" spans="1:11" ht="30" customHeight="1">
      <c r="A78" s="37">
        <v>70</v>
      </c>
      <c r="B78" s="38" t="s">
        <v>133</v>
      </c>
      <c r="C78" s="38" t="s">
        <v>814</v>
      </c>
      <c r="D78" s="38" t="s">
        <v>838</v>
      </c>
      <c r="E78" s="37" t="s">
        <v>105</v>
      </c>
      <c r="F78" s="37" t="s">
        <v>105</v>
      </c>
      <c r="G78" s="37" t="s">
        <v>564</v>
      </c>
      <c r="H78" s="37" t="s">
        <v>196</v>
      </c>
      <c r="I78" s="38" t="s">
        <v>1529</v>
      </c>
      <c r="J78" s="38" t="s">
        <v>566</v>
      </c>
      <c r="K78" s="39">
        <f t="shared" si="2"/>
        <v>1</v>
      </c>
    </row>
    <row r="79" spans="1:11" ht="45" customHeight="1">
      <c r="A79" s="37">
        <v>71</v>
      </c>
      <c r="B79" s="38" t="s">
        <v>133</v>
      </c>
      <c r="C79" s="38" t="s">
        <v>482</v>
      </c>
      <c r="D79" s="38" t="s">
        <v>810</v>
      </c>
      <c r="E79" s="37" t="s">
        <v>105</v>
      </c>
      <c r="F79" s="37" t="s">
        <v>105</v>
      </c>
      <c r="G79" s="37" t="s">
        <v>564</v>
      </c>
      <c r="H79" s="37" t="s">
        <v>196</v>
      </c>
      <c r="I79" s="38" t="s">
        <v>1529</v>
      </c>
      <c r="J79" s="38" t="s">
        <v>566</v>
      </c>
      <c r="K79" s="39">
        <f t="shared" si="2"/>
        <v>1</v>
      </c>
    </row>
    <row r="80" spans="1:11" ht="30" customHeight="1">
      <c r="A80" s="37">
        <v>72</v>
      </c>
      <c r="B80" s="38" t="s">
        <v>133</v>
      </c>
      <c r="C80" s="38" t="s">
        <v>482</v>
      </c>
      <c r="D80" s="38" t="s">
        <v>820</v>
      </c>
      <c r="E80" s="37" t="s">
        <v>105</v>
      </c>
      <c r="F80" s="37" t="s">
        <v>105</v>
      </c>
      <c r="G80" s="37" t="s">
        <v>564</v>
      </c>
      <c r="H80" s="37" t="s">
        <v>196</v>
      </c>
      <c r="I80" s="38" t="s">
        <v>1529</v>
      </c>
      <c r="J80" s="38" t="s">
        <v>566</v>
      </c>
      <c r="K80" s="39">
        <f t="shared" si="2"/>
        <v>1</v>
      </c>
    </row>
    <row r="81" spans="1:11" ht="30" customHeight="1">
      <c r="A81" s="37">
        <v>73</v>
      </c>
      <c r="B81" s="38" t="s">
        <v>133</v>
      </c>
      <c r="C81" s="38" t="s">
        <v>482</v>
      </c>
      <c r="D81" s="38" t="s">
        <v>769</v>
      </c>
      <c r="E81" s="37" t="s">
        <v>105</v>
      </c>
      <c r="F81" s="37" t="s">
        <v>105</v>
      </c>
      <c r="G81" s="37" t="s">
        <v>564</v>
      </c>
      <c r="H81" s="37" t="s">
        <v>196</v>
      </c>
      <c r="I81" s="38" t="s">
        <v>1529</v>
      </c>
      <c r="J81" s="38" t="s">
        <v>566</v>
      </c>
      <c r="K81" s="39">
        <f t="shared" si="2"/>
        <v>1</v>
      </c>
    </row>
    <row r="82" spans="1:11" ht="30" customHeight="1">
      <c r="A82" s="37">
        <v>74</v>
      </c>
      <c r="B82" s="38" t="s">
        <v>133</v>
      </c>
      <c r="C82" s="38" t="s">
        <v>561</v>
      </c>
      <c r="D82" s="38" t="s">
        <v>821</v>
      </c>
      <c r="E82" s="37" t="s">
        <v>105</v>
      </c>
      <c r="F82" s="37" t="s">
        <v>105</v>
      </c>
      <c r="G82" s="37" t="s">
        <v>564</v>
      </c>
      <c r="H82" s="37" t="s">
        <v>196</v>
      </c>
      <c r="I82" s="38" t="s">
        <v>1529</v>
      </c>
      <c r="J82" s="38" t="s">
        <v>566</v>
      </c>
      <c r="K82" s="39">
        <f t="shared" si="2"/>
        <v>1</v>
      </c>
    </row>
    <row r="83" spans="1:11" ht="30" customHeight="1">
      <c r="A83" s="37">
        <v>75</v>
      </c>
      <c r="B83" s="38" t="s">
        <v>133</v>
      </c>
      <c r="C83" s="38" t="s">
        <v>561</v>
      </c>
      <c r="D83" s="38" t="s">
        <v>822</v>
      </c>
      <c r="E83" s="37" t="s">
        <v>105</v>
      </c>
      <c r="F83" s="37" t="s">
        <v>105</v>
      </c>
      <c r="G83" s="37" t="s">
        <v>564</v>
      </c>
      <c r="H83" s="37" t="s">
        <v>196</v>
      </c>
      <c r="I83" s="38" t="s">
        <v>1529</v>
      </c>
      <c r="J83" s="38" t="s">
        <v>566</v>
      </c>
      <c r="K83" s="39">
        <f t="shared" si="2"/>
        <v>1</v>
      </c>
    </row>
    <row r="84" spans="1:11" ht="30" customHeight="1">
      <c r="A84" s="37">
        <v>76</v>
      </c>
      <c r="B84" s="38" t="s">
        <v>133</v>
      </c>
      <c r="C84" s="38" t="s">
        <v>561</v>
      </c>
      <c r="D84" s="38" t="s">
        <v>823</v>
      </c>
      <c r="E84" s="37" t="s">
        <v>105</v>
      </c>
      <c r="F84" s="37" t="s">
        <v>105</v>
      </c>
      <c r="G84" s="37" t="s">
        <v>564</v>
      </c>
      <c r="H84" s="37" t="s">
        <v>196</v>
      </c>
      <c r="I84" s="38" t="s">
        <v>1529</v>
      </c>
      <c r="J84" s="38" t="s">
        <v>566</v>
      </c>
      <c r="K84" s="39">
        <f t="shared" si="2"/>
        <v>1</v>
      </c>
    </row>
    <row r="85" spans="1:11" ht="30" customHeight="1">
      <c r="A85" s="37">
        <v>77</v>
      </c>
      <c r="B85" s="38" t="s">
        <v>133</v>
      </c>
      <c r="C85" s="38" t="s">
        <v>561</v>
      </c>
      <c r="D85" s="38" t="s">
        <v>1188</v>
      </c>
      <c r="E85" s="37" t="s">
        <v>105</v>
      </c>
      <c r="F85" s="37" t="s">
        <v>105</v>
      </c>
      <c r="G85" s="37" t="s">
        <v>564</v>
      </c>
      <c r="H85" s="37" t="s">
        <v>196</v>
      </c>
      <c r="I85" s="38" t="s">
        <v>1529</v>
      </c>
      <c r="J85" s="38" t="s">
        <v>566</v>
      </c>
      <c r="K85" s="39">
        <f t="shared" si="2"/>
        <v>1</v>
      </c>
    </row>
    <row r="86" spans="1:11" ht="30" customHeight="1">
      <c r="A86" s="37">
        <v>78</v>
      </c>
      <c r="B86" s="38" t="s">
        <v>133</v>
      </c>
      <c r="C86" s="38" t="s">
        <v>824</v>
      </c>
      <c r="D86" s="38" t="s">
        <v>825</v>
      </c>
      <c r="E86" s="37" t="s">
        <v>105</v>
      </c>
      <c r="F86" s="37" t="s">
        <v>105</v>
      </c>
      <c r="G86" s="37" t="s">
        <v>564</v>
      </c>
      <c r="H86" s="37" t="s">
        <v>196</v>
      </c>
      <c r="I86" s="38" t="s">
        <v>1529</v>
      </c>
      <c r="J86" s="38" t="s">
        <v>566</v>
      </c>
      <c r="K86" s="39">
        <f t="shared" si="2"/>
        <v>1</v>
      </c>
    </row>
    <row r="87" spans="1:11" ht="30" customHeight="1">
      <c r="A87" s="37">
        <v>79</v>
      </c>
      <c r="B87" s="38" t="s">
        <v>133</v>
      </c>
      <c r="C87" s="38" t="s">
        <v>824</v>
      </c>
      <c r="D87" s="38" t="s">
        <v>826</v>
      </c>
      <c r="E87" s="37" t="s">
        <v>105</v>
      </c>
      <c r="F87" s="37" t="s">
        <v>105</v>
      </c>
      <c r="G87" s="37" t="s">
        <v>564</v>
      </c>
      <c r="H87" s="37" t="s">
        <v>196</v>
      </c>
      <c r="I87" s="38" t="s">
        <v>1529</v>
      </c>
      <c r="J87" s="38" t="s">
        <v>566</v>
      </c>
      <c r="K87" s="39">
        <f t="shared" si="2"/>
        <v>1</v>
      </c>
    </row>
    <row r="88" spans="1:11" ht="30" customHeight="1">
      <c r="A88" s="37">
        <v>80</v>
      </c>
      <c r="B88" s="38" t="s">
        <v>133</v>
      </c>
      <c r="C88" s="38" t="s">
        <v>824</v>
      </c>
      <c r="D88" s="38" t="s">
        <v>827</v>
      </c>
      <c r="E88" s="37" t="s">
        <v>105</v>
      </c>
      <c r="F88" s="37" t="s">
        <v>105</v>
      </c>
      <c r="G88" s="37" t="s">
        <v>564</v>
      </c>
      <c r="H88" s="37" t="s">
        <v>196</v>
      </c>
      <c r="I88" s="38" t="s">
        <v>1529</v>
      </c>
      <c r="J88" s="38" t="s">
        <v>566</v>
      </c>
      <c r="K88" s="39">
        <f t="shared" si="2"/>
        <v>1</v>
      </c>
    </row>
    <row r="89" spans="1:11" ht="30" customHeight="1">
      <c r="A89" s="37">
        <v>81</v>
      </c>
      <c r="B89" s="38" t="s">
        <v>133</v>
      </c>
      <c r="C89" s="38" t="s">
        <v>824</v>
      </c>
      <c r="D89" s="38" t="s">
        <v>828</v>
      </c>
      <c r="E89" s="37" t="s">
        <v>105</v>
      </c>
      <c r="F89" s="37" t="s">
        <v>105</v>
      </c>
      <c r="G89" s="37" t="s">
        <v>564</v>
      </c>
      <c r="H89" s="37" t="s">
        <v>196</v>
      </c>
      <c r="I89" s="38" t="s">
        <v>1529</v>
      </c>
      <c r="J89" s="38" t="s">
        <v>566</v>
      </c>
      <c r="K89" s="39">
        <f t="shared" si="2"/>
        <v>1</v>
      </c>
    </row>
    <row r="90" spans="1:11" ht="30" customHeight="1">
      <c r="A90" s="37">
        <v>82</v>
      </c>
      <c r="B90" s="38" t="s">
        <v>133</v>
      </c>
      <c r="C90" s="38" t="s">
        <v>829</v>
      </c>
      <c r="D90" s="38" t="s">
        <v>790</v>
      </c>
      <c r="E90" s="37" t="s">
        <v>105</v>
      </c>
      <c r="F90" s="37" t="s">
        <v>105</v>
      </c>
      <c r="G90" s="37" t="s">
        <v>564</v>
      </c>
      <c r="H90" s="37" t="s">
        <v>196</v>
      </c>
      <c r="I90" s="38" t="s">
        <v>1529</v>
      </c>
      <c r="J90" s="38" t="s">
        <v>566</v>
      </c>
      <c r="K90" s="39">
        <f t="shared" si="2"/>
        <v>1</v>
      </c>
    </row>
    <row r="91" spans="1:11" ht="30" customHeight="1">
      <c r="A91" s="37">
        <v>83</v>
      </c>
      <c r="B91" s="38" t="s">
        <v>133</v>
      </c>
      <c r="C91" s="38" t="s">
        <v>829</v>
      </c>
      <c r="D91" s="38" t="s">
        <v>830</v>
      </c>
      <c r="E91" s="37" t="s">
        <v>105</v>
      </c>
      <c r="F91" s="37" t="s">
        <v>105</v>
      </c>
      <c r="G91" s="37" t="s">
        <v>564</v>
      </c>
      <c r="H91" s="37" t="s">
        <v>196</v>
      </c>
      <c r="I91" s="38" t="s">
        <v>1529</v>
      </c>
      <c r="J91" s="38" t="s">
        <v>566</v>
      </c>
      <c r="K91" s="39">
        <f t="shared" si="2"/>
        <v>1</v>
      </c>
    </row>
    <row r="92" spans="1:11" ht="30" customHeight="1">
      <c r="A92" s="37">
        <v>84</v>
      </c>
      <c r="B92" s="38" t="s">
        <v>133</v>
      </c>
      <c r="C92" s="38" t="s">
        <v>829</v>
      </c>
      <c r="D92" s="38" t="s">
        <v>831</v>
      </c>
      <c r="E92" s="37" t="s">
        <v>105</v>
      </c>
      <c r="F92" s="37" t="s">
        <v>105</v>
      </c>
      <c r="G92" s="37" t="s">
        <v>564</v>
      </c>
      <c r="H92" s="37" t="s">
        <v>196</v>
      </c>
      <c r="I92" s="38" t="s">
        <v>1529</v>
      </c>
      <c r="J92" s="38" t="s">
        <v>566</v>
      </c>
      <c r="K92" s="39">
        <f t="shared" si="2"/>
        <v>1</v>
      </c>
    </row>
    <row r="93" spans="1:11" ht="30" customHeight="1">
      <c r="A93" s="37">
        <v>85</v>
      </c>
      <c r="B93" s="38" t="s">
        <v>133</v>
      </c>
      <c r="C93" s="38" t="s">
        <v>829</v>
      </c>
      <c r="D93" s="38" t="s">
        <v>832</v>
      </c>
      <c r="E93" s="37" t="s">
        <v>105</v>
      </c>
      <c r="F93" s="37" t="s">
        <v>105</v>
      </c>
      <c r="G93" s="37" t="s">
        <v>564</v>
      </c>
      <c r="H93" s="37" t="s">
        <v>196</v>
      </c>
      <c r="I93" s="38" t="s">
        <v>1529</v>
      </c>
      <c r="J93" s="38" t="s">
        <v>566</v>
      </c>
      <c r="K93" s="39">
        <f t="shared" si="2"/>
        <v>1</v>
      </c>
    </row>
    <row r="94" spans="1:11" ht="30" customHeight="1">
      <c r="A94" s="37">
        <v>86</v>
      </c>
      <c r="B94" s="38" t="s">
        <v>133</v>
      </c>
      <c r="C94" s="38" t="s">
        <v>829</v>
      </c>
      <c r="D94" s="38" t="s">
        <v>833</v>
      </c>
      <c r="E94" s="37" t="s">
        <v>105</v>
      </c>
      <c r="F94" s="37" t="s">
        <v>105</v>
      </c>
      <c r="G94" s="37" t="s">
        <v>564</v>
      </c>
      <c r="H94" s="37" t="s">
        <v>196</v>
      </c>
      <c r="I94" s="38" t="s">
        <v>1529</v>
      </c>
      <c r="J94" s="38" t="s">
        <v>566</v>
      </c>
      <c r="K94" s="39">
        <f t="shared" si="2"/>
        <v>1</v>
      </c>
    </row>
    <row r="95" spans="1:11" ht="30" customHeight="1">
      <c r="A95" s="37">
        <v>87</v>
      </c>
      <c r="B95" s="38" t="s">
        <v>133</v>
      </c>
      <c r="C95" s="38" t="s">
        <v>829</v>
      </c>
      <c r="D95" s="38" t="s">
        <v>834</v>
      </c>
      <c r="E95" s="37" t="s">
        <v>105</v>
      </c>
      <c r="F95" s="37" t="s">
        <v>105</v>
      </c>
      <c r="G95" s="37" t="s">
        <v>564</v>
      </c>
      <c r="H95" s="37" t="s">
        <v>196</v>
      </c>
      <c r="I95" s="38" t="s">
        <v>1529</v>
      </c>
      <c r="J95" s="38" t="s">
        <v>566</v>
      </c>
      <c r="K95" s="39">
        <f t="shared" si="2"/>
        <v>1</v>
      </c>
    </row>
    <row r="96" spans="1:11" ht="45" customHeight="1">
      <c r="A96" s="37">
        <v>88</v>
      </c>
      <c r="B96" s="38" t="s">
        <v>133</v>
      </c>
      <c r="C96" s="38" t="s">
        <v>829</v>
      </c>
      <c r="D96" s="38" t="s">
        <v>835</v>
      </c>
      <c r="E96" s="37" t="s">
        <v>105</v>
      </c>
      <c r="F96" s="37" t="s">
        <v>105</v>
      </c>
      <c r="G96" s="37" t="s">
        <v>564</v>
      </c>
      <c r="H96" s="37" t="s">
        <v>196</v>
      </c>
      <c r="I96" s="38" t="s">
        <v>1529</v>
      </c>
      <c r="J96" s="38" t="s">
        <v>566</v>
      </c>
      <c r="K96" s="39">
        <f t="shared" si="2"/>
        <v>1</v>
      </c>
    </row>
    <row r="97" spans="1:11" ht="30" customHeight="1">
      <c r="A97" s="37">
        <v>89</v>
      </c>
      <c r="B97" s="38" t="s">
        <v>133</v>
      </c>
      <c r="C97" s="38" t="s">
        <v>829</v>
      </c>
      <c r="D97" s="38" t="s">
        <v>836</v>
      </c>
      <c r="E97" s="37" t="s">
        <v>105</v>
      </c>
      <c r="F97" s="37" t="s">
        <v>105</v>
      </c>
      <c r="G97" s="37" t="s">
        <v>564</v>
      </c>
      <c r="H97" s="37" t="s">
        <v>196</v>
      </c>
      <c r="I97" s="38" t="s">
        <v>1529</v>
      </c>
      <c r="J97" s="38" t="s">
        <v>566</v>
      </c>
      <c r="K97" s="39">
        <f t="shared" si="2"/>
        <v>1</v>
      </c>
    </row>
    <row r="98" spans="1:11" ht="30" customHeight="1">
      <c r="A98" s="37">
        <v>90</v>
      </c>
      <c r="B98" s="38" t="s">
        <v>133</v>
      </c>
      <c r="C98" s="38" t="s">
        <v>829</v>
      </c>
      <c r="D98" s="38" t="s">
        <v>837</v>
      </c>
      <c r="E98" s="37" t="s">
        <v>105</v>
      </c>
      <c r="F98" s="37" t="s">
        <v>105</v>
      </c>
      <c r="G98" s="37" t="s">
        <v>564</v>
      </c>
      <c r="H98" s="37" t="s">
        <v>196</v>
      </c>
      <c r="I98" s="38" t="s">
        <v>1529</v>
      </c>
      <c r="J98" s="38" t="s">
        <v>566</v>
      </c>
      <c r="K98" s="39">
        <f t="shared" si="2"/>
        <v>1</v>
      </c>
    </row>
    <row r="99" spans="1:11" ht="30" customHeight="1">
      <c r="A99" s="37">
        <v>91</v>
      </c>
      <c r="B99" s="38" t="s">
        <v>133</v>
      </c>
      <c r="C99" s="38" t="s">
        <v>829</v>
      </c>
      <c r="D99" s="38" t="s">
        <v>838</v>
      </c>
      <c r="E99" s="37" t="s">
        <v>105</v>
      </c>
      <c r="F99" s="37" t="s">
        <v>105</v>
      </c>
      <c r="G99" s="37" t="s">
        <v>564</v>
      </c>
      <c r="H99" s="37" t="s">
        <v>196</v>
      </c>
      <c r="I99" s="38" t="s">
        <v>1529</v>
      </c>
      <c r="J99" s="38" t="s">
        <v>566</v>
      </c>
      <c r="K99" s="39">
        <f t="shared" si="2"/>
        <v>1</v>
      </c>
    </row>
    <row r="100" spans="1:11" ht="30" customHeight="1">
      <c r="A100" s="37">
        <v>92</v>
      </c>
      <c r="B100" s="38" t="s">
        <v>133</v>
      </c>
      <c r="C100" s="38" t="s">
        <v>839</v>
      </c>
      <c r="D100" s="38" t="s">
        <v>840</v>
      </c>
      <c r="E100" s="37" t="s">
        <v>105</v>
      </c>
      <c r="F100" s="37" t="s">
        <v>105</v>
      </c>
      <c r="G100" s="37" t="s">
        <v>564</v>
      </c>
      <c r="H100" s="37" t="s">
        <v>196</v>
      </c>
      <c r="I100" s="38" t="s">
        <v>1529</v>
      </c>
      <c r="J100" s="38" t="s">
        <v>566</v>
      </c>
      <c r="K100" s="39">
        <f t="shared" si="2"/>
        <v>1</v>
      </c>
    </row>
    <row r="101" spans="1:11" ht="30" customHeight="1">
      <c r="A101" s="37">
        <v>93</v>
      </c>
      <c r="B101" s="38" t="s">
        <v>133</v>
      </c>
      <c r="C101" s="38" t="s">
        <v>839</v>
      </c>
      <c r="D101" s="38" t="s">
        <v>841</v>
      </c>
      <c r="E101" s="37" t="s">
        <v>105</v>
      </c>
      <c r="F101" s="37" t="s">
        <v>105</v>
      </c>
      <c r="G101" s="37" t="s">
        <v>564</v>
      </c>
      <c r="H101" s="37" t="s">
        <v>196</v>
      </c>
      <c r="I101" s="38" t="s">
        <v>1529</v>
      </c>
      <c r="J101" s="38" t="s">
        <v>566</v>
      </c>
      <c r="K101" s="39">
        <f t="shared" si="2"/>
        <v>1</v>
      </c>
    </row>
    <row r="102" spans="1:11" ht="30" customHeight="1">
      <c r="A102" s="37">
        <v>94</v>
      </c>
      <c r="B102" s="38" t="s">
        <v>133</v>
      </c>
      <c r="C102" s="38" t="s">
        <v>839</v>
      </c>
      <c r="D102" s="38" t="s">
        <v>842</v>
      </c>
      <c r="E102" s="37" t="s">
        <v>105</v>
      </c>
      <c r="F102" s="37" t="s">
        <v>105</v>
      </c>
      <c r="G102" s="37" t="s">
        <v>564</v>
      </c>
      <c r="H102" s="37" t="s">
        <v>196</v>
      </c>
      <c r="I102" s="38" t="s">
        <v>1529</v>
      </c>
      <c r="J102" s="38" t="s">
        <v>566</v>
      </c>
      <c r="K102" s="39">
        <f t="shared" si="2"/>
        <v>1</v>
      </c>
    </row>
    <row r="103" spans="1:11" ht="30" customHeight="1">
      <c r="A103" s="37">
        <v>95</v>
      </c>
      <c r="B103" s="38" t="s">
        <v>133</v>
      </c>
      <c r="C103" s="38" t="s">
        <v>839</v>
      </c>
      <c r="D103" s="38" t="s">
        <v>843</v>
      </c>
      <c r="E103" s="37" t="s">
        <v>105</v>
      </c>
      <c r="F103" s="37" t="s">
        <v>105</v>
      </c>
      <c r="G103" s="37" t="s">
        <v>564</v>
      </c>
      <c r="H103" s="37" t="s">
        <v>196</v>
      </c>
      <c r="I103" s="38" t="s">
        <v>1529</v>
      </c>
      <c r="J103" s="38" t="s">
        <v>566</v>
      </c>
      <c r="K103" s="39">
        <f t="shared" si="2"/>
        <v>1</v>
      </c>
    </row>
    <row r="104" spans="1:11" ht="30" customHeight="1">
      <c r="A104" s="37">
        <v>96</v>
      </c>
      <c r="B104" s="38" t="s">
        <v>133</v>
      </c>
      <c r="C104" s="38" t="s">
        <v>839</v>
      </c>
      <c r="D104" s="38" t="s">
        <v>782</v>
      </c>
      <c r="E104" s="37" t="s">
        <v>105</v>
      </c>
      <c r="F104" s="37" t="s">
        <v>105</v>
      </c>
      <c r="G104" s="37" t="s">
        <v>564</v>
      </c>
      <c r="H104" s="37" t="s">
        <v>196</v>
      </c>
      <c r="I104" s="38" t="s">
        <v>1529</v>
      </c>
      <c r="J104" s="38" t="s">
        <v>566</v>
      </c>
      <c r="K104" s="39">
        <f t="shared" si="2"/>
        <v>1</v>
      </c>
    </row>
    <row r="105" spans="1:11" ht="30" customHeight="1">
      <c r="A105" s="37">
        <v>97</v>
      </c>
      <c r="B105" s="38" t="s">
        <v>133</v>
      </c>
      <c r="C105" s="38" t="s">
        <v>839</v>
      </c>
      <c r="D105" s="38" t="s">
        <v>783</v>
      </c>
      <c r="E105" s="37" t="s">
        <v>105</v>
      </c>
      <c r="F105" s="37" t="s">
        <v>105</v>
      </c>
      <c r="G105" s="37" t="s">
        <v>564</v>
      </c>
      <c r="H105" s="37" t="s">
        <v>196</v>
      </c>
      <c r="I105" s="38" t="s">
        <v>1529</v>
      </c>
      <c r="J105" s="38" t="s">
        <v>566</v>
      </c>
      <c r="K105" s="39">
        <f t="shared" ref="K105:K136" si="3">IF(AND(E105="yes",F105="yes",H105="covered"),1,IF(H105="partial",0.5,0))</f>
        <v>1</v>
      </c>
    </row>
    <row r="106" spans="1:11" ht="30" customHeight="1">
      <c r="A106" s="37">
        <v>98</v>
      </c>
      <c r="B106" s="38" t="s">
        <v>133</v>
      </c>
      <c r="C106" s="38" t="s">
        <v>839</v>
      </c>
      <c r="D106" s="38" t="s">
        <v>285</v>
      </c>
      <c r="E106" s="37" t="s">
        <v>105</v>
      </c>
      <c r="F106" s="37" t="s">
        <v>105</v>
      </c>
      <c r="G106" s="37" t="s">
        <v>564</v>
      </c>
      <c r="H106" s="37" t="s">
        <v>196</v>
      </c>
      <c r="I106" s="38" t="s">
        <v>1529</v>
      </c>
      <c r="J106" s="38" t="s">
        <v>566</v>
      </c>
      <c r="K106" s="39">
        <f t="shared" si="3"/>
        <v>1</v>
      </c>
    </row>
    <row r="107" spans="1:11" ht="30" customHeight="1">
      <c r="A107" s="37">
        <v>99</v>
      </c>
      <c r="B107" s="38" t="s">
        <v>133</v>
      </c>
      <c r="C107" s="38" t="s">
        <v>839</v>
      </c>
      <c r="D107" s="38" t="s">
        <v>844</v>
      </c>
      <c r="E107" s="37" t="s">
        <v>105</v>
      </c>
      <c r="F107" s="37" t="s">
        <v>105</v>
      </c>
      <c r="G107" s="37" t="s">
        <v>564</v>
      </c>
      <c r="H107" s="37" t="s">
        <v>196</v>
      </c>
      <c r="I107" s="38" t="s">
        <v>1529</v>
      </c>
      <c r="J107" s="38" t="s">
        <v>566</v>
      </c>
      <c r="K107" s="39">
        <f t="shared" si="3"/>
        <v>1</v>
      </c>
    </row>
    <row r="108" spans="1:11" ht="30" customHeight="1">
      <c r="A108" s="37">
        <v>100</v>
      </c>
      <c r="B108" s="38" t="s">
        <v>133</v>
      </c>
      <c r="C108" s="38" t="s">
        <v>839</v>
      </c>
      <c r="D108" s="38" t="s">
        <v>845</v>
      </c>
      <c r="E108" s="37" t="s">
        <v>105</v>
      </c>
      <c r="F108" s="37" t="s">
        <v>105</v>
      </c>
      <c r="G108" s="37" t="s">
        <v>564</v>
      </c>
      <c r="H108" s="37" t="s">
        <v>196</v>
      </c>
      <c r="I108" s="38" t="s">
        <v>1529</v>
      </c>
      <c r="J108" s="38" t="s">
        <v>566</v>
      </c>
      <c r="K108" s="39">
        <f t="shared" si="3"/>
        <v>1</v>
      </c>
    </row>
    <row r="109" spans="1:11" ht="30" customHeight="1">
      <c r="A109" s="37">
        <v>101</v>
      </c>
      <c r="B109" s="38" t="s">
        <v>172</v>
      </c>
      <c r="C109" s="38" t="s">
        <v>846</v>
      </c>
      <c r="D109" s="38" t="s">
        <v>1532</v>
      </c>
      <c r="E109" s="37" t="s">
        <v>105</v>
      </c>
      <c r="F109" s="37" t="s">
        <v>105</v>
      </c>
      <c r="G109" s="37" t="s">
        <v>564</v>
      </c>
      <c r="H109" s="37" t="s">
        <v>196</v>
      </c>
      <c r="I109" s="38" t="s">
        <v>1529</v>
      </c>
      <c r="J109" s="38" t="s">
        <v>566</v>
      </c>
      <c r="K109" s="39">
        <f t="shared" si="3"/>
        <v>1</v>
      </c>
    </row>
    <row r="110" spans="1:11" ht="30" customHeight="1">
      <c r="A110" s="37">
        <v>102</v>
      </c>
      <c r="B110" s="38" t="s">
        <v>172</v>
      </c>
      <c r="C110" s="38" t="s">
        <v>846</v>
      </c>
      <c r="D110" s="38" t="s">
        <v>1191</v>
      </c>
      <c r="E110" s="37" t="s">
        <v>105</v>
      </c>
      <c r="F110" s="37" t="s">
        <v>105</v>
      </c>
      <c r="G110" s="37" t="s">
        <v>564</v>
      </c>
      <c r="H110" s="37" t="s">
        <v>196</v>
      </c>
      <c r="I110" s="38" t="s">
        <v>1529</v>
      </c>
      <c r="J110" s="38" t="s">
        <v>566</v>
      </c>
      <c r="K110" s="39">
        <f t="shared" si="3"/>
        <v>1</v>
      </c>
    </row>
    <row r="111" spans="1:11" ht="30" customHeight="1">
      <c r="A111" s="37">
        <v>103</v>
      </c>
      <c r="B111" s="38" t="s">
        <v>172</v>
      </c>
      <c r="C111" s="38" t="s">
        <v>846</v>
      </c>
      <c r="D111" s="38" t="s">
        <v>1192</v>
      </c>
      <c r="E111" s="37" t="s">
        <v>105</v>
      </c>
      <c r="F111" s="37" t="s">
        <v>105</v>
      </c>
      <c r="G111" s="37" t="s">
        <v>564</v>
      </c>
      <c r="H111" s="37" t="s">
        <v>196</v>
      </c>
      <c r="I111" s="38" t="s">
        <v>1529</v>
      </c>
      <c r="J111" s="38" t="s">
        <v>566</v>
      </c>
      <c r="K111" s="39">
        <f t="shared" si="3"/>
        <v>1</v>
      </c>
    </row>
    <row r="112" spans="1:11" ht="30" customHeight="1">
      <c r="A112" s="37">
        <v>104</v>
      </c>
      <c r="B112" s="38" t="s">
        <v>172</v>
      </c>
      <c r="C112" s="38" t="s">
        <v>846</v>
      </c>
      <c r="D112" s="38" t="s">
        <v>1533</v>
      </c>
      <c r="E112" s="37" t="s">
        <v>105</v>
      </c>
      <c r="F112" s="37" t="s">
        <v>105</v>
      </c>
      <c r="G112" s="37" t="s">
        <v>564</v>
      </c>
      <c r="H112" s="37" t="s">
        <v>196</v>
      </c>
      <c r="I112" s="38" t="s">
        <v>1529</v>
      </c>
      <c r="J112" s="38" t="s">
        <v>566</v>
      </c>
      <c r="K112" s="39">
        <f t="shared" si="3"/>
        <v>1</v>
      </c>
    </row>
    <row r="113" spans="1:11" ht="30" customHeight="1">
      <c r="A113" s="37">
        <v>105</v>
      </c>
      <c r="B113" s="38" t="s">
        <v>172</v>
      </c>
      <c r="C113" s="38" t="s">
        <v>846</v>
      </c>
      <c r="D113" s="38" t="s">
        <v>1193</v>
      </c>
      <c r="E113" s="37" t="s">
        <v>105</v>
      </c>
      <c r="F113" s="37" t="s">
        <v>105</v>
      </c>
      <c r="G113" s="37" t="s">
        <v>564</v>
      </c>
      <c r="H113" s="37" t="s">
        <v>196</v>
      </c>
      <c r="I113" s="38" t="s">
        <v>1529</v>
      </c>
      <c r="J113" s="38" t="s">
        <v>566</v>
      </c>
      <c r="K113" s="39">
        <f t="shared" si="3"/>
        <v>1</v>
      </c>
    </row>
    <row r="114" spans="1:11" ht="30" customHeight="1">
      <c r="A114" s="37">
        <v>106</v>
      </c>
      <c r="B114" s="38" t="s">
        <v>172</v>
      </c>
      <c r="C114" s="38" t="s">
        <v>846</v>
      </c>
      <c r="D114" s="38" t="s">
        <v>850</v>
      </c>
      <c r="E114" s="37" t="s">
        <v>105</v>
      </c>
      <c r="F114" s="37" t="s">
        <v>105</v>
      </c>
      <c r="G114" s="37" t="s">
        <v>564</v>
      </c>
      <c r="H114" s="37" t="s">
        <v>196</v>
      </c>
      <c r="I114" s="38" t="s">
        <v>1529</v>
      </c>
      <c r="J114" s="38" t="s">
        <v>566</v>
      </c>
      <c r="K114" s="39">
        <f t="shared" si="3"/>
        <v>1</v>
      </c>
    </row>
    <row r="115" spans="1:11" ht="30" customHeight="1">
      <c r="A115" s="37">
        <v>107</v>
      </c>
      <c r="B115" s="38" t="s">
        <v>172</v>
      </c>
      <c r="C115" s="38" t="s">
        <v>846</v>
      </c>
      <c r="D115" s="38" t="s">
        <v>1194</v>
      </c>
      <c r="E115" s="37" t="s">
        <v>105</v>
      </c>
      <c r="F115" s="37" t="s">
        <v>105</v>
      </c>
      <c r="G115" s="37" t="s">
        <v>564</v>
      </c>
      <c r="H115" s="37" t="s">
        <v>196</v>
      </c>
      <c r="I115" s="38" t="s">
        <v>1529</v>
      </c>
      <c r="J115" s="38" t="s">
        <v>566</v>
      </c>
      <c r="K115" s="39">
        <f t="shared" si="3"/>
        <v>1</v>
      </c>
    </row>
    <row r="116" spans="1:11" ht="30" customHeight="1">
      <c r="A116" s="37">
        <v>108</v>
      </c>
      <c r="B116" s="38" t="s">
        <v>172</v>
      </c>
      <c r="C116" s="38" t="s">
        <v>846</v>
      </c>
      <c r="D116" s="38" t="s">
        <v>852</v>
      </c>
      <c r="E116" s="37" t="s">
        <v>105</v>
      </c>
      <c r="F116" s="37" t="s">
        <v>105</v>
      </c>
      <c r="G116" s="37" t="s">
        <v>564</v>
      </c>
      <c r="H116" s="37" t="s">
        <v>196</v>
      </c>
      <c r="I116" s="38" t="s">
        <v>1529</v>
      </c>
      <c r="J116" s="38" t="s">
        <v>566</v>
      </c>
      <c r="K116" s="39">
        <f t="shared" si="3"/>
        <v>1</v>
      </c>
    </row>
    <row r="117" spans="1:11" ht="30" customHeight="1">
      <c r="A117" s="37">
        <v>109</v>
      </c>
      <c r="B117" s="38" t="s">
        <v>172</v>
      </c>
      <c r="C117" s="38" t="s">
        <v>846</v>
      </c>
      <c r="D117" s="38" t="s">
        <v>853</v>
      </c>
      <c r="E117" s="37" t="s">
        <v>105</v>
      </c>
      <c r="F117" s="37" t="s">
        <v>105</v>
      </c>
      <c r="G117" s="37" t="s">
        <v>564</v>
      </c>
      <c r="H117" s="37" t="s">
        <v>196</v>
      </c>
      <c r="I117" s="38" t="s">
        <v>1529</v>
      </c>
      <c r="J117" s="38" t="s">
        <v>566</v>
      </c>
      <c r="K117" s="39">
        <f t="shared" si="3"/>
        <v>1</v>
      </c>
    </row>
    <row r="118" spans="1:11" ht="30" customHeight="1">
      <c r="A118" s="37">
        <v>110</v>
      </c>
      <c r="B118" s="38" t="s">
        <v>172</v>
      </c>
      <c r="C118" s="38" t="s">
        <v>846</v>
      </c>
      <c r="D118" s="38" t="s">
        <v>1195</v>
      </c>
      <c r="E118" s="37" t="s">
        <v>105</v>
      </c>
      <c r="F118" s="37" t="s">
        <v>105</v>
      </c>
      <c r="G118" s="37" t="s">
        <v>564</v>
      </c>
      <c r="H118" s="37" t="s">
        <v>196</v>
      </c>
      <c r="I118" s="38" t="s">
        <v>1529</v>
      </c>
      <c r="J118" s="38" t="s">
        <v>566</v>
      </c>
      <c r="K118" s="39">
        <f t="shared" si="3"/>
        <v>1</v>
      </c>
    </row>
    <row r="119" spans="1:11" ht="30" customHeight="1">
      <c r="A119" s="37">
        <v>111</v>
      </c>
      <c r="B119" s="38" t="s">
        <v>179</v>
      </c>
      <c r="C119" s="38" t="s">
        <v>856</v>
      </c>
      <c r="D119" s="38" t="s">
        <v>1200</v>
      </c>
      <c r="E119" s="37" t="s">
        <v>105</v>
      </c>
      <c r="F119" s="37" t="s">
        <v>105</v>
      </c>
      <c r="G119" s="37" t="s">
        <v>564</v>
      </c>
      <c r="H119" s="37" t="s">
        <v>196</v>
      </c>
      <c r="I119" s="38" t="s">
        <v>1529</v>
      </c>
      <c r="J119" s="38" t="s">
        <v>566</v>
      </c>
      <c r="K119" s="39">
        <f t="shared" si="3"/>
        <v>1</v>
      </c>
    </row>
    <row r="120" spans="1:11" ht="30" customHeight="1">
      <c r="A120" s="37">
        <v>112</v>
      </c>
      <c r="B120" s="38" t="s">
        <v>179</v>
      </c>
      <c r="C120" s="38" t="s">
        <v>856</v>
      </c>
      <c r="D120" s="38" t="s">
        <v>1201</v>
      </c>
      <c r="E120" s="37" t="s">
        <v>105</v>
      </c>
      <c r="F120" s="37" t="s">
        <v>105</v>
      </c>
      <c r="G120" s="37" t="s">
        <v>564</v>
      </c>
      <c r="H120" s="37" t="s">
        <v>196</v>
      </c>
      <c r="I120" s="38" t="s">
        <v>1529</v>
      </c>
      <c r="J120" s="38" t="s">
        <v>566</v>
      </c>
      <c r="K120" s="39">
        <f t="shared" si="3"/>
        <v>1</v>
      </c>
    </row>
    <row r="121" spans="1:11" ht="30" customHeight="1">
      <c r="A121" s="37">
        <v>113</v>
      </c>
      <c r="B121" s="38" t="s">
        <v>179</v>
      </c>
      <c r="C121" s="38" t="s">
        <v>856</v>
      </c>
      <c r="D121" s="38" t="s">
        <v>1202</v>
      </c>
      <c r="E121" s="37" t="s">
        <v>105</v>
      </c>
      <c r="F121" s="37" t="s">
        <v>105</v>
      </c>
      <c r="G121" s="37" t="s">
        <v>564</v>
      </c>
      <c r="H121" s="37" t="s">
        <v>196</v>
      </c>
      <c r="I121" s="38" t="s">
        <v>1529</v>
      </c>
      <c r="J121" s="38" t="s">
        <v>566</v>
      </c>
      <c r="K121" s="39">
        <f t="shared" si="3"/>
        <v>1</v>
      </c>
    </row>
    <row r="122" spans="1:11" ht="30" customHeight="1">
      <c r="A122" s="37">
        <v>114</v>
      </c>
      <c r="B122" s="38" t="s">
        <v>179</v>
      </c>
      <c r="C122" s="38" t="s">
        <v>856</v>
      </c>
      <c r="D122" s="38" t="s">
        <v>1203</v>
      </c>
      <c r="E122" s="37" t="s">
        <v>105</v>
      </c>
      <c r="F122" s="37" t="s">
        <v>105</v>
      </c>
      <c r="G122" s="37" t="s">
        <v>564</v>
      </c>
      <c r="H122" s="37" t="s">
        <v>196</v>
      </c>
      <c r="I122" s="38" t="s">
        <v>1529</v>
      </c>
      <c r="J122" s="38" t="s">
        <v>566</v>
      </c>
      <c r="K122" s="39">
        <f t="shared" si="3"/>
        <v>1</v>
      </c>
    </row>
    <row r="123" spans="1:11" ht="30" customHeight="1">
      <c r="A123" s="37">
        <v>115</v>
      </c>
      <c r="B123" s="38" t="s">
        <v>179</v>
      </c>
      <c r="C123" s="38" t="s">
        <v>856</v>
      </c>
      <c r="D123" s="38" t="s">
        <v>862</v>
      </c>
      <c r="E123" s="37" t="s">
        <v>105</v>
      </c>
      <c r="F123" s="37" t="s">
        <v>105</v>
      </c>
      <c r="G123" s="37" t="s">
        <v>564</v>
      </c>
      <c r="H123" s="37" t="s">
        <v>196</v>
      </c>
      <c r="I123" s="38" t="s">
        <v>1529</v>
      </c>
      <c r="J123" s="38" t="s">
        <v>566</v>
      </c>
      <c r="K123" s="39">
        <f t="shared" si="3"/>
        <v>1</v>
      </c>
    </row>
    <row r="124" spans="1:11" ht="30" customHeight="1">
      <c r="A124" s="37">
        <v>116</v>
      </c>
      <c r="B124" s="38" t="s">
        <v>179</v>
      </c>
      <c r="C124" s="38" t="s">
        <v>856</v>
      </c>
      <c r="D124" s="38" t="s">
        <v>863</v>
      </c>
      <c r="E124" s="37" t="s">
        <v>105</v>
      </c>
      <c r="F124" s="37" t="s">
        <v>105</v>
      </c>
      <c r="G124" s="37" t="s">
        <v>564</v>
      </c>
      <c r="H124" s="37" t="s">
        <v>196</v>
      </c>
      <c r="I124" s="38" t="s">
        <v>1529</v>
      </c>
      <c r="J124" s="38" t="s">
        <v>566</v>
      </c>
      <c r="K124" s="39">
        <f t="shared" si="3"/>
        <v>1</v>
      </c>
    </row>
    <row r="125" spans="1:11" ht="30" customHeight="1">
      <c r="A125" s="37">
        <v>117</v>
      </c>
      <c r="B125" s="38" t="s">
        <v>179</v>
      </c>
      <c r="C125" s="38" t="s">
        <v>856</v>
      </c>
      <c r="D125" s="38" t="s">
        <v>1204</v>
      </c>
      <c r="E125" s="37" t="s">
        <v>105</v>
      </c>
      <c r="F125" s="37" t="s">
        <v>105</v>
      </c>
      <c r="G125" s="37" t="s">
        <v>564</v>
      </c>
      <c r="H125" s="37" t="s">
        <v>196</v>
      </c>
      <c r="I125" s="38" t="s">
        <v>1529</v>
      </c>
      <c r="J125" s="38" t="s">
        <v>566</v>
      </c>
      <c r="K125" s="39">
        <f t="shared" si="3"/>
        <v>1</v>
      </c>
    </row>
    <row r="126" spans="1:11" ht="30" customHeight="1">
      <c r="A126" s="37">
        <v>118</v>
      </c>
      <c r="B126" s="38" t="s">
        <v>179</v>
      </c>
      <c r="C126" s="38" t="s">
        <v>856</v>
      </c>
      <c r="D126" s="38" t="s">
        <v>1205</v>
      </c>
      <c r="E126" s="37" t="s">
        <v>105</v>
      </c>
      <c r="F126" s="37" t="s">
        <v>105</v>
      </c>
      <c r="G126" s="37" t="s">
        <v>564</v>
      </c>
      <c r="H126" s="37" t="s">
        <v>196</v>
      </c>
      <c r="I126" s="38" t="s">
        <v>1529</v>
      </c>
      <c r="J126" s="38" t="s">
        <v>566</v>
      </c>
      <c r="K126" s="39">
        <f t="shared" si="3"/>
        <v>1</v>
      </c>
    </row>
    <row r="127" spans="1:11" ht="30" customHeight="1">
      <c r="A127" s="37">
        <v>119</v>
      </c>
      <c r="B127" s="38" t="s">
        <v>179</v>
      </c>
      <c r="C127" s="38" t="s">
        <v>856</v>
      </c>
      <c r="D127" s="38" t="s">
        <v>866</v>
      </c>
      <c r="E127" s="37" t="s">
        <v>105</v>
      </c>
      <c r="F127" s="37" t="s">
        <v>105</v>
      </c>
      <c r="G127" s="37" t="s">
        <v>564</v>
      </c>
      <c r="H127" s="37" t="s">
        <v>196</v>
      </c>
      <c r="I127" s="38" t="s">
        <v>1529</v>
      </c>
      <c r="J127" s="38" t="s">
        <v>566</v>
      </c>
      <c r="K127" s="39">
        <f t="shared" si="3"/>
        <v>1</v>
      </c>
    </row>
    <row r="128" spans="1:11" ht="30" customHeight="1">
      <c r="A128" s="37">
        <v>120</v>
      </c>
      <c r="B128" s="38" t="s">
        <v>179</v>
      </c>
      <c r="C128" s="38" t="s">
        <v>856</v>
      </c>
      <c r="D128" s="38" t="s">
        <v>867</v>
      </c>
      <c r="E128" s="37" t="s">
        <v>105</v>
      </c>
      <c r="F128" s="37" t="s">
        <v>105</v>
      </c>
      <c r="G128" s="37" t="s">
        <v>564</v>
      </c>
      <c r="H128" s="37" t="s">
        <v>196</v>
      </c>
      <c r="I128" s="38" t="s">
        <v>1529</v>
      </c>
      <c r="J128" s="38" t="s">
        <v>566</v>
      </c>
      <c r="K128" s="39">
        <f t="shared" si="3"/>
        <v>1</v>
      </c>
    </row>
    <row r="129" spans="1:11" ht="30" customHeight="1">
      <c r="A129" s="37">
        <v>121</v>
      </c>
      <c r="B129" s="38" t="s">
        <v>179</v>
      </c>
      <c r="C129" s="38" t="s">
        <v>856</v>
      </c>
      <c r="D129" s="38" t="s">
        <v>868</v>
      </c>
      <c r="E129" s="37" t="s">
        <v>105</v>
      </c>
      <c r="F129" s="37" t="s">
        <v>105</v>
      </c>
      <c r="G129" s="37" t="s">
        <v>564</v>
      </c>
      <c r="H129" s="37" t="s">
        <v>196</v>
      </c>
      <c r="I129" s="38" t="s">
        <v>1529</v>
      </c>
      <c r="J129" s="38" t="s">
        <v>566</v>
      </c>
      <c r="K129" s="39">
        <f t="shared" si="3"/>
        <v>1</v>
      </c>
    </row>
    <row r="130" spans="1:11" ht="30" customHeight="1">
      <c r="A130" s="37">
        <v>122</v>
      </c>
      <c r="B130" s="38" t="s">
        <v>179</v>
      </c>
      <c r="C130" s="38" t="s">
        <v>856</v>
      </c>
      <c r="D130" s="38" t="s">
        <v>1206</v>
      </c>
      <c r="E130" s="37" t="s">
        <v>105</v>
      </c>
      <c r="F130" s="37" t="s">
        <v>105</v>
      </c>
      <c r="G130" s="37" t="s">
        <v>564</v>
      </c>
      <c r="H130" s="37" t="s">
        <v>196</v>
      </c>
      <c r="I130" s="38" t="s">
        <v>1529</v>
      </c>
      <c r="J130" s="38" t="s">
        <v>566</v>
      </c>
      <c r="K130" s="39">
        <f t="shared" si="3"/>
        <v>1</v>
      </c>
    </row>
    <row r="131" spans="1:11" ht="30" customHeight="1">
      <c r="A131" s="37">
        <v>123</v>
      </c>
      <c r="B131" s="38" t="s">
        <v>179</v>
      </c>
      <c r="C131" s="38" t="s">
        <v>856</v>
      </c>
      <c r="D131" s="38" t="s">
        <v>1207</v>
      </c>
      <c r="E131" s="37" t="s">
        <v>105</v>
      </c>
      <c r="F131" s="37" t="s">
        <v>105</v>
      </c>
      <c r="G131" s="37" t="s">
        <v>564</v>
      </c>
      <c r="H131" s="37" t="s">
        <v>196</v>
      </c>
      <c r="I131" s="38" t="s">
        <v>1529</v>
      </c>
      <c r="J131" s="38" t="s">
        <v>566</v>
      </c>
      <c r="K131" s="39">
        <f t="shared" si="3"/>
        <v>1</v>
      </c>
    </row>
    <row r="132" spans="1:11" ht="30" customHeight="1">
      <c r="A132" s="37">
        <v>124</v>
      </c>
      <c r="B132" s="38" t="s">
        <v>179</v>
      </c>
      <c r="C132" s="38" t="s">
        <v>856</v>
      </c>
      <c r="D132" s="38" t="s">
        <v>871</v>
      </c>
      <c r="E132" s="37" t="s">
        <v>105</v>
      </c>
      <c r="F132" s="37" t="s">
        <v>105</v>
      </c>
      <c r="G132" s="37" t="s">
        <v>564</v>
      </c>
      <c r="H132" s="37" t="s">
        <v>196</v>
      </c>
      <c r="I132" s="38" t="s">
        <v>1529</v>
      </c>
      <c r="J132" s="38" t="s">
        <v>566</v>
      </c>
      <c r="K132" s="39">
        <f t="shared" si="3"/>
        <v>1</v>
      </c>
    </row>
    <row r="133" spans="1:11" ht="30" customHeight="1">
      <c r="A133" s="37">
        <v>125</v>
      </c>
      <c r="B133" s="38" t="s">
        <v>179</v>
      </c>
      <c r="C133" s="38" t="s">
        <v>856</v>
      </c>
      <c r="D133" s="38" t="s">
        <v>872</v>
      </c>
      <c r="E133" s="37" t="s">
        <v>105</v>
      </c>
      <c r="F133" s="37" t="s">
        <v>105</v>
      </c>
      <c r="G133" s="37" t="s">
        <v>564</v>
      </c>
      <c r="H133" s="37" t="s">
        <v>196</v>
      </c>
      <c r="I133" s="38" t="s">
        <v>1529</v>
      </c>
      <c r="J133" s="38" t="s">
        <v>566</v>
      </c>
      <c r="K133" s="39">
        <f t="shared" si="3"/>
        <v>1</v>
      </c>
    </row>
    <row r="134" spans="1:11" ht="30" customHeight="1">
      <c r="A134" s="37">
        <v>126</v>
      </c>
      <c r="B134" s="38" t="s">
        <v>179</v>
      </c>
      <c r="C134" s="38" t="s">
        <v>856</v>
      </c>
      <c r="D134" s="38" t="s">
        <v>873</v>
      </c>
      <c r="E134" s="37" t="s">
        <v>105</v>
      </c>
      <c r="F134" s="37" t="s">
        <v>105</v>
      </c>
      <c r="G134" s="37" t="s">
        <v>564</v>
      </c>
      <c r="H134" s="37" t="s">
        <v>196</v>
      </c>
      <c r="I134" s="38" t="s">
        <v>1529</v>
      </c>
      <c r="J134" s="38" t="s">
        <v>566</v>
      </c>
      <c r="K134" s="39">
        <f t="shared" si="3"/>
        <v>1</v>
      </c>
    </row>
    <row r="135" spans="1:11" ht="30" customHeight="1">
      <c r="A135" s="37">
        <v>127</v>
      </c>
      <c r="B135" s="38" t="s">
        <v>874</v>
      </c>
      <c r="C135" s="38" t="s">
        <v>875</v>
      </c>
      <c r="D135" s="38" t="s">
        <v>1208</v>
      </c>
      <c r="E135" s="37" t="s">
        <v>105</v>
      </c>
      <c r="F135" s="37" t="s">
        <v>105</v>
      </c>
      <c r="G135" s="37" t="s">
        <v>564</v>
      </c>
      <c r="H135" s="37" t="s">
        <v>196</v>
      </c>
      <c r="I135" s="38" t="s">
        <v>1529</v>
      </c>
      <c r="J135" s="38" t="s">
        <v>566</v>
      </c>
      <c r="K135" s="39">
        <f t="shared" si="3"/>
        <v>1</v>
      </c>
    </row>
    <row r="136" spans="1:11" ht="30" customHeight="1">
      <c r="A136" s="37">
        <v>128</v>
      </c>
      <c r="B136" s="38" t="s">
        <v>874</v>
      </c>
      <c r="C136" s="38" t="s">
        <v>875</v>
      </c>
      <c r="D136" s="38" t="s">
        <v>1209</v>
      </c>
      <c r="E136" s="37" t="s">
        <v>105</v>
      </c>
      <c r="F136" s="37" t="s">
        <v>105</v>
      </c>
      <c r="G136" s="37" t="s">
        <v>564</v>
      </c>
      <c r="H136" s="37" t="s">
        <v>196</v>
      </c>
      <c r="I136" s="38" t="s">
        <v>1529</v>
      </c>
      <c r="J136" s="38" t="s">
        <v>566</v>
      </c>
      <c r="K136" s="39">
        <f t="shared" si="3"/>
        <v>1</v>
      </c>
    </row>
    <row r="137" spans="1:11" ht="30" customHeight="1">
      <c r="A137" s="37">
        <v>129</v>
      </c>
      <c r="B137" s="38" t="s">
        <v>874</v>
      </c>
      <c r="C137" s="38" t="s">
        <v>875</v>
      </c>
      <c r="D137" s="38" t="s">
        <v>1211</v>
      </c>
      <c r="E137" s="37" t="s">
        <v>105</v>
      </c>
      <c r="F137" s="37" t="s">
        <v>105</v>
      </c>
      <c r="G137" s="37" t="s">
        <v>564</v>
      </c>
      <c r="H137" s="37" t="s">
        <v>196</v>
      </c>
      <c r="I137" s="38" t="s">
        <v>1529</v>
      </c>
      <c r="J137" s="38" t="s">
        <v>566</v>
      </c>
      <c r="K137" s="39">
        <f t="shared" ref="K137:K168" si="4">IF(AND(E137="yes",F137="yes",H137="covered"),1,IF(H137="partial",0.5,0))</f>
        <v>1</v>
      </c>
    </row>
    <row r="138" spans="1:11" ht="30" customHeight="1">
      <c r="A138" s="37">
        <v>130</v>
      </c>
      <c r="B138" s="38" t="s">
        <v>874</v>
      </c>
      <c r="C138" s="38" t="s">
        <v>875</v>
      </c>
      <c r="D138" s="38" t="s">
        <v>879</v>
      </c>
      <c r="E138" s="37" t="s">
        <v>105</v>
      </c>
      <c r="F138" s="37" t="s">
        <v>105</v>
      </c>
      <c r="G138" s="37" t="s">
        <v>564</v>
      </c>
      <c r="H138" s="37" t="s">
        <v>196</v>
      </c>
      <c r="I138" s="38" t="s">
        <v>1529</v>
      </c>
      <c r="J138" s="38" t="s">
        <v>566</v>
      </c>
      <c r="K138" s="39">
        <f t="shared" si="4"/>
        <v>1</v>
      </c>
    </row>
    <row r="139" spans="1:11" ht="45" customHeight="1">
      <c r="A139" s="37">
        <v>131</v>
      </c>
      <c r="B139" s="38" t="s">
        <v>874</v>
      </c>
      <c r="C139" s="38" t="s">
        <v>875</v>
      </c>
      <c r="D139" s="38" t="s">
        <v>1212</v>
      </c>
      <c r="E139" s="37" t="s">
        <v>105</v>
      </c>
      <c r="F139" s="37" t="s">
        <v>105</v>
      </c>
      <c r="G139" s="37" t="s">
        <v>564</v>
      </c>
      <c r="H139" s="37" t="s">
        <v>196</v>
      </c>
      <c r="I139" s="38" t="s">
        <v>1529</v>
      </c>
      <c r="J139" s="38" t="s">
        <v>566</v>
      </c>
      <c r="K139" s="39">
        <f t="shared" si="4"/>
        <v>1</v>
      </c>
    </row>
    <row r="140" spans="1:11" ht="30" customHeight="1">
      <c r="A140" s="37">
        <v>132</v>
      </c>
      <c r="B140" s="38" t="s">
        <v>539</v>
      </c>
      <c r="C140" s="38" t="s">
        <v>881</v>
      </c>
      <c r="D140" s="38" t="s">
        <v>883</v>
      </c>
      <c r="E140" s="37" t="s">
        <v>105</v>
      </c>
      <c r="F140" s="37" t="s">
        <v>105</v>
      </c>
      <c r="G140" s="37" t="s">
        <v>564</v>
      </c>
      <c r="H140" s="37" t="s">
        <v>196</v>
      </c>
      <c r="I140" s="38" t="s">
        <v>1529</v>
      </c>
      <c r="J140" s="38" t="s">
        <v>566</v>
      </c>
      <c r="K140" s="39">
        <f t="shared" si="4"/>
        <v>1</v>
      </c>
    </row>
    <row r="141" spans="1:11" ht="30" customHeight="1">
      <c r="A141" s="37">
        <v>133</v>
      </c>
      <c r="B141" s="38" t="s">
        <v>539</v>
      </c>
      <c r="C141" s="38" t="s">
        <v>881</v>
      </c>
      <c r="D141" s="38" t="s">
        <v>884</v>
      </c>
      <c r="E141" s="37" t="s">
        <v>105</v>
      </c>
      <c r="F141" s="37" t="s">
        <v>105</v>
      </c>
      <c r="G141" s="37" t="s">
        <v>564</v>
      </c>
      <c r="H141" s="37" t="s">
        <v>196</v>
      </c>
      <c r="I141" s="38" t="s">
        <v>1529</v>
      </c>
      <c r="J141" s="38" t="s">
        <v>566</v>
      </c>
      <c r="K141" s="39">
        <f t="shared" si="4"/>
        <v>1</v>
      </c>
    </row>
    <row r="142" spans="1:11" ht="30" customHeight="1">
      <c r="A142" s="37">
        <v>134</v>
      </c>
      <c r="B142" s="38" t="s">
        <v>539</v>
      </c>
      <c r="C142" s="38" t="s">
        <v>881</v>
      </c>
      <c r="D142" s="38" t="s">
        <v>885</v>
      </c>
      <c r="E142" s="37" t="s">
        <v>105</v>
      </c>
      <c r="F142" s="37" t="s">
        <v>105</v>
      </c>
      <c r="G142" s="37" t="s">
        <v>564</v>
      </c>
      <c r="H142" s="37" t="s">
        <v>196</v>
      </c>
      <c r="I142" s="38" t="s">
        <v>1529</v>
      </c>
      <c r="J142" s="38" t="s">
        <v>566</v>
      </c>
      <c r="K142" s="39">
        <f t="shared" si="4"/>
        <v>1</v>
      </c>
    </row>
    <row r="143" spans="1:11" ht="30" customHeight="1">
      <c r="A143" s="37">
        <v>135</v>
      </c>
      <c r="B143" s="38" t="s">
        <v>539</v>
      </c>
      <c r="C143" s="38" t="s">
        <v>881</v>
      </c>
      <c r="D143" s="38" t="s">
        <v>886</v>
      </c>
      <c r="E143" s="37" t="s">
        <v>105</v>
      </c>
      <c r="F143" s="37" t="s">
        <v>105</v>
      </c>
      <c r="G143" s="37" t="s">
        <v>564</v>
      </c>
      <c r="H143" s="37" t="s">
        <v>196</v>
      </c>
      <c r="I143" s="38" t="s">
        <v>1529</v>
      </c>
      <c r="J143" s="38" t="s">
        <v>566</v>
      </c>
      <c r="K143" s="39">
        <f t="shared" si="4"/>
        <v>1</v>
      </c>
    </row>
    <row r="144" spans="1:11" ht="45" customHeight="1">
      <c r="A144" s="37">
        <v>136</v>
      </c>
      <c r="B144" s="38" t="s">
        <v>539</v>
      </c>
      <c r="C144" s="38" t="s">
        <v>881</v>
      </c>
      <c r="D144" s="38" t="s">
        <v>887</v>
      </c>
      <c r="E144" s="37" t="s">
        <v>105</v>
      </c>
      <c r="F144" s="37" t="s">
        <v>105</v>
      </c>
      <c r="G144" s="37" t="s">
        <v>564</v>
      </c>
      <c r="H144" s="37" t="s">
        <v>196</v>
      </c>
      <c r="I144" s="38" t="s">
        <v>1529</v>
      </c>
      <c r="J144" s="38" t="s">
        <v>566</v>
      </c>
      <c r="K144" s="39">
        <f t="shared" si="4"/>
        <v>1</v>
      </c>
    </row>
    <row r="145" spans="1:11" ht="30" customHeight="1">
      <c r="A145" s="37">
        <v>137</v>
      </c>
      <c r="B145" s="38" t="s">
        <v>539</v>
      </c>
      <c r="C145" s="38" t="s">
        <v>881</v>
      </c>
      <c r="D145" s="38" t="s">
        <v>1534</v>
      </c>
      <c r="E145" s="37" t="s">
        <v>105</v>
      </c>
      <c r="F145" s="37" t="s">
        <v>105</v>
      </c>
      <c r="G145" s="37" t="s">
        <v>564</v>
      </c>
      <c r="H145" s="37" t="s">
        <v>196</v>
      </c>
      <c r="I145" s="38" t="s">
        <v>1529</v>
      </c>
      <c r="J145" s="38" t="s">
        <v>566</v>
      </c>
      <c r="K145" s="39">
        <f t="shared" si="4"/>
        <v>1</v>
      </c>
    </row>
    <row r="146" spans="1:11" ht="30" customHeight="1">
      <c r="A146" s="37">
        <v>138</v>
      </c>
      <c r="B146" s="38" t="s">
        <v>539</v>
      </c>
      <c r="C146" s="38" t="s">
        <v>881</v>
      </c>
      <c r="D146" s="38" t="s">
        <v>1535</v>
      </c>
      <c r="E146" s="37" t="s">
        <v>105</v>
      </c>
      <c r="F146" s="37" t="s">
        <v>105</v>
      </c>
      <c r="G146" s="37" t="s">
        <v>564</v>
      </c>
      <c r="H146" s="37" t="s">
        <v>196</v>
      </c>
      <c r="I146" s="38" t="s">
        <v>1529</v>
      </c>
      <c r="J146" s="38" t="s">
        <v>566</v>
      </c>
      <c r="K146" s="39">
        <f t="shared" si="4"/>
        <v>1</v>
      </c>
    </row>
    <row r="147" spans="1:11" ht="30" customHeight="1">
      <c r="A147" s="37">
        <v>139</v>
      </c>
      <c r="B147" s="38" t="s">
        <v>539</v>
      </c>
      <c r="C147" s="38" t="s">
        <v>881</v>
      </c>
      <c r="D147" s="38" t="s">
        <v>1536</v>
      </c>
      <c r="E147" s="37" t="s">
        <v>105</v>
      </c>
      <c r="F147" s="37" t="s">
        <v>105</v>
      </c>
      <c r="G147" s="37" t="s">
        <v>564</v>
      </c>
      <c r="H147" s="37" t="s">
        <v>196</v>
      </c>
      <c r="I147" s="38" t="s">
        <v>1529</v>
      </c>
      <c r="J147" s="38" t="s">
        <v>566</v>
      </c>
      <c r="K147" s="39">
        <f t="shared" si="4"/>
        <v>1</v>
      </c>
    </row>
    <row r="148" spans="1:11" ht="30" customHeight="1">
      <c r="A148" s="37">
        <v>140</v>
      </c>
      <c r="B148" s="38" t="s">
        <v>130</v>
      </c>
      <c r="C148" s="38" t="s">
        <v>1537</v>
      </c>
      <c r="D148" s="38" t="s">
        <v>893</v>
      </c>
      <c r="E148" s="37" t="s">
        <v>105</v>
      </c>
      <c r="F148" s="37" t="s">
        <v>105</v>
      </c>
      <c r="G148" s="37" t="s">
        <v>564</v>
      </c>
      <c r="H148" s="37" t="s">
        <v>196</v>
      </c>
      <c r="I148" s="38" t="s">
        <v>1529</v>
      </c>
      <c r="J148" s="38" t="s">
        <v>566</v>
      </c>
      <c r="K148" s="39">
        <f t="shared" si="4"/>
        <v>1</v>
      </c>
    </row>
    <row r="149" spans="1:11" ht="45" customHeight="1">
      <c r="A149" s="37">
        <v>141</v>
      </c>
      <c r="B149" s="38" t="s">
        <v>130</v>
      </c>
      <c r="C149" s="38" t="s">
        <v>1537</v>
      </c>
      <c r="D149" s="38" t="s">
        <v>894</v>
      </c>
      <c r="E149" s="37" t="s">
        <v>105</v>
      </c>
      <c r="F149" s="37" t="s">
        <v>105</v>
      </c>
      <c r="G149" s="37" t="s">
        <v>564</v>
      </c>
      <c r="H149" s="37" t="s">
        <v>196</v>
      </c>
      <c r="I149" s="38" t="s">
        <v>1529</v>
      </c>
      <c r="J149" s="38" t="s">
        <v>566</v>
      </c>
      <c r="K149" s="39">
        <f t="shared" si="4"/>
        <v>1</v>
      </c>
    </row>
    <row r="150" spans="1:11" ht="45" customHeight="1">
      <c r="A150" s="37">
        <v>142</v>
      </c>
      <c r="B150" s="38" t="s">
        <v>130</v>
      </c>
      <c r="C150" s="38" t="s">
        <v>1537</v>
      </c>
      <c r="D150" s="38" t="s">
        <v>1218</v>
      </c>
      <c r="E150" s="37" t="s">
        <v>105</v>
      </c>
      <c r="F150" s="37" t="s">
        <v>105</v>
      </c>
      <c r="G150" s="37" t="s">
        <v>564</v>
      </c>
      <c r="H150" s="37" t="s">
        <v>196</v>
      </c>
      <c r="I150" s="38" t="s">
        <v>1529</v>
      </c>
      <c r="J150" s="38" t="s">
        <v>566</v>
      </c>
      <c r="K150" s="39">
        <f t="shared" si="4"/>
        <v>1</v>
      </c>
    </row>
    <row r="151" spans="1:11" ht="45" customHeight="1">
      <c r="A151" s="37">
        <v>143</v>
      </c>
      <c r="B151" s="38" t="s">
        <v>130</v>
      </c>
      <c r="C151" s="38" t="s">
        <v>1537</v>
      </c>
      <c r="D151" s="38" t="s">
        <v>899</v>
      </c>
      <c r="E151" s="37" t="s">
        <v>105</v>
      </c>
      <c r="F151" s="37" t="s">
        <v>105</v>
      </c>
      <c r="G151" s="37" t="s">
        <v>564</v>
      </c>
      <c r="H151" s="37" t="s">
        <v>196</v>
      </c>
      <c r="I151" s="38" t="s">
        <v>1529</v>
      </c>
      <c r="J151" s="38" t="s">
        <v>566</v>
      </c>
      <c r="K151" s="39">
        <f t="shared" si="4"/>
        <v>1</v>
      </c>
    </row>
    <row r="152" spans="1:11" ht="45" customHeight="1">
      <c r="A152" s="37">
        <v>144</v>
      </c>
      <c r="B152" s="38" t="s">
        <v>130</v>
      </c>
      <c r="C152" s="38" t="s">
        <v>1537</v>
      </c>
      <c r="D152" s="38" t="s">
        <v>901</v>
      </c>
      <c r="E152" s="37" t="s">
        <v>105</v>
      </c>
      <c r="F152" s="37" t="s">
        <v>105</v>
      </c>
      <c r="G152" s="37" t="s">
        <v>564</v>
      </c>
      <c r="H152" s="37" t="s">
        <v>196</v>
      </c>
      <c r="I152" s="38" t="s">
        <v>1529</v>
      </c>
      <c r="J152" s="38" t="s">
        <v>566</v>
      </c>
      <c r="K152" s="39">
        <f t="shared" si="4"/>
        <v>1</v>
      </c>
    </row>
    <row r="153" spans="1:11" ht="30" customHeight="1">
      <c r="A153" s="37">
        <v>145</v>
      </c>
      <c r="B153" s="38" t="s">
        <v>130</v>
      </c>
      <c r="C153" s="38" t="s">
        <v>1537</v>
      </c>
      <c r="D153" s="38" t="s">
        <v>897</v>
      </c>
      <c r="E153" s="37" t="s">
        <v>105</v>
      </c>
      <c r="F153" s="37" t="s">
        <v>105</v>
      </c>
      <c r="G153" s="37" t="s">
        <v>564</v>
      </c>
      <c r="H153" s="37" t="s">
        <v>196</v>
      </c>
      <c r="I153" s="38" t="s">
        <v>1529</v>
      </c>
      <c r="J153" s="38" t="s">
        <v>566</v>
      </c>
      <c r="K153" s="39">
        <f t="shared" si="4"/>
        <v>1</v>
      </c>
    </row>
    <row r="154" spans="1:11" ht="30" customHeight="1">
      <c r="A154" s="37">
        <v>146</v>
      </c>
      <c r="B154" s="38" t="s">
        <v>130</v>
      </c>
      <c r="C154" s="38" t="s">
        <v>1537</v>
      </c>
      <c r="D154" s="38" t="s">
        <v>903</v>
      </c>
      <c r="E154" s="37" t="s">
        <v>105</v>
      </c>
      <c r="F154" s="37" t="s">
        <v>105</v>
      </c>
      <c r="G154" s="37" t="s">
        <v>564</v>
      </c>
      <c r="H154" s="37" t="s">
        <v>196</v>
      </c>
      <c r="I154" s="38" t="s">
        <v>1529</v>
      </c>
      <c r="J154" s="38" t="s">
        <v>566</v>
      </c>
      <c r="K154" s="39">
        <f t="shared" si="4"/>
        <v>1</v>
      </c>
    </row>
    <row r="155" spans="1:11" ht="30" customHeight="1">
      <c r="A155" s="37">
        <v>147</v>
      </c>
      <c r="B155" s="38" t="s">
        <v>904</v>
      </c>
      <c r="C155" s="38" t="s">
        <v>905</v>
      </c>
      <c r="D155" s="38" t="s">
        <v>1538</v>
      </c>
      <c r="E155" s="37" t="s">
        <v>105</v>
      </c>
      <c r="F155" s="37" t="s">
        <v>105</v>
      </c>
      <c r="G155" s="37" t="s">
        <v>564</v>
      </c>
      <c r="H155" s="37" t="s">
        <v>196</v>
      </c>
      <c r="I155" s="38" t="s">
        <v>1529</v>
      </c>
      <c r="J155" s="38" t="s">
        <v>566</v>
      </c>
      <c r="K155" s="39">
        <f t="shared" si="4"/>
        <v>1</v>
      </c>
    </row>
    <row r="156" spans="1:11" ht="30" customHeight="1">
      <c r="A156" s="37">
        <v>148</v>
      </c>
      <c r="B156" s="38" t="s">
        <v>904</v>
      </c>
      <c r="C156" s="38" t="s">
        <v>905</v>
      </c>
      <c r="D156" s="38" t="s">
        <v>1219</v>
      </c>
      <c r="E156" s="37" t="s">
        <v>105</v>
      </c>
      <c r="F156" s="37" t="s">
        <v>105</v>
      </c>
      <c r="G156" s="37" t="s">
        <v>564</v>
      </c>
      <c r="H156" s="37" t="s">
        <v>196</v>
      </c>
      <c r="I156" s="38" t="s">
        <v>1529</v>
      </c>
      <c r="J156" s="38" t="s">
        <v>566</v>
      </c>
      <c r="K156" s="39">
        <f t="shared" si="4"/>
        <v>1</v>
      </c>
    </row>
    <row r="157" spans="1:11" ht="30" customHeight="1">
      <c r="A157" s="37">
        <v>149</v>
      </c>
      <c r="B157" s="38" t="s">
        <v>904</v>
      </c>
      <c r="C157" s="38" t="s">
        <v>905</v>
      </c>
      <c r="D157" s="38" t="s">
        <v>909</v>
      </c>
      <c r="E157" s="37" t="s">
        <v>105</v>
      </c>
      <c r="F157" s="37" t="s">
        <v>105</v>
      </c>
      <c r="G157" s="37" t="s">
        <v>564</v>
      </c>
      <c r="H157" s="37" t="s">
        <v>196</v>
      </c>
      <c r="I157" s="38" t="s">
        <v>1529</v>
      </c>
      <c r="J157" s="38" t="s">
        <v>566</v>
      </c>
      <c r="K157" s="39">
        <f t="shared" si="4"/>
        <v>1</v>
      </c>
    </row>
    <row r="158" spans="1:11" ht="30" customHeight="1">
      <c r="A158" s="37">
        <v>150</v>
      </c>
      <c r="B158" s="38" t="s">
        <v>904</v>
      </c>
      <c r="C158" s="38" t="s">
        <v>905</v>
      </c>
      <c r="D158" s="38" t="s">
        <v>910</v>
      </c>
      <c r="E158" s="37" t="s">
        <v>105</v>
      </c>
      <c r="F158" s="37" t="s">
        <v>105</v>
      </c>
      <c r="G158" s="37" t="s">
        <v>564</v>
      </c>
      <c r="H158" s="37" t="s">
        <v>196</v>
      </c>
      <c r="I158" s="38" t="s">
        <v>1529</v>
      </c>
      <c r="J158" s="38" t="s">
        <v>566</v>
      </c>
      <c r="K158" s="39">
        <f t="shared" si="4"/>
        <v>1</v>
      </c>
    </row>
    <row r="159" spans="1:11" ht="30" customHeight="1">
      <c r="A159" s="37">
        <v>151</v>
      </c>
      <c r="B159" s="38" t="s">
        <v>904</v>
      </c>
      <c r="C159" s="38" t="s">
        <v>905</v>
      </c>
      <c r="D159" s="38" t="s">
        <v>1220</v>
      </c>
      <c r="E159" s="37" t="s">
        <v>105</v>
      </c>
      <c r="F159" s="37" t="s">
        <v>105</v>
      </c>
      <c r="G159" s="37" t="s">
        <v>564</v>
      </c>
      <c r="H159" s="37" t="s">
        <v>196</v>
      </c>
      <c r="I159" s="38" t="s">
        <v>1529</v>
      </c>
      <c r="J159" s="38" t="s">
        <v>566</v>
      </c>
      <c r="K159" s="39">
        <f t="shared" si="4"/>
        <v>1</v>
      </c>
    </row>
    <row r="160" spans="1:11" ht="30" customHeight="1">
      <c r="A160" s="37">
        <v>152</v>
      </c>
      <c r="B160" s="38" t="s">
        <v>904</v>
      </c>
      <c r="C160" s="38" t="s">
        <v>905</v>
      </c>
      <c r="D160" s="38" t="s">
        <v>911</v>
      </c>
      <c r="E160" s="37" t="s">
        <v>105</v>
      </c>
      <c r="F160" s="37" t="s">
        <v>105</v>
      </c>
      <c r="G160" s="37" t="s">
        <v>564</v>
      </c>
      <c r="H160" s="37" t="s">
        <v>196</v>
      </c>
      <c r="I160" s="38" t="s">
        <v>1529</v>
      </c>
      <c r="J160" s="38" t="s">
        <v>566</v>
      </c>
      <c r="K160" s="39">
        <f t="shared" si="4"/>
        <v>1</v>
      </c>
    </row>
    <row r="161" spans="1:11" ht="30" customHeight="1">
      <c r="A161" s="37">
        <v>153</v>
      </c>
      <c r="B161" s="38" t="s">
        <v>912</v>
      </c>
      <c r="C161" s="38" t="s">
        <v>55</v>
      </c>
      <c r="D161" s="38" t="s">
        <v>1539</v>
      </c>
      <c r="E161" s="37" t="s">
        <v>105</v>
      </c>
      <c r="F161" s="37" t="s">
        <v>105</v>
      </c>
      <c r="G161" s="37" t="s">
        <v>564</v>
      </c>
      <c r="H161" s="37" t="s">
        <v>196</v>
      </c>
      <c r="I161" s="38" t="s">
        <v>1529</v>
      </c>
      <c r="J161" s="38" t="s">
        <v>566</v>
      </c>
      <c r="K161" s="39">
        <f t="shared" si="4"/>
        <v>1</v>
      </c>
    </row>
    <row r="162" spans="1:11" ht="30" customHeight="1">
      <c r="A162" s="37">
        <v>154</v>
      </c>
      <c r="B162" s="38" t="s">
        <v>912</v>
      </c>
      <c r="C162" s="38" t="s">
        <v>55</v>
      </c>
      <c r="D162" s="38" t="s">
        <v>914</v>
      </c>
      <c r="E162" s="37" t="s">
        <v>105</v>
      </c>
      <c r="F162" s="37" t="s">
        <v>105</v>
      </c>
      <c r="G162" s="37" t="s">
        <v>564</v>
      </c>
      <c r="H162" s="37" t="s">
        <v>196</v>
      </c>
      <c r="I162" s="38" t="s">
        <v>1529</v>
      </c>
      <c r="J162" s="38" t="s">
        <v>566</v>
      </c>
      <c r="K162" s="39">
        <f t="shared" si="4"/>
        <v>1</v>
      </c>
    </row>
    <row r="163" spans="1:11" ht="30" customHeight="1">
      <c r="A163" s="37">
        <v>155</v>
      </c>
      <c r="B163" s="38" t="s">
        <v>912</v>
      </c>
      <c r="C163" s="38" t="s">
        <v>55</v>
      </c>
      <c r="D163" s="38" t="s">
        <v>1540</v>
      </c>
      <c r="E163" s="37" t="s">
        <v>105</v>
      </c>
      <c r="F163" s="37" t="s">
        <v>105</v>
      </c>
      <c r="G163" s="37" t="s">
        <v>564</v>
      </c>
      <c r="H163" s="37" t="s">
        <v>196</v>
      </c>
      <c r="I163" s="38" t="s">
        <v>1529</v>
      </c>
      <c r="J163" s="38" t="s">
        <v>566</v>
      </c>
      <c r="K163" s="39">
        <f t="shared" si="4"/>
        <v>1</v>
      </c>
    </row>
    <row r="164" spans="1:11" ht="45" customHeight="1">
      <c r="A164" s="37">
        <v>156</v>
      </c>
      <c r="B164" s="38" t="s">
        <v>912</v>
      </c>
      <c r="C164" s="38" t="s">
        <v>55</v>
      </c>
      <c r="D164" s="38" t="s">
        <v>917</v>
      </c>
      <c r="E164" s="37" t="s">
        <v>105</v>
      </c>
      <c r="F164" s="37" t="s">
        <v>105</v>
      </c>
      <c r="G164" s="37" t="s">
        <v>564</v>
      </c>
      <c r="H164" s="37" t="s">
        <v>196</v>
      </c>
      <c r="I164" s="38" t="s">
        <v>1529</v>
      </c>
      <c r="J164" s="38" t="s">
        <v>566</v>
      </c>
      <c r="K164" s="39">
        <f t="shared" si="4"/>
        <v>1</v>
      </c>
    </row>
    <row r="165" spans="1:11" ht="30" customHeight="1">
      <c r="A165" s="37">
        <v>157</v>
      </c>
      <c r="B165" s="38" t="s">
        <v>912</v>
      </c>
      <c r="C165" s="38" t="s">
        <v>55</v>
      </c>
      <c r="D165" s="38" t="s">
        <v>1541</v>
      </c>
      <c r="E165" s="37" t="s">
        <v>105</v>
      </c>
      <c r="F165" s="37" t="s">
        <v>105</v>
      </c>
      <c r="G165" s="37" t="s">
        <v>564</v>
      </c>
      <c r="H165" s="37" t="s">
        <v>196</v>
      </c>
      <c r="I165" s="38" t="s">
        <v>1529</v>
      </c>
      <c r="J165" s="38" t="s">
        <v>566</v>
      </c>
      <c r="K165" s="39">
        <f t="shared" si="4"/>
        <v>1</v>
      </c>
    </row>
    <row r="166" spans="1:11" ht="30" customHeight="1">
      <c r="A166" s="37">
        <v>158</v>
      </c>
      <c r="B166" s="38" t="s">
        <v>912</v>
      </c>
      <c r="C166" s="38" t="s">
        <v>55</v>
      </c>
      <c r="D166" s="38" t="s">
        <v>1542</v>
      </c>
      <c r="E166" s="37" t="s">
        <v>105</v>
      </c>
      <c r="F166" s="37" t="s">
        <v>105</v>
      </c>
      <c r="G166" s="37" t="s">
        <v>564</v>
      </c>
      <c r="H166" s="37" t="s">
        <v>196</v>
      </c>
      <c r="I166" s="38" t="s">
        <v>1529</v>
      </c>
      <c r="J166" s="38" t="s">
        <v>566</v>
      </c>
      <c r="K166" s="39">
        <f t="shared" si="4"/>
        <v>1</v>
      </c>
    </row>
    <row r="167" spans="1:11" ht="30" customHeight="1">
      <c r="A167" s="37">
        <v>159</v>
      </c>
      <c r="B167" s="38" t="s">
        <v>918</v>
      </c>
      <c r="C167" s="38" t="s">
        <v>919</v>
      </c>
      <c r="D167" s="38" t="s">
        <v>1230</v>
      </c>
      <c r="E167" s="37" t="s">
        <v>105</v>
      </c>
      <c r="F167" s="37" t="s">
        <v>105</v>
      </c>
      <c r="G167" s="37" t="s">
        <v>564</v>
      </c>
      <c r="H167" s="37" t="s">
        <v>196</v>
      </c>
      <c r="I167" s="38" t="s">
        <v>1529</v>
      </c>
      <c r="J167" s="38" t="s">
        <v>566</v>
      </c>
      <c r="K167" s="39">
        <f t="shared" si="4"/>
        <v>1</v>
      </c>
    </row>
    <row r="168" spans="1:11" ht="30" customHeight="1">
      <c r="A168" s="37">
        <v>160</v>
      </c>
      <c r="B168" s="38" t="s">
        <v>918</v>
      </c>
      <c r="C168" s="38" t="s">
        <v>919</v>
      </c>
      <c r="D168" s="38" t="s">
        <v>926</v>
      </c>
      <c r="E168" s="37" t="s">
        <v>105</v>
      </c>
      <c r="F168" s="37" t="s">
        <v>105</v>
      </c>
      <c r="G168" s="37" t="s">
        <v>564</v>
      </c>
      <c r="H168" s="37" t="s">
        <v>196</v>
      </c>
      <c r="I168" s="38" t="s">
        <v>1529</v>
      </c>
      <c r="J168" s="38" t="s">
        <v>566</v>
      </c>
      <c r="K168" s="39">
        <f t="shared" si="4"/>
        <v>1</v>
      </c>
    </row>
    <row r="169" spans="1:11" ht="30" customHeight="1">
      <c r="A169" s="37">
        <v>161</v>
      </c>
      <c r="B169" s="38" t="s">
        <v>918</v>
      </c>
      <c r="C169" s="38" t="s">
        <v>919</v>
      </c>
      <c r="D169" s="38" t="s">
        <v>1543</v>
      </c>
      <c r="E169" s="37" t="s">
        <v>105</v>
      </c>
      <c r="F169" s="37" t="s">
        <v>105</v>
      </c>
      <c r="G169" s="37" t="s">
        <v>564</v>
      </c>
      <c r="H169" s="37" t="s">
        <v>196</v>
      </c>
      <c r="I169" s="38" t="s">
        <v>1529</v>
      </c>
      <c r="J169" s="38" t="s">
        <v>566</v>
      </c>
      <c r="K169" s="39">
        <f t="shared" ref="K169:K181" si="5">IF(AND(E169="yes",F169="yes",H169="covered"),1,IF(H169="partial",0.5,0))</f>
        <v>1</v>
      </c>
    </row>
    <row r="170" spans="1:11" ht="15" customHeight="1">
      <c r="A170" s="37">
        <v>162</v>
      </c>
      <c r="B170" s="38" t="s">
        <v>918</v>
      </c>
      <c r="C170" s="38" t="s">
        <v>919</v>
      </c>
      <c r="D170" s="38" t="s">
        <v>1544</v>
      </c>
      <c r="E170" s="37" t="s">
        <v>105</v>
      </c>
      <c r="F170" s="37" t="s">
        <v>105</v>
      </c>
      <c r="G170" s="37" t="s">
        <v>564</v>
      </c>
      <c r="H170" s="37" t="s">
        <v>196</v>
      </c>
      <c r="I170" s="38" t="s">
        <v>1529</v>
      </c>
      <c r="J170" s="38" t="s">
        <v>566</v>
      </c>
      <c r="K170" s="39">
        <f t="shared" si="5"/>
        <v>1</v>
      </c>
    </row>
    <row r="171" spans="1:11" ht="15" customHeight="1">
      <c r="A171" s="37">
        <v>163</v>
      </c>
      <c r="B171" s="38" t="s">
        <v>918</v>
      </c>
      <c r="C171" s="38" t="s">
        <v>919</v>
      </c>
      <c r="D171" s="38" t="s">
        <v>925</v>
      </c>
      <c r="E171" s="37" t="s">
        <v>105</v>
      </c>
      <c r="F171" s="37" t="s">
        <v>105</v>
      </c>
      <c r="G171" s="37" t="s">
        <v>564</v>
      </c>
      <c r="H171" s="37" t="s">
        <v>196</v>
      </c>
      <c r="I171" s="38" t="s">
        <v>1529</v>
      </c>
      <c r="J171" s="38" t="s">
        <v>566</v>
      </c>
      <c r="K171" s="39">
        <f t="shared" si="5"/>
        <v>1</v>
      </c>
    </row>
    <row r="172" spans="1:11" ht="30" customHeight="1">
      <c r="A172" s="37">
        <v>164</v>
      </c>
      <c r="B172" s="38" t="s">
        <v>927</v>
      </c>
      <c r="C172" s="38" t="s">
        <v>928</v>
      </c>
      <c r="D172" s="38" t="s">
        <v>1545</v>
      </c>
      <c r="E172" s="37" t="s">
        <v>105</v>
      </c>
      <c r="F172" s="37" t="s">
        <v>105</v>
      </c>
      <c r="G172" s="37" t="s">
        <v>564</v>
      </c>
      <c r="H172" s="37" t="s">
        <v>196</v>
      </c>
      <c r="I172" s="38" t="s">
        <v>1529</v>
      </c>
      <c r="J172" s="38" t="s">
        <v>566</v>
      </c>
      <c r="K172" s="39">
        <f t="shared" si="5"/>
        <v>1</v>
      </c>
    </row>
    <row r="173" spans="1:11" ht="15" customHeight="1">
      <c r="A173" s="37">
        <v>165</v>
      </c>
      <c r="B173" s="38" t="s">
        <v>927</v>
      </c>
      <c r="C173" s="38" t="s">
        <v>928</v>
      </c>
      <c r="D173" s="38" t="s">
        <v>935</v>
      </c>
      <c r="E173" s="37" t="s">
        <v>105</v>
      </c>
      <c r="F173" s="37" t="s">
        <v>105</v>
      </c>
      <c r="G173" s="37" t="s">
        <v>564</v>
      </c>
      <c r="H173" s="37" t="s">
        <v>196</v>
      </c>
      <c r="I173" s="38" t="s">
        <v>1529</v>
      </c>
      <c r="J173" s="38" t="s">
        <v>566</v>
      </c>
      <c r="K173" s="39">
        <f t="shared" si="5"/>
        <v>1</v>
      </c>
    </row>
    <row r="174" spans="1:11" ht="15" customHeight="1">
      <c r="A174" s="37">
        <v>166</v>
      </c>
      <c r="B174" s="38" t="s">
        <v>927</v>
      </c>
      <c r="C174" s="38" t="s">
        <v>928</v>
      </c>
      <c r="D174" s="38" t="s">
        <v>936</v>
      </c>
      <c r="E174" s="37" t="s">
        <v>105</v>
      </c>
      <c r="F174" s="37" t="s">
        <v>105</v>
      </c>
      <c r="G174" s="37" t="s">
        <v>564</v>
      </c>
      <c r="H174" s="37" t="s">
        <v>196</v>
      </c>
      <c r="I174" s="38" t="s">
        <v>1529</v>
      </c>
      <c r="J174" s="38" t="s">
        <v>566</v>
      </c>
      <c r="K174" s="39">
        <f t="shared" si="5"/>
        <v>1</v>
      </c>
    </row>
    <row r="175" spans="1:11" ht="30" customHeight="1">
      <c r="A175" s="37">
        <v>167</v>
      </c>
      <c r="B175" s="38" t="s">
        <v>927</v>
      </c>
      <c r="C175" s="38" t="s">
        <v>928</v>
      </c>
      <c r="D175" s="38" t="s">
        <v>937</v>
      </c>
      <c r="E175" s="37" t="s">
        <v>105</v>
      </c>
      <c r="F175" s="37" t="s">
        <v>105</v>
      </c>
      <c r="G175" s="37" t="s">
        <v>564</v>
      </c>
      <c r="H175" s="37" t="s">
        <v>196</v>
      </c>
      <c r="I175" s="38" t="s">
        <v>1529</v>
      </c>
      <c r="J175" s="38" t="s">
        <v>566</v>
      </c>
      <c r="K175" s="39">
        <f t="shared" si="5"/>
        <v>1</v>
      </c>
    </row>
    <row r="176" spans="1:11" ht="30" customHeight="1">
      <c r="A176" s="37">
        <v>168</v>
      </c>
      <c r="B176" s="38" t="s">
        <v>927</v>
      </c>
      <c r="C176" s="38" t="s">
        <v>928</v>
      </c>
      <c r="D176" s="38" t="s">
        <v>938</v>
      </c>
      <c r="E176" s="37" t="s">
        <v>105</v>
      </c>
      <c r="F176" s="37" t="s">
        <v>105</v>
      </c>
      <c r="G176" s="37" t="s">
        <v>564</v>
      </c>
      <c r="H176" s="37" t="s">
        <v>196</v>
      </c>
      <c r="I176" s="38" t="s">
        <v>1529</v>
      </c>
      <c r="J176" s="38" t="s">
        <v>566</v>
      </c>
      <c r="K176" s="39">
        <f t="shared" si="5"/>
        <v>1</v>
      </c>
    </row>
    <row r="177" spans="1:11" ht="30" customHeight="1">
      <c r="A177" s="37">
        <v>169</v>
      </c>
      <c r="B177" s="38" t="s">
        <v>927</v>
      </c>
      <c r="C177" s="38" t="s">
        <v>928</v>
      </c>
      <c r="D177" s="38" t="s">
        <v>1546</v>
      </c>
      <c r="E177" s="37" t="s">
        <v>105</v>
      </c>
      <c r="F177" s="37" t="s">
        <v>105</v>
      </c>
      <c r="G177" s="37" t="s">
        <v>564</v>
      </c>
      <c r="H177" s="37" t="s">
        <v>196</v>
      </c>
      <c r="I177" s="38" t="s">
        <v>1529</v>
      </c>
      <c r="J177" s="38" t="s">
        <v>566</v>
      </c>
      <c r="K177" s="39">
        <f t="shared" si="5"/>
        <v>1</v>
      </c>
    </row>
    <row r="178" spans="1:11" ht="30" customHeight="1">
      <c r="A178" s="37">
        <v>170</v>
      </c>
      <c r="B178" s="38" t="s">
        <v>179</v>
      </c>
      <c r="C178" s="38" t="s">
        <v>1235</v>
      </c>
      <c r="D178" s="38" t="s">
        <v>1236</v>
      </c>
      <c r="E178" s="37" t="s">
        <v>105</v>
      </c>
      <c r="F178" s="37" t="s">
        <v>105</v>
      </c>
      <c r="G178" s="37" t="s">
        <v>564</v>
      </c>
      <c r="H178" s="37" t="s">
        <v>196</v>
      </c>
      <c r="I178" s="38" t="s">
        <v>1529</v>
      </c>
      <c r="J178" s="38" t="s">
        <v>566</v>
      </c>
      <c r="K178" s="39">
        <f t="shared" si="5"/>
        <v>1</v>
      </c>
    </row>
    <row r="179" spans="1:11" ht="30" customHeight="1">
      <c r="A179" s="37">
        <v>171</v>
      </c>
      <c r="B179" s="38" t="s">
        <v>31</v>
      </c>
      <c r="C179" s="38" t="s">
        <v>939</v>
      </c>
      <c r="D179" s="38" t="s">
        <v>940</v>
      </c>
      <c r="E179" s="37" t="s">
        <v>105</v>
      </c>
      <c r="F179" s="37" t="s">
        <v>105</v>
      </c>
      <c r="G179" s="37" t="s">
        <v>564</v>
      </c>
      <c r="H179" s="37" t="s">
        <v>196</v>
      </c>
      <c r="I179" s="38" t="s">
        <v>1529</v>
      </c>
      <c r="J179" s="38" t="s">
        <v>566</v>
      </c>
      <c r="K179" s="39">
        <f t="shared" si="5"/>
        <v>1</v>
      </c>
    </row>
    <row r="180" spans="1:11" ht="30" customHeight="1">
      <c r="A180" s="37">
        <v>172</v>
      </c>
      <c r="B180" s="38" t="s">
        <v>31</v>
      </c>
      <c r="C180" s="38" t="s">
        <v>939</v>
      </c>
      <c r="D180" s="38" t="s">
        <v>942</v>
      </c>
      <c r="E180" s="37" t="s">
        <v>105</v>
      </c>
      <c r="F180" s="37" t="s">
        <v>105</v>
      </c>
      <c r="G180" s="37" t="s">
        <v>564</v>
      </c>
      <c r="H180" s="37" t="s">
        <v>196</v>
      </c>
      <c r="I180" s="38" t="s">
        <v>1529</v>
      </c>
      <c r="J180" s="38" t="s">
        <v>566</v>
      </c>
      <c r="K180" s="39">
        <f t="shared" si="5"/>
        <v>1</v>
      </c>
    </row>
    <row r="181" spans="1:11" ht="30" customHeight="1">
      <c r="A181" s="37">
        <v>173</v>
      </c>
      <c r="B181" s="38" t="s">
        <v>94</v>
      </c>
      <c r="C181" s="38" t="s">
        <v>191</v>
      </c>
      <c r="D181" s="38" t="s">
        <v>192</v>
      </c>
      <c r="E181" s="37" t="s">
        <v>105</v>
      </c>
      <c r="F181" s="37" t="s">
        <v>105</v>
      </c>
      <c r="G181" s="37" t="s">
        <v>564</v>
      </c>
      <c r="H181" s="37" t="s">
        <v>196</v>
      </c>
      <c r="I181" s="38" t="s">
        <v>1529</v>
      </c>
      <c r="J181" s="38" t="s">
        <v>566</v>
      </c>
      <c r="K181" s="39">
        <f t="shared" si="5"/>
        <v>1</v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K14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1547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6</v>
      </c>
      <c r="I4" s="1" t="s">
        <v>11</v>
      </c>
      <c r="J4" s="2">
        <f>COUNTIFS(A9:A1000,"&lt;&gt;",E9:E1000,"yes",F9:F1000,"&lt;&gt;yes")+COUNTIFS(A9:A1000,"&lt;&gt;",E9:E1000,"yes",F9:F1000,"yes",H9:H1000,"untested")</f>
        <v>132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46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1548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46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1548</v>
      </c>
      <c r="J12" s="5" t="s">
        <v>109</v>
      </c>
      <c r="K12" s="6">
        <f t="shared" si="0"/>
        <v>0</v>
      </c>
    </row>
    <row r="13" spans="1:11" ht="30" customHeight="1">
      <c r="A13" s="4">
        <v>5</v>
      </c>
      <c r="B13" s="5" t="s">
        <v>94</v>
      </c>
      <c r="C13" s="5" t="s">
        <v>46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1548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46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1548</v>
      </c>
      <c r="J14" s="5" t="s">
        <v>109</v>
      </c>
      <c r="K14" s="6">
        <f t="shared" si="0"/>
        <v>0</v>
      </c>
    </row>
    <row r="15" spans="1:11" ht="30" customHeight="1">
      <c r="A15" s="4">
        <v>7</v>
      </c>
      <c r="B15" s="5" t="s">
        <v>113</v>
      </c>
      <c r="C15" s="5" t="s">
        <v>46</v>
      </c>
      <c r="D15" s="5" t="s">
        <v>1549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1548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46</v>
      </c>
      <c r="D16" s="5" t="s">
        <v>1550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1548</v>
      </c>
      <c r="J16" s="5" t="s">
        <v>109</v>
      </c>
      <c r="K16" s="6">
        <f t="shared" si="0"/>
        <v>0</v>
      </c>
    </row>
    <row r="17" spans="1:11" ht="30" customHeight="1">
      <c r="A17" s="4">
        <v>9</v>
      </c>
      <c r="B17" s="5" t="s">
        <v>113</v>
      </c>
      <c r="C17" s="5" t="s">
        <v>46</v>
      </c>
      <c r="D17" s="5" t="s">
        <v>1551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1548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46</v>
      </c>
      <c r="D18" s="5" t="s">
        <v>1552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1548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46</v>
      </c>
      <c r="D19" s="5" t="s">
        <v>1553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1548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1548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1548</v>
      </c>
      <c r="J21" s="5" t="s">
        <v>109</v>
      </c>
      <c r="K21" s="6">
        <f t="shared" si="0"/>
        <v>0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1548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1548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1548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1548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135</v>
      </c>
      <c r="C26" s="5" t="s">
        <v>121</v>
      </c>
      <c r="D26" s="5" t="s">
        <v>136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1548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137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1548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138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1548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955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1548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142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1548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120</v>
      </c>
      <c r="C31" s="5" t="s">
        <v>145</v>
      </c>
      <c r="D31" s="5" t="s">
        <v>122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1548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120</v>
      </c>
      <c r="C32" s="5" t="s">
        <v>145</v>
      </c>
      <c r="D32" s="5" t="s">
        <v>123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1548</v>
      </c>
      <c r="J32" s="5" t="s">
        <v>109</v>
      </c>
      <c r="K32" s="6">
        <f t="shared" si="0"/>
        <v>0</v>
      </c>
    </row>
    <row r="33" spans="1:11" ht="30" customHeight="1">
      <c r="A33" s="4">
        <v>25</v>
      </c>
      <c r="B33" s="5" t="s">
        <v>124</v>
      </c>
      <c r="C33" s="5" t="s">
        <v>145</v>
      </c>
      <c r="D33" s="5" t="s">
        <v>125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1548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124</v>
      </c>
      <c r="C34" s="5" t="s">
        <v>145</v>
      </c>
      <c r="D34" s="5" t="s">
        <v>126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1548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95</v>
      </c>
      <c r="C35" s="5" t="s">
        <v>145</v>
      </c>
      <c r="D35" s="5" t="s">
        <v>127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1548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128</v>
      </c>
      <c r="C36" s="5" t="s">
        <v>145</v>
      </c>
      <c r="D36" s="5" t="s">
        <v>129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1548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133</v>
      </c>
      <c r="C37" s="5" t="s">
        <v>145</v>
      </c>
      <c r="D37" s="5" t="s">
        <v>142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1548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133</v>
      </c>
      <c r="C38" s="5" t="s">
        <v>145</v>
      </c>
      <c r="D38" s="5" t="s">
        <v>146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1548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135</v>
      </c>
      <c r="C39" s="5" t="s">
        <v>145</v>
      </c>
      <c r="D39" s="5" t="s">
        <v>144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1548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120</v>
      </c>
      <c r="C40" s="5" t="s">
        <v>147</v>
      </c>
      <c r="D40" s="5" t="s">
        <v>122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1548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120</v>
      </c>
      <c r="C41" s="5" t="s">
        <v>147</v>
      </c>
      <c r="D41" s="5" t="s">
        <v>123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1548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30" customHeight="1">
      <c r="A42" s="4">
        <v>34</v>
      </c>
      <c r="B42" s="5" t="s">
        <v>124</v>
      </c>
      <c r="C42" s="5" t="s">
        <v>147</v>
      </c>
      <c r="D42" s="5" t="s">
        <v>125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1548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124</v>
      </c>
      <c r="C43" s="5" t="s">
        <v>147</v>
      </c>
      <c r="D43" s="5" t="s">
        <v>126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1548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95</v>
      </c>
      <c r="C44" s="5" t="s">
        <v>147</v>
      </c>
      <c r="D44" s="5" t="s">
        <v>127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1548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128</v>
      </c>
      <c r="C45" s="5" t="s">
        <v>147</v>
      </c>
      <c r="D45" s="5" t="s">
        <v>129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1548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120</v>
      </c>
      <c r="C46" s="5" t="s">
        <v>150</v>
      </c>
      <c r="D46" s="5" t="s">
        <v>122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1548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120</v>
      </c>
      <c r="C47" s="5" t="s">
        <v>150</v>
      </c>
      <c r="D47" s="5" t="s">
        <v>123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1548</v>
      </c>
      <c r="J47" s="5" t="s">
        <v>109</v>
      </c>
      <c r="K47" s="6">
        <f t="shared" si="1"/>
        <v>0</v>
      </c>
    </row>
    <row r="48" spans="1:11" ht="30" customHeight="1">
      <c r="A48" s="4">
        <v>40</v>
      </c>
      <c r="B48" s="5" t="s">
        <v>124</v>
      </c>
      <c r="C48" s="5" t="s">
        <v>150</v>
      </c>
      <c r="D48" s="5" t="s">
        <v>125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1548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124</v>
      </c>
      <c r="C49" s="5" t="s">
        <v>150</v>
      </c>
      <c r="D49" s="5" t="s">
        <v>126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1548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95</v>
      </c>
      <c r="C50" s="5" t="s">
        <v>150</v>
      </c>
      <c r="D50" s="5" t="s">
        <v>127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1548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128</v>
      </c>
      <c r="C51" s="5" t="s">
        <v>150</v>
      </c>
      <c r="D51" s="5" t="s">
        <v>129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1548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120</v>
      </c>
      <c r="C52" s="5" t="s">
        <v>1554</v>
      </c>
      <c r="D52" s="5" t="s">
        <v>122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1548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120</v>
      </c>
      <c r="C53" s="5" t="s">
        <v>1554</v>
      </c>
      <c r="D53" s="5" t="s">
        <v>123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1548</v>
      </c>
      <c r="J53" s="5" t="s">
        <v>109</v>
      </c>
      <c r="K53" s="6">
        <f t="shared" si="1"/>
        <v>0</v>
      </c>
    </row>
    <row r="54" spans="1:11" ht="30" customHeight="1">
      <c r="A54" s="4">
        <v>46</v>
      </c>
      <c r="B54" s="5" t="s">
        <v>124</v>
      </c>
      <c r="C54" s="5" t="s">
        <v>1554</v>
      </c>
      <c r="D54" s="5" t="s">
        <v>125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1548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124</v>
      </c>
      <c r="C55" s="5" t="s">
        <v>1554</v>
      </c>
      <c r="D55" s="5" t="s">
        <v>126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1548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95</v>
      </c>
      <c r="C56" s="5" t="s">
        <v>1554</v>
      </c>
      <c r="D56" s="5" t="s">
        <v>127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1548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128</v>
      </c>
      <c r="C57" s="5" t="s">
        <v>1554</v>
      </c>
      <c r="D57" s="5" t="s">
        <v>129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1548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120</v>
      </c>
      <c r="C58" s="5" t="s">
        <v>45</v>
      </c>
      <c r="D58" s="5" t="s">
        <v>122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1548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120</v>
      </c>
      <c r="C59" s="5" t="s">
        <v>45</v>
      </c>
      <c r="D59" s="5" t="s">
        <v>123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1548</v>
      </c>
      <c r="J59" s="5" t="s">
        <v>109</v>
      </c>
      <c r="K59" s="6">
        <f t="shared" si="1"/>
        <v>0</v>
      </c>
    </row>
    <row r="60" spans="1:11" ht="30" customHeight="1">
      <c r="A60" s="4">
        <v>52</v>
      </c>
      <c r="B60" s="5" t="s">
        <v>124</v>
      </c>
      <c r="C60" s="5" t="s">
        <v>45</v>
      </c>
      <c r="D60" s="5" t="s">
        <v>125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1548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124</v>
      </c>
      <c r="C61" s="5" t="s">
        <v>45</v>
      </c>
      <c r="D61" s="5" t="s">
        <v>126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1548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95</v>
      </c>
      <c r="C62" s="5" t="s">
        <v>45</v>
      </c>
      <c r="D62" s="5" t="s">
        <v>127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1548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128</v>
      </c>
      <c r="C63" s="5" t="s">
        <v>45</v>
      </c>
      <c r="D63" s="5" t="s">
        <v>129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1548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135</v>
      </c>
      <c r="C64" s="5" t="s">
        <v>45</v>
      </c>
      <c r="D64" s="5" t="s">
        <v>136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1548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133</v>
      </c>
      <c r="C65" s="5" t="s">
        <v>45</v>
      </c>
      <c r="D65" s="5" t="s">
        <v>1555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1548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133</v>
      </c>
      <c r="C66" s="5" t="s">
        <v>45</v>
      </c>
      <c r="D66" s="5" t="s">
        <v>955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1548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133</v>
      </c>
      <c r="C67" s="5" t="s">
        <v>45</v>
      </c>
      <c r="D67" s="5" t="s">
        <v>1116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1548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120</v>
      </c>
      <c r="C68" s="5" t="s">
        <v>58</v>
      </c>
      <c r="D68" s="5" t="s">
        <v>122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1548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120</v>
      </c>
      <c r="C69" s="5" t="s">
        <v>58</v>
      </c>
      <c r="D69" s="5" t="s">
        <v>123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1548</v>
      </c>
      <c r="J69" s="5" t="s">
        <v>109</v>
      </c>
      <c r="K69" s="6">
        <f t="shared" si="1"/>
        <v>0</v>
      </c>
    </row>
    <row r="70" spans="1:11" ht="30" customHeight="1">
      <c r="A70" s="4">
        <v>62</v>
      </c>
      <c r="B70" s="5" t="s">
        <v>124</v>
      </c>
      <c r="C70" s="5" t="s">
        <v>58</v>
      </c>
      <c r="D70" s="5" t="s">
        <v>125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1548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124</v>
      </c>
      <c r="C71" s="5" t="s">
        <v>58</v>
      </c>
      <c r="D71" s="5" t="s">
        <v>126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1548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95</v>
      </c>
      <c r="C72" s="5" t="s">
        <v>58</v>
      </c>
      <c r="D72" s="5" t="s">
        <v>127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1548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128</v>
      </c>
      <c r="C73" s="5" t="s">
        <v>58</v>
      </c>
      <c r="D73" s="5" t="s">
        <v>129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1548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120</v>
      </c>
      <c r="C74" s="5" t="s">
        <v>1556</v>
      </c>
      <c r="D74" s="5" t="s">
        <v>122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1548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120</v>
      </c>
      <c r="C75" s="5" t="s">
        <v>1556</v>
      </c>
      <c r="D75" s="5" t="s">
        <v>123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1548</v>
      </c>
      <c r="J75" s="5" t="s">
        <v>109</v>
      </c>
      <c r="K75" s="6">
        <f t="shared" si="2"/>
        <v>0</v>
      </c>
    </row>
    <row r="76" spans="1:11" ht="30" customHeight="1">
      <c r="A76" s="4">
        <v>68</v>
      </c>
      <c r="B76" s="5" t="s">
        <v>124</v>
      </c>
      <c r="C76" s="5" t="s">
        <v>1556</v>
      </c>
      <c r="D76" s="5" t="s">
        <v>125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1548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124</v>
      </c>
      <c r="C77" s="5" t="s">
        <v>1556</v>
      </c>
      <c r="D77" s="5" t="s">
        <v>126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1548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95</v>
      </c>
      <c r="C78" s="5" t="s">
        <v>1556</v>
      </c>
      <c r="D78" s="5" t="s">
        <v>127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1548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128</v>
      </c>
      <c r="C79" s="5" t="s">
        <v>1556</v>
      </c>
      <c r="D79" s="5" t="s">
        <v>129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1548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120</v>
      </c>
      <c r="C80" s="5" t="s">
        <v>561</v>
      </c>
      <c r="D80" s="5" t="s">
        <v>122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1548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120</v>
      </c>
      <c r="C81" s="5" t="s">
        <v>561</v>
      </c>
      <c r="D81" s="5" t="s">
        <v>123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1548</v>
      </c>
      <c r="J81" s="5" t="s">
        <v>109</v>
      </c>
      <c r="K81" s="6">
        <f t="shared" si="2"/>
        <v>0</v>
      </c>
    </row>
    <row r="82" spans="1:11" ht="30" customHeight="1">
      <c r="A82" s="4">
        <v>74</v>
      </c>
      <c r="B82" s="5" t="s">
        <v>124</v>
      </c>
      <c r="C82" s="5" t="s">
        <v>561</v>
      </c>
      <c r="D82" s="5" t="s">
        <v>125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1548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124</v>
      </c>
      <c r="C83" s="5" t="s">
        <v>561</v>
      </c>
      <c r="D83" s="5" t="s">
        <v>126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1548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95</v>
      </c>
      <c r="C84" s="5" t="s">
        <v>561</v>
      </c>
      <c r="D84" s="5" t="s">
        <v>127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1548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128</v>
      </c>
      <c r="C85" s="5" t="s">
        <v>561</v>
      </c>
      <c r="D85" s="5" t="s">
        <v>129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1548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120</v>
      </c>
      <c r="C86" s="5" t="s">
        <v>824</v>
      </c>
      <c r="D86" s="5" t="s">
        <v>122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1548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120</v>
      </c>
      <c r="C87" s="5" t="s">
        <v>824</v>
      </c>
      <c r="D87" s="5" t="s">
        <v>123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1548</v>
      </c>
      <c r="J87" s="5" t="s">
        <v>109</v>
      </c>
      <c r="K87" s="6">
        <f t="shared" si="2"/>
        <v>0</v>
      </c>
    </row>
    <row r="88" spans="1:11" ht="30" customHeight="1">
      <c r="A88" s="4">
        <v>80</v>
      </c>
      <c r="B88" s="5" t="s">
        <v>124</v>
      </c>
      <c r="C88" s="5" t="s">
        <v>824</v>
      </c>
      <c r="D88" s="5" t="s">
        <v>125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1548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124</v>
      </c>
      <c r="C89" s="5" t="s">
        <v>824</v>
      </c>
      <c r="D89" s="5" t="s">
        <v>126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1548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95</v>
      </c>
      <c r="C90" s="5" t="s">
        <v>824</v>
      </c>
      <c r="D90" s="5" t="s">
        <v>127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1548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128</v>
      </c>
      <c r="C91" s="5" t="s">
        <v>824</v>
      </c>
      <c r="D91" s="5" t="s">
        <v>129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1548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120</v>
      </c>
      <c r="C92" s="5" t="s">
        <v>1557</v>
      </c>
      <c r="D92" s="5" t="s">
        <v>122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1548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120</v>
      </c>
      <c r="C93" s="5" t="s">
        <v>1557</v>
      </c>
      <c r="D93" s="5" t="s">
        <v>123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1548</v>
      </c>
      <c r="J93" s="5" t="s">
        <v>109</v>
      </c>
      <c r="K93" s="6">
        <f t="shared" si="2"/>
        <v>0</v>
      </c>
    </row>
    <row r="94" spans="1:11" ht="30" customHeight="1">
      <c r="A94" s="4">
        <v>86</v>
      </c>
      <c r="B94" s="5" t="s">
        <v>124</v>
      </c>
      <c r="C94" s="5" t="s">
        <v>1557</v>
      </c>
      <c r="D94" s="5" t="s">
        <v>125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1548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124</v>
      </c>
      <c r="C95" s="5" t="s">
        <v>1557</v>
      </c>
      <c r="D95" s="5" t="s">
        <v>126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1548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95</v>
      </c>
      <c r="C96" s="5" t="s">
        <v>1557</v>
      </c>
      <c r="D96" s="5" t="s">
        <v>127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1548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128</v>
      </c>
      <c r="C97" s="5" t="s">
        <v>1557</v>
      </c>
      <c r="D97" s="5" t="s">
        <v>129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1548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120</v>
      </c>
      <c r="C98" s="5" t="s">
        <v>1558</v>
      </c>
      <c r="D98" s="5" t="s">
        <v>122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1548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120</v>
      </c>
      <c r="C99" s="5" t="s">
        <v>1558</v>
      </c>
      <c r="D99" s="5" t="s">
        <v>123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1548</v>
      </c>
      <c r="J99" s="5" t="s">
        <v>109</v>
      </c>
      <c r="K99" s="6">
        <f t="shared" si="2"/>
        <v>0</v>
      </c>
    </row>
    <row r="100" spans="1:11" ht="30" customHeight="1">
      <c r="A100" s="4">
        <v>92</v>
      </c>
      <c r="B100" s="5" t="s">
        <v>124</v>
      </c>
      <c r="C100" s="5" t="s">
        <v>1558</v>
      </c>
      <c r="D100" s="5" t="s">
        <v>125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1548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124</v>
      </c>
      <c r="C101" s="5" t="s">
        <v>1558</v>
      </c>
      <c r="D101" s="5" t="s">
        <v>126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1548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95</v>
      </c>
      <c r="C102" s="5" t="s">
        <v>1558</v>
      </c>
      <c r="D102" s="5" t="s">
        <v>127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1548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128</v>
      </c>
      <c r="C103" s="5" t="s">
        <v>1558</v>
      </c>
      <c r="D103" s="5" t="s">
        <v>129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1548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153</v>
      </c>
      <c r="C104" s="5" t="s">
        <v>154</v>
      </c>
      <c r="D104" s="5" t="s">
        <v>155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1548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153</v>
      </c>
      <c r="C105" s="5" t="s">
        <v>154</v>
      </c>
      <c r="D105" s="5" t="s">
        <v>157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1548</v>
      </c>
      <c r="J105" s="5" t="s">
        <v>109</v>
      </c>
      <c r="K105" s="6">
        <f t="shared" ref="K105:K136" si="3">IF(AND(E105="yes",F105="yes",H105="covered"),1,IF(H105="partial",0.5,0))</f>
        <v>0</v>
      </c>
    </row>
    <row r="106" spans="1:11" ht="15" customHeight="1">
      <c r="A106" s="4">
        <v>98</v>
      </c>
      <c r="B106" s="5" t="s">
        <v>153</v>
      </c>
      <c r="C106" s="5" t="s">
        <v>154</v>
      </c>
      <c r="D106" s="5" t="s">
        <v>726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1548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153</v>
      </c>
      <c r="C107" s="5" t="s">
        <v>154</v>
      </c>
      <c r="D107" s="5" t="s">
        <v>1107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1548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159</v>
      </c>
      <c r="C108" s="5" t="s">
        <v>154</v>
      </c>
      <c r="D108" s="5" t="s">
        <v>160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1548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159</v>
      </c>
      <c r="C109" s="5" t="s">
        <v>154</v>
      </c>
      <c r="D109" s="5" t="s">
        <v>162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1548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159</v>
      </c>
      <c r="C110" s="5" t="s">
        <v>154</v>
      </c>
      <c r="D110" s="5" t="s">
        <v>163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1548</v>
      </c>
      <c r="J110" s="5" t="s">
        <v>109</v>
      </c>
      <c r="K110" s="6">
        <f t="shared" si="3"/>
        <v>0</v>
      </c>
    </row>
    <row r="111" spans="1:11" ht="15" customHeight="1">
      <c r="A111" s="4">
        <v>103</v>
      </c>
      <c r="B111" s="5" t="s">
        <v>135</v>
      </c>
      <c r="C111" s="5" t="s">
        <v>121</v>
      </c>
      <c r="D111" s="5" t="s">
        <v>169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1548</v>
      </c>
      <c r="J111" s="5" t="s">
        <v>109</v>
      </c>
      <c r="K111" s="6">
        <f t="shared" si="3"/>
        <v>0</v>
      </c>
    </row>
    <row r="112" spans="1:11" ht="15" customHeight="1">
      <c r="A112" s="4">
        <v>104</v>
      </c>
      <c r="B112" s="5" t="s">
        <v>135</v>
      </c>
      <c r="C112" s="5" t="s">
        <v>121</v>
      </c>
      <c r="D112" s="5" t="s">
        <v>170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1548</v>
      </c>
      <c r="J112" s="5" t="s">
        <v>109</v>
      </c>
      <c r="K112" s="6">
        <f t="shared" si="3"/>
        <v>0</v>
      </c>
    </row>
    <row r="113" spans="1:11" ht="15" customHeight="1">
      <c r="A113" s="4">
        <v>105</v>
      </c>
      <c r="B113" s="5" t="s">
        <v>135</v>
      </c>
      <c r="C113" s="5" t="s">
        <v>121</v>
      </c>
      <c r="D113" s="5" t="s">
        <v>171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1548</v>
      </c>
      <c r="J113" s="5" t="s">
        <v>109</v>
      </c>
      <c r="K113" s="6">
        <f t="shared" si="3"/>
        <v>0</v>
      </c>
    </row>
    <row r="114" spans="1:11" ht="15" customHeight="1">
      <c r="A114" s="4">
        <v>106</v>
      </c>
      <c r="B114" s="5" t="s">
        <v>172</v>
      </c>
      <c r="C114" s="5" t="s">
        <v>145</v>
      </c>
      <c r="D114" s="5" t="s">
        <v>173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1548</v>
      </c>
      <c r="J114" s="5" t="s">
        <v>109</v>
      </c>
      <c r="K114" s="6">
        <f t="shared" si="3"/>
        <v>0</v>
      </c>
    </row>
    <row r="115" spans="1:11" ht="15" customHeight="1">
      <c r="A115" s="4">
        <v>107</v>
      </c>
      <c r="B115" s="5" t="s">
        <v>172</v>
      </c>
      <c r="C115" s="5" t="s">
        <v>145</v>
      </c>
      <c r="D115" s="5" t="s">
        <v>174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1548</v>
      </c>
      <c r="J115" s="5" t="s">
        <v>109</v>
      </c>
      <c r="K115" s="6">
        <f t="shared" si="3"/>
        <v>0</v>
      </c>
    </row>
    <row r="116" spans="1:11" ht="15" customHeight="1">
      <c r="A116" s="4">
        <v>108</v>
      </c>
      <c r="B116" s="5" t="s">
        <v>172</v>
      </c>
      <c r="C116" s="5" t="s">
        <v>145</v>
      </c>
      <c r="D116" s="5" t="s">
        <v>175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1548</v>
      </c>
      <c r="J116" s="5" t="s">
        <v>109</v>
      </c>
      <c r="K116" s="6">
        <f t="shared" si="3"/>
        <v>0</v>
      </c>
    </row>
    <row r="117" spans="1:11" ht="15" customHeight="1">
      <c r="A117" s="4">
        <v>109</v>
      </c>
      <c r="B117" s="5" t="s">
        <v>172</v>
      </c>
      <c r="C117" s="5" t="s">
        <v>145</v>
      </c>
      <c r="D117" s="5" t="s">
        <v>176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1548</v>
      </c>
      <c r="J117" s="5" t="s">
        <v>109</v>
      </c>
      <c r="K117" s="6">
        <f t="shared" si="3"/>
        <v>0</v>
      </c>
    </row>
    <row r="118" spans="1:11" ht="15" customHeight="1">
      <c r="A118" s="4">
        <v>110</v>
      </c>
      <c r="B118" s="5" t="s">
        <v>177</v>
      </c>
      <c r="C118" s="5" t="s">
        <v>145</v>
      </c>
      <c r="D118" s="5" t="s">
        <v>178</v>
      </c>
      <c r="E118" s="7" t="s">
        <v>105</v>
      </c>
      <c r="F118" s="8" t="s">
        <v>97</v>
      </c>
      <c r="G118" s="4" t="s">
        <v>106</v>
      </c>
      <c r="H118" s="9" t="s">
        <v>107</v>
      </c>
      <c r="I118" s="5" t="s">
        <v>1548</v>
      </c>
      <c r="J118" s="5" t="s">
        <v>109</v>
      </c>
      <c r="K118" s="6">
        <f t="shared" si="3"/>
        <v>0</v>
      </c>
    </row>
    <row r="119" spans="1:11" ht="15" customHeight="1">
      <c r="A119" s="4">
        <v>111</v>
      </c>
      <c r="B119" s="5" t="s">
        <v>179</v>
      </c>
      <c r="C119" s="5" t="s">
        <v>46</v>
      </c>
      <c r="D119" s="5" t="s">
        <v>1559</v>
      </c>
      <c r="E119" s="7" t="s">
        <v>105</v>
      </c>
      <c r="F119" s="8" t="s">
        <v>97</v>
      </c>
      <c r="G119" s="4" t="s">
        <v>106</v>
      </c>
      <c r="H119" s="9" t="s">
        <v>107</v>
      </c>
      <c r="I119" s="5" t="s">
        <v>1548</v>
      </c>
      <c r="J119" s="5" t="s">
        <v>109</v>
      </c>
      <c r="K119" s="6">
        <f t="shared" si="3"/>
        <v>0</v>
      </c>
    </row>
    <row r="120" spans="1:11" ht="15" customHeight="1">
      <c r="A120" s="4">
        <v>112</v>
      </c>
      <c r="B120" s="5" t="s">
        <v>179</v>
      </c>
      <c r="C120" s="5" t="s">
        <v>46</v>
      </c>
      <c r="D120" s="5" t="s">
        <v>1560</v>
      </c>
      <c r="E120" s="7" t="s">
        <v>105</v>
      </c>
      <c r="F120" s="8" t="s">
        <v>97</v>
      </c>
      <c r="G120" s="4" t="s">
        <v>106</v>
      </c>
      <c r="H120" s="9" t="s">
        <v>107</v>
      </c>
      <c r="I120" s="5" t="s">
        <v>1548</v>
      </c>
      <c r="J120" s="5" t="s">
        <v>109</v>
      </c>
      <c r="K120" s="6">
        <f t="shared" si="3"/>
        <v>0</v>
      </c>
    </row>
    <row r="121" spans="1:11" ht="15" customHeight="1">
      <c r="A121" s="4">
        <v>113</v>
      </c>
      <c r="B121" s="5" t="s">
        <v>179</v>
      </c>
      <c r="C121" s="5" t="s">
        <v>46</v>
      </c>
      <c r="D121" s="5" t="s">
        <v>182</v>
      </c>
      <c r="E121" s="7" t="s">
        <v>105</v>
      </c>
      <c r="F121" s="8" t="s">
        <v>97</v>
      </c>
      <c r="G121" s="4" t="s">
        <v>106</v>
      </c>
      <c r="H121" s="9" t="s">
        <v>107</v>
      </c>
      <c r="I121" s="5" t="s">
        <v>1548</v>
      </c>
      <c r="J121" s="5" t="s">
        <v>109</v>
      </c>
      <c r="K121" s="6">
        <f t="shared" si="3"/>
        <v>0</v>
      </c>
    </row>
    <row r="122" spans="1:11" ht="15" customHeight="1">
      <c r="A122" s="4">
        <v>114</v>
      </c>
      <c r="B122" s="5" t="s">
        <v>179</v>
      </c>
      <c r="C122" s="5" t="s">
        <v>46</v>
      </c>
      <c r="D122" s="5" t="s">
        <v>183</v>
      </c>
      <c r="E122" s="7" t="s">
        <v>105</v>
      </c>
      <c r="F122" s="8" t="s">
        <v>97</v>
      </c>
      <c r="G122" s="4" t="s">
        <v>106</v>
      </c>
      <c r="H122" s="9" t="s">
        <v>107</v>
      </c>
      <c r="I122" s="5" t="s">
        <v>1548</v>
      </c>
      <c r="J122" s="5" t="s">
        <v>109</v>
      </c>
      <c r="K122" s="6">
        <f t="shared" si="3"/>
        <v>0</v>
      </c>
    </row>
    <row r="123" spans="1:11" ht="15" customHeight="1">
      <c r="A123" s="4">
        <v>115</v>
      </c>
      <c r="B123" s="5" t="s">
        <v>179</v>
      </c>
      <c r="C123" s="5" t="s">
        <v>46</v>
      </c>
      <c r="D123" s="5" t="s">
        <v>184</v>
      </c>
      <c r="E123" s="7" t="s">
        <v>105</v>
      </c>
      <c r="F123" s="8" t="s">
        <v>97</v>
      </c>
      <c r="G123" s="4" t="s">
        <v>106</v>
      </c>
      <c r="H123" s="9" t="s">
        <v>107</v>
      </c>
      <c r="I123" s="5" t="s">
        <v>1548</v>
      </c>
      <c r="J123" s="5" t="s">
        <v>109</v>
      </c>
      <c r="K123" s="6">
        <f t="shared" si="3"/>
        <v>0</v>
      </c>
    </row>
    <row r="124" spans="1:11" ht="15" customHeight="1">
      <c r="A124" s="4">
        <v>116</v>
      </c>
      <c r="B124" s="5" t="s">
        <v>179</v>
      </c>
      <c r="C124" s="5" t="s">
        <v>46</v>
      </c>
      <c r="D124" s="5" t="s">
        <v>185</v>
      </c>
      <c r="E124" s="7" t="s">
        <v>105</v>
      </c>
      <c r="F124" s="8" t="s">
        <v>97</v>
      </c>
      <c r="G124" s="4" t="s">
        <v>106</v>
      </c>
      <c r="H124" s="9" t="s">
        <v>107</v>
      </c>
      <c r="I124" s="5" t="s">
        <v>1548</v>
      </c>
      <c r="J124" s="5" t="s">
        <v>109</v>
      </c>
      <c r="K124" s="6">
        <f t="shared" si="3"/>
        <v>0</v>
      </c>
    </row>
    <row r="125" spans="1:11" ht="15" customHeight="1">
      <c r="A125" s="4">
        <v>117</v>
      </c>
      <c r="B125" s="5" t="s">
        <v>177</v>
      </c>
      <c r="C125" s="5" t="s">
        <v>46</v>
      </c>
      <c r="D125" s="5" t="s">
        <v>186</v>
      </c>
      <c r="E125" s="7" t="s">
        <v>105</v>
      </c>
      <c r="F125" s="8" t="s">
        <v>97</v>
      </c>
      <c r="G125" s="4" t="s">
        <v>106</v>
      </c>
      <c r="H125" s="9" t="s">
        <v>107</v>
      </c>
      <c r="I125" s="5" t="s">
        <v>1548</v>
      </c>
      <c r="J125" s="5" t="s">
        <v>109</v>
      </c>
      <c r="K125" s="6">
        <f t="shared" si="3"/>
        <v>0</v>
      </c>
    </row>
    <row r="126" spans="1:11" ht="15" customHeight="1">
      <c r="A126" s="4">
        <v>118</v>
      </c>
      <c r="B126" s="5" t="s">
        <v>405</v>
      </c>
      <c r="C126" s="5" t="s">
        <v>46</v>
      </c>
      <c r="D126" s="5" t="s">
        <v>1122</v>
      </c>
      <c r="E126" s="7" t="s">
        <v>105</v>
      </c>
      <c r="F126" s="8" t="s">
        <v>97</v>
      </c>
      <c r="G126" s="4" t="s">
        <v>106</v>
      </c>
      <c r="H126" s="9" t="s">
        <v>107</v>
      </c>
      <c r="I126" s="5" t="s">
        <v>1548</v>
      </c>
      <c r="J126" s="5" t="s">
        <v>109</v>
      </c>
      <c r="K126" s="6">
        <f t="shared" si="3"/>
        <v>0</v>
      </c>
    </row>
    <row r="127" spans="1:11" ht="15" customHeight="1">
      <c r="A127" s="4">
        <v>119</v>
      </c>
      <c r="B127" s="5" t="s">
        <v>405</v>
      </c>
      <c r="C127" s="5" t="s">
        <v>46</v>
      </c>
      <c r="D127" s="5" t="s">
        <v>1123</v>
      </c>
      <c r="E127" s="7" t="s">
        <v>105</v>
      </c>
      <c r="F127" s="8" t="s">
        <v>97</v>
      </c>
      <c r="G127" s="4" t="s">
        <v>106</v>
      </c>
      <c r="H127" s="9" t="s">
        <v>107</v>
      </c>
      <c r="I127" s="5" t="s">
        <v>1548</v>
      </c>
      <c r="J127" s="5" t="s">
        <v>109</v>
      </c>
      <c r="K127" s="6">
        <f t="shared" si="3"/>
        <v>0</v>
      </c>
    </row>
    <row r="128" spans="1:11" ht="15" customHeight="1">
      <c r="A128" s="4">
        <v>120</v>
      </c>
      <c r="B128" s="5" t="s">
        <v>405</v>
      </c>
      <c r="C128" s="5" t="s">
        <v>46</v>
      </c>
      <c r="D128" s="5" t="s">
        <v>1124</v>
      </c>
      <c r="E128" s="7" t="s">
        <v>105</v>
      </c>
      <c r="F128" s="8" t="s">
        <v>97</v>
      </c>
      <c r="G128" s="4" t="s">
        <v>106</v>
      </c>
      <c r="H128" s="9" t="s">
        <v>107</v>
      </c>
      <c r="I128" s="5" t="s">
        <v>1548</v>
      </c>
      <c r="J128" s="5" t="s">
        <v>109</v>
      </c>
      <c r="K128" s="6">
        <f t="shared" si="3"/>
        <v>0</v>
      </c>
    </row>
    <row r="129" spans="1:11" ht="15" customHeight="1">
      <c r="A129" s="4">
        <v>121</v>
      </c>
      <c r="B129" s="5" t="s">
        <v>177</v>
      </c>
      <c r="C129" s="5" t="s">
        <v>46</v>
      </c>
      <c r="D129" s="5" t="s">
        <v>1125</v>
      </c>
      <c r="E129" s="7" t="s">
        <v>105</v>
      </c>
      <c r="F129" s="8" t="s">
        <v>97</v>
      </c>
      <c r="G129" s="4" t="s">
        <v>106</v>
      </c>
      <c r="H129" s="9" t="s">
        <v>107</v>
      </c>
      <c r="I129" s="5" t="s">
        <v>1548</v>
      </c>
      <c r="J129" s="5" t="s">
        <v>109</v>
      </c>
      <c r="K129" s="6">
        <f t="shared" si="3"/>
        <v>0</v>
      </c>
    </row>
    <row r="130" spans="1:11" ht="15" customHeight="1">
      <c r="A130" s="4">
        <v>122</v>
      </c>
      <c r="B130" s="5" t="s">
        <v>177</v>
      </c>
      <c r="C130" s="5" t="s">
        <v>46</v>
      </c>
      <c r="D130" s="5" t="s">
        <v>1126</v>
      </c>
      <c r="E130" s="7" t="s">
        <v>105</v>
      </c>
      <c r="F130" s="8" t="s">
        <v>97</v>
      </c>
      <c r="G130" s="4" t="s">
        <v>106</v>
      </c>
      <c r="H130" s="9" t="s">
        <v>107</v>
      </c>
      <c r="I130" s="5" t="s">
        <v>1548</v>
      </c>
      <c r="J130" s="5" t="s">
        <v>109</v>
      </c>
      <c r="K130" s="6">
        <f t="shared" si="3"/>
        <v>0</v>
      </c>
    </row>
    <row r="131" spans="1:11" ht="15" customHeight="1">
      <c r="A131" s="4">
        <v>123</v>
      </c>
      <c r="B131" s="5" t="s">
        <v>927</v>
      </c>
      <c r="C131" s="5" t="s">
        <v>46</v>
      </c>
      <c r="D131" s="5" t="s">
        <v>1127</v>
      </c>
      <c r="E131" s="7" t="s">
        <v>105</v>
      </c>
      <c r="F131" s="8" t="s">
        <v>97</v>
      </c>
      <c r="G131" s="4" t="s">
        <v>106</v>
      </c>
      <c r="H131" s="9" t="s">
        <v>107</v>
      </c>
      <c r="I131" s="5" t="s">
        <v>1548</v>
      </c>
      <c r="J131" s="5" t="s">
        <v>109</v>
      </c>
      <c r="K131" s="6">
        <f t="shared" si="3"/>
        <v>0</v>
      </c>
    </row>
    <row r="132" spans="1:11" ht="15" customHeight="1">
      <c r="A132" s="4">
        <v>124</v>
      </c>
      <c r="B132" s="5" t="s">
        <v>45</v>
      </c>
      <c r="C132" s="5" t="s">
        <v>46</v>
      </c>
      <c r="D132" s="5" t="s">
        <v>1561</v>
      </c>
      <c r="E132" s="7" t="s">
        <v>105</v>
      </c>
      <c r="F132" s="8" t="s">
        <v>97</v>
      </c>
      <c r="G132" s="4" t="s">
        <v>106</v>
      </c>
      <c r="H132" s="9" t="s">
        <v>107</v>
      </c>
      <c r="I132" s="5" t="s">
        <v>1548</v>
      </c>
      <c r="J132" s="5" t="s">
        <v>109</v>
      </c>
      <c r="K132" s="6">
        <f t="shared" si="3"/>
        <v>0</v>
      </c>
    </row>
    <row r="133" spans="1:11" ht="15" customHeight="1">
      <c r="A133" s="4">
        <v>125</v>
      </c>
      <c r="B133" s="5" t="s">
        <v>45</v>
      </c>
      <c r="C133" s="5" t="s">
        <v>46</v>
      </c>
      <c r="D133" s="5" t="s">
        <v>1562</v>
      </c>
      <c r="E133" s="7" t="s">
        <v>105</v>
      </c>
      <c r="F133" s="8" t="s">
        <v>97</v>
      </c>
      <c r="G133" s="4" t="s">
        <v>106</v>
      </c>
      <c r="H133" s="9" t="s">
        <v>107</v>
      </c>
      <c r="I133" s="5" t="s">
        <v>1548</v>
      </c>
      <c r="J133" s="5" t="s">
        <v>109</v>
      </c>
      <c r="K133" s="6">
        <f t="shared" si="3"/>
        <v>0</v>
      </c>
    </row>
    <row r="134" spans="1:11" ht="15" customHeight="1">
      <c r="A134" s="4">
        <v>126</v>
      </c>
      <c r="B134" s="5" t="s">
        <v>45</v>
      </c>
      <c r="C134" s="5" t="s">
        <v>46</v>
      </c>
      <c r="D134" s="5" t="s">
        <v>1563</v>
      </c>
      <c r="E134" s="7" t="s">
        <v>105</v>
      </c>
      <c r="F134" s="8" t="s">
        <v>97</v>
      </c>
      <c r="G134" s="4" t="s">
        <v>106</v>
      </c>
      <c r="H134" s="9" t="s">
        <v>107</v>
      </c>
      <c r="I134" s="5" t="s">
        <v>1548</v>
      </c>
      <c r="J134" s="5" t="s">
        <v>109</v>
      </c>
      <c r="K134" s="6">
        <f t="shared" si="3"/>
        <v>0</v>
      </c>
    </row>
    <row r="135" spans="1:11" ht="15" customHeight="1">
      <c r="A135" s="4">
        <v>127</v>
      </c>
      <c r="B135" s="5" t="s">
        <v>45</v>
      </c>
      <c r="C135" s="5" t="s">
        <v>46</v>
      </c>
      <c r="D135" s="5" t="s">
        <v>1564</v>
      </c>
      <c r="E135" s="7" t="s">
        <v>105</v>
      </c>
      <c r="F135" s="8" t="s">
        <v>97</v>
      </c>
      <c r="G135" s="4" t="s">
        <v>106</v>
      </c>
      <c r="H135" s="9" t="s">
        <v>107</v>
      </c>
      <c r="I135" s="5" t="s">
        <v>1548</v>
      </c>
      <c r="J135" s="5" t="s">
        <v>109</v>
      </c>
      <c r="K135" s="6">
        <f t="shared" si="3"/>
        <v>0</v>
      </c>
    </row>
    <row r="136" spans="1:11" ht="15" customHeight="1">
      <c r="A136" s="4">
        <v>128</v>
      </c>
      <c r="B136" s="5" t="s">
        <v>45</v>
      </c>
      <c r="C136" s="5" t="s">
        <v>46</v>
      </c>
      <c r="D136" s="5" t="s">
        <v>1565</v>
      </c>
      <c r="E136" s="7" t="s">
        <v>105</v>
      </c>
      <c r="F136" s="8" t="s">
        <v>97</v>
      </c>
      <c r="G136" s="4" t="s">
        <v>106</v>
      </c>
      <c r="H136" s="9" t="s">
        <v>107</v>
      </c>
      <c r="I136" s="5" t="s">
        <v>1548</v>
      </c>
      <c r="J136" s="5" t="s">
        <v>109</v>
      </c>
      <c r="K136" s="6">
        <f t="shared" si="3"/>
        <v>0</v>
      </c>
    </row>
    <row r="137" spans="1:11" ht="15" customHeight="1">
      <c r="A137" s="4">
        <v>129</v>
      </c>
      <c r="B137" s="5" t="s">
        <v>55</v>
      </c>
      <c r="C137" s="5" t="s">
        <v>46</v>
      </c>
      <c r="D137" s="5" t="s">
        <v>731</v>
      </c>
      <c r="E137" s="7" t="s">
        <v>105</v>
      </c>
      <c r="F137" s="8" t="s">
        <v>97</v>
      </c>
      <c r="G137" s="4" t="s">
        <v>106</v>
      </c>
      <c r="H137" s="9" t="s">
        <v>107</v>
      </c>
      <c r="I137" s="5" t="s">
        <v>1548</v>
      </c>
      <c r="J137" s="5" t="s">
        <v>109</v>
      </c>
      <c r="K137" s="6">
        <f t="shared" ref="K137:K146" si="4">IF(AND(E137="yes",F137="yes",H137="covered"),1,IF(H137="partial",0.5,0))</f>
        <v>0</v>
      </c>
    </row>
    <row r="138" spans="1:11" ht="15" customHeight="1">
      <c r="A138" s="4">
        <v>130</v>
      </c>
      <c r="B138" s="5" t="s">
        <v>55</v>
      </c>
      <c r="C138" s="5" t="s">
        <v>46</v>
      </c>
      <c r="D138" s="5" t="s">
        <v>732</v>
      </c>
      <c r="E138" s="7" t="s">
        <v>105</v>
      </c>
      <c r="F138" s="8" t="s">
        <v>97</v>
      </c>
      <c r="G138" s="4" t="s">
        <v>106</v>
      </c>
      <c r="H138" s="9" t="s">
        <v>107</v>
      </c>
      <c r="I138" s="5" t="s">
        <v>1548</v>
      </c>
      <c r="J138" s="5" t="s">
        <v>109</v>
      </c>
      <c r="K138" s="6">
        <f t="shared" si="4"/>
        <v>0</v>
      </c>
    </row>
    <row r="139" spans="1:11" ht="15" customHeight="1">
      <c r="A139" s="4">
        <v>131</v>
      </c>
      <c r="B139" s="5" t="s">
        <v>713</v>
      </c>
      <c r="C139" s="5" t="s">
        <v>46</v>
      </c>
      <c r="D139" s="5" t="s">
        <v>733</v>
      </c>
      <c r="E139" s="7" t="s">
        <v>105</v>
      </c>
      <c r="F139" s="8" t="s">
        <v>97</v>
      </c>
      <c r="G139" s="4" t="s">
        <v>106</v>
      </c>
      <c r="H139" s="9" t="s">
        <v>107</v>
      </c>
      <c r="I139" s="5" t="s">
        <v>1548</v>
      </c>
      <c r="J139" s="5" t="s">
        <v>109</v>
      </c>
      <c r="K139" s="6">
        <f t="shared" si="4"/>
        <v>0</v>
      </c>
    </row>
    <row r="140" spans="1:11" ht="30" customHeight="1">
      <c r="A140" s="4">
        <v>132</v>
      </c>
      <c r="B140" s="5" t="s">
        <v>713</v>
      </c>
      <c r="C140" s="5" t="s">
        <v>46</v>
      </c>
      <c r="D140" s="5" t="s">
        <v>734</v>
      </c>
      <c r="E140" s="7" t="s">
        <v>105</v>
      </c>
      <c r="F140" s="8" t="s">
        <v>97</v>
      </c>
      <c r="G140" s="4" t="s">
        <v>106</v>
      </c>
      <c r="H140" s="9" t="s">
        <v>107</v>
      </c>
      <c r="I140" s="5" t="s">
        <v>1548</v>
      </c>
      <c r="J140" s="5" t="s">
        <v>109</v>
      </c>
      <c r="K140" s="6">
        <f t="shared" si="4"/>
        <v>0</v>
      </c>
    </row>
    <row r="141" spans="1:11" ht="30" customHeight="1">
      <c r="A141" s="4">
        <v>133</v>
      </c>
      <c r="B141" s="5" t="s">
        <v>713</v>
      </c>
      <c r="C141" s="5" t="s">
        <v>46</v>
      </c>
      <c r="D141" s="5" t="s">
        <v>735</v>
      </c>
      <c r="E141" s="7" t="s">
        <v>105</v>
      </c>
      <c r="F141" s="8" t="s">
        <v>97</v>
      </c>
      <c r="G141" s="4" t="s">
        <v>106</v>
      </c>
      <c r="H141" s="9" t="s">
        <v>107</v>
      </c>
      <c r="I141" s="5" t="s">
        <v>1548</v>
      </c>
      <c r="J141" s="5" t="s">
        <v>109</v>
      </c>
      <c r="K141" s="6">
        <f t="shared" si="4"/>
        <v>0</v>
      </c>
    </row>
    <row r="142" spans="1:11" ht="30" customHeight="1">
      <c r="A142" s="4">
        <v>134</v>
      </c>
      <c r="B142" s="5" t="s">
        <v>713</v>
      </c>
      <c r="C142" s="5" t="s">
        <v>46</v>
      </c>
      <c r="D142" s="5" t="s">
        <v>736</v>
      </c>
      <c r="E142" s="7" t="s">
        <v>105</v>
      </c>
      <c r="F142" s="8" t="s">
        <v>97</v>
      </c>
      <c r="G142" s="4" t="s">
        <v>106</v>
      </c>
      <c r="H142" s="9" t="s">
        <v>107</v>
      </c>
      <c r="I142" s="5" t="s">
        <v>1548</v>
      </c>
      <c r="J142" s="5" t="s">
        <v>109</v>
      </c>
      <c r="K142" s="6">
        <f t="shared" si="4"/>
        <v>0</v>
      </c>
    </row>
    <row r="143" spans="1:11" ht="30" customHeight="1">
      <c r="A143" s="4">
        <v>135</v>
      </c>
      <c r="B143" s="5" t="s">
        <v>31</v>
      </c>
      <c r="C143" s="5" t="s">
        <v>121</v>
      </c>
      <c r="D143" s="5" t="s">
        <v>1566</v>
      </c>
      <c r="E143" s="10" t="s">
        <v>97</v>
      </c>
      <c r="F143" s="8" t="s">
        <v>97</v>
      </c>
      <c r="G143" s="4" t="s">
        <v>99</v>
      </c>
      <c r="H143" s="10" t="s">
        <v>99</v>
      </c>
      <c r="I143" s="5"/>
      <c r="J143" s="5" t="s">
        <v>1567</v>
      </c>
      <c r="K143" s="6">
        <f t="shared" si="4"/>
        <v>0</v>
      </c>
    </row>
    <row r="144" spans="1:11" ht="30" customHeight="1">
      <c r="A144" s="4">
        <v>136</v>
      </c>
      <c r="B144" s="5" t="s">
        <v>31</v>
      </c>
      <c r="C144" s="5" t="s">
        <v>121</v>
      </c>
      <c r="D144" s="5" t="s">
        <v>1568</v>
      </c>
      <c r="E144" s="10" t="s">
        <v>97</v>
      </c>
      <c r="F144" s="8" t="s">
        <v>97</v>
      </c>
      <c r="G144" s="4" t="s">
        <v>99</v>
      </c>
      <c r="H144" s="10" t="s">
        <v>99</v>
      </c>
      <c r="I144" s="5"/>
      <c r="J144" s="5" t="s">
        <v>1569</v>
      </c>
      <c r="K144" s="6">
        <f t="shared" si="4"/>
        <v>0</v>
      </c>
    </row>
    <row r="145" spans="1:11" ht="30" customHeight="1">
      <c r="A145" s="4">
        <v>137</v>
      </c>
      <c r="B145" s="5" t="s">
        <v>31</v>
      </c>
      <c r="C145" s="5" t="s">
        <v>939</v>
      </c>
      <c r="D145" s="5" t="s">
        <v>942</v>
      </c>
      <c r="E145" s="10" t="s">
        <v>97</v>
      </c>
      <c r="F145" s="8" t="s">
        <v>97</v>
      </c>
      <c r="G145" s="4" t="s">
        <v>99</v>
      </c>
      <c r="H145" s="10" t="s">
        <v>99</v>
      </c>
      <c r="I145" s="5"/>
      <c r="J145" s="5" t="s">
        <v>1570</v>
      </c>
      <c r="K145" s="6">
        <f t="shared" si="4"/>
        <v>0</v>
      </c>
    </row>
    <row r="146" spans="1:11" ht="30" customHeight="1">
      <c r="A146" s="4">
        <v>138</v>
      </c>
      <c r="B146" s="5" t="s">
        <v>94</v>
      </c>
      <c r="C146" s="5" t="s">
        <v>191</v>
      </c>
      <c r="D146" s="5" t="s">
        <v>192</v>
      </c>
      <c r="E146" s="10" t="s">
        <v>97</v>
      </c>
      <c r="F146" s="8" t="s">
        <v>97</v>
      </c>
      <c r="G146" s="4" t="s">
        <v>99</v>
      </c>
      <c r="H146" s="10" t="s">
        <v>99</v>
      </c>
      <c r="I146" s="5"/>
      <c r="J146" s="5" t="s">
        <v>193</v>
      </c>
      <c r="K146" s="6">
        <f t="shared" si="4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K112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1571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104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195</v>
      </c>
      <c r="H9" s="9" t="s">
        <v>196</v>
      </c>
      <c r="I9" s="5" t="s">
        <v>100</v>
      </c>
      <c r="J9" s="5" t="s">
        <v>198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195</v>
      </c>
      <c r="H10" s="9" t="s">
        <v>196</v>
      </c>
      <c r="I10" s="5" t="s">
        <v>100</v>
      </c>
      <c r="J10" s="5" t="s">
        <v>198</v>
      </c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47</v>
      </c>
      <c r="D11" s="5" t="s">
        <v>104</v>
      </c>
      <c r="E11" s="7" t="s">
        <v>105</v>
      </c>
      <c r="F11" s="8" t="s">
        <v>105</v>
      </c>
      <c r="G11" s="4" t="s">
        <v>195</v>
      </c>
      <c r="H11" s="9" t="s">
        <v>196</v>
      </c>
      <c r="I11" s="5" t="s">
        <v>1572</v>
      </c>
      <c r="J11" s="5" t="s">
        <v>198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47</v>
      </c>
      <c r="D12" s="5" t="s">
        <v>110</v>
      </c>
      <c r="E12" s="7" t="s">
        <v>105</v>
      </c>
      <c r="F12" s="8" t="s">
        <v>105</v>
      </c>
      <c r="G12" s="4" t="s">
        <v>195</v>
      </c>
      <c r="H12" s="9" t="s">
        <v>196</v>
      </c>
      <c r="I12" s="5" t="s">
        <v>1572</v>
      </c>
      <c r="J12" s="5" t="s">
        <v>198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47</v>
      </c>
      <c r="D13" s="5" t="s">
        <v>111</v>
      </c>
      <c r="E13" s="7" t="s">
        <v>105</v>
      </c>
      <c r="F13" s="8" t="s">
        <v>105</v>
      </c>
      <c r="G13" s="4" t="s">
        <v>195</v>
      </c>
      <c r="H13" s="9" t="s">
        <v>196</v>
      </c>
      <c r="I13" s="5" t="s">
        <v>1572</v>
      </c>
      <c r="J13" s="5" t="s">
        <v>198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47</v>
      </c>
      <c r="D14" s="5" t="s">
        <v>112</v>
      </c>
      <c r="E14" s="7" t="s">
        <v>105</v>
      </c>
      <c r="F14" s="8" t="s">
        <v>105</v>
      </c>
      <c r="G14" s="4" t="s">
        <v>195</v>
      </c>
      <c r="H14" s="9" t="s">
        <v>196</v>
      </c>
      <c r="I14" s="5" t="s">
        <v>1572</v>
      </c>
      <c r="J14" s="5" t="s">
        <v>198</v>
      </c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47</v>
      </c>
      <c r="D15" s="5" t="s">
        <v>701</v>
      </c>
      <c r="E15" s="7" t="s">
        <v>105</v>
      </c>
      <c r="F15" s="8" t="s">
        <v>105</v>
      </c>
      <c r="G15" s="4" t="s">
        <v>195</v>
      </c>
      <c r="H15" s="9" t="s">
        <v>196</v>
      </c>
      <c r="I15" s="5" t="s">
        <v>1572</v>
      </c>
      <c r="J15" s="5" t="s">
        <v>198</v>
      </c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47</v>
      </c>
      <c r="D16" s="5" t="s">
        <v>1573</v>
      </c>
      <c r="E16" s="7" t="s">
        <v>105</v>
      </c>
      <c r="F16" s="8" t="s">
        <v>105</v>
      </c>
      <c r="G16" s="4" t="s">
        <v>195</v>
      </c>
      <c r="H16" s="9" t="s">
        <v>196</v>
      </c>
      <c r="I16" s="5" t="s">
        <v>1572</v>
      </c>
      <c r="J16" s="5" t="s">
        <v>198</v>
      </c>
      <c r="K16" s="6">
        <f t="shared" si="0"/>
        <v>1</v>
      </c>
    </row>
    <row r="17" spans="1:11" ht="30" customHeight="1">
      <c r="A17" s="4">
        <v>9</v>
      </c>
      <c r="B17" s="5" t="s">
        <v>113</v>
      </c>
      <c r="C17" s="5" t="s">
        <v>47</v>
      </c>
      <c r="D17" s="5" t="s">
        <v>1574</v>
      </c>
      <c r="E17" s="7" t="s">
        <v>105</v>
      </c>
      <c r="F17" s="8" t="s">
        <v>105</v>
      </c>
      <c r="G17" s="4" t="s">
        <v>195</v>
      </c>
      <c r="H17" s="9" t="s">
        <v>196</v>
      </c>
      <c r="I17" s="5" t="s">
        <v>1572</v>
      </c>
      <c r="J17" s="5" t="s">
        <v>198</v>
      </c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47</v>
      </c>
      <c r="D18" s="5" t="s">
        <v>1575</v>
      </c>
      <c r="E18" s="7" t="s">
        <v>105</v>
      </c>
      <c r="F18" s="8" t="s">
        <v>105</v>
      </c>
      <c r="G18" s="4" t="s">
        <v>195</v>
      </c>
      <c r="H18" s="9" t="s">
        <v>196</v>
      </c>
      <c r="I18" s="5" t="s">
        <v>1572</v>
      </c>
      <c r="J18" s="5" t="s">
        <v>198</v>
      </c>
      <c r="K18" s="6">
        <f t="shared" si="0"/>
        <v>1</v>
      </c>
    </row>
    <row r="19" spans="1:11" ht="30" customHeight="1">
      <c r="A19" s="4">
        <v>11</v>
      </c>
      <c r="B19" s="5" t="s">
        <v>113</v>
      </c>
      <c r="C19" s="5" t="s">
        <v>47</v>
      </c>
      <c r="D19" s="5" t="s">
        <v>1576</v>
      </c>
      <c r="E19" s="7" t="s">
        <v>105</v>
      </c>
      <c r="F19" s="8" t="s">
        <v>105</v>
      </c>
      <c r="G19" s="4" t="s">
        <v>195</v>
      </c>
      <c r="H19" s="9" t="s">
        <v>196</v>
      </c>
      <c r="I19" s="5" t="s">
        <v>1572</v>
      </c>
      <c r="J19" s="5" t="s">
        <v>198</v>
      </c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47</v>
      </c>
      <c r="D20" s="5" t="s">
        <v>1577</v>
      </c>
      <c r="E20" s="7" t="s">
        <v>105</v>
      </c>
      <c r="F20" s="8" t="s">
        <v>105</v>
      </c>
      <c r="G20" s="4" t="s">
        <v>195</v>
      </c>
      <c r="H20" s="9" t="s">
        <v>196</v>
      </c>
      <c r="I20" s="5" t="s">
        <v>1572</v>
      </c>
      <c r="J20" s="5" t="s">
        <v>198</v>
      </c>
      <c r="K20" s="6">
        <f t="shared" si="0"/>
        <v>1</v>
      </c>
    </row>
    <row r="21" spans="1:11" ht="15" customHeight="1">
      <c r="A21" s="4">
        <v>13</v>
      </c>
      <c r="B21" s="5" t="s">
        <v>113</v>
      </c>
      <c r="C21" s="5" t="s">
        <v>47</v>
      </c>
      <c r="D21" s="5" t="s">
        <v>1578</v>
      </c>
      <c r="E21" s="7" t="s">
        <v>105</v>
      </c>
      <c r="F21" s="8" t="s">
        <v>105</v>
      </c>
      <c r="G21" s="4" t="s">
        <v>195</v>
      </c>
      <c r="H21" s="9" t="s">
        <v>196</v>
      </c>
      <c r="I21" s="5" t="s">
        <v>1572</v>
      </c>
      <c r="J21" s="5" t="s">
        <v>1579</v>
      </c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1580</v>
      </c>
      <c r="E22" s="7" t="s">
        <v>105</v>
      </c>
      <c r="F22" s="8" t="s">
        <v>105</v>
      </c>
      <c r="G22" s="4" t="s">
        <v>195</v>
      </c>
      <c r="H22" s="9" t="s">
        <v>196</v>
      </c>
      <c r="I22" s="5" t="s">
        <v>1572</v>
      </c>
      <c r="J22" s="5" t="s">
        <v>1581</v>
      </c>
      <c r="K22" s="6">
        <f t="shared" si="0"/>
        <v>1</v>
      </c>
    </row>
    <row r="23" spans="1:11" ht="15" customHeight="1">
      <c r="A23" s="4">
        <v>15</v>
      </c>
      <c r="B23" s="5" t="s">
        <v>120</v>
      </c>
      <c r="C23" s="5" t="s">
        <v>121</v>
      </c>
      <c r="D23" s="5" t="s">
        <v>1582</v>
      </c>
      <c r="E23" s="7" t="s">
        <v>105</v>
      </c>
      <c r="F23" s="8" t="s">
        <v>105</v>
      </c>
      <c r="G23" s="4" t="s">
        <v>195</v>
      </c>
      <c r="H23" s="9" t="s">
        <v>196</v>
      </c>
      <c r="I23" s="5" t="s">
        <v>1572</v>
      </c>
      <c r="J23" s="5" t="s">
        <v>1581</v>
      </c>
      <c r="K23" s="6">
        <f t="shared" si="0"/>
        <v>1</v>
      </c>
    </row>
    <row r="24" spans="1:11" ht="30" customHeight="1">
      <c r="A24" s="4">
        <v>16</v>
      </c>
      <c r="B24" s="5" t="s">
        <v>124</v>
      </c>
      <c r="C24" s="5" t="s">
        <v>121</v>
      </c>
      <c r="D24" s="5" t="s">
        <v>1583</v>
      </c>
      <c r="E24" s="7" t="s">
        <v>105</v>
      </c>
      <c r="F24" s="8" t="s">
        <v>105</v>
      </c>
      <c r="G24" s="4" t="s">
        <v>195</v>
      </c>
      <c r="H24" s="9" t="s">
        <v>196</v>
      </c>
      <c r="I24" s="5" t="s">
        <v>1572</v>
      </c>
      <c r="J24" s="5" t="s">
        <v>1581</v>
      </c>
      <c r="K24" s="6">
        <f t="shared" si="0"/>
        <v>1</v>
      </c>
    </row>
    <row r="25" spans="1:11" ht="15" customHeight="1">
      <c r="A25" s="4">
        <v>17</v>
      </c>
      <c r="B25" s="5" t="s">
        <v>124</v>
      </c>
      <c r="C25" s="5" t="s">
        <v>121</v>
      </c>
      <c r="D25" s="5" t="s">
        <v>1584</v>
      </c>
      <c r="E25" s="7" t="s">
        <v>105</v>
      </c>
      <c r="F25" s="8" t="s">
        <v>105</v>
      </c>
      <c r="G25" s="4" t="s">
        <v>195</v>
      </c>
      <c r="H25" s="9" t="s">
        <v>196</v>
      </c>
      <c r="I25" s="5" t="s">
        <v>1572</v>
      </c>
      <c r="J25" s="5" t="s">
        <v>1581</v>
      </c>
      <c r="K25" s="6">
        <f t="shared" si="0"/>
        <v>1</v>
      </c>
    </row>
    <row r="26" spans="1:11" ht="15" customHeight="1">
      <c r="A26" s="4">
        <v>18</v>
      </c>
      <c r="B26" s="5" t="s">
        <v>95</v>
      </c>
      <c r="C26" s="5" t="s">
        <v>121</v>
      </c>
      <c r="D26" s="5" t="s">
        <v>1585</v>
      </c>
      <c r="E26" s="7" t="s">
        <v>105</v>
      </c>
      <c r="F26" s="8" t="s">
        <v>105</v>
      </c>
      <c r="G26" s="4" t="s">
        <v>195</v>
      </c>
      <c r="H26" s="9" t="s">
        <v>196</v>
      </c>
      <c r="I26" s="5" t="s">
        <v>1572</v>
      </c>
      <c r="J26" s="5" t="s">
        <v>1586</v>
      </c>
      <c r="K26" s="6">
        <f t="shared" si="0"/>
        <v>1</v>
      </c>
    </row>
    <row r="27" spans="1:11" ht="15" customHeight="1">
      <c r="A27" s="4">
        <v>19</v>
      </c>
      <c r="B27" s="5" t="s">
        <v>128</v>
      </c>
      <c r="C27" s="5" t="s">
        <v>121</v>
      </c>
      <c r="D27" s="5" t="s">
        <v>1587</v>
      </c>
      <c r="E27" s="7" t="s">
        <v>105</v>
      </c>
      <c r="F27" s="8" t="s">
        <v>105</v>
      </c>
      <c r="G27" s="4" t="s">
        <v>195</v>
      </c>
      <c r="H27" s="9" t="s">
        <v>196</v>
      </c>
      <c r="I27" s="5" t="s">
        <v>1572</v>
      </c>
      <c r="J27" s="5" t="s">
        <v>1588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657</v>
      </c>
      <c r="E28" s="7" t="s">
        <v>105</v>
      </c>
      <c r="F28" s="8" t="s">
        <v>105</v>
      </c>
      <c r="G28" s="4" t="s">
        <v>195</v>
      </c>
      <c r="H28" s="9" t="s">
        <v>196</v>
      </c>
      <c r="I28" s="5" t="s">
        <v>1572</v>
      </c>
      <c r="J28" s="5" t="s">
        <v>198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658</v>
      </c>
      <c r="E29" s="7" t="s">
        <v>105</v>
      </c>
      <c r="F29" s="8" t="s">
        <v>105</v>
      </c>
      <c r="G29" s="4" t="s">
        <v>195</v>
      </c>
      <c r="H29" s="9" t="s">
        <v>196</v>
      </c>
      <c r="I29" s="5" t="s">
        <v>1572</v>
      </c>
      <c r="J29" s="5" t="s">
        <v>198</v>
      </c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659</v>
      </c>
      <c r="E30" s="7" t="s">
        <v>105</v>
      </c>
      <c r="F30" s="8" t="s">
        <v>105</v>
      </c>
      <c r="G30" s="4" t="s">
        <v>195</v>
      </c>
      <c r="H30" s="9" t="s">
        <v>196</v>
      </c>
      <c r="I30" s="5" t="s">
        <v>1572</v>
      </c>
      <c r="J30" s="5" t="s">
        <v>198</v>
      </c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1116</v>
      </c>
      <c r="E31" s="7" t="s">
        <v>105</v>
      </c>
      <c r="F31" s="8" t="s">
        <v>105</v>
      </c>
      <c r="G31" s="4" t="s">
        <v>195</v>
      </c>
      <c r="H31" s="9" t="s">
        <v>196</v>
      </c>
      <c r="I31" s="5" t="s">
        <v>1572</v>
      </c>
      <c r="J31" s="5" t="s">
        <v>198</v>
      </c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1117</v>
      </c>
      <c r="E32" s="7" t="s">
        <v>105</v>
      </c>
      <c r="F32" s="8" t="s">
        <v>105</v>
      </c>
      <c r="G32" s="4" t="s">
        <v>195</v>
      </c>
      <c r="H32" s="9" t="s">
        <v>196</v>
      </c>
      <c r="I32" s="5" t="s">
        <v>1572</v>
      </c>
      <c r="J32" s="5" t="s">
        <v>198</v>
      </c>
      <c r="K32" s="6">
        <f t="shared" si="0"/>
        <v>1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140</v>
      </c>
      <c r="E33" s="7" t="s">
        <v>105</v>
      </c>
      <c r="F33" s="8" t="s">
        <v>105</v>
      </c>
      <c r="G33" s="4" t="s">
        <v>195</v>
      </c>
      <c r="H33" s="9" t="s">
        <v>196</v>
      </c>
      <c r="I33" s="5" t="s">
        <v>1572</v>
      </c>
      <c r="J33" s="5" t="s">
        <v>198</v>
      </c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148</v>
      </c>
      <c r="E34" s="7" t="s">
        <v>105</v>
      </c>
      <c r="F34" s="8" t="s">
        <v>105</v>
      </c>
      <c r="G34" s="4" t="s">
        <v>195</v>
      </c>
      <c r="H34" s="9" t="s">
        <v>196</v>
      </c>
      <c r="I34" s="5" t="s">
        <v>1572</v>
      </c>
      <c r="J34" s="5" t="s">
        <v>198</v>
      </c>
      <c r="K34" s="6">
        <f t="shared" si="0"/>
        <v>1</v>
      </c>
    </row>
    <row r="35" spans="1:11" ht="15" customHeight="1">
      <c r="A35" s="4">
        <v>27</v>
      </c>
      <c r="B35" s="5" t="s">
        <v>120</v>
      </c>
      <c r="C35" s="5" t="s">
        <v>55</v>
      </c>
      <c r="D35" s="5" t="s">
        <v>1589</v>
      </c>
      <c r="E35" s="7" t="s">
        <v>105</v>
      </c>
      <c r="F35" s="8" t="s">
        <v>105</v>
      </c>
      <c r="G35" s="4" t="s">
        <v>195</v>
      </c>
      <c r="H35" s="9" t="s">
        <v>196</v>
      </c>
      <c r="I35" s="5" t="s">
        <v>1572</v>
      </c>
      <c r="J35" s="5" t="s">
        <v>1590</v>
      </c>
      <c r="K35" s="6">
        <f t="shared" si="0"/>
        <v>1</v>
      </c>
    </row>
    <row r="36" spans="1:11" ht="15" customHeight="1">
      <c r="A36" s="4">
        <v>28</v>
      </c>
      <c r="B36" s="5" t="s">
        <v>120</v>
      </c>
      <c r="C36" s="5" t="s">
        <v>55</v>
      </c>
      <c r="D36" s="5" t="s">
        <v>1591</v>
      </c>
      <c r="E36" s="7" t="s">
        <v>105</v>
      </c>
      <c r="F36" s="8" t="s">
        <v>105</v>
      </c>
      <c r="G36" s="4" t="s">
        <v>195</v>
      </c>
      <c r="H36" s="9" t="s">
        <v>196</v>
      </c>
      <c r="I36" s="5" t="s">
        <v>1572</v>
      </c>
      <c r="J36" s="5" t="s">
        <v>1590</v>
      </c>
      <c r="K36" s="6">
        <f t="shared" si="0"/>
        <v>1</v>
      </c>
    </row>
    <row r="37" spans="1:11" ht="30" customHeight="1">
      <c r="A37" s="4">
        <v>29</v>
      </c>
      <c r="B37" s="5" t="s">
        <v>124</v>
      </c>
      <c r="C37" s="5" t="s">
        <v>55</v>
      </c>
      <c r="D37" s="5" t="s">
        <v>1592</v>
      </c>
      <c r="E37" s="7" t="s">
        <v>105</v>
      </c>
      <c r="F37" s="8" t="s">
        <v>105</v>
      </c>
      <c r="G37" s="4" t="s">
        <v>195</v>
      </c>
      <c r="H37" s="9" t="s">
        <v>196</v>
      </c>
      <c r="I37" s="5" t="s">
        <v>1572</v>
      </c>
      <c r="J37" s="5" t="s">
        <v>1590</v>
      </c>
      <c r="K37" s="6">
        <f t="shared" si="0"/>
        <v>1</v>
      </c>
    </row>
    <row r="38" spans="1:11" ht="15" customHeight="1">
      <c r="A38" s="4">
        <v>30</v>
      </c>
      <c r="B38" s="5" t="s">
        <v>124</v>
      </c>
      <c r="C38" s="5" t="s">
        <v>55</v>
      </c>
      <c r="D38" s="5" t="s">
        <v>1593</v>
      </c>
      <c r="E38" s="7" t="s">
        <v>105</v>
      </c>
      <c r="F38" s="8" t="s">
        <v>105</v>
      </c>
      <c r="G38" s="4" t="s">
        <v>195</v>
      </c>
      <c r="H38" s="9" t="s">
        <v>196</v>
      </c>
      <c r="I38" s="5" t="s">
        <v>1572</v>
      </c>
      <c r="J38" s="5" t="s">
        <v>1590</v>
      </c>
      <c r="K38" s="6">
        <f t="shared" si="0"/>
        <v>1</v>
      </c>
    </row>
    <row r="39" spans="1:11" ht="15" customHeight="1">
      <c r="A39" s="4">
        <v>31</v>
      </c>
      <c r="B39" s="5" t="s">
        <v>95</v>
      </c>
      <c r="C39" s="5" t="s">
        <v>55</v>
      </c>
      <c r="D39" s="5" t="s">
        <v>1594</v>
      </c>
      <c r="E39" s="7" t="s">
        <v>105</v>
      </c>
      <c r="F39" s="8" t="s">
        <v>105</v>
      </c>
      <c r="G39" s="4" t="s">
        <v>195</v>
      </c>
      <c r="H39" s="9" t="s">
        <v>196</v>
      </c>
      <c r="I39" s="5" t="s">
        <v>1572</v>
      </c>
      <c r="J39" s="5" t="s">
        <v>1595</v>
      </c>
      <c r="K39" s="6">
        <f t="shared" si="0"/>
        <v>1</v>
      </c>
    </row>
    <row r="40" spans="1:11" ht="15" customHeight="1">
      <c r="A40" s="4">
        <v>32</v>
      </c>
      <c r="B40" s="5" t="s">
        <v>128</v>
      </c>
      <c r="C40" s="5" t="s">
        <v>55</v>
      </c>
      <c r="D40" s="5" t="s">
        <v>1596</v>
      </c>
      <c r="E40" s="7" t="s">
        <v>105</v>
      </c>
      <c r="F40" s="8" t="s">
        <v>105</v>
      </c>
      <c r="G40" s="4" t="s">
        <v>195</v>
      </c>
      <c r="H40" s="9" t="s">
        <v>196</v>
      </c>
      <c r="I40" s="5" t="s">
        <v>1572</v>
      </c>
      <c r="J40" s="5" t="s">
        <v>1597</v>
      </c>
      <c r="K40" s="6">
        <f t="shared" si="0"/>
        <v>1</v>
      </c>
    </row>
    <row r="41" spans="1:11" ht="15" customHeight="1">
      <c r="A41" s="4">
        <v>33</v>
      </c>
      <c r="B41" s="5" t="s">
        <v>713</v>
      </c>
      <c r="C41" s="5" t="s">
        <v>55</v>
      </c>
      <c r="D41" s="5" t="s">
        <v>1598</v>
      </c>
      <c r="E41" s="7" t="s">
        <v>105</v>
      </c>
      <c r="F41" s="8" t="s">
        <v>105</v>
      </c>
      <c r="G41" s="4" t="s">
        <v>195</v>
      </c>
      <c r="H41" s="9" t="s">
        <v>196</v>
      </c>
      <c r="I41" s="5" t="s">
        <v>1572</v>
      </c>
      <c r="J41" s="5" t="s">
        <v>1599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135</v>
      </c>
      <c r="C42" s="5" t="s">
        <v>55</v>
      </c>
      <c r="D42" s="5" t="s">
        <v>1600</v>
      </c>
      <c r="E42" s="7" t="s">
        <v>105</v>
      </c>
      <c r="F42" s="8" t="s">
        <v>105</v>
      </c>
      <c r="G42" s="4" t="s">
        <v>195</v>
      </c>
      <c r="H42" s="9" t="s">
        <v>196</v>
      </c>
      <c r="I42" s="5" t="s">
        <v>1572</v>
      </c>
      <c r="J42" s="5" t="s">
        <v>1599</v>
      </c>
      <c r="K42" s="6">
        <f t="shared" si="1"/>
        <v>1</v>
      </c>
    </row>
    <row r="43" spans="1:11" ht="15" customHeight="1">
      <c r="A43" s="4">
        <v>35</v>
      </c>
      <c r="B43" s="5" t="s">
        <v>120</v>
      </c>
      <c r="C43" s="5" t="s">
        <v>145</v>
      </c>
      <c r="D43" s="5" t="s">
        <v>122</v>
      </c>
      <c r="E43" s="7" t="s">
        <v>105</v>
      </c>
      <c r="F43" s="8" t="s">
        <v>105</v>
      </c>
      <c r="G43" s="4" t="s">
        <v>195</v>
      </c>
      <c r="H43" s="9" t="s">
        <v>196</v>
      </c>
      <c r="I43" s="5" t="s">
        <v>1572</v>
      </c>
      <c r="J43" s="5" t="s">
        <v>198</v>
      </c>
      <c r="K43" s="6">
        <f t="shared" si="1"/>
        <v>1</v>
      </c>
    </row>
    <row r="44" spans="1:11" ht="15" customHeight="1">
      <c r="A44" s="4">
        <v>36</v>
      </c>
      <c r="B44" s="5" t="s">
        <v>120</v>
      </c>
      <c r="C44" s="5" t="s">
        <v>145</v>
      </c>
      <c r="D44" s="5" t="s">
        <v>123</v>
      </c>
      <c r="E44" s="7" t="s">
        <v>105</v>
      </c>
      <c r="F44" s="8" t="s">
        <v>105</v>
      </c>
      <c r="G44" s="4" t="s">
        <v>195</v>
      </c>
      <c r="H44" s="9" t="s">
        <v>196</v>
      </c>
      <c r="I44" s="5" t="s">
        <v>1572</v>
      </c>
      <c r="J44" s="5" t="s">
        <v>198</v>
      </c>
      <c r="K44" s="6">
        <f t="shared" si="1"/>
        <v>1</v>
      </c>
    </row>
    <row r="45" spans="1:11" ht="30" customHeight="1">
      <c r="A45" s="4">
        <v>37</v>
      </c>
      <c r="B45" s="5" t="s">
        <v>124</v>
      </c>
      <c r="C45" s="5" t="s">
        <v>145</v>
      </c>
      <c r="D45" s="5" t="s">
        <v>125</v>
      </c>
      <c r="E45" s="7" t="s">
        <v>105</v>
      </c>
      <c r="F45" s="8" t="s">
        <v>105</v>
      </c>
      <c r="G45" s="4" t="s">
        <v>195</v>
      </c>
      <c r="H45" s="9" t="s">
        <v>196</v>
      </c>
      <c r="I45" s="5" t="s">
        <v>1572</v>
      </c>
      <c r="J45" s="5" t="s">
        <v>198</v>
      </c>
      <c r="K45" s="6">
        <f t="shared" si="1"/>
        <v>1</v>
      </c>
    </row>
    <row r="46" spans="1:11" ht="15" customHeight="1">
      <c r="A46" s="4">
        <v>38</v>
      </c>
      <c r="B46" s="5" t="s">
        <v>124</v>
      </c>
      <c r="C46" s="5" t="s">
        <v>145</v>
      </c>
      <c r="D46" s="5" t="s">
        <v>126</v>
      </c>
      <c r="E46" s="7" t="s">
        <v>105</v>
      </c>
      <c r="F46" s="8" t="s">
        <v>105</v>
      </c>
      <c r="G46" s="4" t="s">
        <v>195</v>
      </c>
      <c r="H46" s="9" t="s">
        <v>196</v>
      </c>
      <c r="I46" s="5" t="s">
        <v>1572</v>
      </c>
      <c r="J46" s="5" t="s">
        <v>198</v>
      </c>
      <c r="K46" s="6">
        <f t="shared" si="1"/>
        <v>1</v>
      </c>
    </row>
    <row r="47" spans="1:11" ht="15" customHeight="1">
      <c r="A47" s="4">
        <v>39</v>
      </c>
      <c r="B47" s="5" t="s">
        <v>95</v>
      </c>
      <c r="C47" s="5" t="s">
        <v>145</v>
      </c>
      <c r="D47" s="5" t="s">
        <v>127</v>
      </c>
      <c r="E47" s="7" t="s">
        <v>105</v>
      </c>
      <c r="F47" s="8" t="s">
        <v>105</v>
      </c>
      <c r="G47" s="4" t="s">
        <v>195</v>
      </c>
      <c r="H47" s="9" t="s">
        <v>196</v>
      </c>
      <c r="I47" s="5" t="s">
        <v>1572</v>
      </c>
      <c r="J47" s="5" t="s">
        <v>198</v>
      </c>
      <c r="K47" s="6">
        <f t="shared" si="1"/>
        <v>1</v>
      </c>
    </row>
    <row r="48" spans="1:11" ht="15" customHeight="1">
      <c r="A48" s="4">
        <v>40</v>
      </c>
      <c r="B48" s="5" t="s">
        <v>128</v>
      </c>
      <c r="C48" s="5" t="s">
        <v>145</v>
      </c>
      <c r="D48" s="5" t="s">
        <v>129</v>
      </c>
      <c r="E48" s="7" t="s">
        <v>105</v>
      </c>
      <c r="F48" s="8" t="s">
        <v>105</v>
      </c>
      <c r="G48" s="4" t="s">
        <v>195</v>
      </c>
      <c r="H48" s="9" t="s">
        <v>196</v>
      </c>
      <c r="I48" s="5" t="s">
        <v>1572</v>
      </c>
      <c r="J48" s="5" t="s">
        <v>198</v>
      </c>
      <c r="K48" s="6">
        <f t="shared" si="1"/>
        <v>1</v>
      </c>
    </row>
    <row r="49" spans="1:11" ht="15" customHeight="1">
      <c r="A49" s="4">
        <v>41</v>
      </c>
      <c r="B49" s="5" t="s">
        <v>130</v>
      </c>
      <c r="C49" s="5" t="s">
        <v>145</v>
      </c>
      <c r="D49" s="5" t="s">
        <v>131</v>
      </c>
      <c r="E49" s="7" t="s">
        <v>105</v>
      </c>
      <c r="F49" s="8" t="s">
        <v>105</v>
      </c>
      <c r="G49" s="4" t="s">
        <v>195</v>
      </c>
      <c r="H49" s="9" t="s">
        <v>196</v>
      </c>
      <c r="I49" s="5" t="s">
        <v>1572</v>
      </c>
      <c r="J49" s="5" t="s">
        <v>198</v>
      </c>
      <c r="K49" s="6">
        <f t="shared" si="1"/>
        <v>1</v>
      </c>
    </row>
    <row r="50" spans="1:11" ht="15" customHeight="1">
      <c r="A50" s="4">
        <v>42</v>
      </c>
      <c r="B50" s="5" t="s">
        <v>130</v>
      </c>
      <c r="C50" s="5" t="s">
        <v>145</v>
      </c>
      <c r="D50" s="5" t="s">
        <v>132</v>
      </c>
      <c r="E50" s="7" t="s">
        <v>105</v>
      </c>
      <c r="F50" s="8" t="s">
        <v>105</v>
      </c>
      <c r="G50" s="4" t="s">
        <v>195</v>
      </c>
      <c r="H50" s="9" t="s">
        <v>196</v>
      </c>
      <c r="I50" s="5" t="s">
        <v>1572</v>
      </c>
      <c r="J50" s="5" t="s">
        <v>198</v>
      </c>
      <c r="K50" s="6">
        <f t="shared" si="1"/>
        <v>1</v>
      </c>
    </row>
    <row r="51" spans="1:11" ht="15" customHeight="1">
      <c r="A51" s="4">
        <v>43</v>
      </c>
      <c r="B51" s="5" t="s">
        <v>133</v>
      </c>
      <c r="C51" s="5" t="s">
        <v>145</v>
      </c>
      <c r="D51" s="5" t="s">
        <v>719</v>
      </c>
      <c r="E51" s="7" t="s">
        <v>105</v>
      </c>
      <c r="F51" s="8" t="s">
        <v>105</v>
      </c>
      <c r="G51" s="4" t="s">
        <v>195</v>
      </c>
      <c r="H51" s="9" t="s">
        <v>196</v>
      </c>
      <c r="I51" s="5" t="s">
        <v>1572</v>
      </c>
      <c r="J51" s="5" t="s">
        <v>198</v>
      </c>
      <c r="K51" s="6">
        <f t="shared" si="1"/>
        <v>1</v>
      </c>
    </row>
    <row r="52" spans="1:11" ht="15" customHeight="1">
      <c r="A52" s="4">
        <v>44</v>
      </c>
      <c r="B52" s="5" t="s">
        <v>133</v>
      </c>
      <c r="C52" s="5" t="s">
        <v>145</v>
      </c>
      <c r="D52" s="5" t="s">
        <v>142</v>
      </c>
      <c r="E52" s="7" t="s">
        <v>105</v>
      </c>
      <c r="F52" s="8" t="s">
        <v>105</v>
      </c>
      <c r="G52" s="4" t="s">
        <v>195</v>
      </c>
      <c r="H52" s="9" t="s">
        <v>196</v>
      </c>
      <c r="I52" s="5" t="s">
        <v>1572</v>
      </c>
      <c r="J52" s="5" t="s">
        <v>198</v>
      </c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145</v>
      </c>
      <c r="D53" s="5" t="s">
        <v>146</v>
      </c>
      <c r="E53" s="7" t="s">
        <v>105</v>
      </c>
      <c r="F53" s="8" t="s">
        <v>105</v>
      </c>
      <c r="G53" s="4" t="s">
        <v>195</v>
      </c>
      <c r="H53" s="9" t="s">
        <v>196</v>
      </c>
      <c r="I53" s="5" t="s">
        <v>1572</v>
      </c>
      <c r="J53" s="5" t="s">
        <v>198</v>
      </c>
      <c r="K53" s="6">
        <f t="shared" si="1"/>
        <v>1</v>
      </c>
    </row>
    <row r="54" spans="1:11" ht="15" customHeight="1">
      <c r="A54" s="4">
        <v>46</v>
      </c>
      <c r="B54" s="5" t="s">
        <v>135</v>
      </c>
      <c r="C54" s="5" t="s">
        <v>145</v>
      </c>
      <c r="D54" s="5" t="s">
        <v>144</v>
      </c>
      <c r="E54" s="7" t="s">
        <v>105</v>
      </c>
      <c r="F54" s="8" t="s">
        <v>105</v>
      </c>
      <c r="G54" s="4" t="s">
        <v>195</v>
      </c>
      <c r="H54" s="9" t="s">
        <v>196</v>
      </c>
      <c r="I54" s="5" t="s">
        <v>1572</v>
      </c>
      <c r="J54" s="5" t="s">
        <v>198</v>
      </c>
      <c r="K54" s="6">
        <f t="shared" si="1"/>
        <v>1</v>
      </c>
    </row>
    <row r="55" spans="1:11" ht="15" customHeight="1">
      <c r="A55" s="4">
        <v>47</v>
      </c>
      <c r="B55" s="5" t="s">
        <v>120</v>
      </c>
      <c r="C55" s="5" t="s">
        <v>322</v>
      </c>
      <c r="D55" s="5" t="s">
        <v>122</v>
      </c>
      <c r="E55" s="7" t="s">
        <v>105</v>
      </c>
      <c r="F55" s="8" t="s">
        <v>105</v>
      </c>
      <c r="G55" s="4" t="s">
        <v>195</v>
      </c>
      <c r="H55" s="9" t="s">
        <v>196</v>
      </c>
      <c r="I55" s="5" t="s">
        <v>1572</v>
      </c>
      <c r="J55" s="5" t="s">
        <v>198</v>
      </c>
      <c r="K55" s="6">
        <f t="shared" si="1"/>
        <v>1</v>
      </c>
    </row>
    <row r="56" spans="1:11" ht="15" customHeight="1">
      <c r="A56" s="4">
        <v>48</v>
      </c>
      <c r="B56" s="5" t="s">
        <v>120</v>
      </c>
      <c r="C56" s="5" t="s">
        <v>322</v>
      </c>
      <c r="D56" s="5" t="s">
        <v>123</v>
      </c>
      <c r="E56" s="7" t="s">
        <v>105</v>
      </c>
      <c r="F56" s="8" t="s">
        <v>105</v>
      </c>
      <c r="G56" s="4" t="s">
        <v>195</v>
      </c>
      <c r="H56" s="9" t="s">
        <v>196</v>
      </c>
      <c r="I56" s="5" t="s">
        <v>1572</v>
      </c>
      <c r="J56" s="5" t="s">
        <v>198</v>
      </c>
      <c r="K56" s="6">
        <f t="shared" si="1"/>
        <v>1</v>
      </c>
    </row>
    <row r="57" spans="1:11" ht="30" customHeight="1">
      <c r="A57" s="4">
        <v>49</v>
      </c>
      <c r="B57" s="5" t="s">
        <v>124</v>
      </c>
      <c r="C57" s="5" t="s">
        <v>322</v>
      </c>
      <c r="D57" s="5" t="s">
        <v>125</v>
      </c>
      <c r="E57" s="7" t="s">
        <v>105</v>
      </c>
      <c r="F57" s="8" t="s">
        <v>105</v>
      </c>
      <c r="G57" s="4" t="s">
        <v>195</v>
      </c>
      <c r="H57" s="9" t="s">
        <v>196</v>
      </c>
      <c r="I57" s="5" t="s">
        <v>1572</v>
      </c>
      <c r="J57" s="5" t="s">
        <v>198</v>
      </c>
      <c r="K57" s="6">
        <f t="shared" si="1"/>
        <v>1</v>
      </c>
    </row>
    <row r="58" spans="1:11" ht="15" customHeight="1">
      <c r="A58" s="4">
        <v>50</v>
      </c>
      <c r="B58" s="5" t="s">
        <v>124</v>
      </c>
      <c r="C58" s="5" t="s">
        <v>322</v>
      </c>
      <c r="D58" s="5" t="s">
        <v>126</v>
      </c>
      <c r="E58" s="7" t="s">
        <v>105</v>
      </c>
      <c r="F58" s="8" t="s">
        <v>105</v>
      </c>
      <c r="G58" s="4" t="s">
        <v>195</v>
      </c>
      <c r="H58" s="9" t="s">
        <v>196</v>
      </c>
      <c r="I58" s="5" t="s">
        <v>1572</v>
      </c>
      <c r="J58" s="5" t="s">
        <v>198</v>
      </c>
      <c r="K58" s="6">
        <f t="shared" si="1"/>
        <v>1</v>
      </c>
    </row>
    <row r="59" spans="1:11" ht="15" customHeight="1">
      <c r="A59" s="4">
        <v>51</v>
      </c>
      <c r="B59" s="5" t="s">
        <v>95</v>
      </c>
      <c r="C59" s="5" t="s">
        <v>322</v>
      </c>
      <c r="D59" s="5" t="s">
        <v>127</v>
      </c>
      <c r="E59" s="7" t="s">
        <v>105</v>
      </c>
      <c r="F59" s="8" t="s">
        <v>105</v>
      </c>
      <c r="G59" s="4" t="s">
        <v>195</v>
      </c>
      <c r="H59" s="9" t="s">
        <v>196</v>
      </c>
      <c r="I59" s="5" t="s">
        <v>1572</v>
      </c>
      <c r="J59" s="5" t="s">
        <v>198</v>
      </c>
      <c r="K59" s="6">
        <f t="shared" si="1"/>
        <v>1</v>
      </c>
    </row>
    <row r="60" spans="1:11" ht="15" customHeight="1">
      <c r="A60" s="4">
        <v>52</v>
      </c>
      <c r="B60" s="5" t="s">
        <v>128</v>
      </c>
      <c r="C60" s="5" t="s">
        <v>322</v>
      </c>
      <c r="D60" s="5" t="s">
        <v>129</v>
      </c>
      <c r="E60" s="7" t="s">
        <v>105</v>
      </c>
      <c r="F60" s="8" t="s">
        <v>105</v>
      </c>
      <c r="G60" s="4" t="s">
        <v>195</v>
      </c>
      <c r="H60" s="9" t="s">
        <v>196</v>
      </c>
      <c r="I60" s="5" t="s">
        <v>1572</v>
      </c>
      <c r="J60" s="5" t="s">
        <v>198</v>
      </c>
      <c r="K60" s="6">
        <f t="shared" si="1"/>
        <v>1</v>
      </c>
    </row>
    <row r="61" spans="1:11" ht="15" customHeight="1">
      <c r="A61" s="4">
        <v>53</v>
      </c>
      <c r="B61" s="5" t="s">
        <v>133</v>
      </c>
      <c r="C61" s="5" t="s">
        <v>322</v>
      </c>
      <c r="D61" s="5" t="s">
        <v>152</v>
      </c>
      <c r="E61" s="7" t="s">
        <v>105</v>
      </c>
      <c r="F61" s="8" t="s">
        <v>105</v>
      </c>
      <c r="G61" s="4" t="s">
        <v>195</v>
      </c>
      <c r="H61" s="9" t="s">
        <v>196</v>
      </c>
      <c r="I61" s="5" t="s">
        <v>1572</v>
      </c>
      <c r="J61" s="5" t="s">
        <v>198</v>
      </c>
      <c r="K61" s="6">
        <f t="shared" si="1"/>
        <v>1</v>
      </c>
    </row>
    <row r="62" spans="1:11" ht="15" customHeight="1">
      <c r="A62" s="4">
        <v>54</v>
      </c>
      <c r="B62" s="5" t="s">
        <v>133</v>
      </c>
      <c r="C62" s="5" t="s">
        <v>322</v>
      </c>
      <c r="D62" s="5" t="s">
        <v>719</v>
      </c>
      <c r="E62" s="7" t="s">
        <v>105</v>
      </c>
      <c r="F62" s="8" t="s">
        <v>105</v>
      </c>
      <c r="G62" s="4" t="s">
        <v>195</v>
      </c>
      <c r="H62" s="9" t="s">
        <v>196</v>
      </c>
      <c r="I62" s="5" t="s">
        <v>1572</v>
      </c>
      <c r="J62" s="5" t="s">
        <v>198</v>
      </c>
      <c r="K62" s="6">
        <f t="shared" si="1"/>
        <v>1</v>
      </c>
    </row>
    <row r="63" spans="1:11" ht="15" customHeight="1">
      <c r="A63" s="4">
        <v>55</v>
      </c>
      <c r="B63" s="5" t="s">
        <v>133</v>
      </c>
      <c r="C63" s="5" t="s">
        <v>322</v>
      </c>
      <c r="D63" s="5" t="s">
        <v>142</v>
      </c>
      <c r="E63" s="7" t="s">
        <v>105</v>
      </c>
      <c r="F63" s="8" t="s">
        <v>105</v>
      </c>
      <c r="G63" s="4" t="s">
        <v>195</v>
      </c>
      <c r="H63" s="9" t="s">
        <v>196</v>
      </c>
      <c r="I63" s="5" t="s">
        <v>1572</v>
      </c>
      <c r="J63" s="5" t="s">
        <v>198</v>
      </c>
      <c r="K63" s="6">
        <f t="shared" si="1"/>
        <v>1</v>
      </c>
    </row>
    <row r="64" spans="1:11" ht="15" customHeight="1">
      <c r="A64" s="4">
        <v>56</v>
      </c>
      <c r="B64" s="5" t="s">
        <v>120</v>
      </c>
      <c r="C64" s="5" t="s">
        <v>340</v>
      </c>
      <c r="D64" s="5" t="s">
        <v>122</v>
      </c>
      <c r="E64" s="7" t="s">
        <v>105</v>
      </c>
      <c r="F64" s="8" t="s">
        <v>105</v>
      </c>
      <c r="G64" s="4" t="s">
        <v>195</v>
      </c>
      <c r="H64" s="9" t="s">
        <v>196</v>
      </c>
      <c r="I64" s="5" t="s">
        <v>1572</v>
      </c>
      <c r="J64" s="5" t="s">
        <v>198</v>
      </c>
      <c r="K64" s="6">
        <f t="shared" si="1"/>
        <v>1</v>
      </c>
    </row>
    <row r="65" spans="1:11" ht="15" customHeight="1">
      <c r="A65" s="4">
        <v>57</v>
      </c>
      <c r="B65" s="5" t="s">
        <v>120</v>
      </c>
      <c r="C65" s="5" t="s">
        <v>340</v>
      </c>
      <c r="D65" s="5" t="s">
        <v>123</v>
      </c>
      <c r="E65" s="7" t="s">
        <v>105</v>
      </c>
      <c r="F65" s="8" t="s">
        <v>105</v>
      </c>
      <c r="G65" s="4" t="s">
        <v>195</v>
      </c>
      <c r="H65" s="9" t="s">
        <v>196</v>
      </c>
      <c r="I65" s="5" t="s">
        <v>1572</v>
      </c>
      <c r="J65" s="5" t="s">
        <v>198</v>
      </c>
      <c r="K65" s="6">
        <f t="shared" si="1"/>
        <v>1</v>
      </c>
    </row>
    <row r="66" spans="1:11" ht="30" customHeight="1">
      <c r="A66" s="4">
        <v>58</v>
      </c>
      <c r="B66" s="5" t="s">
        <v>124</v>
      </c>
      <c r="C66" s="5" t="s">
        <v>340</v>
      </c>
      <c r="D66" s="5" t="s">
        <v>125</v>
      </c>
      <c r="E66" s="7" t="s">
        <v>105</v>
      </c>
      <c r="F66" s="8" t="s">
        <v>105</v>
      </c>
      <c r="G66" s="4" t="s">
        <v>195</v>
      </c>
      <c r="H66" s="9" t="s">
        <v>196</v>
      </c>
      <c r="I66" s="5" t="s">
        <v>1572</v>
      </c>
      <c r="J66" s="5" t="s">
        <v>198</v>
      </c>
      <c r="K66" s="6">
        <f t="shared" si="1"/>
        <v>1</v>
      </c>
    </row>
    <row r="67" spans="1:11" ht="15" customHeight="1">
      <c r="A67" s="4">
        <v>59</v>
      </c>
      <c r="B67" s="5" t="s">
        <v>124</v>
      </c>
      <c r="C67" s="5" t="s">
        <v>340</v>
      </c>
      <c r="D67" s="5" t="s">
        <v>126</v>
      </c>
      <c r="E67" s="7" t="s">
        <v>105</v>
      </c>
      <c r="F67" s="8" t="s">
        <v>105</v>
      </c>
      <c r="G67" s="4" t="s">
        <v>195</v>
      </c>
      <c r="H67" s="9" t="s">
        <v>196</v>
      </c>
      <c r="I67" s="5" t="s">
        <v>1572</v>
      </c>
      <c r="J67" s="5" t="s">
        <v>198</v>
      </c>
      <c r="K67" s="6">
        <f t="shared" si="1"/>
        <v>1</v>
      </c>
    </row>
    <row r="68" spans="1:11" ht="15" customHeight="1">
      <c r="A68" s="4">
        <v>60</v>
      </c>
      <c r="B68" s="5" t="s">
        <v>95</v>
      </c>
      <c r="C68" s="5" t="s">
        <v>340</v>
      </c>
      <c r="D68" s="5" t="s">
        <v>127</v>
      </c>
      <c r="E68" s="7" t="s">
        <v>105</v>
      </c>
      <c r="F68" s="8" t="s">
        <v>105</v>
      </c>
      <c r="G68" s="4" t="s">
        <v>195</v>
      </c>
      <c r="H68" s="9" t="s">
        <v>196</v>
      </c>
      <c r="I68" s="5" t="s">
        <v>1572</v>
      </c>
      <c r="J68" s="5" t="s">
        <v>198</v>
      </c>
      <c r="K68" s="6">
        <f t="shared" si="1"/>
        <v>1</v>
      </c>
    </row>
    <row r="69" spans="1:11" ht="15" customHeight="1">
      <c r="A69" s="4">
        <v>61</v>
      </c>
      <c r="B69" s="5" t="s">
        <v>128</v>
      </c>
      <c r="C69" s="5" t="s">
        <v>340</v>
      </c>
      <c r="D69" s="5" t="s">
        <v>129</v>
      </c>
      <c r="E69" s="7" t="s">
        <v>105</v>
      </c>
      <c r="F69" s="8" t="s">
        <v>105</v>
      </c>
      <c r="G69" s="4" t="s">
        <v>195</v>
      </c>
      <c r="H69" s="9" t="s">
        <v>196</v>
      </c>
      <c r="I69" s="5" t="s">
        <v>1572</v>
      </c>
      <c r="J69" s="5" t="s">
        <v>198</v>
      </c>
      <c r="K69" s="6">
        <f t="shared" si="1"/>
        <v>1</v>
      </c>
    </row>
    <row r="70" spans="1:11" ht="15" customHeight="1">
      <c r="A70" s="4">
        <v>62</v>
      </c>
      <c r="B70" s="5" t="s">
        <v>133</v>
      </c>
      <c r="C70" s="5" t="s">
        <v>340</v>
      </c>
      <c r="D70" s="5" t="s">
        <v>719</v>
      </c>
      <c r="E70" s="7" t="s">
        <v>105</v>
      </c>
      <c r="F70" s="8" t="s">
        <v>105</v>
      </c>
      <c r="G70" s="4" t="s">
        <v>195</v>
      </c>
      <c r="H70" s="9" t="s">
        <v>196</v>
      </c>
      <c r="I70" s="5" t="s">
        <v>1572</v>
      </c>
      <c r="J70" s="5" t="s">
        <v>198</v>
      </c>
      <c r="K70" s="6">
        <f t="shared" si="1"/>
        <v>1</v>
      </c>
    </row>
    <row r="71" spans="1:11" ht="15" customHeight="1">
      <c r="A71" s="4">
        <v>63</v>
      </c>
      <c r="B71" s="5" t="s">
        <v>133</v>
      </c>
      <c r="C71" s="5" t="s">
        <v>340</v>
      </c>
      <c r="D71" s="5" t="s">
        <v>142</v>
      </c>
      <c r="E71" s="7" t="s">
        <v>105</v>
      </c>
      <c r="F71" s="8" t="s">
        <v>105</v>
      </c>
      <c r="G71" s="4" t="s">
        <v>195</v>
      </c>
      <c r="H71" s="9" t="s">
        <v>196</v>
      </c>
      <c r="I71" s="5" t="s">
        <v>1572</v>
      </c>
      <c r="J71" s="5" t="s">
        <v>198</v>
      </c>
      <c r="K71" s="6">
        <f t="shared" si="1"/>
        <v>1</v>
      </c>
    </row>
    <row r="72" spans="1:11" ht="15" customHeight="1">
      <c r="A72" s="4">
        <v>64</v>
      </c>
      <c r="B72" s="5" t="s">
        <v>120</v>
      </c>
      <c r="C72" s="5" t="s">
        <v>1076</v>
      </c>
      <c r="D72" s="5" t="s">
        <v>122</v>
      </c>
      <c r="E72" s="7" t="s">
        <v>105</v>
      </c>
      <c r="F72" s="8" t="s">
        <v>105</v>
      </c>
      <c r="G72" s="4" t="s">
        <v>195</v>
      </c>
      <c r="H72" s="9" t="s">
        <v>196</v>
      </c>
      <c r="I72" s="5" t="s">
        <v>1572</v>
      </c>
      <c r="J72" s="5" t="s">
        <v>198</v>
      </c>
      <c r="K72" s="6">
        <f t="shared" si="1"/>
        <v>1</v>
      </c>
    </row>
    <row r="73" spans="1:11" ht="15" customHeight="1">
      <c r="A73" s="4">
        <v>65</v>
      </c>
      <c r="B73" s="5" t="s">
        <v>120</v>
      </c>
      <c r="C73" s="5" t="s">
        <v>1076</v>
      </c>
      <c r="D73" s="5" t="s">
        <v>123</v>
      </c>
      <c r="E73" s="7" t="s">
        <v>105</v>
      </c>
      <c r="F73" s="8" t="s">
        <v>105</v>
      </c>
      <c r="G73" s="4" t="s">
        <v>195</v>
      </c>
      <c r="H73" s="9" t="s">
        <v>196</v>
      </c>
      <c r="I73" s="5" t="s">
        <v>1572</v>
      </c>
      <c r="J73" s="5" t="s">
        <v>198</v>
      </c>
      <c r="K73" s="6">
        <f t="shared" ref="K73:K104" si="2">IF(AND(E73="yes",F73="yes",H73="covered"),1,IF(H73="partial",0.5,0))</f>
        <v>1</v>
      </c>
    </row>
    <row r="74" spans="1:11" ht="30" customHeight="1">
      <c r="A74" s="4">
        <v>66</v>
      </c>
      <c r="B74" s="5" t="s">
        <v>124</v>
      </c>
      <c r="C74" s="5" t="s">
        <v>1076</v>
      </c>
      <c r="D74" s="5" t="s">
        <v>125</v>
      </c>
      <c r="E74" s="7" t="s">
        <v>105</v>
      </c>
      <c r="F74" s="8" t="s">
        <v>105</v>
      </c>
      <c r="G74" s="4" t="s">
        <v>195</v>
      </c>
      <c r="H74" s="9" t="s">
        <v>196</v>
      </c>
      <c r="I74" s="5" t="s">
        <v>1572</v>
      </c>
      <c r="J74" s="5" t="s">
        <v>198</v>
      </c>
      <c r="K74" s="6">
        <f t="shared" si="2"/>
        <v>1</v>
      </c>
    </row>
    <row r="75" spans="1:11" ht="15" customHeight="1">
      <c r="A75" s="4">
        <v>67</v>
      </c>
      <c r="B75" s="5" t="s">
        <v>124</v>
      </c>
      <c r="C75" s="5" t="s">
        <v>1076</v>
      </c>
      <c r="D75" s="5" t="s">
        <v>126</v>
      </c>
      <c r="E75" s="7" t="s">
        <v>105</v>
      </c>
      <c r="F75" s="8" t="s">
        <v>105</v>
      </c>
      <c r="G75" s="4" t="s">
        <v>195</v>
      </c>
      <c r="H75" s="9" t="s">
        <v>196</v>
      </c>
      <c r="I75" s="5" t="s">
        <v>1572</v>
      </c>
      <c r="J75" s="5" t="s">
        <v>198</v>
      </c>
      <c r="K75" s="6">
        <f t="shared" si="2"/>
        <v>1</v>
      </c>
    </row>
    <row r="76" spans="1:11" ht="15" customHeight="1">
      <c r="A76" s="4">
        <v>68</v>
      </c>
      <c r="B76" s="5" t="s">
        <v>95</v>
      </c>
      <c r="C76" s="5" t="s">
        <v>1076</v>
      </c>
      <c r="D76" s="5" t="s">
        <v>127</v>
      </c>
      <c r="E76" s="7" t="s">
        <v>105</v>
      </c>
      <c r="F76" s="8" t="s">
        <v>105</v>
      </c>
      <c r="G76" s="4" t="s">
        <v>195</v>
      </c>
      <c r="H76" s="9" t="s">
        <v>196</v>
      </c>
      <c r="I76" s="5" t="s">
        <v>1572</v>
      </c>
      <c r="J76" s="5" t="s">
        <v>198</v>
      </c>
      <c r="K76" s="6">
        <f t="shared" si="2"/>
        <v>1</v>
      </c>
    </row>
    <row r="77" spans="1:11" ht="15" customHeight="1">
      <c r="A77" s="4">
        <v>69</v>
      </c>
      <c r="B77" s="5" t="s">
        <v>128</v>
      </c>
      <c r="C77" s="5" t="s">
        <v>1076</v>
      </c>
      <c r="D77" s="5" t="s">
        <v>129</v>
      </c>
      <c r="E77" s="7" t="s">
        <v>105</v>
      </c>
      <c r="F77" s="8" t="s">
        <v>105</v>
      </c>
      <c r="G77" s="4" t="s">
        <v>195</v>
      </c>
      <c r="H77" s="9" t="s">
        <v>196</v>
      </c>
      <c r="I77" s="5" t="s">
        <v>1572</v>
      </c>
      <c r="J77" s="5" t="s">
        <v>198</v>
      </c>
      <c r="K77" s="6">
        <f t="shared" si="2"/>
        <v>1</v>
      </c>
    </row>
    <row r="78" spans="1:11" ht="15" customHeight="1">
      <c r="A78" s="4">
        <v>70</v>
      </c>
      <c r="B78" s="5" t="s">
        <v>130</v>
      </c>
      <c r="C78" s="5" t="s">
        <v>1076</v>
      </c>
      <c r="D78" s="5" t="s">
        <v>131</v>
      </c>
      <c r="E78" s="7" t="s">
        <v>105</v>
      </c>
      <c r="F78" s="8" t="s">
        <v>105</v>
      </c>
      <c r="G78" s="4" t="s">
        <v>195</v>
      </c>
      <c r="H78" s="9" t="s">
        <v>196</v>
      </c>
      <c r="I78" s="5" t="s">
        <v>1572</v>
      </c>
      <c r="J78" s="5" t="s">
        <v>1601</v>
      </c>
      <c r="K78" s="6">
        <f t="shared" si="2"/>
        <v>1</v>
      </c>
    </row>
    <row r="79" spans="1:11" ht="15" customHeight="1">
      <c r="A79" s="4">
        <v>71</v>
      </c>
      <c r="B79" s="5" t="s">
        <v>130</v>
      </c>
      <c r="C79" s="5" t="s">
        <v>1076</v>
      </c>
      <c r="D79" s="5" t="s">
        <v>132</v>
      </c>
      <c r="E79" s="7" t="s">
        <v>105</v>
      </c>
      <c r="F79" s="8" t="s">
        <v>105</v>
      </c>
      <c r="G79" s="4" t="s">
        <v>195</v>
      </c>
      <c r="H79" s="9" t="s">
        <v>196</v>
      </c>
      <c r="I79" s="5" t="s">
        <v>1572</v>
      </c>
      <c r="J79" s="5" t="s">
        <v>1601</v>
      </c>
      <c r="K79" s="6">
        <f t="shared" si="2"/>
        <v>1</v>
      </c>
    </row>
    <row r="80" spans="1:11" ht="15" customHeight="1">
      <c r="A80" s="4">
        <v>72</v>
      </c>
      <c r="B80" s="5" t="s">
        <v>130</v>
      </c>
      <c r="C80" s="5" t="s">
        <v>1076</v>
      </c>
      <c r="D80" s="5" t="s">
        <v>1602</v>
      </c>
      <c r="E80" s="7" t="s">
        <v>105</v>
      </c>
      <c r="F80" s="8" t="s">
        <v>105</v>
      </c>
      <c r="G80" s="4" t="s">
        <v>195</v>
      </c>
      <c r="H80" s="9" t="s">
        <v>196</v>
      </c>
      <c r="I80" s="5" t="s">
        <v>1572</v>
      </c>
      <c r="J80" s="5" t="s">
        <v>1603</v>
      </c>
      <c r="K80" s="6">
        <f t="shared" si="2"/>
        <v>1</v>
      </c>
    </row>
    <row r="81" spans="1:11" ht="15" customHeight="1">
      <c r="A81" s="4">
        <v>73</v>
      </c>
      <c r="B81" s="5" t="s">
        <v>153</v>
      </c>
      <c r="C81" s="5" t="s">
        <v>154</v>
      </c>
      <c r="D81" s="5" t="s">
        <v>155</v>
      </c>
      <c r="E81" s="7" t="s">
        <v>105</v>
      </c>
      <c r="F81" s="8" t="s">
        <v>105</v>
      </c>
      <c r="G81" s="4" t="s">
        <v>195</v>
      </c>
      <c r="H81" s="9" t="s">
        <v>196</v>
      </c>
      <c r="I81" s="5" t="s">
        <v>1572</v>
      </c>
      <c r="J81" s="5" t="s">
        <v>198</v>
      </c>
      <c r="K81" s="6">
        <f t="shared" si="2"/>
        <v>1</v>
      </c>
    </row>
    <row r="82" spans="1:11" ht="15" customHeight="1">
      <c r="A82" s="4">
        <v>74</v>
      </c>
      <c r="B82" s="5" t="s">
        <v>153</v>
      </c>
      <c r="C82" s="5" t="s">
        <v>154</v>
      </c>
      <c r="D82" s="5" t="s">
        <v>1303</v>
      </c>
      <c r="E82" s="7" t="s">
        <v>105</v>
      </c>
      <c r="F82" s="8" t="s">
        <v>105</v>
      </c>
      <c r="G82" s="4" t="s">
        <v>195</v>
      </c>
      <c r="H82" s="9" t="s">
        <v>196</v>
      </c>
      <c r="I82" s="5" t="s">
        <v>1572</v>
      </c>
      <c r="J82" s="5" t="s">
        <v>198</v>
      </c>
      <c r="K82" s="6">
        <f t="shared" si="2"/>
        <v>1</v>
      </c>
    </row>
    <row r="83" spans="1:11" ht="15" customHeight="1">
      <c r="A83" s="4">
        <v>75</v>
      </c>
      <c r="B83" s="5" t="s">
        <v>153</v>
      </c>
      <c r="C83" s="5" t="s">
        <v>154</v>
      </c>
      <c r="D83" s="5" t="s">
        <v>156</v>
      </c>
      <c r="E83" s="7" t="s">
        <v>105</v>
      </c>
      <c r="F83" s="8" t="s">
        <v>105</v>
      </c>
      <c r="G83" s="4" t="s">
        <v>195</v>
      </c>
      <c r="H83" s="9" t="s">
        <v>196</v>
      </c>
      <c r="I83" s="5" t="s">
        <v>1572</v>
      </c>
      <c r="J83" s="5" t="s">
        <v>198</v>
      </c>
      <c r="K83" s="6">
        <f t="shared" si="2"/>
        <v>1</v>
      </c>
    </row>
    <row r="84" spans="1:11" ht="15" customHeight="1">
      <c r="A84" s="4">
        <v>76</v>
      </c>
      <c r="B84" s="5" t="s">
        <v>153</v>
      </c>
      <c r="C84" s="5" t="s">
        <v>154</v>
      </c>
      <c r="D84" s="5" t="s">
        <v>157</v>
      </c>
      <c r="E84" s="7" t="s">
        <v>105</v>
      </c>
      <c r="F84" s="8" t="s">
        <v>105</v>
      </c>
      <c r="G84" s="4" t="s">
        <v>195</v>
      </c>
      <c r="H84" s="9" t="s">
        <v>196</v>
      </c>
      <c r="I84" s="5" t="s">
        <v>1572</v>
      </c>
      <c r="J84" s="5" t="s">
        <v>198</v>
      </c>
      <c r="K84" s="6">
        <f t="shared" si="2"/>
        <v>1</v>
      </c>
    </row>
    <row r="85" spans="1:11" ht="15" customHeight="1">
      <c r="A85" s="4">
        <v>77</v>
      </c>
      <c r="B85" s="5" t="s">
        <v>153</v>
      </c>
      <c r="C85" s="5" t="s">
        <v>154</v>
      </c>
      <c r="D85" s="5" t="s">
        <v>726</v>
      </c>
      <c r="E85" s="7" t="s">
        <v>105</v>
      </c>
      <c r="F85" s="8" t="s">
        <v>105</v>
      </c>
      <c r="G85" s="4" t="s">
        <v>195</v>
      </c>
      <c r="H85" s="9" t="s">
        <v>196</v>
      </c>
      <c r="I85" s="5" t="s">
        <v>1572</v>
      </c>
      <c r="J85" s="5" t="s">
        <v>198</v>
      </c>
      <c r="K85" s="6">
        <f t="shared" si="2"/>
        <v>1</v>
      </c>
    </row>
    <row r="86" spans="1:11" ht="15" customHeight="1">
      <c r="A86" s="4">
        <v>78</v>
      </c>
      <c r="B86" s="5" t="s">
        <v>153</v>
      </c>
      <c r="C86" s="5" t="s">
        <v>154</v>
      </c>
      <c r="D86" s="5" t="s">
        <v>438</v>
      </c>
      <c r="E86" s="7" t="s">
        <v>105</v>
      </c>
      <c r="F86" s="8" t="s">
        <v>105</v>
      </c>
      <c r="G86" s="4" t="s">
        <v>195</v>
      </c>
      <c r="H86" s="9" t="s">
        <v>196</v>
      </c>
      <c r="I86" s="5" t="s">
        <v>1572</v>
      </c>
      <c r="J86" s="5" t="s">
        <v>198</v>
      </c>
      <c r="K86" s="6">
        <f t="shared" si="2"/>
        <v>1</v>
      </c>
    </row>
    <row r="87" spans="1:11" ht="15" customHeight="1">
      <c r="A87" s="4">
        <v>79</v>
      </c>
      <c r="B87" s="5" t="s">
        <v>153</v>
      </c>
      <c r="C87" s="5" t="s">
        <v>154</v>
      </c>
      <c r="D87" s="5" t="s">
        <v>158</v>
      </c>
      <c r="E87" s="7" t="s">
        <v>105</v>
      </c>
      <c r="F87" s="8" t="s">
        <v>105</v>
      </c>
      <c r="G87" s="4" t="s">
        <v>195</v>
      </c>
      <c r="H87" s="9" t="s">
        <v>196</v>
      </c>
      <c r="I87" s="5" t="s">
        <v>1572</v>
      </c>
      <c r="J87" s="5" t="s">
        <v>198</v>
      </c>
      <c r="K87" s="6">
        <f t="shared" si="2"/>
        <v>1</v>
      </c>
    </row>
    <row r="88" spans="1:11" ht="15" customHeight="1">
      <c r="A88" s="4">
        <v>80</v>
      </c>
      <c r="B88" s="5" t="s">
        <v>153</v>
      </c>
      <c r="C88" s="5" t="s">
        <v>154</v>
      </c>
      <c r="D88" s="5" t="s">
        <v>1604</v>
      </c>
      <c r="E88" s="7" t="s">
        <v>105</v>
      </c>
      <c r="F88" s="8" t="s">
        <v>105</v>
      </c>
      <c r="G88" s="4" t="s">
        <v>195</v>
      </c>
      <c r="H88" s="9" t="s">
        <v>196</v>
      </c>
      <c r="I88" s="5" t="s">
        <v>1572</v>
      </c>
      <c r="J88" s="5" t="s">
        <v>198</v>
      </c>
      <c r="K88" s="6">
        <f t="shared" si="2"/>
        <v>1</v>
      </c>
    </row>
    <row r="89" spans="1:11" ht="15" customHeight="1">
      <c r="A89" s="4">
        <v>81</v>
      </c>
      <c r="B89" s="5" t="s">
        <v>159</v>
      </c>
      <c r="C89" s="5" t="s">
        <v>154</v>
      </c>
      <c r="D89" s="5" t="s">
        <v>160</v>
      </c>
      <c r="E89" s="7" t="s">
        <v>105</v>
      </c>
      <c r="F89" s="8" t="s">
        <v>105</v>
      </c>
      <c r="G89" s="4" t="s">
        <v>195</v>
      </c>
      <c r="H89" s="9" t="s">
        <v>196</v>
      </c>
      <c r="I89" s="5" t="s">
        <v>1572</v>
      </c>
      <c r="J89" s="5" t="s">
        <v>198</v>
      </c>
      <c r="K89" s="6">
        <f t="shared" si="2"/>
        <v>1</v>
      </c>
    </row>
    <row r="90" spans="1:11" ht="15" customHeight="1">
      <c r="A90" s="4">
        <v>82</v>
      </c>
      <c r="B90" s="5" t="s">
        <v>159</v>
      </c>
      <c r="C90" s="5" t="s">
        <v>154</v>
      </c>
      <c r="D90" s="5" t="s">
        <v>162</v>
      </c>
      <c r="E90" s="7" t="s">
        <v>105</v>
      </c>
      <c r="F90" s="8" t="s">
        <v>105</v>
      </c>
      <c r="G90" s="4" t="s">
        <v>195</v>
      </c>
      <c r="H90" s="9" t="s">
        <v>196</v>
      </c>
      <c r="I90" s="5" t="s">
        <v>1572</v>
      </c>
      <c r="J90" s="5" t="s">
        <v>198</v>
      </c>
      <c r="K90" s="6">
        <f t="shared" si="2"/>
        <v>1</v>
      </c>
    </row>
    <row r="91" spans="1:11" ht="15" customHeight="1">
      <c r="A91" s="4">
        <v>83</v>
      </c>
      <c r="B91" s="5" t="s">
        <v>159</v>
      </c>
      <c r="C91" s="5" t="s">
        <v>154</v>
      </c>
      <c r="D91" s="5" t="s">
        <v>163</v>
      </c>
      <c r="E91" s="7" t="s">
        <v>105</v>
      </c>
      <c r="F91" s="8" t="s">
        <v>105</v>
      </c>
      <c r="G91" s="4" t="s">
        <v>195</v>
      </c>
      <c r="H91" s="9" t="s">
        <v>196</v>
      </c>
      <c r="I91" s="5" t="s">
        <v>1572</v>
      </c>
      <c r="J91" s="5" t="s">
        <v>198</v>
      </c>
      <c r="K91" s="6">
        <f t="shared" si="2"/>
        <v>1</v>
      </c>
    </row>
    <row r="92" spans="1:11" ht="30" customHeight="1">
      <c r="A92" s="4">
        <v>84</v>
      </c>
      <c r="B92" s="5" t="s">
        <v>130</v>
      </c>
      <c r="C92" s="5" t="s">
        <v>145</v>
      </c>
      <c r="D92" s="5" t="s">
        <v>164</v>
      </c>
      <c r="E92" s="7" t="s">
        <v>105</v>
      </c>
      <c r="F92" s="8" t="s">
        <v>105</v>
      </c>
      <c r="G92" s="4" t="s">
        <v>195</v>
      </c>
      <c r="H92" s="9" t="s">
        <v>196</v>
      </c>
      <c r="I92" s="5" t="s">
        <v>1572</v>
      </c>
      <c r="J92" s="5" t="s">
        <v>1605</v>
      </c>
      <c r="K92" s="6">
        <f t="shared" si="2"/>
        <v>1</v>
      </c>
    </row>
    <row r="93" spans="1:11" ht="15" customHeight="1">
      <c r="A93" s="4">
        <v>85</v>
      </c>
      <c r="B93" s="5" t="s">
        <v>130</v>
      </c>
      <c r="C93" s="5" t="s">
        <v>145</v>
      </c>
      <c r="D93" s="5" t="s">
        <v>165</v>
      </c>
      <c r="E93" s="7" t="s">
        <v>105</v>
      </c>
      <c r="F93" s="8" t="s">
        <v>105</v>
      </c>
      <c r="G93" s="4" t="s">
        <v>195</v>
      </c>
      <c r="H93" s="9" t="s">
        <v>196</v>
      </c>
      <c r="I93" s="5" t="s">
        <v>1572</v>
      </c>
      <c r="J93" s="5" t="s">
        <v>1605</v>
      </c>
      <c r="K93" s="6">
        <f t="shared" si="2"/>
        <v>1</v>
      </c>
    </row>
    <row r="94" spans="1:11" ht="15" customHeight="1">
      <c r="A94" s="4">
        <v>86</v>
      </c>
      <c r="B94" s="5" t="s">
        <v>130</v>
      </c>
      <c r="C94" s="5" t="s">
        <v>145</v>
      </c>
      <c r="D94" s="5" t="s">
        <v>1606</v>
      </c>
      <c r="E94" s="7" t="s">
        <v>105</v>
      </c>
      <c r="F94" s="8" t="s">
        <v>105</v>
      </c>
      <c r="G94" s="4" t="s">
        <v>195</v>
      </c>
      <c r="H94" s="9" t="s">
        <v>196</v>
      </c>
      <c r="I94" s="5" t="s">
        <v>1572</v>
      </c>
      <c r="J94" s="5" t="s">
        <v>1607</v>
      </c>
      <c r="K94" s="6">
        <f t="shared" si="2"/>
        <v>1</v>
      </c>
    </row>
    <row r="95" spans="1:11" ht="15" customHeight="1">
      <c r="A95" s="4">
        <v>87</v>
      </c>
      <c r="B95" s="5" t="s">
        <v>130</v>
      </c>
      <c r="C95" s="5" t="s">
        <v>1076</v>
      </c>
      <c r="D95" s="5" t="s">
        <v>1608</v>
      </c>
      <c r="E95" s="7" t="s">
        <v>105</v>
      </c>
      <c r="F95" s="8" t="s">
        <v>105</v>
      </c>
      <c r="G95" s="4" t="s">
        <v>195</v>
      </c>
      <c r="H95" s="9" t="s">
        <v>196</v>
      </c>
      <c r="I95" s="5" t="s">
        <v>1572</v>
      </c>
      <c r="J95" s="5" t="s">
        <v>1609</v>
      </c>
      <c r="K95" s="6">
        <f t="shared" si="2"/>
        <v>1</v>
      </c>
    </row>
    <row r="96" spans="1:11" ht="15" customHeight="1">
      <c r="A96" s="4">
        <v>88</v>
      </c>
      <c r="B96" s="5" t="s">
        <v>130</v>
      </c>
      <c r="C96" s="5" t="s">
        <v>1076</v>
      </c>
      <c r="D96" s="5" t="s">
        <v>168</v>
      </c>
      <c r="E96" s="7" t="s">
        <v>105</v>
      </c>
      <c r="F96" s="8" t="s">
        <v>105</v>
      </c>
      <c r="G96" s="4" t="s">
        <v>195</v>
      </c>
      <c r="H96" s="9" t="s">
        <v>196</v>
      </c>
      <c r="I96" s="5" t="s">
        <v>1572</v>
      </c>
      <c r="J96" s="5" t="s">
        <v>1609</v>
      </c>
      <c r="K96" s="6">
        <f t="shared" si="2"/>
        <v>1</v>
      </c>
    </row>
    <row r="97" spans="1:11" ht="15" customHeight="1">
      <c r="A97" s="4">
        <v>89</v>
      </c>
      <c r="B97" s="5" t="s">
        <v>135</v>
      </c>
      <c r="C97" s="5" t="s">
        <v>121</v>
      </c>
      <c r="D97" s="5" t="s">
        <v>169</v>
      </c>
      <c r="E97" s="7" t="s">
        <v>105</v>
      </c>
      <c r="F97" s="8" t="s">
        <v>105</v>
      </c>
      <c r="G97" s="4" t="s">
        <v>195</v>
      </c>
      <c r="H97" s="9" t="s">
        <v>196</v>
      </c>
      <c r="I97" s="5" t="s">
        <v>1572</v>
      </c>
      <c r="J97" s="5" t="s">
        <v>198</v>
      </c>
      <c r="K97" s="6">
        <f t="shared" si="2"/>
        <v>1</v>
      </c>
    </row>
    <row r="98" spans="1:11" ht="15" customHeight="1">
      <c r="A98" s="4">
        <v>90</v>
      </c>
      <c r="B98" s="5" t="s">
        <v>135</v>
      </c>
      <c r="C98" s="5" t="s">
        <v>121</v>
      </c>
      <c r="D98" s="5" t="s">
        <v>170</v>
      </c>
      <c r="E98" s="7" t="s">
        <v>105</v>
      </c>
      <c r="F98" s="8" t="s">
        <v>105</v>
      </c>
      <c r="G98" s="4" t="s">
        <v>195</v>
      </c>
      <c r="H98" s="9" t="s">
        <v>196</v>
      </c>
      <c r="I98" s="5" t="s">
        <v>1572</v>
      </c>
      <c r="J98" s="5" t="s">
        <v>198</v>
      </c>
      <c r="K98" s="6">
        <f t="shared" si="2"/>
        <v>1</v>
      </c>
    </row>
    <row r="99" spans="1:11" ht="15" customHeight="1">
      <c r="A99" s="4">
        <v>91</v>
      </c>
      <c r="B99" s="5" t="s">
        <v>135</v>
      </c>
      <c r="C99" s="5" t="s">
        <v>121</v>
      </c>
      <c r="D99" s="5" t="s">
        <v>171</v>
      </c>
      <c r="E99" s="7" t="s">
        <v>105</v>
      </c>
      <c r="F99" s="8" t="s">
        <v>105</v>
      </c>
      <c r="G99" s="4" t="s">
        <v>195</v>
      </c>
      <c r="H99" s="9" t="s">
        <v>196</v>
      </c>
      <c r="I99" s="5" t="s">
        <v>1572</v>
      </c>
      <c r="J99" s="5" t="s">
        <v>198</v>
      </c>
      <c r="K99" s="6">
        <f t="shared" si="2"/>
        <v>1</v>
      </c>
    </row>
    <row r="100" spans="1:11" ht="15" customHeight="1">
      <c r="A100" s="4">
        <v>92</v>
      </c>
      <c r="B100" s="5" t="s">
        <v>172</v>
      </c>
      <c r="C100" s="5" t="s">
        <v>145</v>
      </c>
      <c r="D100" s="5" t="s">
        <v>173</v>
      </c>
      <c r="E100" s="7" t="s">
        <v>105</v>
      </c>
      <c r="F100" s="8" t="s">
        <v>105</v>
      </c>
      <c r="G100" s="4" t="s">
        <v>195</v>
      </c>
      <c r="H100" s="9" t="s">
        <v>196</v>
      </c>
      <c r="I100" s="5" t="s">
        <v>1572</v>
      </c>
      <c r="J100" s="5" t="s">
        <v>198</v>
      </c>
      <c r="K100" s="6">
        <f t="shared" si="2"/>
        <v>1</v>
      </c>
    </row>
    <row r="101" spans="1:11" ht="15" customHeight="1">
      <c r="A101" s="4">
        <v>93</v>
      </c>
      <c r="B101" s="5" t="s">
        <v>172</v>
      </c>
      <c r="C101" s="5" t="s">
        <v>145</v>
      </c>
      <c r="D101" s="5" t="s">
        <v>174</v>
      </c>
      <c r="E101" s="7" t="s">
        <v>105</v>
      </c>
      <c r="F101" s="8" t="s">
        <v>105</v>
      </c>
      <c r="G101" s="4" t="s">
        <v>195</v>
      </c>
      <c r="H101" s="9" t="s">
        <v>196</v>
      </c>
      <c r="I101" s="5" t="s">
        <v>1572</v>
      </c>
      <c r="J101" s="5" t="s">
        <v>198</v>
      </c>
      <c r="K101" s="6">
        <f t="shared" si="2"/>
        <v>1</v>
      </c>
    </row>
    <row r="102" spans="1:11" ht="15" customHeight="1">
      <c r="A102" s="4">
        <v>94</v>
      </c>
      <c r="B102" s="5" t="s">
        <v>172</v>
      </c>
      <c r="C102" s="5" t="s">
        <v>145</v>
      </c>
      <c r="D102" s="5" t="s">
        <v>175</v>
      </c>
      <c r="E102" s="7" t="s">
        <v>105</v>
      </c>
      <c r="F102" s="8" t="s">
        <v>105</v>
      </c>
      <c r="G102" s="4" t="s">
        <v>195</v>
      </c>
      <c r="H102" s="9" t="s">
        <v>196</v>
      </c>
      <c r="I102" s="5" t="s">
        <v>1572</v>
      </c>
      <c r="J102" s="5" t="s">
        <v>198</v>
      </c>
      <c r="K102" s="6">
        <f t="shared" si="2"/>
        <v>1</v>
      </c>
    </row>
    <row r="103" spans="1:11" ht="15" customHeight="1">
      <c r="A103" s="4">
        <v>95</v>
      </c>
      <c r="B103" s="5" t="s">
        <v>172</v>
      </c>
      <c r="C103" s="5" t="s">
        <v>145</v>
      </c>
      <c r="D103" s="5" t="s">
        <v>176</v>
      </c>
      <c r="E103" s="7" t="s">
        <v>105</v>
      </c>
      <c r="F103" s="8" t="s">
        <v>105</v>
      </c>
      <c r="G103" s="4" t="s">
        <v>195</v>
      </c>
      <c r="H103" s="9" t="s">
        <v>196</v>
      </c>
      <c r="I103" s="5" t="s">
        <v>1572</v>
      </c>
      <c r="J103" s="5" t="s">
        <v>198</v>
      </c>
      <c r="K103" s="6">
        <f t="shared" si="2"/>
        <v>1</v>
      </c>
    </row>
    <row r="104" spans="1:11" ht="15" customHeight="1">
      <c r="A104" s="4">
        <v>96</v>
      </c>
      <c r="B104" s="5" t="s">
        <v>177</v>
      </c>
      <c r="C104" s="5" t="s">
        <v>145</v>
      </c>
      <c r="D104" s="5" t="s">
        <v>178</v>
      </c>
      <c r="E104" s="7" t="s">
        <v>105</v>
      </c>
      <c r="F104" s="8" t="s">
        <v>105</v>
      </c>
      <c r="G104" s="4" t="s">
        <v>195</v>
      </c>
      <c r="H104" s="9" t="s">
        <v>196</v>
      </c>
      <c r="I104" s="5" t="s">
        <v>1572</v>
      </c>
      <c r="J104" s="5" t="s">
        <v>198</v>
      </c>
      <c r="K104" s="6">
        <f t="shared" si="2"/>
        <v>1</v>
      </c>
    </row>
    <row r="105" spans="1:11" ht="15" customHeight="1">
      <c r="A105" s="4">
        <v>97</v>
      </c>
      <c r="B105" s="5" t="s">
        <v>405</v>
      </c>
      <c r="C105" s="5" t="s">
        <v>47</v>
      </c>
      <c r="D105" s="5" t="s">
        <v>1122</v>
      </c>
      <c r="E105" s="7" t="s">
        <v>105</v>
      </c>
      <c r="F105" s="8" t="s">
        <v>105</v>
      </c>
      <c r="G105" s="4" t="s">
        <v>195</v>
      </c>
      <c r="H105" s="9" t="s">
        <v>196</v>
      </c>
      <c r="I105" s="5" t="s">
        <v>1572</v>
      </c>
      <c r="J105" s="5" t="s">
        <v>198</v>
      </c>
      <c r="K105" s="6">
        <f t="shared" ref="K105:K112" si="3">IF(AND(E105="yes",F105="yes",H105="covered"),1,IF(H105="partial",0.5,0))</f>
        <v>1</v>
      </c>
    </row>
    <row r="106" spans="1:11" ht="15" customHeight="1">
      <c r="A106" s="4">
        <v>98</v>
      </c>
      <c r="B106" s="5" t="s">
        <v>405</v>
      </c>
      <c r="C106" s="5" t="s">
        <v>47</v>
      </c>
      <c r="D106" s="5" t="s">
        <v>1123</v>
      </c>
      <c r="E106" s="7" t="s">
        <v>105</v>
      </c>
      <c r="F106" s="8" t="s">
        <v>105</v>
      </c>
      <c r="G106" s="4" t="s">
        <v>195</v>
      </c>
      <c r="H106" s="9" t="s">
        <v>196</v>
      </c>
      <c r="I106" s="5" t="s">
        <v>1572</v>
      </c>
      <c r="J106" s="5" t="s">
        <v>198</v>
      </c>
      <c r="K106" s="6">
        <f t="shared" si="3"/>
        <v>1</v>
      </c>
    </row>
    <row r="107" spans="1:11" ht="15" customHeight="1">
      <c r="A107" s="4">
        <v>99</v>
      </c>
      <c r="B107" s="5" t="s">
        <v>405</v>
      </c>
      <c r="C107" s="5" t="s">
        <v>47</v>
      </c>
      <c r="D107" s="5" t="s">
        <v>1124</v>
      </c>
      <c r="E107" s="7" t="s">
        <v>105</v>
      </c>
      <c r="F107" s="8" t="s">
        <v>105</v>
      </c>
      <c r="G107" s="4" t="s">
        <v>195</v>
      </c>
      <c r="H107" s="9" t="s">
        <v>196</v>
      </c>
      <c r="I107" s="5" t="s">
        <v>1572</v>
      </c>
      <c r="J107" s="5" t="s">
        <v>198</v>
      </c>
      <c r="K107" s="6">
        <f t="shared" si="3"/>
        <v>1</v>
      </c>
    </row>
    <row r="108" spans="1:11" ht="15" customHeight="1">
      <c r="A108" s="4">
        <v>100</v>
      </c>
      <c r="B108" s="5" t="s">
        <v>177</v>
      </c>
      <c r="C108" s="5" t="s">
        <v>47</v>
      </c>
      <c r="D108" s="5" t="s">
        <v>1125</v>
      </c>
      <c r="E108" s="7" t="s">
        <v>105</v>
      </c>
      <c r="F108" s="8" t="s">
        <v>105</v>
      </c>
      <c r="G108" s="4" t="s">
        <v>195</v>
      </c>
      <c r="H108" s="9" t="s">
        <v>196</v>
      </c>
      <c r="I108" s="5" t="s">
        <v>1572</v>
      </c>
      <c r="J108" s="5" t="s">
        <v>198</v>
      </c>
      <c r="K108" s="6">
        <f t="shared" si="3"/>
        <v>1</v>
      </c>
    </row>
    <row r="109" spans="1:11" ht="15" customHeight="1">
      <c r="A109" s="4">
        <v>101</v>
      </c>
      <c r="B109" s="5" t="s">
        <v>177</v>
      </c>
      <c r="C109" s="5" t="s">
        <v>47</v>
      </c>
      <c r="D109" s="5" t="s">
        <v>1126</v>
      </c>
      <c r="E109" s="7" t="s">
        <v>105</v>
      </c>
      <c r="F109" s="8" t="s">
        <v>105</v>
      </c>
      <c r="G109" s="4" t="s">
        <v>195</v>
      </c>
      <c r="H109" s="9" t="s">
        <v>196</v>
      </c>
      <c r="I109" s="5" t="s">
        <v>1572</v>
      </c>
      <c r="J109" s="5" t="s">
        <v>198</v>
      </c>
      <c r="K109" s="6">
        <f t="shared" si="3"/>
        <v>1</v>
      </c>
    </row>
    <row r="110" spans="1:11" ht="15" customHeight="1">
      <c r="A110" s="4">
        <v>102</v>
      </c>
      <c r="B110" s="5" t="s">
        <v>927</v>
      </c>
      <c r="C110" s="5" t="s">
        <v>47</v>
      </c>
      <c r="D110" s="5" t="s">
        <v>1127</v>
      </c>
      <c r="E110" s="7" t="s">
        <v>105</v>
      </c>
      <c r="F110" s="8" t="s">
        <v>105</v>
      </c>
      <c r="G110" s="4" t="s">
        <v>195</v>
      </c>
      <c r="H110" s="9" t="s">
        <v>196</v>
      </c>
      <c r="I110" s="5" t="s">
        <v>1572</v>
      </c>
      <c r="J110" s="5" t="s">
        <v>198</v>
      </c>
      <c r="K110" s="6">
        <f t="shared" si="3"/>
        <v>1</v>
      </c>
    </row>
    <row r="111" spans="1:11" ht="15" customHeight="1">
      <c r="A111" s="4">
        <v>103</v>
      </c>
      <c r="B111" s="5" t="s">
        <v>55</v>
      </c>
      <c r="C111" s="5" t="s">
        <v>47</v>
      </c>
      <c r="D111" s="5" t="s">
        <v>731</v>
      </c>
      <c r="E111" s="7" t="s">
        <v>105</v>
      </c>
      <c r="F111" s="8" t="s">
        <v>105</v>
      </c>
      <c r="G111" s="4" t="s">
        <v>195</v>
      </c>
      <c r="H111" s="9" t="s">
        <v>196</v>
      </c>
      <c r="I111" s="5" t="s">
        <v>1572</v>
      </c>
      <c r="J111" s="5" t="s">
        <v>198</v>
      </c>
      <c r="K111" s="6">
        <f t="shared" si="3"/>
        <v>1</v>
      </c>
    </row>
    <row r="112" spans="1:11" ht="15" customHeight="1">
      <c r="A112" s="4">
        <v>104</v>
      </c>
      <c r="B112" s="5" t="s">
        <v>55</v>
      </c>
      <c r="C112" s="5" t="s">
        <v>47</v>
      </c>
      <c r="D112" s="5" t="s">
        <v>732</v>
      </c>
      <c r="E112" s="7" t="s">
        <v>105</v>
      </c>
      <c r="F112" s="8" t="s">
        <v>105</v>
      </c>
      <c r="G112" s="4" t="s">
        <v>195</v>
      </c>
      <c r="H112" s="9" t="s">
        <v>196</v>
      </c>
      <c r="I112" s="5" t="s">
        <v>1572</v>
      </c>
      <c r="J112" s="5" t="s">
        <v>198</v>
      </c>
      <c r="K112" s="6">
        <f t="shared" si="3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15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1610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145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49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1611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49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1611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49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1611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49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1611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49</v>
      </c>
      <c r="D15" s="5" t="s">
        <v>1612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1611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49</v>
      </c>
      <c r="D16" s="5" t="s">
        <v>1613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1611</v>
      </c>
      <c r="J16" s="5" t="s">
        <v>109</v>
      </c>
      <c r="K16" s="6">
        <f t="shared" si="0"/>
        <v>0</v>
      </c>
    </row>
    <row r="17" spans="1:11" ht="30" customHeight="1">
      <c r="A17" s="4">
        <v>9</v>
      </c>
      <c r="B17" s="5" t="s">
        <v>113</v>
      </c>
      <c r="C17" s="5" t="s">
        <v>49</v>
      </c>
      <c r="D17" s="5" t="s">
        <v>1614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1611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49</v>
      </c>
      <c r="D18" s="5" t="s">
        <v>1615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1611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49</v>
      </c>
      <c r="D19" s="5" t="s">
        <v>1616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1611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1611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1611</v>
      </c>
      <c r="J21" s="5" t="s">
        <v>109</v>
      </c>
      <c r="K21" s="6">
        <f t="shared" si="0"/>
        <v>0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1611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1611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1611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1611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133</v>
      </c>
      <c r="C26" s="5" t="s">
        <v>121</v>
      </c>
      <c r="D26" s="5" t="s">
        <v>1617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1611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133</v>
      </c>
      <c r="C27" s="5" t="s">
        <v>121</v>
      </c>
      <c r="D27" s="5" t="s">
        <v>141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1611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133</v>
      </c>
      <c r="C28" s="5" t="s">
        <v>121</v>
      </c>
      <c r="D28" s="5" t="s">
        <v>142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1611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143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1611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120</v>
      </c>
      <c r="C30" s="5" t="s">
        <v>43</v>
      </c>
      <c r="D30" s="5" t="s">
        <v>122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1611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120</v>
      </c>
      <c r="C31" s="5" t="s">
        <v>43</v>
      </c>
      <c r="D31" s="5" t="s">
        <v>123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1611</v>
      </c>
      <c r="J31" s="5" t="s">
        <v>109</v>
      </c>
      <c r="K31" s="6">
        <f t="shared" si="0"/>
        <v>0</v>
      </c>
    </row>
    <row r="32" spans="1:11" ht="30" customHeight="1">
      <c r="A32" s="4">
        <v>24</v>
      </c>
      <c r="B32" s="5" t="s">
        <v>124</v>
      </c>
      <c r="C32" s="5" t="s">
        <v>43</v>
      </c>
      <c r="D32" s="5" t="s">
        <v>125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1611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124</v>
      </c>
      <c r="C33" s="5" t="s">
        <v>43</v>
      </c>
      <c r="D33" s="5" t="s">
        <v>126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1611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95</v>
      </c>
      <c r="C34" s="5" t="s">
        <v>43</v>
      </c>
      <c r="D34" s="5" t="s">
        <v>127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1611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128</v>
      </c>
      <c r="C35" s="5" t="s">
        <v>43</v>
      </c>
      <c r="D35" s="5" t="s">
        <v>129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1611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133</v>
      </c>
      <c r="C36" s="5" t="s">
        <v>43</v>
      </c>
      <c r="D36" s="5" t="s">
        <v>142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1611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120</v>
      </c>
      <c r="C37" s="5" t="s">
        <v>150</v>
      </c>
      <c r="D37" s="5" t="s">
        <v>122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1611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120</v>
      </c>
      <c r="C38" s="5" t="s">
        <v>150</v>
      </c>
      <c r="D38" s="5" t="s">
        <v>123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1611</v>
      </c>
      <c r="J38" s="5" t="s">
        <v>109</v>
      </c>
      <c r="K38" s="6">
        <f t="shared" si="0"/>
        <v>0</v>
      </c>
    </row>
    <row r="39" spans="1:11" ht="30" customHeight="1">
      <c r="A39" s="4">
        <v>31</v>
      </c>
      <c r="B39" s="5" t="s">
        <v>124</v>
      </c>
      <c r="C39" s="5" t="s">
        <v>150</v>
      </c>
      <c r="D39" s="5" t="s">
        <v>125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1611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124</v>
      </c>
      <c r="C40" s="5" t="s">
        <v>150</v>
      </c>
      <c r="D40" s="5" t="s">
        <v>126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1611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95</v>
      </c>
      <c r="C41" s="5" t="s">
        <v>150</v>
      </c>
      <c r="D41" s="5" t="s">
        <v>127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1611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128</v>
      </c>
      <c r="C42" s="5" t="s">
        <v>150</v>
      </c>
      <c r="D42" s="5" t="s">
        <v>129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1611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133</v>
      </c>
      <c r="C43" s="5" t="s">
        <v>150</v>
      </c>
      <c r="D43" s="5" t="s">
        <v>142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1611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120</v>
      </c>
      <c r="C44" s="5" t="s">
        <v>559</v>
      </c>
      <c r="D44" s="5" t="s">
        <v>122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1611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120</v>
      </c>
      <c r="C45" s="5" t="s">
        <v>559</v>
      </c>
      <c r="D45" s="5" t="s">
        <v>123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1611</v>
      </c>
      <c r="J45" s="5" t="s">
        <v>109</v>
      </c>
      <c r="K45" s="6">
        <f t="shared" si="1"/>
        <v>0</v>
      </c>
    </row>
    <row r="46" spans="1:11" ht="30" customHeight="1">
      <c r="A46" s="4">
        <v>38</v>
      </c>
      <c r="B46" s="5" t="s">
        <v>124</v>
      </c>
      <c r="C46" s="5" t="s">
        <v>559</v>
      </c>
      <c r="D46" s="5" t="s">
        <v>125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1611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124</v>
      </c>
      <c r="C47" s="5" t="s">
        <v>559</v>
      </c>
      <c r="D47" s="5" t="s">
        <v>126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1611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95</v>
      </c>
      <c r="C48" s="5" t="s">
        <v>559</v>
      </c>
      <c r="D48" s="5" t="s">
        <v>127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1611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128</v>
      </c>
      <c r="C49" s="5" t="s">
        <v>559</v>
      </c>
      <c r="D49" s="5" t="s">
        <v>129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1611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135</v>
      </c>
      <c r="C50" s="5" t="s">
        <v>559</v>
      </c>
      <c r="D50" s="5" t="s">
        <v>136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1611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133</v>
      </c>
      <c r="C51" s="5" t="s">
        <v>559</v>
      </c>
      <c r="D51" s="5" t="s">
        <v>1618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1611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130</v>
      </c>
      <c r="C52" s="5" t="s">
        <v>559</v>
      </c>
      <c r="D52" s="5" t="s">
        <v>131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1611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130</v>
      </c>
      <c r="C53" s="5" t="s">
        <v>559</v>
      </c>
      <c r="D53" s="5" t="s">
        <v>132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1611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133</v>
      </c>
      <c r="C54" s="5" t="s">
        <v>559</v>
      </c>
      <c r="D54" s="5" t="s">
        <v>142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1611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133</v>
      </c>
      <c r="C55" s="5" t="s">
        <v>559</v>
      </c>
      <c r="D55" s="5" t="s">
        <v>1619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1611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120</v>
      </c>
      <c r="C56" s="5" t="s">
        <v>1620</v>
      </c>
      <c r="D56" s="5" t="s">
        <v>122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1611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120</v>
      </c>
      <c r="C57" s="5" t="s">
        <v>1620</v>
      </c>
      <c r="D57" s="5" t="s">
        <v>123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1611</v>
      </c>
      <c r="J57" s="5" t="s">
        <v>109</v>
      </c>
      <c r="K57" s="6">
        <f t="shared" si="1"/>
        <v>0</v>
      </c>
    </row>
    <row r="58" spans="1:11" ht="30" customHeight="1">
      <c r="A58" s="4">
        <v>50</v>
      </c>
      <c r="B58" s="5" t="s">
        <v>124</v>
      </c>
      <c r="C58" s="5" t="s">
        <v>1620</v>
      </c>
      <c r="D58" s="5" t="s">
        <v>125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1611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124</v>
      </c>
      <c r="C59" s="5" t="s">
        <v>1620</v>
      </c>
      <c r="D59" s="5" t="s">
        <v>126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1611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95</v>
      </c>
      <c r="C60" s="5" t="s">
        <v>1620</v>
      </c>
      <c r="D60" s="5" t="s">
        <v>127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1611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128</v>
      </c>
      <c r="C61" s="5" t="s">
        <v>1620</v>
      </c>
      <c r="D61" s="5" t="s">
        <v>129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1611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120</v>
      </c>
      <c r="C62" s="5" t="s">
        <v>1621</v>
      </c>
      <c r="D62" s="5" t="s">
        <v>122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1611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120</v>
      </c>
      <c r="C63" s="5" t="s">
        <v>1621</v>
      </c>
      <c r="D63" s="5" t="s">
        <v>123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1611</v>
      </c>
      <c r="J63" s="5" t="s">
        <v>109</v>
      </c>
      <c r="K63" s="6">
        <f t="shared" si="1"/>
        <v>0</v>
      </c>
    </row>
    <row r="64" spans="1:11" ht="30" customHeight="1">
      <c r="A64" s="4">
        <v>56</v>
      </c>
      <c r="B64" s="5" t="s">
        <v>124</v>
      </c>
      <c r="C64" s="5" t="s">
        <v>1621</v>
      </c>
      <c r="D64" s="5" t="s">
        <v>125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1611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124</v>
      </c>
      <c r="C65" s="5" t="s">
        <v>1621</v>
      </c>
      <c r="D65" s="5" t="s">
        <v>126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1611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95</v>
      </c>
      <c r="C66" s="5" t="s">
        <v>1621</v>
      </c>
      <c r="D66" s="5" t="s">
        <v>127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1611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128</v>
      </c>
      <c r="C67" s="5" t="s">
        <v>1621</v>
      </c>
      <c r="D67" s="5" t="s">
        <v>129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1611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120</v>
      </c>
      <c r="C68" s="5" t="s">
        <v>1622</v>
      </c>
      <c r="D68" s="5" t="s">
        <v>122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1611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120</v>
      </c>
      <c r="C69" s="5" t="s">
        <v>1622</v>
      </c>
      <c r="D69" s="5" t="s">
        <v>123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1611</v>
      </c>
      <c r="J69" s="5" t="s">
        <v>109</v>
      </c>
      <c r="K69" s="6">
        <f t="shared" si="1"/>
        <v>0</v>
      </c>
    </row>
    <row r="70" spans="1:11" ht="30" customHeight="1">
      <c r="A70" s="4">
        <v>62</v>
      </c>
      <c r="B70" s="5" t="s">
        <v>124</v>
      </c>
      <c r="C70" s="5" t="s">
        <v>1622</v>
      </c>
      <c r="D70" s="5" t="s">
        <v>125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1611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124</v>
      </c>
      <c r="C71" s="5" t="s">
        <v>1622</v>
      </c>
      <c r="D71" s="5" t="s">
        <v>126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1611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95</v>
      </c>
      <c r="C72" s="5" t="s">
        <v>1622</v>
      </c>
      <c r="D72" s="5" t="s">
        <v>127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1611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128</v>
      </c>
      <c r="C73" s="5" t="s">
        <v>1622</v>
      </c>
      <c r="D73" s="5" t="s">
        <v>129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1611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120</v>
      </c>
      <c r="C74" s="5" t="s">
        <v>1623</v>
      </c>
      <c r="D74" s="5" t="s">
        <v>122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1611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120</v>
      </c>
      <c r="C75" s="5" t="s">
        <v>1623</v>
      </c>
      <c r="D75" s="5" t="s">
        <v>123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1611</v>
      </c>
      <c r="J75" s="5" t="s">
        <v>109</v>
      </c>
      <c r="K75" s="6">
        <f t="shared" si="2"/>
        <v>0</v>
      </c>
    </row>
    <row r="76" spans="1:11" ht="30" customHeight="1">
      <c r="A76" s="4">
        <v>68</v>
      </c>
      <c r="B76" s="5" t="s">
        <v>124</v>
      </c>
      <c r="C76" s="5" t="s">
        <v>1623</v>
      </c>
      <c r="D76" s="5" t="s">
        <v>125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1611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124</v>
      </c>
      <c r="C77" s="5" t="s">
        <v>1623</v>
      </c>
      <c r="D77" s="5" t="s">
        <v>126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1611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95</v>
      </c>
      <c r="C78" s="5" t="s">
        <v>1623</v>
      </c>
      <c r="D78" s="5" t="s">
        <v>127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1611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128</v>
      </c>
      <c r="C79" s="5" t="s">
        <v>1623</v>
      </c>
      <c r="D79" s="5" t="s">
        <v>129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1611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120</v>
      </c>
      <c r="C80" s="5" t="s">
        <v>1624</v>
      </c>
      <c r="D80" s="5" t="s">
        <v>122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1611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120</v>
      </c>
      <c r="C81" s="5" t="s">
        <v>1624</v>
      </c>
      <c r="D81" s="5" t="s">
        <v>123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1611</v>
      </c>
      <c r="J81" s="5" t="s">
        <v>109</v>
      </c>
      <c r="K81" s="6">
        <f t="shared" si="2"/>
        <v>0</v>
      </c>
    </row>
    <row r="82" spans="1:11" ht="30" customHeight="1">
      <c r="A82" s="4">
        <v>74</v>
      </c>
      <c r="B82" s="5" t="s">
        <v>124</v>
      </c>
      <c r="C82" s="5" t="s">
        <v>1624</v>
      </c>
      <c r="D82" s="5" t="s">
        <v>125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1611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124</v>
      </c>
      <c r="C83" s="5" t="s">
        <v>1624</v>
      </c>
      <c r="D83" s="5" t="s">
        <v>126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1611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95</v>
      </c>
      <c r="C84" s="5" t="s">
        <v>1624</v>
      </c>
      <c r="D84" s="5" t="s">
        <v>127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1611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128</v>
      </c>
      <c r="C85" s="5" t="s">
        <v>1624</v>
      </c>
      <c r="D85" s="5" t="s">
        <v>129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1611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120</v>
      </c>
      <c r="C86" s="5" t="s">
        <v>1625</v>
      </c>
      <c r="D86" s="5" t="s">
        <v>122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1611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120</v>
      </c>
      <c r="C87" s="5" t="s">
        <v>1625</v>
      </c>
      <c r="D87" s="5" t="s">
        <v>123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1611</v>
      </c>
      <c r="J87" s="5" t="s">
        <v>109</v>
      </c>
      <c r="K87" s="6">
        <f t="shared" si="2"/>
        <v>0</v>
      </c>
    </row>
    <row r="88" spans="1:11" ht="30" customHeight="1">
      <c r="A88" s="4">
        <v>80</v>
      </c>
      <c r="B88" s="5" t="s">
        <v>124</v>
      </c>
      <c r="C88" s="5" t="s">
        <v>1625</v>
      </c>
      <c r="D88" s="5" t="s">
        <v>125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1611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124</v>
      </c>
      <c r="C89" s="5" t="s">
        <v>1625</v>
      </c>
      <c r="D89" s="5" t="s">
        <v>126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1611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95</v>
      </c>
      <c r="C90" s="5" t="s">
        <v>1625</v>
      </c>
      <c r="D90" s="5" t="s">
        <v>127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1611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128</v>
      </c>
      <c r="C91" s="5" t="s">
        <v>1625</v>
      </c>
      <c r="D91" s="5" t="s">
        <v>129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1611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120</v>
      </c>
      <c r="C92" s="5" t="s">
        <v>1626</v>
      </c>
      <c r="D92" s="5" t="s">
        <v>122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1611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120</v>
      </c>
      <c r="C93" s="5" t="s">
        <v>1626</v>
      </c>
      <c r="D93" s="5" t="s">
        <v>123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1611</v>
      </c>
      <c r="J93" s="5" t="s">
        <v>109</v>
      </c>
      <c r="K93" s="6">
        <f t="shared" si="2"/>
        <v>0</v>
      </c>
    </row>
    <row r="94" spans="1:11" ht="30" customHeight="1">
      <c r="A94" s="4">
        <v>86</v>
      </c>
      <c r="B94" s="5" t="s">
        <v>124</v>
      </c>
      <c r="C94" s="5" t="s">
        <v>1626</v>
      </c>
      <c r="D94" s="5" t="s">
        <v>125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1611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124</v>
      </c>
      <c r="C95" s="5" t="s">
        <v>1626</v>
      </c>
      <c r="D95" s="5" t="s">
        <v>126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1611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95</v>
      </c>
      <c r="C96" s="5" t="s">
        <v>1626</v>
      </c>
      <c r="D96" s="5" t="s">
        <v>127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1611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128</v>
      </c>
      <c r="C97" s="5" t="s">
        <v>1626</v>
      </c>
      <c r="D97" s="5" t="s">
        <v>129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1611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120</v>
      </c>
      <c r="C98" s="5" t="s">
        <v>434</v>
      </c>
      <c r="D98" s="5" t="s">
        <v>122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1611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120</v>
      </c>
      <c r="C99" s="5" t="s">
        <v>434</v>
      </c>
      <c r="D99" s="5" t="s">
        <v>123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1611</v>
      </c>
      <c r="J99" s="5" t="s">
        <v>109</v>
      </c>
      <c r="K99" s="6">
        <f t="shared" si="2"/>
        <v>0</v>
      </c>
    </row>
    <row r="100" spans="1:11" ht="30" customHeight="1">
      <c r="A100" s="4">
        <v>92</v>
      </c>
      <c r="B100" s="5" t="s">
        <v>124</v>
      </c>
      <c r="C100" s="5" t="s">
        <v>434</v>
      </c>
      <c r="D100" s="5" t="s">
        <v>125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1611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124</v>
      </c>
      <c r="C101" s="5" t="s">
        <v>434</v>
      </c>
      <c r="D101" s="5" t="s">
        <v>126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1611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95</v>
      </c>
      <c r="C102" s="5" t="s">
        <v>434</v>
      </c>
      <c r="D102" s="5" t="s">
        <v>127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1611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128</v>
      </c>
      <c r="C103" s="5" t="s">
        <v>434</v>
      </c>
      <c r="D103" s="5" t="s">
        <v>129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1611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135</v>
      </c>
      <c r="C104" s="5" t="s">
        <v>434</v>
      </c>
      <c r="D104" s="5" t="s">
        <v>136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1611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135</v>
      </c>
      <c r="C105" s="5" t="s">
        <v>434</v>
      </c>
      <c r="D105" s="5" t="s">
        <v>657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1611</v>
      </c>
      <c r="J105" s="5" t="s">
        <v>109</v>
      </c>
      <c r="K105" s="6">
        <f t="shared" ref="K105:K136" si="3">IF(AND(E105="yes",F105="yes",H105="covered"),1,IF(H105="partial",0.5,0))</f>
        <v>0</v>
      </c>
    </row>
    <row r="106" spans="1:11" ht="15" customHeight="1">
      <c r="A106" s="4">
        <v>98</v>
      </c>
      <c r="B106" s="5" t="s">
        <v>135</v>
      </c>
      <c r="C106" s="5" t="s">
        <v>434</v>
      </c>
      <c r="D106" s="5" t="s">
        <v>658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1611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135</v>
      </c>
      <c r="C107" s="5" t="s">
        <v>434</v>
      </c>
      <c r="D107" s="5" t="s">
        <v>659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1611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120</v>
      </c>
      <c r="C108" s="5" t="s">
        <v>1627</v>
      </c>
      <c r="D108" s="5" t="s">
        <v>122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1611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120</v>
      </c>
      <c r="C109" s="5" t="s">
        <v>1627</v>
      </c>
      <c r="D109" s="5" t="s">
        <v>123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1611</v>
      </c>
      <c r="J109" s="5" t="s">
        <v>109</v>
      </c>
      <c r="K109" s="6">
        <f t="shared" si="3"/>
        <v>0</v>
      </c>
    </row>
    <row r="110" spans="1:11" ht="30" customHeight="1">
      <c r="A110" s="4">
        <v>102</v>
      </c>
      <c r="B110" s="5" t="s">
        <v>124</v>
      </c>
      <c r="C110" s="5" t="s">
        <v>1627</v>
      </c>
      <c r="D110" s="5" t="s">
        <v>125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1611</v>
      </c>
      <c r="J110" s="5" t="s">
        <v>109</v>
      </c>
      <c r="K110" s="6">
        <f t="shared" si="3"/>
        <v>0</v>
      </c>
    </row>
    <row r="111" spans="1:11" ht="15" customHeight="1">
      <c r="A111" s="4">
        <v>103</v>
      </c>
      <c r="B111" s="5" t="s">
        <v>124</v>
      </c>
      <c r="C111" s="5" t="s">
        <v>1627</v>
      </c>
      <c r="D111" s="5" t="s">
        <v>126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1611</v>
      </c>
      <c r="J111" s="5" t="s">
        <v>109</v>
      </c>
      <c r="K111" s="6">
        <f t="shared" si="3"/>
        <v>0</v>
      </c>
    </row>
    <row r="112" spans="1:11" ht="15" customHeight="1">
      <c r="A112" s="4">
        <v>104</v>
      </c>
      <c r="B112" s="5" t="s">
        <v>95</v>
      </c>
      <c r="C112" s="5" t="s">
        <v>1627</v>
      </c>
      <c r="D112" s="5" t="s">
        <v>127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1611</v>
      </c>
      <c r="J112" s="5" t="s">
        <v>109</v>
      </c>
      <c r="K112" s="6">
        <f t="shared" si="3"/>
        <v>0</v>
      </c>
    </row>
    <row r="113" spans="1:11" ht="15" customHeight="1">
      <c r="A113" s="4">
        <v>105</v>
      </c>
      <c r="B113" s="5" t="s">
        <v>128</v>
      </c>
      <c r="C113" s="5" t="s">
        <v>1627</v>
      </c>
      <c r="D113" s="5" t="s">
        <v>129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1611</v>
      </c>
      <c r="J113" s="5" t="s">
        <v>109</v>
      </c>
      <c r="K113" s="6">
        <f t="shared" si="3"/>
        <v>0</v>
      </c>
    </row>
    <row r="114" spans="1:11" ht="15" customHeight="1">
      <c r="A114" s="4">
        <v>106</v>
      </c>
      <c r="B114" s="5" t="s">
        <v>133</v>
      </c>
      <c r="C114" s="5" t="s">
        <v>1627</v>
      </c>
      <c r="D114" s="5" t="s">
        <v>619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1611</v>
      </c>
      <c r="J114" s="5" t="s">
        <v>109</v>
      </c>
      <c r="K114" s="6">
        <f t="shared" si="3"/>
        <v>0</v>
      </c>
    </row>
    <row r="115" spans="1:11" ht="15" customHeight="1">
      <c r="A115" s="4">
        <v>107</v>
      </c>
      <c r="B115" s="5" t="s">
        <v>120</v>
      </c>
      <c r="C115" s="5" t="s">
        <v>1628</v>
      </c>
      <c r="D115" s="5" t="s">
        <v>122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1611</v>
      </c>
      <c r="J115" s="5" t="s">
        <v>109</v>
      </c>
      <c r="K115" s="6">
        <f t="shared" si="3"/>
        <v>0</v>
      </c>
    </row>
    <row r="116" spans="1:11" ht="15" customHeight="1">
      <c r="A116" s="4">
        <v>108</v>
      </c>
      <c r="B116" s="5" t="s">
        <v>120</v>
      </c>
      <c r="C116" s="5" t="s">
        <v>1628</v>
      </c>
      <c r="D116" s="5" t="s">
        <v>123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1611</v>
      </c>
      <c r="J116" s="5" t="s">
        <v>109</v>
      </c>
      <c r="K116" s="6">
        <f t="shared" si="3"/>
        <v>0</v>
      </c>
    </row>
    <row r="117" spans="1:11" ht="30" customHeight="1">
      <c r="A117" s="4">
        <v>109</v>
      </c>
      <c r="B117" s="5" t="s">
        <v>124</v>
      </c>
      <c r="C117" s="5" t="s">
        <v>1628</v>
      </c>
      <c r="D117" s="5" t="s">
        <v>125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1611</v>
      </c>
      <c r="J117" s="5" t="s">
        <v>109</v>
      </c>
      <c r="K117" s="6">
        <f t="shared" si="3"/>
        <v>0</v>
      </c>
    </row>
    <row r="118" spans="1:11" ht="15" customHeight="1">
      <c r="A118" s="4">
        <v>110</v>
      </c>
      <c r="B118" s="5" t="s">
        <v>124</v>
      </c>
      <c r="C118" s="5" t="s">
        <v>1628</v>
      </c>
      <c r="D118" s="5" t="s">
        <v>126</v>
      </c>
      <c r="E118" s="7" t="s">
        <v>105</v>
      </c>
      <c r="F118" s="8" t="s">
        <v>97</v>
      </c>
      <c r="G118" s="4" t="s">
        <v>106</v>
      </c>
      <c r="H118" s="9" t="s">
        <v>107</v>
      </c>
      <c r="I118" s="5" t="s">
        <v>1611</v>
      </c>
      <c r="J118" s="5" t="s">
        <v>109</v>
      </c>
      <c r="K118" s="6">
        <f t="shared" si="3"/>
        <v>0</v>
      </c>
    </row>
    <row r="119" spans="1:11" ht="15" customHeight="1">
      <c r="A119" s="4">
        <v>111</v>
      </c>
      <c r="B119" s="5" t="s">
        <v>95</v>
      </c>
      <c r="C119" s="5" t="s">
        <v>1628</v>
      </c>
      <c r="D119" s="5" t="s">
        <v>127</v>
      </c>
      <c r="E119" s="7" t="s">
        <v>105</v>
      </c>
      <c r="F119" s="8" t="s">
        <v>97</v>
      </c>
      <c r="G119" s="4" t="s">
        <v>106</v>
      </c>
      <c r="H119" s="9" t="s">
        <v>107</v>
      </c>
      <c r="I119" s="5" t="s">
        <v>1611</v>
      </c>
      <c r="J119" s="5" t="s">
        <v>109</v>
      </c>
      <c r="K119" s="6">
        <f t="shared" si="3"/>
        <v>0</v>
      </c>
    </row>
    <row r="120" spans="1:11" ht="15" customHeight="1">
      <c r="A120" s="4">
        <v>112</v>
      </c>
      <c r="B120" s="5" t="s">
        <v>128</v>
      </c>
      <c r="C120" s="5" t="s">
        <v>1628</v>
      </c>
      <c r="D120" s="5" t="s">
        <v>129</v>
      </c>
      <c r="E120" s="7" t="s">
        <v>105</v>
      </c>
      <c r="F120" s="8" t="s">
        <v>97</v>
      </c>
      <c r="G120" s="4" t="s">
        <v>106</v>
      </c>
      <c r="H120" s="9" t="s">
        <v>107</v>
      </c>
      <c r="I120" s="5" t="s">
        <v>1611</v>
      </c>
      <c r="J120" s="5" t="s">
        <v>109</v>
      </c>
      <c r="K120" s="6">
        <f t="shared" si="3"/>
        <v>0</v>
      </c>
    </row>
    <row r="121" spans="1:11" ht="15" customHeight="1">
      <c r="A121" s="4">
        <v>113</v>
      </c>
      <c r="B121" s="5" t="s">
        <v>133</v>
      </c>
      <c r="C121" s="5" t="s">
        <v>1628</v>
      </c>
      <c r="D121" s="5" t="s">
        <v>142</v>
      </c>
      <c r="E121" s="7" t="s">
        <v>105</v>
      </c>
      <c r="F121" s="8" t="s">
        <v>97</v>
      </c>
      <c r="G121" s="4" t="s">
        <v>106</v>
      </c>
      <c r="H121" s="9" t="s">
        <v>107</v>
      </c>
      <c r="I121" s="5" t="s">
        <v>1611</v>
      </c>
      <c r="J121" s="5" t="s">
        <v>109</v>
      </c>
      <c r="K121" s="6">
        <f t="shared" si="3"/>
        <v>0</v>
      </c>
    </row>
    <row r="122" spans="1:11" ht="15" customHeight="1">
      <c r="A122" s="4">
        <v>114</v>
      </c>
      <c r="B122" s="5" t="s">
        <v>120</v>
      </c>
      <c r="C122" s="5" t="s">
        <v>1629</v>
      </c>
      <c r="D122" s="5" t="s">
        <v>122</v>
      </c>
      <c r="E122" s="7" t="s">
        <v>105</v>
      </c>
      <c r="F122" s="8" t="s">
        <v>97</v>
      </c>
      <c r="G122" s="4" t="s">
        <v>106</v>
      </c>
      <c r="H122" s="9" t="s">
        <v>107</v>
      </c>
      <c r="I122" s="5" t="s">
        <v>1611</v>
      </c>
      <c r="J122" s="5" t="s">
        <v>109</v>
      </c>
      <c r="K122" s="6">
        <f t="shared" si="3"/>
        <v>0</v>
      </c>
    </row>
    <row r="123" spans="1:11" ht="15" customHeight="1">
      <c r="A123" s="4">
        <v>115</v>
      </c>
      <c r="B123" s="5" t="s">
        <v>120</v>
      </c>
      <c r="C123" s="5" t="s">
        <v>1629</v>
      </c>
      <c r="D123" s="5" t="s">
        <v>123</v>
      </c>
      <c r="E123" s="7" t="s">
        <v>105</v>
      </c>
      <c r="F123" s="8" t="s">
        <v>97</v>
      </c>
      <c r="G123" s="4" t="s">
        <v>106</v>
      </c>
      <c r="H123" s="9" t="s">
        <v>107</v>
      </c>
      <c r="I123" s="5" t="s">
        <v>1611</v>
      </c>
      <c r="J123" s="5" t="s">
        <v>109</v>
      </c>
      <c r="K123" s="6">
        <f t="shared" si="3"/>
        <v>0</v>
      </c>
    </row>
    <row r="124" spans="1:11" ht="30" customHeight="1">
      <c r="A124" s="4">
        <v>116</v>
      </c>
      <c r="B124" s="5" t="s">
        <v>124</v>
      </c>
      <c r="C124" s="5" t="s">
        <v>1629</v>
      </c>
      <c r="D124" s="5" t="s">
        <v>125</v>
      </c>
      <c r="E124" s="7" t="s">
        <v>105</v>
      </c>
      <c r="F124" s="8" t="s">
        <v>97</v>
      </c>
      <c r="G124" s="4" t="s">
        <v>106</v>
      </c>
      <c r="H124" s="9" t="s">
        <v>107</v>
      </c>
      <c r="I124" s="5" t="s">
        <v>1611</v>
      </c>
      <c r="J124" s="5" t="s">
        <v>109</v>
      </c>
      <c r="K124" s="6">
        <f t="shared" si="3"/>
        <v>0</v>
      </c>
    </row>
    <row r="125" spans="1:11" ht="15" customHeight="1">
      <c r="A125" s="4">
        <v>117</v>
      </c>
      <c r="B125" s="5" t="s">
        <v>124</v>
      </c>
      <c r="C125" s="5" t="s">
        <v>1629</v>
      </c>
      <c r="D125" s="5" t="s">
        <v>126</v>
      </c>
      <c r="E125" s="7" t="s">
        <v>105</v>
      </c>
      <c r="F125" s="8" t="s">
        <v>97</v>
      </c>
      <c r="G125" s="4" t="s">
        <v>106</v>
      </c>
      <c r="H125" s="9" t="s">
        <v>107</v>
      </c>
      <c r="I125" s="5" t="s">
        <v>1611</v>
      </c>
      <c r="J125" s="5" t="s">
        <v>109</v>
      </c>
      <c r="K125" s="6">
        <f t="shared" si="3"/>
        <v>0</v>
      </c>
    </row>
    <row r="126" spans="1:11" ht="15" customHeight="1">
      <c r="A126" s="4">
        <v>118</v>
      </c>
      <c r="B126" s="5" t="s">
        <v>95</v>
      </c>
      <c r="C126" s="5" t="s">
        <v>1629</v>
      </c>
      <c r="D126" s="5" t="s">
        <v>127</v>
      </c>
      <c r="E126" s="7" t="s">
        <v>105</v>
      </c>
      <c r="F126" s="8" t="s">
        <v>97</v>
      </c>
      <c r="G126" s="4" t="s">
        <v>106</v>
      </c>
      <c r="H126" s="9" t="s">
        <v>107</v>
      </c>
      <c r="I126" s="5" t="s">
        <v>1611</v>
      </c>
      <c r="J126" s="5" t="s">
        <v>109</v>
      </c>
      <c r="K126" s="6">
        <f t="shared" si="3"/>
        <v>0</v>
      </c>
    </row>
    <row r="127" spans="1:11" ht="15" customHeight="1">
      <c r="A127" s="4">
        <v>119</v>
      </c>
      <c r="B127" s="5" t="s">
        <v>128</v>
      </c>
      <c r="C127" s="5" t="s">
        <v>1629</v>
      </c>
      <c r="D127" s="5" t="s">
        <v>129</v>
      </c>
      <c r="E127" s="7" t="s">
        <v>105</v>
      </c>
      <c r="F127" s="8" t="s">
        <v>97</v>
      </c>
      <c r="G127" s="4" t="s">
        <v>106</v>
      </c>
      <c r="H127" s="9" t="s">
        <v>107</v>
      </c>
      <c r="I127" s="5" t="s">
        <v>1611</v>
      </c>
      <c r="J127" s="5" t="s">
        <v>109</v>
      </c>
      <c r="K127" s="6">
        <f t="shared" si="3"/>
        <v>0</v>
      </c>
    </row>
    <row r="128" spans="1:11" ht="15" customHeight="1">
      <c r="A128" s="4">
        <v>120</v>
      </c>
      <c r="B128" s="5" t="s">
        <v>133</v>
      </c>
      <c r="C128" s="5" t="s">
        <v>1629</v>
      </c>
      <c r="D128" s="5" t="s">
        <v>142</v>
      </c>
      <c r="E128" s="7" t="s">
        <v>105</v>
      </c>
      <c r="F128" s="8" t="s">
        <v>97</v>
      </c>
      <c r="G128" s="4" t="s">
        <v>106</v>
      </c>
      <c r="H128" s="9" t="s">
        <v>107</v>
      </c>
      <c r="I128" s="5" t="s">
        <v>1611</v>
      </c>
      <c r="J128" s="5" t="s">
        <v>109</v>
      </c>
      <c r="K128" s="6">
        <f t="shared" si="3"/>
        <v>0</v>
      </c>
    </row>
    <row r="129" spans="1:11" ht="15" customHeight="1">
      <c r="A129" s="4">
        <v>121</v>
      </c>
      <c r="B129" s="5" t="s">
        <v>133</v>
      </c>
      <c r="C129" s="5" t="s">
        <v>1629</v>
      </c>
      <c r="D129" s="5" t="s">
        <v>146</v>
      </c>
      <c r="E129" s="7" t="s">
        <v>105</v>
      </c>
      <c r="F129" s="8" t="s">
        <v>97</v>
      </c>
      <c r="G129" s="4" t="s">
        <v>106</v>
      </c>
      <c r="H129" s="9" t="s">
        <v>107</v>
      </c>
      <c r="I129" s="5" t="s">
        <v>1611</v>
      </c>
      <c r="J129" s="5" t="s">
        <v>109</v>
      </c>
      <c r="K129" s="6">
        <f t="shared" si="3"/>
        <v>0</v>
      </c>
    </row>
    <row r="130" spans="1:11" ht="15" customHeight="1">
      <c r="A130" s="4">
        <v>122</v>
      </c>
      <c r="B130" s="5" t="s">
        <v>153</v>
      </c>
      <c r="C130" s="5" t="s">
        <v>154</v>
      </c>
      <c r="D130" s="5" t="s">
        <v>155</v>
      </c>
      <c r="E130" s="7" t="s">
        <v>105</v>
      </c>
      <c r="F130" s="8" t="s">
        <v>97</v>
      </c>
      <c r="G130" s="4" t="s">
        <v>106</v>
      </c>
      <c r="H130" s="9" t="s">
        <v>107</v>
      </c>
      <c r="I130" s="5" t="s">
        <v>1611</v>
      </c>
      <c r="J130" s="5" t="s">
        <v>109</v>
      </c>
      <c r="K130" s="6">
        <f t="shared" si="3"/>
        <v>0</v>
      </c>
    </row>
    <row r="131" spans="1:11" ht="15" customHeight="1">
      <c r="A131" s="4">
        <v>123</v>
      </c>
      <c r="B131" s="5" t="s">
        <v>153</v>
      </c>
      <c r="C131" s="5" t="s">
        <v>154</v>
      </c>
      <c r="D131" s="5" t="s">
        <v>548</v>
      </c>
      <c r="E131" s="7" t="s">
        <v>105</v>
      </c>
      <c r="F131" s="8" t="s">
        <v>97</v>
      </c>
      <c r="G131" s="4" t="s">
        <v>106</v>
      </c>
      <c r="H131" s="9" t="s">
        <v>107</v>
      </c>
      <c r="I131" s="5" t="s">
        <v>1611</v>
      </c>
      <c r="J131" s="5" t="s">
        <v>109</v>
      </c>
      <c r="K131" s="6">
        <f t="shared" si="3"/>
        <v>0</v>
      </c>
    </row>
    <row r="132" spans="1:11" ht="15" customHeight="1">
      <c r="A132" s="4">
        <v>124</v>
      </c>
      <c r="B132" s="5" t="s">
        <v>153</v>
      </c>
      <c r="C132" s="5" t="s">
        <v>154</v>
      </c>
      <c r="D132" s="5" t="s">
        <v>156</v>
      </c>
      <c r="E132" s="7" t="s">
        <v>105</v>
      </c>
      <c r="F132" s="8" t="s">
        <v>97</v>
      </c>
      <c r="G132" s="4" t="s">
        <v>106</v>
      </c>
      <c r="H132" s="9" t="s">
        <v>107</v>
      </c>
      <c r="I132" s="5" t="s">
        <v>1611</v>
      </c>
      <c r="J132" s="5" t="s">
        <v>109</v>
      </c>
      <c r="K132" s="6">
        <f t="shared" si="3"/>
        <v>0</v>
      </c>
    </row>
    <row r="133" spans="1:11" ht="15" customHeight="1">
      <c r="A133" s="4">
        <v>125</v>
      </c>
      <c r="B133" s="5" t="s">
        <v>153</v>
      </c>
      <c r="C133" s="5" t="s">
        <v>154</v>
      </c>
      <c r="D133" s="5" t="s">
        <v>157</v>
      </c>
      <c r="E133" s="7" t="s">
        <v>105</v>
      </c>
      <c r="F133" s="8" t="s">
        <v>97</v>
      </c>
      <c r="G133" s="4" t="s">
        <v>106</v>
      </c>
      <c r="H133" s="9" t="s">
        <v>107</v>
      </c>
      <c r="I133" s="5" t="s">
        <v>1611</v>
      </c>
      <c r="J133" s="5" t="s">
        <v>109</v>
      </c>
      <c r="K133" s="6">
        <f t="shared" si="3"/>
        <v>0</v>
      </c>
    </row>
    <row r="134" spans="1:11" ht="15" customHeight="1">
      <c r="A134" s="4">
        <v>126</v>
      </c>
      <c r="B134" s="5" t="s">
        <v>153</v>
      </c>
      <c r="C134" s="5" t="s">
        <v>154</v>
      </c>
      <c r="D134" s="5" t="s">
        <v>158</v>
      </c>
      <c r="E134" s="7" t="s">
        <v>105</v>
      </c>
      <c r="F134" s="8" t="s">
        <v>97</v>
      </c>
      <c r="G134" s="4" t="s">
        <v>106</v>
      </c>
      <c r="H134" s="9" t="s">
        <v>107</v>
      </c>
      <c r="I134" s="5" t="s">
        <v>1611</v>
      </c>
      <c r="J134" s="5" t="s">
        <v>109</v>
      </c>
      <c r="K134" s="6">
        <f t="shared" si="3"/>
        <v>0</v>
      </c>
    </row>
    <row r="135" spans="1:11" ht="15" customHeight="1">
      <c r="A135" s="4">
        <v>127</v>
      </c>
      <c r="B135" s="5" t="s">
        <v>159</v>
      </c>
      <c r="C135" s="5" t="s">
        <v>154</v>
      </c>
      <c r="D135" s="5" t="s">
        <v>549</v>
      </c>
      <c r="E135" s="7" t="s">
        <v>105</v>
      </c>
      <c r="F135" s="8" t="s">
        <v>97</v>
      </c>
      <c r="G135" s="4" t="s">
        <v>106</v>
      </c>
      <c r="H135" s="9" t="s">
        <v>107</v>
      </c>
      <c r="I135" s="5" t="s">
        <v>1611</v>
      </c>
      <c r="J135" s="5" t="s">
        <v>109</v>
      </c>
      <c r="K135" s="6">
        <f t="shared" si="3"/>
        <v>0</v>
      </c>
    </row>
    <row r="136" spans="1:11" ht="15" customHeight="1">
      <c r="A136" s="4">
        <v>128</v>
      </c>
      <c r="B136" s="5" t="s">
        <v>159</v>
      </c>
      <c r="C136" s="5" t="s">
        <v>154</v>
      </c>
      <c r="D136" s="5" t="s">
        <v>1630</v>
      </c>
      <c r="E136" s="7" t="s">
        <v>105</v>
      </c>
      <c r="F136" s="8" t="s">
        <v>97</v>
      </c>
      <c r="G136" s="4" t="s">
        <v>106</v>
      </c>
      <c r="H136" s="9" t="s">
        <v>107</v>
      </c>
      <c r="I136" s="5" t="s">
        <v>1611</v>
      </c>
      <c r="J136" s="5" t="s">
        <v>109</v>
      </c>
      <c r="K136" s="6">
        <f t="shared" si="3"/>
        <v>0</v>
      </c>
    </row>
    <row r="137" spans="1:11" ht="15" customHeight="1">
      <c r="A137" s="4">
        <v>129</v>
      </c>
      <c r="B137" s="5" t="s">
        <v>159</v>
      </c>
      <c r="C137" s="5" t="s">
        <v>154</v>
      </c>
      <c r="D137" s="5" t="s">
        <v>1631</v>
      </c>
      <c r="E137" s="7" t="s">
        <v>105</v>
      </c>
      <c r="F137" s="8" t="s">
        <v>97</v>
      </c>
      <c r="G137" s="4" t="s">
        <v>106</v>
      </c>
      <c r="H137" s="9" t="s">
        <v>107</v>
      </c>
      <c r="I137" s="5" t="s">
        <v>1611</v>
      </c>
      <c r="J137" s="5" t="s">
        <v>109</v>
      </c>
      <c r="K137" s="6">
        <f t="shared" ref="K137:K155" si="4">IF(AND(E137="yes",F137="yes",H137="covered"),1,IF(H137="partial",0.5,0))</f>
        <v>0</v>
      </c>
    </row>
    <row r="138" spans="1:11" ht="15" customHeight="1">
      <c r="A138" s="4">
        <v>130</v>
      </c>
      <c r="B138" s="5" t="s">
        <v>159</v>
      </c>
      <c r="C138" s="5" t="s">
        <v>154</v>
      </c>
      <c r="D138" s="5" t="s">
        <v>160</v>
      </c>
      <c r="E138" s="7" t="s">
        <v>105</v>
      </c>
      <c r="F138" s="8" t="s">
        <v>97</v>
      </c>
      <c r="G138" s="4" t="s">
        <v>106</v>
      </c>
      <c r="H138" s="9" t="s">
        <v>107</v>
      </c>
      <c r="I138" s="5" t="s">
        <v>1611</v>
      </c>
      <c r="J138" s="5" t="s">
        <v>109</v>
      </c>
      <c r="K138" s="6">
        <f t="shared" si="4"/>
        <v>0</v>
      </c>
    </row>
    <row r="139" spans="1:11" ht="15" customHeight="1">
      <c r="A139" s="4">
        <v>131</v>
      </c>
      <c r="B139" s="5" t="s">
        <v>159</v>
      </c>
      <c r="C139" s="5" t="s">
        <v>154</v>
      </c>
      <c r="D139" s="5" t="s">
        <v>1512</v>
      </c>
      <c r="E139" s="7" t="s">
        <v>105</v>
      </c>
      <c r="F139" s="8" t="s">
        <v>97</v>
      </c>
      <c r="G139" s="4" t="s">
        <v>106</v>
      </c>
      <c r="H139" s="9" t="s">
        <v>107</v>
      </c>
      <c r="I139" s="5" t="s">
        <v>1611</v>
      </c>
      <c r="J139" s="5" t="s">
        <v>109</v>
      </c>
      <c r="K139" s="6">
        <f t="shared" si="4"/>
        <v>0</v>
      </c>
    </row>
    <row r="140" spans="1:11" ht="15" customHeight="1">
      <c r="A140" s="4">
        <v>132</v>
      </c>
      <c r="B140" s="5" t="s">
        <v>159</v>
      </c>
      <c r="C140" s="5" t="s">
        <v>154</v>
      </c>
      <c r="D140" s="5" t="s">
        <v>161</v>
      </c>
      <c r="E140" s="7" t="s">
        <v>105</v>
      </c>
      <c r="F140" s="8" t="s">
        <v>97</v>
      </c>
      <c r="G140" s="4" t="s">
        <v>106</v>
      </c>
      <c r="H140" s="9" t="s">
        <v>107</v>
      </c>
      <c r="I140" s="5" t="s">
        <v>1611</v>
      </c>
      <c r="J140" s="5" t="s">
        <v>109</v>
      </c>
      <c r="K140" s="6">
        <f t="shared" si="4"/>
        <v>0</v>
      </c>
    </row>
    <row r="141" spans="1:11" ht="15" customHeight="1">
      <c r="A141" s="4">
        <v>133</v>
      </c>
      <c r="B141" s="5" t="s">
        <v>159</v>
      </c>
      <c r="C141" s="5" t="s">
        <v>154</v>
      </c>
      <c r="D141" s="5" t="s">
        <v>162</v>
      </c>
      <c r="E141" s="7" t="s">
        <v>105</v>
      </c>
      <c r="F141" s="8" t="s">
        <v>97</v>
      </c>
      <c r="G141" s="4" t="s">
        <v>106</v>
      </c>
      <c r="H141" s="9" t="s">
        <v>107</v>
      </c>
      <c r="I141" s="5" t="s">
        <v>1611</v>
      </c>
      <c r="J141" s="5" t="s">
        <v>109</v>
      </c>
      <c r="K141" s="6">
        <f t="shared" si="4"/>
        <v>0</v>
      </c>
    </row>
    <row r="142" spans="1:11" ht="15" customHeight="1">
      <c r="A142" s="4">
        <v>134</v>
      </c>
      <c r="B142" s="5" t="s">
        <v>159</v>
      </c>
      <c r="C142" s="5" t="s">
        <v>154</v>
      </c>
      <c r="D142" s="5" t="s">
        <v>163</v>
      </c>
      <c r="E142" s="7" t="s">
        <v>105</v>
      </c>
      <c r="F142" s="8" t="s">
        <v>97</v>
      </c>
      <c r="G142" s="4" t="s">
        <v>106</v>
      </c>
      <c r="H142" s="9" t="s">
        <v>107</v>
      </c>
      <c r="I142" s="5" t="s">
        <v>1611</v>
      </c>
      <c r="J142" s="5" t="s">
        <v>109</v>
      </c>
      <c r="K142" s="6">
        <f t="shared" si="4"/>
        <v>0</v>
      </c>
    </row>
    <row r="143" spans="1:11" ht="30" customHeight="1">
      <c r="A143" s="4">
        <v>135</v>
      </c>
      <c r="B143" s="5" t="s">
        <v>130</v>
      </c>
      <c r="C143" s="5" t="s">
        <v>49</v>
      </c>
      <c r="D143" s="5" t="s">
        <v>164</v>
      </c>
      <c r="E143" s="7" t="s">
        <v>105</v>
      </c>
      <c r="F143" s="8" t="s">
        <v>97</v>
      </c>
      <c r="G143" s="4" t="s">
        <v>106</v>
      </c>
      <c r="H143" s="9" t="s">
        <v>107</v>
      </c>
      <c r="I143" s="5" t="s">
        <v>1611</v>
      </c>
      <c r="J143" s="5" t="s">
        <v>109</v>
      </c>
      <c r="K143" s="6">
        <f t="shared" si="4"/>
        <v>0</v>
      </c>
    </row>
    <row r="144" spans="1:11" ht="15" customHeight="1">
      <c r="A144" s="4">
        <v>136</v>
      </c>
      <c r="B144" s="5" t="s">
        <v>130</v>
      </c>
      <c r="C144" s="5" t="s">
        <v>49</v>
      </c>
      <c r="D144" s="5" t="s">
        <v>165</v>
      </c>
      <c r="E144" s="7" t="s">
        <v>105</v>
      </c>
      <c r="F144" s="8" t="s">
        <v>97</v>
      </c>
      <c r="G144" s="4" t="s">
        <v>106</v>
      </c>
      <c r="H144" s="9" t="s">
        <v>107</v>
      </c>
      <c r="I144" s="5" t="s">
        <v>1611</v>
      </c>
      <c r="J144" s="5" t="s">
        <v>109</v>
      </c>
      <c r="K144" s="6">
        <f t="shared" si="4"/>
        <v>0</v>
      </c>
    </row>
    <row r="145" spans="1:11" ht="15" customHeight="1">
      <c r="A145" s="4">
        <v>137</v>
      </c>
      <c r="B145" s="5" t="s">
        <v>130</v>
      </c>
      <c r="C145" s="5" t="s">
        <v>49</v>
      </c>
      <c r="D145" s="5" t="s">
        <v>166</v>
      </c>
      <c r="E145" s="7" t="s">
        <v>105</v>
      </c>
      <c r="F145" s="8" t="s">
        <v>97</v>
      </c>
      <c r="G145" s="4" t="s">
        <v>106</v>
      </c>
      <c r="H145" s="9" t="s">
        <v>107</v>
      </c>
      <c r="I145" s="5" t="s">
        <v>1611</v>
      </c>
      <c r="J145" s="5" t="s">
        <v>109</v>
      </c>
      <c r="K145" s="6">
        <f t="shared" si="4"/>
        <v>0</v>
      </c>
    </row>
    <row r="146" spans="1:11" ht="15" customHeight="1">
      <c r="A146" s="4">
        <v>138</v>
      </c>
      <c r="B146" s="5" t="s">
        <v>130</v>
      </c>
      <c r="C146" s="5" t="s">
        <v>49</v>
      </c>
      <c r="D146" s="5" t="s">
        <v>167</v>
      </c>
      <c r="E146" s="7" t="s">
        <v>105</v>
      </c>
      <c r="F146" s="8" t="s">
        <v>97</v>
      </c>
      <c r="G146" s="4" t="s">
        <v>106</v>
      </c>
      <c r="H146" s="9" t="s">
        <v>107</v>
      </c>
      <c r="I146" s="5" t="s">
        <v>1611</v>
      </c>
      <c r="J146" s="5" t="s">
        <v>109</v>
      </c>
      <c r="K146" s="6">
        <f t="shared" si="4"/>
        <v>0</v>
      </c>
    </row>
    <row r="147" spans="1:11" ht="15" customHeight="1">
      <c r="A147" s="4">
        <v>139</v>
      </c>
      <c r="B147" s="5" t="s">
        <v>130</v>
      </c>
      <c r="C147" s="5" t="s">
        <v>49</v>
      </c>
      <c r="D147" s="5" t="s">
        <v>168</v>
      </c>
      <c r="E147" s="7" t="s">
        <v>105</v>
      </c>
      <c r="F147" s="8" t="s">
        <v>97</v>
      </c>
      <c r="G147" s="4" t="s">
        <v>106</v>
      </c>
      <c r="H147" s="9" t="s">
        <v>107</v>
      </c>
      <c r="I147" s="5" t="s">
        <v>1611</v>
      </c>
      <c r="J147" s="5" t="s">
        <v>109</v>
      </c>
      <c r="K147" s="6">
        <f t="shared" si="4"/>
        <v>0</v>
      </c>
    </row>
    <row r="148" spans="1:11" ht="15" customHeight="1">
      <c r="A148" s="4">
        <v>140</v>
      </c>
      <c r="B148" s="5" t="s">
        <v>135</v>
      </c>
      <c r="C148" s="5" t="s">
        <v>121</v>
      </c>
      <c r="D148" s="5" t="s">
        <v>169</v>
      </c>
      <c r="E148" s="7" t="s">
        <v>105</v>
      </c>
      <c r="F148" s="8" t="s">
        <v>97</v>
      </c>
      <c r="G148" s="4" t="s">
        <v>106</v>
      </c>
      <c r="H148" s="9" t="s">
        <v>107</v>
      </c>
      <c r="I148" s="5" t="s">
        <v>1611</v>
      </c>
      <c r="J148" s="5" t="s">
        <v>109</v>
      </c>
      <c r="K148" s="6">
        <f t="shared" si="4"/>
        <v>0</v>
      </c>
    </row>
    <row r="149" spans="1:11" ht="15" customHeight="1">
      <c r="A149" s="4">
        <v>141</v>
      </c>
      <c r="B149" s="5" t="s">
        <v>135</v>
      </c>
      <c r="C149" s="5" t="s">
        <v>121</v>
      </c>
      <c r="D149" s="5" t="s">
        <v>170</v>
      </c>
      <c r="E149" s="7" t="s">
        <v>105</v>
      </c>
      <c r="F149" s="8" t="s">
        <v>97</v>
      </c>
      <c r="G149" s="4" t="s">
        <v>106</v>
      </c>
      <c r="H149" s="9" t="s">
        <v>107</v>
      </c>
      <c r="I149" s="5" t="s">
        <v>1611</v>
      </c>
      <c r="J149" s="5" t="s">
        <v>109</v>
      </c>
      <c r="K149" s="6">
        <f t="shared" si="4"/>
        <v>0</v>
      </c>
    </row>
    <row r="150" spans="1:11" ht="15" customHeight="1">
      <c r="A150" s="4">
        <v>142</v>
      </c>
      <c r="B150" s="5" t="s">
        <v>135</v>
      </c>
      <c r="C150" s="5" t="s">
        <v>121</v>
      </c>
      <c r="D150" s="5" t="s">
        <v>171</v>
      </c>
      <c r="E150" s="7" t="s">
        <v>105</v>
      </c>
      <c r="F150" s="8" t="s">
        <v>97</v>
      </c>
      <c r="G150" s="4" t="s">
        <v>106</v>
      </c>
      <c r="H150" s="9" t="s">
        <v>107</v>
      </c>
      <c r="I150" s="5" t="s">
        <v>1611</v>
      </c>
      <c r="J150" s="5" t="s">
        <v>109</v>
      </c>
      <c r="K150" s="6">
        <f t="shared" si="4"/>
        <v>0</v>
      </c>
    </row>
    <row r="151" spans="1:11" ht="15" customHeight="1">
      <c r="A151" s="4">
        <v>143</v>
      </c>
      <c r="B151" s="5" t="s">
        <v>179</v>
      </c>
      <c r="C151" s="5" t="s">
        <v>49</v>
      </c>
      <c r="D151" s="5" t="s">
        <v>182</v>
      </c>
      <c r="E151" s="7" t="s">
        <v>105</v>
      </c>
      <c r="F151" s="8" t="s">
        <v>97</v>
      </c>
      <c r="G151" s="4" t="s">
        <v>106</v>
      </c>
      <c r="H151" s="9" t="s">
        <v>107</v>
      </c>
      <c r="I151" s="5" t="s">
        <v>1611</v>
      </c>
      <c r="J151" s="5" t="s">
        <v>109</v>
      </c>
      <c r="K151" s="6">
        <f t="shared" si="4"/>
        <v>0</v>
      </c>
    </row>
    <row r="152" spans="1:11" ht="15" customHeight="1">
      <c r="A152" s="4">
        <v>144</v>
      </c>
      <c r="B152" s="5" t="s">
        <v>179</v>
      </c>
      <c r="C152" s="5" t="s">
        <v>49</v>
      </c>
      <c r="D152" s="5" t="s">
        <v>183</v>
      </c>
      <c r="E152" s="7" t="s">
        <v>105</v>
      </c>
      <c r="F152" s="8" t="s">
        <v>97</v>
      </c>
      <c r="G152" s="4" t="s">
        <v>106</v>
      </c>
      <c r="H152" s="9" t="s">
        <v>107</v>
      </c>
      <c r="I152" s="5" t="s">
        <v>1611</v>
      </c>
      <c r="J152" s="5" t="s">
        <v>109</v>
      </c>
      <c r="K152" s="6">
        <f t="shared" si="4"/>
        <v>0</v>
      </c>
    </row>
    <row r="153" spans="1:11" ht="15" customHeight="1">
      <c r="A153" s="4">
        <v>145</v>
      </c>
      <c r="B153" s="5" t="s">
        <v>179</v>
      </c>
      <c r="C153" s="5" t="s">
        <v>49</v>
      </c>
      <c r="D153" s="5" t="s">
        <v>184</v>
      </c>
      <c r="E153" s="7" t="s">
        <v>105</v>
      </c>
      <c r="F153" s="8" t="s">
        <v>97</v>
      </c>
      <c r="G153" s="4" t="s">
        <v>106</v>
      </c>
      <c r="H153" s="9" t="s">
        <v>107</v>
      </c>
      <c r="I153" s="5" t="s">
        <v>1611</v>
      </c>
      <c r="J153" s="5" t="s">
        <v>109</v>
      </c>
      <c r="K153" s="6">
        <f t="shared" si="4"/>
        <v>0</v>
      </c>
    </row>
    <row r="154" spans="1:11" ht="15" customHeight="1">
      <c r="A154" s="4">
        <v>146</v>
      </c>
      <c r="B154" s="5" t="s">
        <v>179</v>
      </c>
      <c r="C154" s="5" t="s">
        <v>49</v>
      </c>
      <c r="D154" s="5" t="s">
        <v>185</v>
      </c>
      <c r="E154" s="7" t="s">
        <v>105</v>
      </c>
      <c r="F154" s="8" t="s">
        <v>97</v>
      </c>
      <c r="G154" s="4" t="s">
        <v>106</v>
      </c>
      <c r="H154" s="9" t="s">
        <v>107</v>
      </c>
      <c r="I154" s="5" t="s">
        <v>1611</v>
      </c>
      <c r="J154" s="5" t="s">
        <v>109</v>
      </c>
      <c r="K154" s="6">
        <f t="shared" si="4"/>
        <v>0</v>
      </c>
    </row>
    <row r="155" spans="1:11" ht="15" customHeight="1">
      <c r="A155" s="4">
        <v>147</v>
      </c>
      <c r="B155" s="5" t="s">
        <v>177</v>
      </c>
      <c r="C155" s="5" t="s">
        <v>49</v>
      </c>
      <c r="D155" s="5" t="s">
        <v>186</v>
      </c>
      <c r="E155" s="7" t="s">
        <v>105</v>
      </c>
      <c r="F155" s="8" t="s">
        <v>97</v>
      </c>
      <c r="G155" s="4" t="s">
        <v>106</v>
      </c>
      <c r="H155" s="9" t="s">
        <v>107</v>
      </c>
      <c r="I155" s="5" t="s">
        <v>1611</v>
      </c>
      <c r="J155" s="5" t="s">
        <v>109</v>
      </c>
      <c r="K155" s="6">
        <f t="shared" si="4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20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1632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4</v>
      </c>
      <c r="I4" s="1" t="s">
        <v>11</v>
      </c>
      <c r="J4" s="2">
        <f>COUNTIFS(A9:A1000,"&lt;&gt;",E9:E1000,"yes",F9:F1000,"&lt;&gt;yes")+COUNTIFS(A9:A1000,"&lt;&gt;",E9:E1000,"yes",F9:F1000,"yes",H9:H1000,"untested")</f>
        <v>194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48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1633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48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1633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48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1633</v>
      </c>
      <c r="J13" s="5" t="s">
        <v>109</v>
      </c>
      <c r="K13" s="6">
        <f t="shared" si="0"/>
        <v>0</v>
      </c>
    </row>
    <row r="14" spans="1:11" ht="30" customHeight="1">
      <c r="A14" s="4">
        <v>6</v>
      </c>
      <c r="B14" s="5" t="s">
        <v>94</v>
      </c>
      <c r="C14" s="5" t="s">
        <v>48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1633</v>
      </c>
      <c r="J14" s="5" t="s">
        <v>109</v>
      </c>
      <c r="K14" s="6">
        <f t="shared" si="0"/>
        <v>0</v>
      </c>
    </row>
    <row r="15" spans="1:11" ht="30" customHeight="1">
      <c r="A15" s="4">
        <v>7</v>
      </c>
      <c r="B15" s="5" t="s">
        <v>113</v>
      </c>
      <c r="C15" s="5" t="s">
        <v>48</v>
      </c>
      <c r="D15" s="5" t="s">
        <v>1634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1633</v>
      </c>
      <c r="J15" s="5" t="s">
        <v>109</v>
      </c>
      <c r="K15" s="6">
        <f t="shared" si="0"/>
        <v>0</v>
      </c>
    </row>
    <row r="16" spans="1:11" ht="30" customHeight="1">
      <c r="A16" s="4">
        <v>8</v>
      </c>
      <c r="B16" s="5" t="s">
        <v>113</v>
      </c>
      <c r="C16" s="5" t="s">
        <v>48</v>
      </c>
      <c r="D16" s="5" t="s">
        <v>1635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1633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48</v>
      </c>
      <c r="D17" s="5" t="s">
        <v>1636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1633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48</v>
      </c>
      <c r="D18" s="5" t="s">
        <v>1637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1633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48</v>
      </c>
      <c r="D19" s="5" t="s">
        <v>1638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1633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48</v>
      </c>
      <c r="D20" s="5" t="s">
        <v>1639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1633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1633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1633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1633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1633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1633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1633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1633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1633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1633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1640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1633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1641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1633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141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1633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1097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1633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142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1633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143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1633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120</v>
      </c>
      <c r="C36" s="5" t="s">
        <v>145</v>
      </c>
      <c r="D36" s="5" t="s">
        <v>122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1633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120</v>
      </c>
      <c r="C37" s="5" t="s">
        <v>145</v>
      </c>
      <c r="D37" s="5" t="s">
        <v>123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1633</v>
      </c>
      <c r="J37" s="5" t="s">
        <v>109</v>
      </c>
      <c r="K37" s="6">
        <f t="shared" si="0"/>
        <v>0</v>
      </c>
    </row>
    <row r="38" spans="1:11" ht="30" customHeight="1">
      <c r="A38" s="4">
        <v>30</v>
      </c>
      <c r="B38" s="5" t="s">
        <v>124</v>
      </c>
      <c r="C38" s="5" t="s">
        <v>145</v>
      </c>
      <c r="D38" s="5" t="s">
        <v>125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1633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124</v>
      </c>
      <c r="C39" s="5" t="s">
        <v>145</v>
      </c>
      <c r="D39" s="5" t="s">
        <v>126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1633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95</v>
      </c>
      <c r="C40" s="5" t="s">
        <v>145</v>
      </c>
      <c r="D40" s="5" t="s">
        <v>127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1633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128</v>
      </c>
      <c r="C41" s="5" t="s">
        <v>145</v>
      </c>
      <c r="D41" s="5" t="s">
        <v>129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1633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135</v>
      </c>
      <c r="C42" s="5" t="s">
        <v>145</v>
      </c>
      <c r="D42" s="5" t="s">
        <v>140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1633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130</v>
      </c>
      <c r="C43" s="5" t="s">
        <v>145</v>
      </c>
      <c r="D43" s="5" t="s">
        <v>131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1633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130</v>
      </c>
      <c r="C44" s="5" t="s">
        <v>145</v>
      </c>
      <c r="D44" s="5" t="s">
        <v>132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1633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133</v>
      </c>
      <c r="C45" s="5" t="s">
        <v>145</v>
      </c>
      <c r="D45" s="5" t="s">
        <v>142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1633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133</v>
      </c>
      <c r="C46" s="5" t="s">
        <v>145</v>
      </c>
      <c r="D46" s="5" t="s">
        <v>146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1633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135</v>
      </c>
      <c r="C47" s="5" t="s">
        <v>145</v>
      </c>
      <c r="D47" s="5" t="s">
        <v>144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1633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147</v>
      </c>
      <c r="D48" s="5" t="s">
        <v>122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1633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120</v>
      </c>
      <c r="C49" s="5" t="s">
        <v>147</v>
      </c>
      <c r="D49" s="5" t="s">
        <v>123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1633</v>
      </c>
      <c r="J49" s="5" t="s">
        <v>109</v>
      </c>
      <c r="K49" s="6">
        <f t="shared" si="1"/>
        <v>0</v>
      </c>
    </row>
    <row r="50" spans="1:11" ht="30" customHeight="1">
      <c r="A50" s="4">
        <v>42</v>
      </c>
      <c r="B50" s="5" t="s">
        <v>124</v>
      </c>
      <c r="C50" s="5" t="s">
        <v>147</v>
      </c>
      <c r="D50" s="5" t="s">
        <v>125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1633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124</v>
      </c>
      <c r="C51" s="5" t="s">
        <v>147</v>
      </c>
      <c r="D51" s="5" t="s">
        <v>126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1633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95</v>
      </c>
      <c r="C52" s="5" t="s">
        <v>147</v>
      </c>
      <c r="D52" s="5" t="s">
        <v>127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1633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128</v>
      </c>
      <c r="C53" s="5" t="s">
        <v>147</v>
      </c>
      <c r="D53" s="5" t="s">
        <v>129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1633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133</v>
      </c>
      <c r="C54" s="5" t="s">
        <v>147</v>
      </c>
      <c r="D54" s="5" t="s">
        <v>142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1633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133</v>
      </c>
      <c r="C55" s="5" t="s">
        <v>147</v>
      </c>
      <c r="D55" s="5" t="s">
        <v>146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1633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133</v>
      </c>
      <c r="C56" s="5" t="s">
        <v>147</v>
      </c>
      <c r="D56" s="5" t="s">
        <v>1642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1633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120</v>
      </c>
      <c r="C57" s="5" t="s">
        <v>43</v>
      </c>
      <c r="D57" s="5" t="s">
        <v>122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1633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120</v>
      </c>
      <c r="C58" s="5" t="s">
        <v>43</v>
      </c>
      <c r="D58" s="5" t="s">
        <v>123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1633</v>
      </c>
      <c r="J58" s="5" t="s">
        <v>109</v>
      </c>
      <c r="K58" s="6">
        <f t="shared" si="1"/>
        <v>0</v>
      </c>
    </row>
    <row r="59" spans="1:11" ht="30" customHeight="1">
      <c r="A59" s="4">
        <v>51</v>
      </c>
      <c r="B59" s="5" t="s">
        <v>124</v>
      </c>
      <c r="C59" s="5" t="s">
        <v>43</v>
      </c>
      <c r="D59" s="5" t="s">
        <v>125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1633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124</v>
      </c>
      <c r="C60" s="5" t="s">
        <v>43</v>
      </c>
      <c r="D60" s="5" t="s">
        <v>126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1633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95</v>
      </c>
      <c r="C61" s="5" t="s">
        <v>43</v>
      </c>
      <c r="D61" s="5" t="s">
        <v>127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1633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128</v>
      </c>
      <c r="C62" s="5" t="s">
        <v>43</v>
      </c>
      <c r="D62" s="5" t="s">
        <v>129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1633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133</v>
      </c>
      <c r="C63" s="5" t="s">
        <v>43</v>
      </c>
      <c r="D63" s="5" t="s">
        <v>142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1633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120</v>
      </c>
      <c r="C64" s="5" t="s">
        <v>1643</v>
      </c>
      <c r="D64" s="5" t="s">
        <v>122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1633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120</v>
      </c>
      <c r="C65" s="5" t="s">
        <v>1643</v>
      </c>
      <c r="D65" s="5" t="s">
        <v>123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1633</v>
      </c>
      <c r="J65" s="5" t="s">
        <v>109</v>
      </c>
      <c r="K65" s="6">
        <f t="shared" si="1"/>
        <v>0</v>
      </c>
    </row>
    <row r="66" spans="1:11" ht="30" customHeight="1">
      <c r="A66" s="4">
        <v>58</v>
      </c>
      <c r="B66" s="5" t="s">
        <v>124</v>
      </c>
      <c r="C66" s="5" t="s">
        <v>1643</v>
      </c>
      <c r="D66" s="5" t="s">
        <v>125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1633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124</v>
      </c>
      <c r="C67" s="5" t="s">
        <v>1643</v>
      </c>
      <c r="D67" s="5" t="s">
        <v>126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1633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95</v>
      </c>
      <c r="C68" s="5" t="s">
        <v>1643</v>
      </c>
      <c r="D68" s="5" t="s">
        <v>127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1633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128</v>
      </c>
      <c r="C69" s="5" t="s">
        <v>1643</v>
      </c>
      <c r="D69" s="5" t="s">
        <v>129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1633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133</v>
      </c>
      <c r="C70" s="5" t="s">
        <v>1643</v>
      </c>
      <c r="D70" s="5" t="s">
        <v>619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1633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133</v>
      </c>
      <c r="C71" s="5" t="s">
        <v>1643</v>
      </c>
      <c r="D71" s="5" t="s">
        <v>1644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1633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133</v>
      </c>
      <c r="C72" s="5" t="s">
        <v>1643</v>
      </c>
      <c r="D72" s="5" t="s">
        <v>1645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1633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120</v>
      </c>
      <c r="C73" s="5" t="s">
        <v>150</v>
      </c>
      <c r="D73" s="5" t="s">
        <v>122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1633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120</v>
      </c>
      <c r="C74" s="5" t="s">
        <v>150</v>
      </c>
      <c r="D74" s="5" t="s">
        <v>123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1633</v>
      </c>
      <c r="J74" s="5" t="s">
        <v>109</v>
      </c>
      <c r="K74" s="6">
        <f t="shared" si="2"/>
        <v>0</v>
      </c>
    </row>
    <row r="75" spans="1:11" ht="30" customHeight="1">
      <c r="A75" s="4">
        <v>67</v>
      </c>
      <c r="B75" s="5" t="s">
        <v>124</v>
      </c>
      <c r="C75" s="5" t="s">
        <v>150</v>
      </c>
      <c r="D75" s="5" t="s">
        <v>125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1633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124</v>
      </c>
      <c r="C76" s="5" t="s">
        <v>150</v>
      </c>
      <c r="D76" s="5" t="s">
        <v>126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1633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95</v>
      </c>
      <c r="C77" s="5" t="s">
        <v>150</v>
      </c>
      <c r="D77" s="5" t="s">
        <v>127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1633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128</v>
      </c>
      <c r="C78" s="5" t="s">
        <v>150</v>
      </c>
      <c r="D78" s="5" t="s">
        <v>129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1633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135</v>
      </c>
      <c r="C79" s="5" t="s">
        <v>150</v>
      </c>
      <c r="D79" s="5" t="s">
        <v>136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1633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133</v>
      </c>
      <c r="C80" s="5" t="s">
        <v>150</v>
      </c>
      <c r="D80" s="5" t="s">
        <v>142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1633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120</v>
      </c>
      <c r="C81" s="5" t="s">
        <v>618</v>
      </c>
      <c r="D81" s="5" t="s">
        <v>122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1633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120</v>
      </c>
      <c r="C82" s="5" t="s">
        <v>618</v>
      </c>
      <c r="D82" s="5" t="s">
        <v>123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1633</v>
      </c>
      <c r="J82" s="5" t="s">
        <v>109</v>
      </c>
      <c r="K82" s="6">
        <f t="shared" si="2"/>
        <v>0</v>
      </c>
    </row>
    <row r="83" spans="1:11" ht="30" customHeight="1">
      <c r="A83" s="4">
        <v>75</v>
      </c>
      <c r="B83" s="5" t="s">
        <v>124</v>
      </c>
      <c r="C83" s="5" t="s">
        <v>618</v>
      </c>
      <c r="D83" s="5" t="s">
        <v>125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1633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124</v>
      </c>
      <c r="C84" s="5" t="s">
        <v>618</v>
      </c>
      <c r="D84" s="5" t="s">
        <v>126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1633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95</v>
      </c>
      <c r="C85" s="5" t="s">
        <v>618</v>
      </c>
      <c r="D85" s="5" t="s">
        <v>127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1633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128</v>
      </c>
      <c r="C86" s="5" t="s">
        <v>618</v>
      </c>
      <c r="D86" s="5" t="s">
        <v>129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1633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133</v>
      </c>
      <c r="C87" s="5" t="s">
        <v>618</v>
      </c>
      <c r="D87" s="5" t="s">
        <v>619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1633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133</v>
      </c>
      <c r="C88" s="5" t="s">
        <v>618</v>
      </c>
      <c r="D88" s="5" t="s">
        <v>1646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1633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133</v>
      </c>
      <c r="C89" s="5" t="s">
        <v>618</v>
      </c>
      <c r="D89" s="5" t="s">
        <v>1647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1633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133</v>
      </c>
      <c r="C90" s="5" t="s">
        <v>618</v>
      </c>
      <c r="D90" s="5" t="s">
        <v>1648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1633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133</v>
      </c>
      <c r="C91" s="5" t="s">
        <v>618</v>
      </c>
      <c r="D91" s="5" t="s">
        <v>1649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1633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133</v>
      </c>
      <c r="C92" s="5" t="s">
        <v>618</v>
      </c>
      <c r="D92" s="5" t="s">
        <v>1650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1633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133</v>
      </c>
      <c r="C93" s="5" t="s">
        <v>618</v>
      </c>
      <c r="D93" s="5" t="s">
        <v>1651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1633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120</v>
      </c>
      <c r="C94" s="5" t="s">
        <v>559</v>
      </c>
      <c r="D94" s="5" t="s">
        <v>122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1633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120</v>
      </c>
      <c r="C95" s="5" t="s">
        <v>559</v>
      </c>
      <c r="D95" s="5" t="s">
        <v>123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1633</v>
      </c>
      <c r="J95" s="5" t="s">
        <v>109</v>
      </c>
      <c r="K95" s="6">
        <f t="shared" si="2"/>
        <v>0</v>
      </c>
    </row>
    <row r="96" spans="1:11" ht="30" customHeight="1">
      <c r="A96" s="4">
        <v>88</v>
      </c>
      <c r="B96" s="5" t="s">
        <v>124</v>
      </c>
      <c r="C96" s="5" t="s">
        <v>559</v>
      </c>
      <c r="D96" s="5" t="s">
        <v>125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1633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124</v>
      </c>
      <c r="C97" s="5" t="s">
        <v>559</v>
      </c>
      <c r="D97" s="5" t="s">
        <v>126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1633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95</v>
      </c>
      <c r="C98" s="5" t="s">
        <v>559</v>
      </c>
      <c r="D98" s="5" t="s">
        <v>127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1633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128</v>
      </c>
      <c r="C99" s="5" t="s">
        <v>559</v>
      </c>
      <c r="D99" s="5" t="s">
        <v>129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1633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133</v>
      </c>
      <c r="C100" s="5" t="s">
        <v>559</v>
      </c>
      <c r="D100" s="5" t="s">
        <v>1618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1633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135</v>
      </c>
      <c r="C101" s="5" t="s">
        <v>559</v>
      </c>
      <c r="D101" s="5" t="s">
        <v>1652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1633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130</v>
      </c>
      <c r="C102" s="5" t="s">
        <v>559</v>
      </c>
      <c r="D102" s="5" t="s">
        <v>131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1633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120</v>
      </c>
      <c r="C103" s="5" t="s">
        <v>1653</v>
      </c>
      <c r="D103" s="5" t="s">
        <v>122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1633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120</v>
      </c>
      <c r="C104" s="5" t="s">
        <v>1653</v>
      </c>
      <c r="D104" s="5" t="s">
        <v>123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1633</v>
      </c>
      <c r="J104" s="5" t="s">
        <v>109</v>
      </c>
      <c r="K104" s="6">
        <f t="shared" si="2"/>
        <v>0</v>
      </c>
    </row>
    <row r="105" spans="1:11" ht="30" customHeight="1">
      <c r="A105" s="4">
        <v>97</v>
      </c>
      <c r="B105" s="5" t="s">
        <v>124</v>
      </c>
      <c r="C105" s="5" t="s">
        <v>1653</v>
      </c>
      <c r="D105" s="5" t="s">
        <v>125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1633</v>
      </c>
      <c r="J105" s="5" t="s">
        <v>109</v>
      </c>
      <c r="K105" s="6">
        <f t="shared" ref="K105:K136" si="3">IF(AND(E105="yes",F105="yes",H105="covered"),1,IF(H105="partial",0.5,0))</f>
        <v>0</v>
      </c>
    </row>
    <row r="106" spans="1:11" ht="15" customHeight="1">
      <c r="A106" s="4">
        <v>98</v>
      </c>
      <c r="B106" s="5" t="s">
        <v>124</v>
      </c>
      <c r="C106" s="5" t="s">
        <v>1653</v>
      </c>
      <c r="D106" s="5" t="s">
        <v>126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1633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95</v>
      </c>
      <c r="C107" s="5" t="s">
        <v>1653</v>
      </c>
      <c r="D107" s="5" t="s">
        <v>127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1633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128</v>
      </c>
      <c r="C108" s="5" t="s">
        <v>1653</v>
      </c>
      <c r="D108" s="5" t="s">
        <v>129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1633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120</v>
      </c>
      <c r="C109" s="5" t="s">
        <v>1654</v>
      </c>
      <c r="D109" s="5" t="s">
        <v>122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1633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120</v>
      </c>
      <c r="C110" s="5" t="s">
        <v>1654</v>
      </c>
      <c r="D110" s="5" t="s">
        <v>123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1633</v>
      </c>
      <c r="J110" s="5" t="s">
        <v>109</v>
      </c>
      <c r="K110" s="6">
        <f t="shared" si="3"/>
        <v>0</v>
      </c>
    </row>
    <row r="111" spans="1:11" ht="30" customHeight="1">
      <c r="A111" s="4">
        <v>103</v>
      </c>
      <c r="B111" s="5" t="s">
        <v>124</v>
      </c>
      <c r="C111" s="5" t="s">
        <v>1654</v>
      </c>
      <c r="D111" s="5" t="s">
        <v>125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1633</v>
      </c>
      <c r="J111" s="5" t="s">
        <v>109</v>
      </c>
      <c r="K111" s="6">
        <f t="shared" si="3"/>
        <v>0</v>
      </c>
    </row>
    <row r="112" spans="1:11" ht="15" customHeight="1">
      <c r="A112" s="4">
        <v>104</v>
      </c>
      <c r="B112" s="5" t="s">
        <v>124</v>
      </c>
      <c r="C112" s="5" t="s">
        <v>1654</v>
      </c>
      <c r="D112" s="5" t="s">
        <v>126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1633</v>
      </c>
      <c r="J112" s="5" t="s">
        <v>109</v>
      </c>
      <c r="K112" s="6">
        <f t="shared" si="3"/>
        <v>0</v>
      </c>
    </row>
    <row r="113" spans="1:11" ht="15" customHeight="1">
      <c r="A113" s="4">
        <v>105</v>
      </c>
      <c r="B113" s="5" t="s">
        <v>95</v>
      </c>
      <c r="C113" s="5" t="s">
        <v>1654</v>
      </c>
      <c r="D113" s="5" t="s">
        <v>127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1633</v>
      </c>
      <c r="J113" s="5" t="s">
        <v>109</v>
      </c>
      <c r="K113" s="6">
        <f t="shared" si="3"/>
        <v>0</v>
      </c>
    </row>
    <row r="114" spans="1:11" ht="15" customHeight="1">
      <c r="A114" s="4">
        <v>106</v>
      </c>
      <c r="B114" s="5" t="s">
        <v>128</v>
      </c>
      <c r="C114" s="5" t="s">
        <v>1654</v>
      </c>
      <c r="D114" s="5" t="s">
        <v>129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1633</v>
      </c>
      <c r="J114" s="5" t="s">
        <v>109</v>
      </c>
      <c r="K114" s="6">
        <f t="shared" si="3"/>
        <v>0</v>
      </c>
    </row>
    <row r="115" spans="1:11" ht="15" customHeight="1">
      <c r="A115" s="4">
        <v>107</v>
      </c>
      <c r="B115" s="5" t="s">
        <v>120</v>
      </c>
      <c r="C115" s="5" t="s">
        <v>1655</v>
      </c>
      <c r="D115" s="5" t="s">
        <v>122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1633</v>
      </c>
      <c r="J115" s="5" t="s">
        <v>109</v>
      </c>
      <c r="K115" s="6">
        <f t="shared" si="3"/>
        <v>0</v>
      </c>
    </row>
    <row r="116" spans="1:11" ht="15" customHeight="1">
      <c r="A116" s="4">
        <v>108</v>
      </c>
      <c r="B116" s="5" t="s">
        <v>120</v>
      </c>
      <c r="C116" s="5" t="s">
        <v>1655</v>
      </c>
      <c r="D116" s="5" t="s">
        <v>123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1633</v>
      </c>
      <c r="J116" s="5" t="s">
        <v>109</v>
      </c>
      <c r="K116" s="6">
        <f t="shared" si="3"/>
        <v>0</v>
      </c>
    </row>
    <row r="117" spans="1:11" ht="30" customHeight="1">
      <c r="A117" s="4">
        <v>109</v>
      </c>
      <c r="B117" s="5" t="s">
        <v>124</v>
      </c>
      <c r="C117" s="5" t="s">
        <v>1655</v>
      </c>
      <c r="D117" s="5" t="s">
        <v>125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1633</v>
      </c>
      <c r="J117" s="5" t="s">
        <v>109</v>
      </c>
      <c r="K117" s="6">
        <f t="shared" si="3"/>
        <v>0</v>
      </c>
    </row>
    <row r="118" spans="1:11" ht="15" customHeight="1">
      <c r="A118" s="4">
        <v>110</v>
      </c>
      <c r="B118" s="5" t="s">
        <v>124</v>
      </c>
      <c r="C118" s="5" t="s">
        <v>1655</v>
      </c>
      <c r="D118" s="5" t="s">
        <v>126</v>
      </c>
      <c r="E118" s="7" t="s">
        <v>105</v>
      </c>
      <c r="F118" s="8" t="s">
        <v>97</v>
      </c>
      <c r="G118" s="4" t="s">
        <v>106</v>
      </c>
      <c r="H118" s="9" t="s">
        <v>107</v>
      </c>
      <c r="I118" s="5" t="s">
        <v>1633</v>
      </c>
      <c r="J118" s="5" t="s">
        <v>109</v>
      </c>
      <c r="K118" s="6">
        <f t="shared" si="3"/>
        <v>0</v>
      </c>
    </row>
    <row r="119" spans="1:11" ht="15" customHeight="1">
      <c r="A119" s="4">
        <v>111</v>
      </c>
      <c r="B119" s="5" t="s">
        <v>95</v>
      </c>
      <c r="C119" s="5" t="s">
        <v>1655</v>
      </c>
      <c r="D119" s="5" t="s">
        <v>127</v>
      </c>
      <c r="E119" s="7" t="s">
        <v>105</v>
      </c>
      <c r="F119" s="8" t="s">
        <v>97</v>
      </c>
      <c r="G119" s="4" t="s">
        <v>106</v>
      </c>
      <c r="H119" s="9" t="s">
        <v>107</v>
      </c>
      <c r="I119" s="5" t="s">
        <v>1633</v>
      </c>
      <c r="J119" s="5" t="s">
        <v>109</v>
      </c>
      <c r="K119" s="6">
        <f t="shared" si="3"/>
        <v>0</v>
      </c>
    </row>
    <row r="120" spans="1:11" ht="15" customHeight="1">
      <c r="A120" s="4">
        <v>112</v>
      </c>
      <c r="B120" s="5" t="s">
        <v>128</v>
      </c>
      <c r="C120" s="5" t="s">
        <v>1655</v>
      </c>
      <c r="D120" s="5" t="s">
        <v>129</v>
      </c>
      <c r="E120" s="7" t="s">
        <v>105</v>
      </c>
      <c r="F120" s="8" t="s">
        <v>97</v>
      </c>
      <c r="G120" s="4" t="s">
        <v>106</v>
      </c>
      <c r="H120" s="9" t="s">
        <v>107</v>
      </c>
      <c r="I120" s="5" t="s">
        <v>1633</v>
      </c>
      <c r="J120" s="5" t="s">
        <v>109</v>
      </c>
      <c r="K120" s="6">
        <f t="shared" si="3"/>
        <v>0</v>
      </c>
    </row>
    <row r="121" spans="1:11" ht="15" customHeight="1">
      <c r="A121" s="4">
        <v>113</v>
      </c>
      <c r="B121" s="5" t="s">
        <v>120</v>
      </c>
      <c r="C121" s="5" t="s">
        <v>1656</v>
      </c>
      <c r="D121" s="5" t="s">
        <v>122</v>
      </c>
      <c r="E121" s="7" t="s">
        <v>105</v>
      </c>
      <c r="F121" s="8" t="s">
        <v>97</v>
      </c>
      <c r="G121" s="4" t="s">
        <v>106</v>
      </c>
      <c r="H121" s="9" t="s">
        <v>107</v>
      </c>
      <c r="I121" s="5" t="s">
        <v>1633</v>
      </c>
      <c r="J121" s="5" t="s">
        <v>109</v>
      </c>
      <c r="K121" s="6">
        <f t="shared" si="3"/>
        <v>0</v>
      </c>
    </row>
    <row r="122" spans="1:11" ht="15" customHeight="1">
      <c r="A122" s="4">
        <v>114</v>
      </c>
      <c r="B122" s="5" t="s">
        <v>120</v>
      </c>
      <c r="C122" s="5" t="s">
        <v>1656</v>
      </c>
      <c r="D122" s="5" t="s">
        <v>123</v>
      </c>
      <c r="E122" s="7" t="s">
        <v>105</v>
      </c>
      <c r="F122" s="8" t="s">
        <v>97</v>
      </c>
      <c r="G122" s="4" t="s">
        <v>106</v>
      </c>
      <c r="H122" s="9" t="s">
        <v>107</v>
      </c>
      <c r="I122" s="5" t="s">
        <v>1633</v>
      </c>
      <c r="J122" s="5" t="s">
        <v>109</v>
      </c>
      <c r="K122" s="6">
        <f t="shared" si="3"/>
        <v>0</v>
      </c>
    </row>
    <row r="123" spans="1:11" ht="30" customHeight="1">
      <c r="A123" s="4">
        <v>115</v>
      </c>
      <c r="B123" s="5" t="s">
        <v>124</v>
      </c>
      <c r="C123" s="5" t="s">
        <v>1656</v>
      </c>
      <c r="D123" s="5" t="s">
        <v>125</v>
      </c>
      <c r="E123" s="7" t="s">
        <v>105</v>
      </c>
      <c r="F123" s="8" t="s">
        <v>97</v>
      </c>
      <c r="G123" s="4" t="s">
        <v>106</v>
      </c>
      <c r="H123" s="9" t="s">
        <v>107</v>
      </c>
      <c r="I123" s="5" t="s">
        <v>1633</v>
      </c>
      <c r="J123" s="5" t="s">
        <v>109</v>
      </c>
      <c r="K123" s="6">
        <f t="shared" si="3"/>
        <v>0</v>
      </c>
    </row>
    <row r="124" spans="1:11" ht="15" customHeight="1">
      <c r="A124" s="4">
        <v>116</v>
      </c>
      <c r="B124" s="5" t="s">
        <v>124</v>
      </c>
      <c r="C124" s="5" t="s">
        <v>1656</v>
      </c>
      <c r="D124" s="5" t="s">
        <v>126</v>
      </c>
      <c r="E124" s="7" t="s">
        <v>105</v>
      </c>
      <c r="F124" s="8" t="s">
        <v>97</v>
      </c>
      <c r="G124" s="4" t="s">
        <v>106</v>
      </c>
      <c r="H124" s="9" t="s">
        <v>107</v>
      </c>
      <c r="I124" s="5" t="s">
        <v>1633</v>
      </c>
      <c r="J124" s="5" t="s">
        <v>109</v>
      </c>
      <c r="K124" s="6">
        <f t="shared" si="3"/>
        <v>0</v>
      </c>
    </row>
    <row r="125" spans="1:11" ht="15" customHeight="1">
      <c r="A125" s="4">
        <v>117</v>
      </c>
      <c r="B125" s="5" t="s">
        <v>95</v>
      </c>
      <c r="C125" s="5" t="s">
        <v>1656</v>
      </c>
      <c r="D125" s="5" t="s">
        <v>127</v>
      </c>
      <c r="E125" s="7" t="s">
        <v>105</v>
      </c>
      <c r="F125" s="8" t="s">
        <v>97</v>
      </c>
      <c r="G125" s="4" t="s">
        <v>106</v>
      </c>
      <c r="H125" s="9" t="s">
        <v>107</v>
      </c>
      <c r="I125" s="5" t="s">
        <v>1633</v>
      </c>
      <c r="J125" s="5" t="s">
        <v>109</v>
      </c>
      <c r="K125" s="6">
        <f t="shared" si="3"/>
        <v>0</v>
      </c>
    </row>
    <row r="126" spans="1:11" ht="15" customHeight="1">
      <c r="A126" s="4">
        <v>118</v>
      </c>
      <c r="B126" s="5" t="s">
        <v>128</v>
      </c>
      <c r="C126" s="5" t="s">
        <v>1656</v>
      </c>
      <c r="D126" s="5" t="s">
        <v>129</v>
      </c>
      <c r="E126" s="7" t="s">
        <v>105</v>
      </c>
      <c r="F126" s="8" t="s">
        <v>97</v>
      </c>
      <c r="G126" s="4" t="s">
        <v>106</v>
      </c>
      <c r="H126" s="9" t="s">
        <v>107</v>
      </c>
      <c r="I126" s="5" t="s">
        <v>1633</v>
      </c>
      <c r="J126" s="5" t="s">
        <v>109</v>
      </c>
      <c r="K126" s="6">
        <f t="shared" si="3"/>
        <v>0</v>
      </c>
    </row>
    <row r="127" spans="1:11" ht="15" customHeight="1">
      <c r="A127" s="4">
        <v>119</v>
      </c>
      <c r="B127" s="5" t="s">
        <v>120</v>
      </c>
      <c r="C127" s="5" t="s">
        <v>1657</v>
      </c>
      <c r="D127" s="5" t="s">
        <v>122</v>
      </c>
      <c r="E127" s="7" t="s">
        <v>105</v>
      </c>
      <c r="F127" s="8" t="s">
        <v>97</v>
      </c>
      <c r="G127" s="4" t="s">
        <v>106</v>
      </c>
      <c r="H127" s="9" t="s">
        <v>107</v>
      </c>
      <c r="I127" s="5" t="s">
        <v>1633</v>
      </c>
      <c r="J127" s="5" t="s">
        <v>109</v>
      </c>
      <c r="K127" s="6">
        <f t="shared" si="3"/>
        <v>0</v>
      </c>
    </row>
    <row r="128" spans="1:11" ht="15" customHeight="1">
      <c r="A128" s="4">
        <v>120</v>
      </c>
      <c r="B128" s="5" t="s">
        <v>120</v>
      </c>
      <c r="C128" s="5" t="s">
        <v>1657</v>
      </c>
      <c r="D128" s="5" t="s">
        <v>123</v>
      </c>
      <c r="E128" s="7" t="s">
        <v>105</v>
      </c>
      <c r="F128" s="8" t="s">
        <v>97</v>
      </c>
      <c r="G128" s="4" t="s">
        <v>106</v>
      </c>
      <c r="H128" s="9" t="s">
        <v>107</v>
      </c>
      <c r="I128" s="5" t="s">
        <v>1633</v>
      </c>
      <c r="J128" s="5" t="s">
        <v>109</v>
      </c>
      <c r="K128" s="6">
        <f t="shared" si="3"/>
        <v>0</v>
      </c>
    </row>
    <row r="129" spans="1:11" ht="30" customHeight="1">
      <c r="A129" s="4">
        <v>121</v>
      </c>
      <c r="B129" s="5" t="s">
        <v>124</v>
      </c>
      <c r="C129" s="5" t="s">
        <v>1657</v>
      </c>
      <c r="D129" s="5" t="s">
        <v>125</v>
      </c>
      <c r="E129" s="7" t="s">
        <v>105</v>
      </c>
      <c r="F129" s="8" t="s">
        <v>97</v>
      </c>
      <c r="G129" s="4" t="s">
        <v>106</v>
      </c>
      <c r="H129" s="9" t="s">
        <v>107</v>
      </c>
      <c r="I129" s="5" t="s">
        <v>1633</v>
      </c>
      <c r="J129" s="5" t="s">
        <v>109</v>
      </c>
      <c r="K129" s="6">
        <f t="shared" si="3"/>
        <v>0</v>
      </c>
    </row>
    <row r="130" spans="1:11" ht="15" customHeight="1">
      <c r="A130" s="4">
        <v>122</v>
      </c>
      <c r="B130" s="5" t="s">
        <v>124</v>
      </c>
      <c r="C130" s="5" t="s">
        <v>1657</v>
      </c>
      <c r="D130" s="5" t="s">
        <v>126</v>
      </c>
      <c r="E130" s="7" t="s">
        <v>105</v>
      </c>
      <c r="F130" s="8" t="s">
        <v>97</v>
      </c>
      <c r="G130" s="4" t="s">
        <v>106</v>
      </c>
      <c r="H130" s="9" t="s">
        <v>107</v>
      </c>
      <c r="I130" s="5" t="s">
        <v>1633</v>
      </c>
      <c r="J130" s="5" t="s">
        <v>109</v>
      </c>
      <c r="K130" s="6">
        <f t="shared" si="3"/>
        <v>0</v>
      </c>
    </row>
    <row r="131" spans="1:11" ht="15" customHeight="1">
      <c r="A131" s="4">
        <v>123</v>
      </c>
      <c r="B131" s="5" t="s">
        <v>95</v>
      </c>
      <c r="C131" s="5" t="s">
        <v>1657</v>
      </c>
      <c r="D131" s="5" t="s">
        <v>127</v>
      </c>
      <c r="E131" s="7" t="s">
        <v>105</v>
      </c>
      <c r="F131" s="8" t="s">
        <v>97</v>
      </c>
      <c r="G131" s="4" t="s">
        <v>106</v>
      </c>
      <c r="H131" s="9" t="s">
        <v>107</v>
      </c>
      <c r="I131" s="5" t="s">
        <v>1633</v>
      </c>
      <c r="J131" s="5" t="s">
        <v>109</v>
      </c>
      <c r="K131" s="6">
        <f t="shared" si="3"/>
        <v>0</v>
      </c>
    </row>
    <row r="132" spans="1:11" ht="15" customHeight="1">
      <c r="A132" s="4">
        <v>124</v>
      </c>
      <c r="B132" s="5" t="s">
        <v>128</v>
      </c>
      <c r="C132" s="5" t="s">
        <v>1657</v>
      </c>
      <c r="D132" s="5" t="s">
        <v>129</v>
      </c>
      <c r="E132" s="7" t="s">
        <v>105</v>
      </c>
      <c r="F132" s="8" t="s">
        <v>97</v>
      </c>
      <c r="G132" s="4" t="s">
        <v>106</v>
      </c>
      <c r="H132" s="9" t="s">
        <v>107</v>
      </c>
      <c r="I132" s="5" t="s">
        <v>1633</v>
      </c>
      <c r="J132" s="5" t="s">
        <v>109</v>
      </c>
      <c r="K132" s="6">
        <f t="shared" si="3"/>
        <v>0</v>
      </c>
    </row>
    <row r="133" spans="1:11" ht="15" customHeight="1">
      <c r="A133" s="4">
        <v>125</v>
      </c>
      <c r="B133" s="5" t="s">
        <v>120</v>
      </c>
      <c r="C133" s="5" t="s">
        <v>1658</v>
      </c>
      <c r="D133" s="5" t="s">
        <v>122</v>
      </c>
      <c r="E133" s="7" t="s">
        <v>105</v>
      </c>
      <c r="F133" s="8" t="s">
        <v>97</v>
      </c>
      <c r="G133" s="4" t="s">
        <v>106</v>
      </c>
      <c r="H133" s="9" t="s">
        <v>107</v>
      </c>
      <c r="I133" s="5" t="s">
        <v>1633</v>
      </c>
      <c r="J133" s="5" t="s">
        <v>109</v>
      </c>
      <c r="K133" s="6">
        <f t="shared" si="3"/>
        <v>0</v>
      </c>
    </row>
    <row r="134" spans="1:11" ht="15" customHeight="1">
      <c r="A134" s="4">
        <v>126</v>
      </c>
      <c r="B134" s="5" t="s">
        <v>120</v>
      </c>
      <c r="C134" s="5" t="s">
        <v>1658</v>
      </c>
      <c r="D134" s="5" t="s">
        <v>123</v>
      </c>
      <c r="E134" s="7" t="s">
        <v>105</v>
      </c>
      <c r="F134" s="8" t="s">
        <v>97</v>
      </c>
      <c r="G134" s="4" t="s">
        <v>106</v>
      </c>
      <c r="H134" s="9" t="s">
        <v>107</v>
      </c>
      <c r="I134" s="5" t="s">
        <v>1633</v>
      </c>
      <c r="J134" s="5" t="s">
        <v>109</v>
      </c>
      <c r="K134" s="6">
        <f t="shared" si="3"/>
        <v>0</v>
      </c>
    </row>
    <row r="135" spans="1:11" ht="30" customHeight="1">
      <c r="A135" s="4">
        <v>127</v>
      </c>
      <c r="B135" s="5" t="s">
        <v>124</v>
      </c>
      <c r="C135" s="5" t="s">
        <v>1658</v>
      </c>
      <c r="D135" s="5" t="s">
        <v>125</v>
      </c>
      <c r="E135" s="7" t="s">
        <v>105</v>
      </c>
      <c r="F135" s="8" t="s">
        <v>97</v>
      </c>
      <c r="G135" s="4" t="s">
        <v>106</v>
      </c>
      <c r="H135" s="9" t="s">
        <v>107</v>
      </c>
      <c r="I135" s="5" t="s">
        <v>1633</v>
      </c>
      <c r="J135" s="5" t="s">
        <v>109</v>
      </c>
      <c r="K135" s="6">
        <f t="shared" si="3"/>
        <v>0</v>
      </c>
    </row>
    <row r="136" spans="1:11" ht="15" customHeight="1">
      <c r="A136" s="4">
        <v>128</v>
      </c>
      <c r="B136" s="5" t="s">
        <v>124</v>
      </c>
      <c r="C136" s="5" t="s">
        <v>1658</v>
      </c>
      <c r="D136" s="5" t="s">
        <v>126</v>
      </c>
      <c r="E136" s="7" t="s">
        <v>105</v>
      </c>
      <c r="F136" s="8" t="s">
        <v>97</v>
      </c>
      <c r="G136" s="4" t="s">
        <v>106</v>
      </c>
      <c r="H136" s="9" t="s">
        <v>107</v>
      </c>
      <c r="I136" s="5" t="s">
        <v>1633</v>
      </c>
      <c r="J136" s="5" t="s">
        <v>109</v>
      </c>
      <c r="K136" s="6">
        <f t="shared" si="3"/>
        <v>0</v>
      </c>
    </row>
    <row r="137" spans="1:11" ht="15" customHeight="1">
      <c r="A137" s="4">
        <v>129</v>
      </c>
      <c r="B137" s="5" t="s">
        <v>95</v>
      </c>
      <c r="C137" s="5" t="s">
        <v>1658</v>
      </c>
      <c r="D137" s="5" t="s">
        <v>127</v>
      </c>
      <c r="E137" s="7" t="s">
        <v>105</v>
      </c>
      <c r="F137" s="8" t="s">
        <v>97</v>
      </c>
      <c r="G137" s="4" t="s">
        <v>106</v>
      </c>
      <c r="H137" s="9" t="s">
        <v>107</v>
      </c>
      <c r="I137" s="5" t="s">
        <v>1633</v>
      </c>
      <c r="J137" s="5" t="s">
        <v>109</v>
      </c>
      <c r="K137" s="6">
        <f t="shared" ref="K137:K168" si="4">IF(AND(E137="yes",F137="yes",H137="covered"),1,IF(H137="partial",0.5,0))</f>
        <v>0</v>
      </c>
    </row>
    <row r="138" spans="1:11" ht="15" customHeight="1">
      <c r="A138" s="4">
        <v>130</v>
      </c>
      <c r="B138" s="5" t="s">
        <v>128</v>
      </c>
      <c r="C138" s="5" t="s">
        <v>1658</v>
      </c>
      <c r="D138" s="5" t="s">
        <v>129</v>
      </c>
      <c r="E138" s="7" t="s">
        <v>105</v>
      </c>
      <c r="F138" s="8" t="s">
        <v>97</v>
      </c>
      <c r="G138" s="4" t="s">
        <v>106</v>
      </c>
      <c r="H138" s="9" t="s">
        <v>107</v>
      </c>
      <c r="I138" s="5" t="s">
        <v>1633</v>
      </c>
      <c r="J138" s="5" t="s">
        <v>109</v>
      </c>
      <c r="K138" s="6">
        <f t="shared" si="4"/>
        <v>0</v>
      </c>
    </row>
    <row r="139" spans="1:11" ht="15" customHeight="1">
      <c r="A139" s="4">
        <v>131</v>
      </c>
      <c r="B139" s="5" t="s">
        <v>120</v>
      </c>
      <c r="C139" s="5" t="s">
        <v>1659</v>
      </c>
      <c r="D139" s="5" t="s">
        <v>122</v>
      </c>
      <c r="E139" s="7" t="s">
        <v>105</v>
      </c>
      <c r="F139" s="8" t="s">
        <v>97</v>
      </c>
      <c r="G139" s="4" t="s">
        <v>106</v>
      </c>
      <c r="H139" s="9" t="s">
        <v>107</v>
      </c>
      <c r="I139" s="5" t="s">
        <v>1633</v>
      </c>
      <c r="J139" s="5" t="s">
        <v>109</v>
      </c>
      <c r="K139" s="6">
        <f t="shared" si="4"/>
        <v>0</v>
      </c>
    </row>
    <row r="140" spans="1:11" ht="15" customHeight="1">
      <c r="A140" s="4">
        <v>132</v>
      </c>
      <c r="B140" s="5" t="s">
        <v>120</v>
      </c>
      <c r="C140" s="5" t="s">
        <v>1659</v>
      </c>
      <c r="D140" s="5" t="s">
        <v>123</v>
      </c>
      <c r="E140" s="7" t="s">
        <v>105</v>
      </c>
      <c r="F140" s="8" t="s">
        <v>97</v>
      </c>
      <c r="G140" s="4" t="s">
        <v>106</v>
      </c>
      <c r="H140" s="9" t="s">
        <v>107</v>
      </c>
      <c r="I140" s="5" t="s">
        <v>1633</v>
      </c>
      <c r="J140" s="5" t="s">
        <v>109</v>
      </c>
      <c r="K140" s="6">
        <f t="shared" si="4"/>
        <v>0</v>
      </c>
    </row>
    <row r="141" spans="1:11" ht="30" customHeight="1">
      <c r="A141" s="4">
        <v>133</v>
      </c>
      <c r="B141" s="5" t="s">
        <v>124</v>
      </c>
      <c r="C141" s="5" t="s">
        <v>1659</v>
      </c>
      <c r="D141" s="5" t="s">
        <v>125</v>
      </c>
      <c r="E141" s="7" t="s">
        <v>105</v>
      </c>
      <c r="F141" s="8" t="s">
        <v>97</v>
      </c>
      <c r="G141" s="4" t="s">
        <v>106</v>
      </c>
      <c r="H141" s="9" t="s">
        <v>107</v>
      </c>
      <c r="I141" s="5" t="s">
        <v>1633</v>
      </c>
      <c r="J141" s="5" t="s">
        <v>109</v>
      </c>
      <c r="K141" s="6">
        <f t="shared" si="4"/>
        <v>0</v>
      </c>
    </row>
    <row r="142" spans="1:11" ht="15" customHeight="1">
      <c r="A142" s="4">
        <v>134</v>
      </c>
      <c r="B142" s="5" t="s">
        <v>124</v>
      </c>
      <c r="C142" s="5" t="s">
        <v>1659</v>
      </c>
      <c r="D142" s="5" t="s">
        <v>126</v>
      </c>
      <c r="E142" s="7" t="s">
        <v>105</v>
      </c>
      <c r="F142" s="8" t="s">
        <v>97</v>
      </c>
      <c r="G142" s="4" t="s">
        <v>106</v>
      </c>
      <c r="H142" s="9" t="s">
        <v>107</v>
      </c>
      <c r="I142" s="5" t="s">
        <v>1633</v>
      </c>
      <c r="J142" s="5" t="s">
        <v>109</v>
      </c>
      <c r="K142" s="6">
        <f t="shared" si="4"/>
        <v>0</v>
      </c>
    </row>
    <row r="143" spans="1:11" ht="15" customHeight="1">
      <c r="A143" s="4">
        <v>135</v>
      </c>
      <c r="B143" s="5" t="s">
        <v>95</v>
      </c>
      <c r="C143" s="5" t="s">
        <v>1659</v>
      </c>
      <c r="D143" s="5" t="s">
        <v>127</v>
      </c>
      <c r="E143" s="7" t="s">
        <v>105</v>
      </c>
      <c r="F143" s="8" t="s">
        <v>97</v>
      </c>
      <c r="G143" s="4" t="s">
        <v>106</v>
      </c>
      <c r="H143" s="9" t="s">
        <v>107</v>
      </c>
      <c r="I143" s="5" t="s">
        <v>1633</v>
      </c>
      <c r="J143" s="5" t="s">
        <v>109</v>
      </c>
      <c r="K143" s="6">
        <f t="shared" si="4"/>
        <v>0</v>
      </c>
    </row>
    <row r="144" spans="1:11" ht="15" customHeight="1">
      <c r="A144" s="4">
        <v>136</v>
      </c>
      <c r="B144" s="5" t="s">
        <v>128</v>
      </c>
      <c r="C144" s="5" t="s">
        <v>1659</v>
      </c>
      <c r="D144" s="5" t="s">
        <v>129</v>
      </c>
      <c r="E144" s="7" t="s">
        <v>105</v>
      </c>
      <c r="F144" s="8" t="s">
        <v>97</v>
      </c>
      <c r="G144" s="4" t="s">
        <v>106</v>
      </c>
      <c r="H144" s="9" t="s">
        <v>107</v>
      </c>
      <c r="I144" s="5" t="s">
        <v>1633</v>
      </c>
      <c r="J144" s="5" t="s">
        <v>109</v>
      </c>
      <c r="K144" s="6">
        <f t="shared" si="4"/>
        <v>0</v>
      </c>
    </row>
    <row r="145" spans="1:11" ht="15" customHeight="1">
      <c r="A145" s="4">
        <v>137</v>
      </c>
      <c r="B145" s="5" t="s">
        <v>120</v>
      </c>
      <c r="C145" s="5" t="s">
        <v>1660</v>
      </c>
      <c r="D145" s="5" t="s">
        <v>122</v>
      </c>
      <c r="E145" s="7" t="s">
        <v>105</v>
      </c>
      <c r="F145" s="8" t="s">
        <v>97</v>
      </c>
      <c r="G145" s="4" t="s">
        <v>106</v>
      </c>
      <c r="H145" s="9" t="s">
        <v>107</v>
      </c>
      <c r="I145" s="5" t="s">
        <v>1633</v>
      </c>
      <c r="J145" s="5" t="s">
        <v>109</v>
      </c>
      <c r="K145" s="6">
        <f t="shared" si="4"/>
        <v>0</v>
      </c>
    </row>
    <row r="146" spans="1:11" ht="15" customHeight="1">
      <c r="A146" s="4">
        <v>138</v>
      </c>
      <c r="B146" s="5" t="s">
        <v>120</v>
      </c>
      <c r="C146" s="5" t="s">
        <v>1660</v>
      </c>
      <c r="D146" s="5" t="s">
        <v>123</v>
      </c>
      <c r="E146" s="7" t="s">
        <v>105</v>
      </c>
      <c r="F146" s="8" t="s">
        <v>97</v>
      </c>
      <c r="G146" s="4" t="s">
        <v>106</v>
      </c>
      <c r="H146" s="9" t="s">
        <v>107</v>
      </c>
      <c r="I146" s="5" t="s">
        <v>1633</v>
      </c>
      <c r="J146" s="5" t="s">
        <v>109</v>
      </c>
      <c r="K146" s="6">
        <f t="shared" si="4"/>
        <v>0</v>
      </c>
    </row>
    <row r="147" spans="1:11" ht="30" customHeight="1">
      <c r="A147" s="4">
        <v>139</v>
      </c>
      <c r="B147" s="5" t="s">
        <v>124</v>
      </c>
      <c r="C147" s="5" t="s">
        <v>1660</v>
      </c>
      <c r="D147" s="5" t="s">
        <v>125</v>
      </c>
      <c r="E147" s="7" t="s">
        <v>105</v>
      </c>
      <c r="F147" s="8" t="s">
        <v>97</v>
      </c>
      <c r="G147" s="4" t="s">
        <v>106</v>
      </c>
      <c r="H147" s="9" t="s">
        <v>107</v>
      </c>
      <c r="I147" s="5" t="s">
        <v>1633</v>
      </c>
      <c r="J147" s="5" t="s">
        <v>109</v>
      </c>
      <c r="K147" s="6">
        <f t="shared" si="4"/>
        <v>0</v>
      </c>
    </row>
    <row r="148" spans="1:11" ht="15" customHeight="1">
      <c r="A148" s="4">
        <v>140</v>
      </c>
      <c r="B148" s="5" t="s">
        <v>124</v>
      </c>
      <c r="C148" s="5" t="s">
        <v>1660</v>
      </c>
      <c r="D148" s="5" t="s">
        <v>126</v>
      </c>
      <c r="E148" s="7" t="s">
        <v>105</v>
      </c>
      <c r="F148" s="8" t="s">
        <v>97</v>
      </c>
      <c r="G148" s="4" t="s">
        <v>106</v>
      </c>
      <c r="H148" s="9" t="s">
        <v>107</v>
      </c>
      <c r="I148" s="5" t="s">
        <v>1633</v>
      </c>
      <c r="J148" s="5" t="s">
        <v>109</v>
      </c>
      <c r="K148" s="6">
        <f t="shared" si="4"/>
        <v>0</v>
      </c>
    </row>
    <row r="149" spans="1:11" ht="15" customHeight="1">
      <c r="A149" s="4">
        <v>141</v>
      </c>
      <c r="B149" s="5" t="s">
        <v>95</v>
      </c>
      <c r="C149" s="5" t="s">
        <v>1660</v>
      </c>
      <c r="D149" s="5" t="s">
        <v>127</v>
      </c>
      <c r="E149" s="7" t="s">
        <v>105</v>
      </c>
      <c r="F149" s="8" t="s">
        <v>97</v>
      </c>
      <c r="G149" s="4" t="s">
        <v>106</v>
      </c>
      <c r="H149" s="9" t="s">
        <v>107</v>
      </c>
      <c r="I149" s="5" t="s">
        <v>1633</v>
      </c>
      <c r="J149" s="5" t="s">
        <v>109</v>
      </c>
      <c r="K149" s="6">
        <f t="shared" si="4"/>
        <v>0</v>
      </c>
    </row>
    <row r="150" spans="1:11" ht="15" customHeight="1">
      <c r="A150" s="4">
        <v>142</v>
      </c>
      <c r="B150" s="5" t="s">
        <v>128</v>
      </c>
      <c r="C150" s="5" t="s">
        <v>1660</v>
      </c>
      <c r="D150" s="5" t="s">
        <v>129</v>
      </c>
      <c r="E150" s="7" t="s">
        <v>105</v>
      </c>
      <c r="F150" s="8" t="s">
        <v>97</v>
      </c>
      <c r="G150" s="4" t="s">
        <v>106</v>
      </c>
      <c r="H150" s="9" t="s">
        <v>107</v>
      </c>
      <c r="I150" s="5" t="s">
        <v>1633</v>
      </c>
      <c r="J150" s="5" t="s">
        <v>109</v>
      </c>
      <c r="K150" s="6">
        <f t="shared" si="4"/>
        <v>0</v>
      </c>
    </row>
    <row r="151" spans="1:11" ht="15" customHeight="1">
      <c r="A151" s="4">
        <v>143</v>
      </c>
      <c r="B151" s="5" t="s">
        <v>120</v>
      </c>
      <c r="C151" s="5" t="s">
        <v>824</v>
      </c>
      <c r="D151" s="5" t="s">
        <v>122</v>
      </c>
      <c r="E151" s="7" t="s">
        <v>105</v>
      </c>
      <c r="F151" s="8" t="s">
        <v>97</v>
      </c>
      <c r="G151" s="4" t="s">
        <v>106</v>
      </c>
      <c r="H151" s="9" t="s">
        <v>107</v>
      </c>
      <c r="I151" s="5" t="s">
        <v>1633</v>
      </c>
      <c r="J151" s="5" t="s">
        <v>109</v>
      </c>
      <c r="K151" s="6">
        <f t="shared" si="4"/>
        <v>0</v>
      </c>
    </row>
    <row r="152" spans="1:11" ht="15" customHeight="1">
      <c r="A152" s="4">
        <v>144</v>
      </c>
      <c r="B152" s="5" t="s">
        <v>120</v>
      </c>
      <c r="C152" s="5" t="s">
        <v>824</v>
      </c>
      <c r="D152" s="5" t="s">
        <v>123</v>
      </c>
      <c r="E152" s="7" t="s">
        <v>105</v>
      </c>
      <c r="F152" s="8" t="s">
        <v>97</v>
      </c>
      <c r="G152" s="4" t="s">
        <v>106</v>
      </c>
      <c r="H152" s="9" t="s">
        <v>107</v>
      </c>
      <c r="I152" s="5" t="s">
        <v>1633</v>
      </c>
      <c r="J152" s="5" t="s">
        <v>109</v>
      </c>
      <c r="K152" s="6">
        <f t="shared" si="4"/>
        <v>0</v>
      </c>
    </row>
    <row r="153" spans="1:11" ht="30" customHeight="1">
      <c r="A153" s="4">
        <v>145</v>
      </c>
      <c r="B153" s="5" t="s">
        <v>124</v>
      </c>
      <c r="C153" s="5" t="s">
        <v>824</v>
      </c>
      <c r="D153" s="5" t="s">
        <v>125</v>
      </c>
      <c r="E153" s="7" t="s">
        <v>105</v>
      </c>
      <c r="F153" s="8" t="s">
        <v>97</v>
      </c>
      <c r="G153" s="4" t="s">
        <v>106</v>
      </c>
      <c r="H153" s="9" t="s">
        <v>107</v>
      </c>
      <c r="I153" s="5" t="s">
        <v>1633</v>
      </c>
      <c r="J153" s="5" t="s">
        <v>109</v>
      </c>
      <c r="K153" s="6">
        <f t="shared" si="4"/>
        <v>0</v>
      </c>
    </row>
    <row r="154" spans="1:11" ht="15" customHeight="1">
      <c r="A154" s="4">
        <v>146</v>
      </c>
      <c r="B154" s="5" t="s">
        <v>124</v>
      </c>
      <c r="C154" s="5" t="s">
        <v>824</v>
      </c>
      <c r="D154" s="5" t="s">
        <v>126</v>
      </c>
      <c r="E154" s="7" t="s">
        <v>105</v>
      </c>
      <c r="F154" s="8" t="s">
        <v>97</v>
      </c>
      <c r="G154" s="4" t="s">
        <v>106</v>
      </c>
      <c r="H154" s="9" t="s">
        <v>107</v>
      </c>
      <c r="I154" s="5" t="s">
        <v>1633</v>
      </c>
      <c r="J154" s="5" t="s">
        <v>109</v>
      </c>
      <c r="K154" s="6">
        <f t="shared" si="4"/>
        <v>0</v>
      </c>
    </row>
    <row r="155" spans="1:11" ht="15" customHeight="1">
      <c r="A155" s="4">
        <v>147</v>
      </c>
      <c r="B155" s="5" t="s">
        <v>95</v>
      </c>
      <c r="C155" s="5" t="s">
        <v>824</v>
      </c>
      <c r="D155" s="5" t="s">
        <v>127</v>
      </c>
      <c r="E155" s="7" t="s">
        <v>105</v>
      </c>
      <c r="F155" s="8" t="s">
        <v>97</v>
      </c>
      <c r="G155" s="4" t="s">
        <v>106</v>
      </c>
      <c r="H155" s="9" t="s">
        <v>107</v>
      </c>
      <c r="I155" s="5" t="s">
        <v>1633</v>
      </c>
      <c r="J155" s="5" t="s">
        <v>109</v>
      </c>
      <c r="K155" s="6">
        <f t="shared" si="4"/>
        <v>0</v>
      </c>
    </row>
    <row r="156" spans="1:11" ht="15" customHeight="1">
      <c r="A156" s="4">
        <v>148</v>
      </c>
      <c r="B156" s="5" t="s">
        <v>128</v>
      </c>
      <c r="C156" s="5" t="s">
        <v>824</v>
      </c>
      <c r="D156" s="5" t="s">
        <v>129</v>
      </c>
      <c r="E156" s="7" t="s">
        <v>105</v>
      </c>
      <c r="F156" s="8" t="s">
        <v>97</v>
      </c>
      <c r="G156" s="4" t="s">
        <v>106</v>
      </c>
      <c r="H156" s="9" t="s">
        <v>107</v>
      </c>
      <c r="I156" s="5" t="s">
        <v>1633</v>
      </c>
      <c r="J156" s="5" t="s">
        <v>109</v>
      </c>
      <c r="K156" s="6">
        <f t="shared" si="4"/>
        <v>0</v>
      </c>
    </row>
    <row r="157" spans="1:11" ht="15" customHeight="1">
      <c r="A157" s="4">
        <v>149</v>
      </c>
      <c r="B157" s="5" t="s">
        <v>135</v>
      </c>
      <c r="C157" s="5" t="s">
        <v>824</v>
      </c>
      <c r="D157" s="5" t="s">
        <v>136</v>
      </c>
      <c r="E157" s="7" t="s">
        <v>105</v>
      </c>
      <c r="F157" s="8" t="s">
        <v>97</v>
      </c>
      <c r="G157" s="4" t="s">
        <v>106</v>
      </c>
      <c r="H157" s="9" t="s">
        <v>107</v>
      </c>
      <c r="I157" s="5" t="s">
        <v>1633</v>
      </c>
      <c r="J157" s="5" t="s">
        <v>109</v>
      </c>
      <c r="K157" s="6">
        <f t="shared" si="4"/>
        <v>0</v>
      </c>
    </row>
    <row r="158" spans="1:11" ht="15" customHeight="1">
      <c r="A158" s="4">
        <v>150</v>
      </c>
      <c r="B158" s="5" t="s">
        <v>135</v>
      </c>
      <c r="C158" s="5" t="s">
        <v>824</v>
      </c>
      <c r="D158" s="5" t="s">
        <v>137</v>
      </c>
      <c r="E158" s="7" t="s">
        <v>105</v>
      </c>
      <c r="F158" s="8" t="s">
        <v>97</v>
      </c>
      <c r="G158" s="4" t="s">
        <v>106</v>
      </c>
      <c r="H158" s="9" t="s">
        <v>107</v>
      </c>
      <c r="I158" s="5" t="s">
        <v>1633</v>
      </c>
      <c r="J158" s="5" t="s">
        <v>109</v>
      </c>
      <c r="K158" s="6">
        <f t="shared" si="4"/>
        <v>0</v>
      </c>
    </row>
    <row r="159" spans="1:11" ht="15" customHeight="1">
      <c r="A159" s="4">
        <v>151</v>
      </c>
      <c r="B159" s="5" t="s">
        <v>135</v>
      </c>
      <c r="C159" s="5" t="s">
        <v>824</v>
      </c>
      <c r="D159" s="5" t="s">
        <v>138</v>
      </c>
      <c r="E159" s="7" t="s">
        <v>105</v>
      </c>
      <c r="F159" s="8" t="s">
        <v>97</v>
      </c>
      <c r="G159" s="4" t="s">
        <v>106</v>
      </c>
      <c r="H159" s="9" t="s">
        <v>107</v>
      </c>
      <c r="I159" s="5" t="s">
        <v>1633</v>
      </c>
      <c r="J159" s="5" t="s">
        <v>109</v>
      </c>
      <c r="K159" s="6">
        <f t="shared" si="4"/>
        <v>0</v>
      </c>
    </row>
    <row r="160" spans="1:11" ht="15" customHeight="1">
      <c r="A160" s="4">
        <v>152</v>
      </c>
      <c r="B160" s="5" t="s">
        <v>153</v>
      </c>
      <c r="C160" s="5" t="s">
        <v>154</v>
      </c>
      <c r="D160" s="5" t="s">
        <v>155</v>
      </c>
      <c r="E160" s="7" t="s">
        <v>105</v>
      </c>
      <c r="F160" s="8" t="s">
        <v>97</v>
      </c>
      <c r="G160" s="4" t="s">
        <v>106</v>
      </c>
      <c r="H160" s="9" t="s">
        <v>107</v>
      </c>
      <c r="I160" s="5" t="s">
        <v>1633</v>
      </c>
      <c r="J160" s="5" t="s">
        <v>109</v>
      </c>
      <c r="K160" s="6">
        <f t="shared" si="4"/>
        <v>0</v>
      </c>
    </row>
    <row r="161" spans="1:11" ht="15" customHeight="1">
      <c r="A161" s="4">
        <v>153</v>
      </c>
      <c r="B161" s="5" t="s">
        <v>153</v>
      </c>
      <c r="C161" s="5" t="s">
        <v>154</v>
      </c>
      <c r="D161" s="5" t="s">
        <v>548</v>
      </c>
      <c r="E161" s="7" t="s">
        <v>105</v>
      </c>
      <c r="F161" s="8" t="s">
        <v>97</v>
      </c>
      <c r="G161" s="4" t="s">
        <v>106</v>
      </c>
      <c r="H161" s="9" t="s">
        <v>107</v>
      </c>
      <c r="I161" s="5" t="s">
        <v>1633</v>
      </c>
      <c r="J161" s="5" t="s">
        <v>109</v>
      </c>
      <c r="K161" s="6">
        <f t="shared" si="4"/>
        <v>0</v>
      </c>
    </row>
    <row r="162" spans="1:11" ht="15" customHeight="1">
      <c r="A162" s="4">
        <v>154</v>
      </c>
      <c r="B162" s="5" t="s">
        <v>153</v>
      </c>
      <c r="C162" s="5" t="s">
        <v>154</v>
      </c>
      <c r="D162" s="5" t="s">
        <v>156</v>
      </c>
      <c r="E162" s="7" t="s">
        <v>105</v>
      </c>
      <c r="F162" s="8" t="s">
        <v>97</v>
      </c>
      <c r="G162" s="4" t="s">
        <v>106</v>
      </c>
      <c r="H162" s="9" t="s">
        <v>107</v>
      </c>
      <c r="I162" s="5" t="s">
        <v>1633</v>
      </c>
      <c r="J162" s="5" t="s">
        <v>109</v>
      </c>
      <c r="K162" s="6">
        <f t="shared" si="4"/>
        <v>0</v>
      </c>
    </row>
    <row r="163" spans="1:11" ht="15" customHeight="1">
      <c r="A163" s="4">
        <v>155</v>
      </c>
      <c r="B163" s="5" t="s">
        <v>153</v>
      </c>
      <c r="C163" s="5" t="s">
        <v>154</v>
      </c>
      <c r="D163" s="5" t="s">
        <v>157</v>
      </c>
      <c r="E163" s="7" t="s">
        <v>105</v>
      </c>
      <c r="F163" s="8" t="s">
        <v>97</v>
      </c>
      <c r="G163" s="4" t="s">
        <v>106</v>
      </c>
      <c r="H163" s="9" t="s">
        <v>107</v>
      </c>
      <c r="I163" s="5" t="s">
        <v>1633</v>
      </c>
      <c r="J163" s="5" t="s">
        <v>109</v>
      </c>
      <c r="K163" s="6">
        <f t="shared" si="4"/>
        <v>0</v>
      </c>
    </row>
    <row r="164" spans="1:11" ht="15" customHeight="1">
      <c r="A164" s="4">
        <v>156</v>
      </c>
      <c r="B164" s="5" t="s">
        <v>153</v>
      </c>
      <c r="C164" s="5" t="s">
        <v>154</v>
      </c>
      <c r="D164" s="5" t="s">
        <v>562</v>
      </c>
      <c r="E164" s="7" t="s">
        <v>105</v>
      </c>
      <c r="F164" s="8" t="s">
        <v>97</v>
      </c>
      <c r="G164" s="4" t="s">
        <v>106</v>
      </c>
      <c r="H164" s="9" t="s">
        <v>107</v>
      </c>
      <c r="I164" s="5" t="s">
        <v>1633</v>
      </c>
      <c r="J164" s="5" t="s">
        <v>109</v>
      </c>
      <c r="K164" s="6">
        <f t="shared" si="4"/>
        <v>0</v>
      </c>
    </row>
    <row r="165" spans="1:11" ht="15" customHeight="1">
      <c r="A165" s="4">
        <v>157</v>
      </c>
      <c r="B165" s="5" t="s">
        <v>153</v>
      </c>
      <c r="C165" s="5" t="s">
        <v>154</v>
      </c>
      <c r="D165" s="5" t="s">
        <v>438</v>
      </c>
      <c r="E165" s="7" t="s">
        <v>105</v>
      </c>
      <c r="F165" s="8" t="s">
        <v>97</v>
      </c>
      <c r="G165" s="4" t="s">
        <v>106</v>
      </c>
      <c r="H165" s="9" t="s">
        <v>107</v>
      </c>
      <c r="I165" s="5" t="s">
        <v>1633</v>
      </c>
      <c r="J165" s="5" t="s">
        <v>109</v>
      </c>
      <c r="K165" s="6">
        <f t="shared" si="4"/>
        <v>0</v>
      </c>
    </row>
    <row r="166" spans="1:11" ht="15" customHeight="1">
      <c r="A166" s="4">
        <v>158</v>
      </c>
      <c r="B166" s="5" t="s">
        <v>159</v>
      </c>
      <c r="C166" s="5" t="s">
        <v>154</v>
      </c>
      <c r="D166" s="5" t="s">
        <v>549</v>
      </c>
      <c r="E166" s="7" t="s">
        <v>105</v>
      </c>
      <c r="F166" s="8" t="s">
        <v>97</v>
      </c>
      <c r="G166" s="4" t="s">
        <v>106</v>
      </c>
      <c r="H166" s="9" t="s">
        <v>107</v>
      </c>
      <c r="I166" s="5" t="s">
        <v>1633</v>
      </c>
      <c r="J166" s="5" t="s">
        <v>109</v>
      </c>
      <c r="K166" s="6">
        <f t="shared" si="4"/>
        <v>0</v>
      </c>
    </row>
    <row r="167" spans="1:11" ht="15" customHeight="1">
      <c r="A167" s="4">
        <v>159</v>
      </c>
      <c r="B167" s="5" t="s">
        <v>159</v>
      </c>
      <c r="C167" s="5" t="s">
        <v>154</v>
      </c>
      <c r="D167" s="5" t="s">
        <v>160</v>
      </c>
      <c r="E167" s="7" t="s">
        <v>105</v>
      </c>
      <c r="F167" s="8" t="s">
        <v>97</v>
      </c>
      <c r="G167" s="4" t="s">
        <v>106</v>
      </c>
      <c r="H167" s="9" t="s">
        <v>107</v>
      </c>
      <c r="I167" s="5" t="s">
        <v>1633</v>
      </c>
      <c r="J167" s="5" t="s">
        <v>109</v>
      </c>
      <c r="K167" s="6">
        <f t="shared" si="4"/>
        <v>0</v>
      </c>
    </row>
    <row r="168" spans="1:11" ht="15" customHeight="1">
      <c r="A168" s="4">
        <v>160</v>
      </c>
      <c r="B168" s="5" t="s">
        <v>159</v>
      </c>
      <c r="C168" s="5" t="s">
        <v>154</v>
      </c>
      <c r="D168" s="5" t="s">
        <v>1661</v>
      </c>
      <c r="E168" s="7" t="s">
        <v>105</v>
      </c>
      <c r="F168" s="8" t="s">
        <v>97</v>
      </c>
      <c r="G168" s="4" t="s">
        <v>106</v>
      </c>
      <c r="H168" s="9" t="s">
        <v>107</v>
      </c>
      <c r="I168" s="5" t="s">
        <v>1633</v>
      </c>
      <c r="J168" s="5" t="s">
        <v>109</v>
      </c>
      <c r="K168" s="6">
        <f t="shared" si="4"/>
        <v>0</v>
      </c>
    </row>
    <row r="169" spans="1:11" ht="15" customHeight="1">
      <c r="A169" s="4">
        <v>161</v>
      </c>
      <c r="B169" s="5" t="s">
        <v>159</v>
      </c>
      <c r="C169" s="5" t="s">
        <v>154</v>
      </c>
      <c r="D169" s="5" t="s">
        <v>161</v>
      </c>
      <c r="E169" s="7" t="s">
        <v>105</v>
      </c>
      <c r="F169" s="8" t="s">
        <v>97</v>
      </c>
      <c r="G169" s="4" t="s">
        <v>106</v>
      </c>
      <c r="H169" s="9" t="s">
        <v>107</v>
      </c>
      <c r="I169" s="5" t="s">
        <v>1633</v>
      </c>
      <c r="J169" s="5" t="s">
        <v>109</v>
      </c>
      <c r="K169" s="6">
        <f t="shared" ref="K169:K200" si="5">IF(AND(E169="yes",F169="yes",H169="covered"),1,IF(H169="partial",0.5,0))</f>
        <v>0</v>
      </c>
    </row>
    <row r="170" spans="1:11" ht="15" customHeight="1">
      <c r="A170" s="4">
        <v>162</v>
      </c>
      <c r="B170" s="5" t="s">
        <v>159</v>
      </c>
      <c r="C170" s="5" t="s">
        <v>154</v>
      </c>
      <c r="D170" s="5" t="s">
        <v>162</v>
      </c>
      <c r="E170" s="7" t="s">
        <v>105</v>
      </c>
      <c r="F170" s="8" t="s">
        <v>97</v>
      </c>
      <c r="G170" s="4" t="s">
        <v>106</v>
      </c>
      <c r="H170" s="9" t="s">
        <v>107</v>
      </c>
      <c r="I170" s="5" t="s">
        <v>1633</v>
      </c>
      <c r="J170" s="5" t="s">
        <v>109</v>
      </c>
      <c r="K170" s="6">
        <f t="shared" si="5"/>
        <v>0</v>
      </c>
    </row>
    <row r="171" spans="1:11" ht="15" customHeight="1">
      <c r="A171" s="4">
        <v>163</v>
      </c>
      <c r="B171" s="5" t="s">
        <v>159</v>
      </c>
      <c r="C171" s="5" t="s">
        <v>154</v>
      </c>
      <c r="D171" s="5" t="s">
        <v>163</v>
      </c>
      <c r="E171" s="7" t="s">
        <v>105</v>
      </c>
      <c r="F171" s="8" t="s">
        <v>97</v>
      </c>
      <c r="G171" s="4" t="s">
        <v>106</v>
      </c>
      <c r="H171" s="9" t="s">
        <v>107</v>
      </c>
      <c r="I171" s="5" t="s">
        <v>1633</v>
      </c>
      <c r="J171" s="5" t="s">
        <v>109</v>
      </c>
      <c r="K171" s="6">
        <f t="shared" si="5"/>
        <v>0</v>
      </c>
    </row>
    <row r="172" spans="1:11" ht="30" customHeight="1">
      <c r="A172" s="4">
        <v>164</v>
      </c>
      <c r="B172" s="5" t="s">
        <v>130</v>
      </c>
      <c r="C172" s="5" t="s">
        <v>48</v>
      </c>
      <c r="D172" s="5" t="s">
        <v>164</v>
      </c>
      <c r="E172" s="7" t="s">
        <v>105</v>
      </c>
      <c r="F172" s="8" t="s">
        <v>97</v>
      </c>
      <c r="G172" s="4" t="s">
        <v>106</v>
      </c>
      <c r="H172" s="9" t="s">
        <v>107</v>
      </c>
      <c r="I172" s="5" t="s">
        <v>1633</v>
      </c>
      <c r="J172" s="5" t="s">
        <v>109</v>
      </c>
      <c r="K172" s="6">
        <f t="shared" si="5"/>
        <v>0</v>
      </c>
    </row>
    <row r="173" spans="1:11" ht="15" customHeight="1">
      <c r="A173" s="4">
        <v>165</v>
      </c>
      <c r="B173" s="5" t="s">
        <v>130</v>
      </c>
      <c r="C173" s="5" t="s">
        <v>48</v>
      </c>
      <c r="D173" s="5" t="s">
        <v>165</v>
      </c>
      <c r="E173" s="7" t="s">
        <v>105</v>
      </c>
      <c r="F173" s="8" t="s">
        <v>97</v>
      </c>
      <c r="G173" s="4" t="s">
        <v>106</v>
      </c>
      <c r="H173" s="9" t="s">
        <v>107</v>
      </c>
      <c r="I173" s="5" t="s">
        <v>1633</v>
      </c>
      <c r="J173" s="5" t="s">
        <v>109</v>
      </c>
      <c r="K173" s="6">
        <f t="shared" si="5"/>
        <v>0</v>
      </c>
    </row>
    <row r="174" spans="1:11" ht="15" customHeight="1">
      <c r="A174" s="4">
        <v>166</v>
      </c>
      <c r="B174" s="5" t="s">
        <v>130</v>
      </c>
      <c r="C174" s="5" t="s">
        <v>48</v>
      </c>
      <c r="D174" s="5" t="s">
        <v>166</v>
      </c>
      <c r="E174" s="7" t="s">
        <v>105</v>
      </c>
      <c r="F174" s="8" t="s">
        <v>97</v>
      </c>
      <c r="G174" s="4" t="s">
        <v>106</v>
      </c>
      <c r="H174" s="9" t="s">
        <v>107</v>
      </c>
      <c r="I174" s="5" t="s">
        <v>1633</v>
      </c>
      <c r="J174" s="5" t="s">
        <v>109</v>
      </c>
      <c r="K174" s="6">
        <f t="shared" si="5"/>
        <v>0</v>
      </c>
    </row>
    <row r="175" spans="1:11" ht="15" customHeight="1">
      <c r="A175" s="4">
        <v>167</v>
      </c>
      <c r="B175" s="5" t="s">
        <v>130</v>
      </c>
      <c r="C175" s="5" t="s">
        <v>48</v>
      </c>
      <c r="D175" s="5" t="s">
        <v>167</v>
      </c>
      <c r="E175" s="7" t="s">
        <v>105</v>
      </c>
      <c r="F175" s="8" t="s">
        <v>97</v>
      </c>
      <c r="G175" s="4" t="s">
        <v>106</v>
      </c>
      <c r="H175" s="9" t="s">
        <v>107</v>
      </c>
      <c r="I175" s="5" t="s">
        <v>1633</v>
      </c>
      <c r="J175" s="5" t="s">
        <v>109</v>
      </c>
      <c r="K175" s="6">
        <f t="shared" si="5"/>
        <v>0</v>
      </c>
    </row>
    <row r="176" spans="1:11" ht="15" customHeight="1">
      <c r="A176" s="4">
        <v>168</v>
      </c>
      <c r="B176" s="5" t="s">
        <v>130</v>
      </c>
      <c r="C176" s="5" t="s">
        <v>48</v>
      </c>
      <c r="D176" s="5" t="s">
        <v>168</v>
      </c>
      <c r="E176" s="7" t="s">
        <v>105</v>
      </c>
      <c r="F176" s="8" t="s">
        <v>97</v>
      </c>
      <c r="G176" s="4" t="s">
        <v>106</v>
      </c>
      <c r="H176" s="9" t="s">
        <v>107</v>
      </c>
      <c r="I176" s="5" t="s">
        <v>1633</v>
      </c>
      <c r="J176" s="5" t="s">
        <v>109</v>
      </c>
      <c r="K176" s="6">
        <f t="shared" si="5"/>
        <v>0</v>
      </c>
    </row>
    <row r="177" spans="1:11" ht="15" customHeight="1">
      <c r="A177" s="4">
        <v>169</v>
      </c>
      <c r="B177" s="5" t="s">
        <v>135</v>
      </c>
      <c r="C177" s="5" t="s">
        <v>121</v>
      </c>
      <c r="D177" s="5" t="s">
        <v>169</v>
      </c>
      <c r="E177" s="7" t="s">
        <v>105</v>
      </c>
      <c r="F177" s="8" t="s">
        <v>97</v>
      </c>
      <c r="G177" s="4" t="s">
        <v>106</v>
      </c>
      <c r="H177" s="9" t="s">
        <v>107</v>
      </c>
      <c r="I177" s="5" t="s">
        <v>1633</v>
      </c>
      <c r="J177" s="5" t="s">
        <v>109</v>
      </c>
      <c r="K177" s="6">
        <f t="shared" si="5"/>
        <v>0</v>
      </c>
    </row>
    <row r="178" spans="1:11" ht="15" customHeight="1">
      <c r="A178" s="4">
        <v>170</v>
      </c>
      <c r="B178" s="5" t="s">
        <v>135</v>
      </c>
      <c r="C178" s="5" t="s">
        <v>121</v>
      </c>
      <c r="D178" s="5" t="s">
        <v>170</v>
      </c>
      <c r="E178" s="7" t="s">
        <v>105</v>
      </c>
      <c r="F178" s="8" t="s">
        <v>97</v>
      </c>
      <c r="G178" s="4" t="s">
        <v>106</v>
      </c>
      <c r="H178" s="9" t="s">
        <v>107</v>
      </c>
      <c r="I178" s="5" t="s">
        <v>1633</v>
      </c>
      <c r="J178" s="5" t="s">
        <v>109</v>
      </c>
      <c r="K178" s="6">
        <f t="shared" si="5"/>
        <v>0</v>
      </c>
    </row>
    <row r="179" spans="1:11" ht="15" customHeight="1">
      <c r="A179" s="4">
        <v>171</v>
      </c>
      <c r="B179" s="5" t="s">
        <v>135</v>
      </c>
      <c r="C179" s="5" t="s">
        <v>121</v>
      </c>
      <c r="D179" s="5" t="s">
        <v>171</v>
      </c>
      <c r="E179" s="7" t="s">
        <v>105</v>
      </c>
      <c r="F179" s="8" t="s">
        <v>97</v>
      </c>
      <c r="G179" s="4" t="s">
        <v>106</v>
      </c>
      <c r="H179" s="9" t="s">
        <v>107</v>
      </c>
      <c r="I179" s="5" t="s">
        <v>1633</v>
      </c>
      <c r="J179" s="5" t="s">
        <v>109</v>
      </c>
      <c r="K179" s="6">
        <f t="shared" si="5"/>
        <v>0</v>
      </c>
    </row>
    <row r="180" spans="1:11" ht="15" customHeight="1">
      <c r="A180" s="4">
        <v>172</v>
      </c>
      <c r="B180" s="5" t="s">
        <v>172</v>
      </c>
      <c r="C180" s="5" t="s">
        <v>145</v>
      </c>
      <c r="D180" s="5" t="s">
        <v>173</v>
      </c>
      <c r="E180" s="7" t="s">
        <v>105</v>
      </c>
      <c r="F180" s="8" t="s">
        <v>97</v>
      </c>
      <c r="G180" s="4" t="s">
        <v>106</v>
      </c>
      <c r="H180" s="9" t="s">
        <v>107</v>
      </c>
      <c r="I180" s="5" t="s">
        <v>1633</v>
      </c>
      <c r="J180" s="5" t="s">
        <v>109</v>
      </c>
      <c r="K180" s="6">
        <f t="shared" si="5"/>
        <v>0</v>
      </c>
    </row>
    <row r="181" spans="1:11" ht="15" customHeight="1">
      <c r="A181" s="4">
        <v>173</v>
      </c>
      <c r="B181" s="5" t="s">
        <v>172</v>
      </c>
      <c r="C181" s="5" t="s">
        <v>145</v>
      </c>
      <c r="D181" s="5" t="s">
        <v>174</v>
      </c>
      <c r="E181" s="7" t="s">
        <v>105</v>
      </c>
      <c r="F181" s="8" t="s">
        <v>97</v>
      </c>
      <c r="G181" s="4" t="s">
        <v>106</v>
      </c>
      <c r="H181" s="9" t="s">
        <v>107</v>
      </c>
      <c r="I181" s="5" t="s">
        <v>1633</v>
      </c>
      <c r="J181" s="5" t="s">
        <v>109</v>
      </c>
      <c r="K181" s="6">
        <f t="shared" si="5"/>
        <v>0</v>
      </c>
    </row>
    <row r="182" spans="1:11" ht="15" customHeight="1">
      <c r="A182" s="4">
        <v>174</v>
      </c>
      <c r="B182" s="5" t="s">
        <v>172</v>
      </c>
      <c r="C182" s="5" t="s">
        <v>145</v>
      </c>
      <c r="D182" s="5" t="s">
        <v>175</v>
      </c>
      <c r="E182" s="7" t="s">
        <v>105</v>
      </c>
      <c r="F182" s="8" t="s">
        <v>97</v>
      </c>
      <c r="G182" s="4" t="s">
        <v>106</v>
      </c>
      <c r="H182" s="9" t="s">
        <v>107</v>
      </c>
      <c r="I182" s="5" t="s">
        <v>1633</v>
      </c>
      <c r="J182" s="5" t="s">
        <v>109</v>
      </c>
      <c r="K182" s="6">
        <f t="shared" si="5"/>
        <v>0</v>
      </c>
    </row>
    <row r="183" spans="1:11" ht="15" customHeight="1">
      <c r="A183" s="4">
        <v>175</v>
      </c>
      <c r="B183" s="5" t="s">
        <v>172</v>
      </c>
      <c r="C183" s="5" t="s">
        <v>145</v>
      </c>
      <c r="D183" s="5" t="s">
        <v>176</v>
      </c>
      <c r="E183" s="7" t="s">
        <v>105</v>
      </c>
      <c r="F183" s="8" t="s">
        <v>97</v>
      </c>
      <c r="G183" s="4" t="s">
        <v>106</v>
      </c>
      <c r="H183" s="9" t="s">
        <v>107</v>
      </c>
      <c r="I183" s="5" t="s">
        <v>1633</v>
      </c>
      <c r="J183" s="5" t="s">
        <v>109</v>
      </c>
      <c r="K183" s="6">
        <f t="shared" si="5"/>
        <v>0</v>
      </c>
    </row>
    <row r="184" spans="1:11" ht="15" customHeight="1">
      <c r="A184" s="4">
        <v>176</v>
      </c>
      <c r="B184" s="5" t="s">
        <v>177</v>
      </c>
      <c r="C184" s="5" t="s">
        <v>145</v>
      </c>
      <c r="D184" s="5" t="s">
        <v>178</v>
      </c>
      <c r="E184" s="7" t="s">
        <v>105</v>
      </c>
      <c r="F184" s="8" t="s">
        <v>97</v>
      </c>
      <c r="G184" s="4" t="s">
        <v>106</v>
      </c>
      <c r="H184" s="9" t="s">
        <v>107</v>
      </c>
      <c r="I184" s="5" t="s">
        <v>1633</v>
      </c>
      <c r="J184" s="5" t="s">
        <v>109</v>
      </c>
      <c r="K184" s="6">
        <f t="shared" si="5"/>
        <v>0</v>
      </c>
    </row>
    <row r="185" spans="1:11" ht="15" customHeight="1">
      <c r="A185" s="4">
        <v>177</v>
      </c>
      <c r="B185" s="5" t="s">
        <v>179</v>
      </c>
      <c r="C185" s="5" t="s">
        <v>48</v>
      </c>
      <c r="D185" s="5" t="s">
        <v>182</v>
      </c>
      <c r="E185" s="7" t="s">
        <v>105</v>
      </c>
      <c r="F185" s="8" t="s">
        <v>97</v>
      </c>
      <c r="G185" s="4" t="s">
        <v>106</v>
      </c>
      <c r="H185" s="9" t="s">
        <v>107</v>
      </c>
      <c r="I185" s="5" t="s">
        <v>1633</v>
      </c>
      <c r="J185" s="5" t="s">
        <v>109</v>
      </c>
      <c r="K185" s="6">
        <f t="shared" si="5"/>
        <v>0</v>
      </c>
    </row>
    <row r="186" spans="1:11" ht="15" customHeight="1">
      <c r="A186" s="4">
        <v>178</v>
      </c>
      <c r="B186" s="5" t="s">
        <v>179</v>
      </c>
      <c r="C186" s="5" t="s">
        <v>48</v>
      </c>
      <c r="D186" s="5" t="s">
        <v>183</v>
      </c>
      <c r="E186" s="7" t="s">
        <v>105</v>
      </c>
      <c r="F186" s="8" t="s">
        <v>97</v>
      </c>
      <c r="G186" s="4" t="s">
        <v>106</v>
      </c>
      <c r="H186" s="9" t="s">
        <v>107</v>
      </c>
      <c r="I186" s="5" t="s">
        <v>1633</v>
      </c>
      <c r="J186" s="5" t="s">
        <v>109</v>
      </c>
      <c r="K186" s="6">
        <f t="shared" si="5"/>
        <v>0</v>
      </c>
    </row>
    <row r="187" spans="1:11" ht="15" customHeight="1">
      <c r="A187" s="4">
        <v>179</v>
      </c>
      <c r="B187" s="5" t="s">
        <v>179</v>
      </c>
      <c r="C187" s="5" t="s">
        <v>48</v>
      </c>
      <c r="D187" s="5" t="s">
        <v>184</v>
      </c>
      <c r="E187" s="7" t="s">
        <v>105</v>
      </c>
      <c r="F187" s="8" t="s">
        <v>97</v>
      </c>
      <c r="G187" s="4" t="s">
        <v>106</v>
      </c>
      <c r="H187" s="9" t="s">
        <v>107</v>
      </c>
      <c r="I187" s="5" t="s">
        <v>1633</v>
      </c>
      <c r="J187" s="5" t="s">
        <v>109</v>
      </c>
      <c r="K187" s="6">
        <f t="shared" si="5"/>
        <v>0</v>
      </c>
    </row>
    <row r="188" spans="1:11" ht="15" customHeight="1">
      <c r="A188" s="4">
        <v>180</v>
      </c>
      <c r="B188" s="5" t="s">
        <v>179</v>
      </c>
      <c r="C188" s="5" t="s">
        <v>48</v>
      </c>
      <c r="D188" s="5" t="s">
        <v>185</v>
      </c>
      <c r="E188" s="7" t="s">
        <v>105</v>
      </c>
      <c r="F188" s="8" t="s">
        <v>97</v>
      </c>
      <c r="G188" s="4" t="s">
        <v>106</v>
      </c>
      <c r="H188" s="9" t="s">
        <v>107</v>
      </c>
      <c r="I188" s="5" t="s">
        <v>1633</v>
      </c>
      <c r="J188" s="5" t="s">
        <v>109</v>
      </c>
      <c r="K188" s="6">
        <f t="shared" si="5"/>
        <v>0</v>
      </c>
    </row>
    <row r="189" spans="1:11" ht="15" customHeight="1">
      <c r="A189" s="4">
        <v>181</v>
      </c>
      <c r="B189" s="5" t="s">
        <v>177</v>
      </c>
      <c r="C189" s="5" t="s">
        <v>48</v>
      </c>
      <c r="D189" s="5" t="s">
        <v>186</v>
      </c>
      <c r="E189" s="7" t="s">
        <v>105</v>
      </c>
      <c r="F189" s="8" t="s">
        <v>97</v>
      </c>
      <c r="G189" s="4" t="s">
        <v>106</v>
      </c>
      <c r="H189" s="9" t="s">
        <v>107</v>
      </c>
      <c r="I189" s="5" t="s">
        <v>1633</v>
      </c>
      <c r="J189" s="5" t="s">
        <v>109</v>
      </c>
      <c r="K189" s="6">
        <f t="shared" si="5"/>
        <v>0</v>
      </c>
    </row>
    <row r="190" spans="1:11" ht="15" customHeight="1">
      <c r="A190" s="4">
        <v>182</v>
      </c>
      <c r="B190" s="5" t="s">
        <v>405</v>
      </c>
      <c r="C190" s="5" t="s">
        <v>48</v>
      </c>
      <c r="D190" s="5" t="s">
        <v>1122</v>
      </c>
      <c r="E190" s="7" t="s">
        <v>105</v>
      </c>
      <c r="F190" s="8" t="s">
        <v>97</v>
      </c>
      <c r="G190" s="4" t="s">
        <v>106</v>
      </c>
      <c r="H190" s="9" t="s">
        <v>107</v>
      </c>
      <c r="I190" s="5" t="s">
        <v>1633</v>
      </c>
      <c r="J190" s="5" t="s">
        <v>109</v>
      </c>
      <c r="K190" s="6">
        <f t="shared" si="5"/>
        <v>0</v>
      </c>
    </row>
    <row r="191" spans="1:11" ht="15" customHeight="1">
      <c r="A191" s="4">
        <v>183</v>
      </c>
      <c r="B191" s="5" t="s">
        <v>405</v>
      </c>
      <c r="C191" s="5" t="s">
        <v>48</v>
      </c>
      <c r="D191" s="5" t="s">
        <v>1123</v>
      </c>
      <c r="E191" s="7" t="s">
        <v>105</v>
      </c>
      <c r="F191" s="8" t="s">
        <v>97</v>
      </c>
      <c r="G191" s="4" t="s">
        <v>106</v>
      </c>
      <c r="H191" s="9" t="s">
        <v>107</v>
      </c>
      <c r="I191" s="5" t="s">
        <v>1633</v>
      </c>
      <c r="J191" s="5" t="s">
        <v>109</v>
      </c>
      <c r="K191" s="6">
        <f t="shared" si="5"/>
        <v>0</v>
      </c>
    </row>
    <row r="192" spans="1:11" ht="15" customHeight="1">
      <c r="A192" s="4">
        <v>184</v>
      </c>
      <c r="B192" s="5" t="s">
        <v>405</v>
      </c>
      <c r="C192" s="5" t="s">
        <v>48</v>
      </c>
      <c r="D192" s="5" t="s">
        <v>1124</v>
      </c>
      <c r="E192" s="7" t="s">
        <v>105</v>
      </c>
      <c r="F192" s="8" t="s">
        <v>97</v>
      </c>
      <c r="G192" s="4" t="s">
        <v>106</v>
      </c>
      <c r="H192" s="9" t="s">
        <v>107</v>
      </c>
      <c r="I192" s="5" t="s">
        <v>1633</v>
      </c>
      <c r="J192" s="5" t="s">
        <v>109</v>
      </c>
      <c r="K192" s="6">
        <f t="shared" si="5"/>
        <v>0</v>
      </c>
    </row>
    <row r="193" spans="1:11" ht="15" customHeight="1">
      <c r="A193" s="4">
        <v>185</v>
      </c>
      <c r="B193" s="5" t="s">
        <v>177</v>
      </c>
      <c r="C193" s="5" t="s">
        <v>48</v>
      </c>
      <c r="D193" s="5" t="s">
        <v>1125</v>
      </c>
      <c r="E193" s="7" t="s">
        <v>105</v>
      </c>
      <c r="F193" s="8" t="s">
        <v>97</v>
      </c>
      <c r="G193" s="4" t="s">
        <v>106</v>
      </c>
      <c r="H193" s="9" t="s">
        <v>107</v>
      </c>
      <c r="I193" s="5" t="s">
        <v>1633</v>
      </c>
      <c r="J193" s="5" t="s">
        <v>109</v>
      </c>
      <c r="K193" s="6">
        <f t="shared" si="5"/>
        <v>0</v>
      </c>
    </row>
    <row r="194" spans="1:11" ht="15" customHeight="1">
      <c r="A194" s="4">
        <v>186</v>
      </c>
      <c r="B194" s="5" t="s">
        <v>177</v>
      </c>
      <c r="C194" s="5" t="s">
        <v>48</v>
      </c>
      <c r="D194" s="5" t="s">
        <v>1126</v>
      </c>
      <c r="E194" s="7" t="s">
        <v>105</v>
      </c>
      <c r="F194" s="8" t="s">
        <v>97</v>
      </c>
      <c r="G194" s="4" t="s">
        <v>106</v>
      </c>
      <c r="H194" s="9" t="s">
        <v>107</v>
      </c>
      <c r="I194" s="5" t="s">
        <v>1633</v>
      </c>
      <c r="J194" s="5" t="s">
        <v>109</v>
      </c>
      <c r="K194" s="6">
        <f t="shared" si="5"/>
        <v>0</v>
      </c>
    </row>
    <row r="195" spans="1:11" ht="15" customHeight="1">
      <c r="A195" s="4">
        <v>187</v>
      </c>
      <c r="B195" s="5" t="s">
        <v>927</v>
      </c>
      <c r="C195" s="5" t="s">
        <v>48</v>
      </c>
      <c r="D195" s="5" t="s">
        <v>1127</v>
      </c>
      <c r="E195" s="7" t="s">
        <v>105</v>
      </c>
      <c r="F195" s="8" t="s">
        <v>97</v>
      </c>
      <c r="G195" s="4" t="s">
        <v>106</v>
      </c>
      <c r="H195" s="9" t="s">
        <v>107</v>
      </c>
      <c r="I195" s="5" t="s">
        <v>1633</v>
      </c>
      <c r="J195" s="5" t="s">
        <v>109</v>
      </c>
      <c r="K195" s="6">
        <f t="shared" si="5"/>
        <v>0</v>
      </c>
    </row>
    <row r="196" spans="1:11" ht="15" customHeight="1">
      <c r="A196" s="4">
        <v>188</v>
      </c>
      <c r="B196" s="5" t="s">
        <v>45</v>
      </c>
      <c r="C196" s="5" t="s">
        <v>48</v>
      </c>
      <c r="D196" s="5" t="s">
        <v>1561</v>
      </c>
      <c r="E196" s="7" t="s">
        <v>105</v>
      </c>
      <c r="F196" s="8" t="s">
        <v>97</v>
      </c>
      <c r="G196" s="4" t="s">
        <v>106</v>
      </c>
      <c r="H196" s="9" t="s">
        <v>107</v>
      </c>
      <c r="I196" s="5" t="s">
        <v>1633</v>
      </c>
      <c r="J196" s="5" t="s">
        <v>109</v>
      </c>
      <c r="K196" s="6">
        <f t="shared" si="5"/>
        <v>0</v>
      </c>
    </row>
    <row r="197" spans="1:11" ht="15" customHeight="1">
      <c r="A197" s="4">
        <v>189</v>
      </c>
      <c r="B197" s="5" t="s">
        <v>45</v>
      </c>
      <c r="C197" s="5" t="s">
        <v>48</v>
      </c>
      <c r="D197" s="5" t="s">
        <v>1562</v>
      </c>
      <c r="E197" s="7" t="s">
        <v>105</v>
      </c>
      <c r="F197" s="8" t="s">
        <v>97</v>
      </c>
      <c r="G197" s="4" t="s">
        <v>106</v>
      </c>
      <c r="H197" s="9" t="s">
        <v>107</v>
      </c>
      <c r="I197" s="5" t="s">
        <v>1633</v>
      </c>
      <c r="J197" s="5" t="s">
        <v>109</v>
      </c>
      <c r="K197" s="6">
        <f t="shared" si="5"/>
        <v>0</v>
      </c>
    </row>
    <row r="198" spans="1:11" ht="15" customHeight="1">
      <c r="A198" s="4">
        <v>190</v>
      </c>
      <c r="B198" s="5" t="s">
        <v>45</v>
      </c>
      <c r="C198" s="5" t="s">
        <v>48</v>
      </c>
      <c r="D198" s="5" t="s">
        <v>1563</v>
      </c>
      <c r="E198" s="7" t="s">
        <v>105</v>
      </c>
      <c r="F198" s="8" t="s">
        <v>97</v>
      </c>
      <c r="G198" s="4" t="s">
        <v>106</v>
      </c>
      <c r="H198" s="9" t="s">
        <v>107</v>
      </c>
      <c r="I198" s="5" t="s">
        <v>1633</v>
      </c>
      <c r="J198" s="5" t="s">
        <v>109</v>
      </c>
      <c r="K198" s="6">
        <f t="shared" si="5"/>
        <v>0</v>
      </c>
    </row>
    <row r="199" spans="1:11" ht="15" customHeight="1">
      <c r="A199" s="4">
        <v>191</v>
      </c>
      <c r="B199" s="5" t="s">
        <v>45</v>
      </c>
      <c r="C199" s="5" t="s">
        <v>48</v>
      </c>
      <c r="D199" s="5" t="s">
        <v>1564</v>
      </c>
      <c r="E199" s="7" t="s">
        <v>105</v>
      </c>
      <c r="F199" s="8" t="s">
        <v>97</v>
      </c>
      <c r="G199" s="4" t="s">
        <v>106</v>
      </c>
      <c r="H199" s="9" t="s">
        <v>107</v>
      </c>
      <c r="I199" s="5" t="s">
        <v>1633</v>
      </c>
      <c r="J199" s="5" t="s">
        <v>109</v>
      </c>
      <c r="K199" s="6">
        <f t="shared" si="5"/>
        <v>0</v>
      </c>
    </row>
    <row r="200" spans="1:11" ht="15" customHeight="1">
      <c r="A200" s="4">
        <v>192</v>
      </c>
      <c r="B200" s="5" t="s">
        <v>45</v>
      </c>
      <c r="C200" s="5" t="s">
        <v>48</v>
      </c>
      <c r="D200" s="5" t="s">
        <v>1565</v>
      </c>
      <c r="E200" s="7" t="s">
        <v>105</v>
      </c>
      <c r="F200" s="8" t="s">
        <v>97</v>
      </c>
      <c r="G200" s="4" t="s">
        <v>106</v>
      </c>
      <c r="H200" s="9" t="s">
        <v>107</v>
      </c>
      <c r="I200" s="5" t="s">
        <v>1633</v>
      </c>
      <c r="J200" s="5" t="s">
        <v>109</v>
      </c>
      <c r="K200" s="6">
        <f t="shared" si="5"/>
        <v>0</v>
      </c>
    </row>
    <row r="201" spans="1:11" ht="30" customHeight="1">
      <c r="A201" s="4">
        <v>193</v>
      </c>
      <c r="B201" s="5" t="s">
        <v>55</v>
      </c>
      <c r="C201" s="5" t="s">
        <v>48</v>
      </c>
      <c r="D201" s="5" t="s">
        <v>731</v>
      </c>
      <c r="E201" s="7" t="s">
        <v>105</v>
      </c>
      <c r="F201" s="8" t="s">
        <v>97</v>
      </c>
      <c r="G201" s="4" t="s">
        <v>106</v>
      </c>
      <c r="H201" s="9" t="s">
        <v>107</v>
      </c>
      <c r="I201" s="5" t="s">
        <v>1633</v>
      </c>
      <c r="J201" s="5" t="s">
        <v>109</v>
      </c>
      <c r="K201" s="6">
        <f t="shared" ref="K201:K206" si="6">IF(AND(E201="yes",F201="yes",H201="covered"),1,IF(H201="partial",0.5,0))</f>
        <v>0</v>
      </c>
    </row>
    <row r="202" spans="1:11" ht="30" customHeight="1">
      <c r="A202" s="4">
        <v>194</v>
      </c>
      <c r="B202" s="5" t="s">
        <v>55</v>
      </c>
      <c r="C202" s="5" t="s">
        <v>48</v>
      </c>
      <c r="D202" s="5" t="s">
        <v>732</v>
      </c>
      <c r="E202" s="7" t="s">
        <v>105</v>
      </c>
      <c r="F202" s="8" t="s">
        <v>97</v>
      </c>
      <c r="G202" s="4" t="s">
        <v>106</v>
      </c>
      <c r="H202" s="9" t="s">
        <v>107</v>
      </c>
      <c r="I202" s="5" t="s">
        <v>1633</v>
      </c>
      <c r="J202" s="5" t="s">
        <v>109</v>
      </c>
      <c r="K202" s="6">
        <f t="shared" si="6"/>
        <v>0</v>
      </c>
    </row>
    <row r="203" spans="1:11" ht="30" customHeight="1">
      <c r="A203" s="4">
        <v>195</v>
      </c>
      <c r="B203" s="5" t="s">
        <v>31</v>
      </c>
      <c r="C203" s="5" t="s">
        <v>121</v>
      </c>
      <c r="D203" s="5" t="s">
        <v>1662</v>
      </c>
      <c r="E203" s="10" t="s">
        <v>97</v>
      </c>
      <c r="F203" s="8" t="s">
        <v>97</v>
      </c>
      <c r="G203" s="4" t="s">
        <v>99</v>
      </c>
      <c r="H203" s="10" t="s">
        <v>99</v>
      </c>
      <c r="I203" s="5"/>
      <c r="J203" s="5" t="s">
        <v>1663</v>
      </c>
      <c r="K203" s="6">
        <f t="shared" si="6"/>
        <v>0</v>
      </c>
    </row>
    <row r="204" spans="1:11" ht="30" customHeight="1">
      <c r="A204" s="4">
        <v>196</v>
      </c>
      <c r="B204" s="5" t="s">
        <v>31</v>
      </c>
      <c r="C204" s="5" t="s">
        <v>121</v>
      </c>
      <c r="D204" s="5" t="s">
        <v>1664</v>
      </c>
      <c r="E204" s="7" t="s">
        <v>105</v>
      </c>
      <c r="F204" s="8" t="s">
        <v>97</v>
      </c>
      <c r="G204" s="4" t="s">
        <v>106</v>
      </c>
      <c r="H204" s="9" t="s">
        <v>107</v>
      </c>
      <c r="I204" s="5" t="s">
        <v>1665</v>
      </c>
      <c r="J204" s="5" t="s">
        <v>109</v>
      </c>
      <c r="K204" s="6">
        <f t="shared" si="6"/>
        <v>0</v>
      </c>
    </row>
    <row r="205" spans="1:11" ht="30" customHeight="1">
      <c r="A205" s="4">
        <v>197</v>
      </c>
      <c r="B205" s="5" t="s">
        <v>31</v>
      </c>
      <c r="C205" s="5" t="s">
        <v>121</v>
      </c>
      <c r="D205" s="5" t="s">
        <v>1666</v>
      </c>
      <c r="E205" s="7" t="s">
        <v>105</v>
      </c>
      <c r="F205" s="8" t="s">
        <v>97</v>
      </c>
      <c r="G205" s="4" t="s">
        <v>106</v>
      </c>
      <c r="H205" s="9" t="s">
        <v>107</v>
      </c>
      <c r="I205" s="5" t="s">
        <v>1665</v>
      </c>
      <c r="J205" s="5" t="s">
        <v>109</v>
      </c>
      <c r="K205" s="6">
        <f t="shared" si="6"/>
        <v>0</v>
      </c>
    </row>
    <row r="206" spans="1:11" ht="30" customHeight="1">
      <c r="A206" s="4">
        <v>198</v>
      </c>
      <c r="B206" s="5" t="s">
        <v>94</v>
      </c>
      <c r="C206" s="5" t="s">
        <v>191</v>
      </c>
      <c r="D206" s="5" t="s">
        <v>1667</v>
      </c>
      <c r="E206" s="10" t="s">
        <v>97</v>
      </c>
      <c r="F206" s="8" t="s">
        <v>97</v>
      </c>
      <c r="G206" s="4" t="s">
        <v>99</v>
      </c>
      <c r="H206" s="10" t="s">
        <v>99</v>
      </c>
      <c r="I206" s="5"/>
      <c r="J206" s="5" t="s">
        <v>1668</v>
      </c>
      <c r="K206" s="6">
        <f t="shared" si="6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72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1669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64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442</v>
      </c>
      <c r="H9" s="9" t="s">
        <v>196</v>
      </c>
      <c r="I9" s="5" t="s">
        <v>1670</v>
      </c>
      <c r="J9" s="5" t="s">
        <v>444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442</v>
      </c>
      <c r="H10" s="9" t="s">
        <v>196</v>
      </c>
      <c r="I10" s="5" t="s">
        <v>1670</v>
      </c>
      <c r="J10" s="5" t="s">
        <v>444</v>
      </c>
      <c r="K10" s="6">
        <f t="shared" si="0"/>
        <v>1</v>
      </c>
    </row>
    <row r="11" spans="1:11" ht="45" customHeight="1">
      <c r="A11" s="4">
        <v>3</v>
      </c>
      <c r="B11" s="5" t="s">
        <v>94</v>
      </c>
      <c r="C11" s="5" t="s">
        <v>50</v>
      </c>
      <c r="D11" s="5" t="s">
        <v>104</v>
      </c>
      <c r="E11" s="7" t="s">
        <v>105</v>
      </c>
      <c r="F11" s="8" t="s">
        <v>105</v>
      </c>
      <c r="G11" s="4" t="s">
        <v>442</v>
      </c>
      <c r="H11" s="9" t="s">
        <v>196</v>
      </c>
      <c r="I11" s="5" t="s">
        <v>1670</v>
      </c>
      <c r="J11" s="5" t="s">
        <v>444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50</v>
      </c>
      <c r="D12" s="5" t="s">
        <v>110</v>
      </c>
      <c r="E12" s="7" t="s">
        <v>105</v>
      </c>
      <c r="F12" s="8" t="s">
        <v>105</v>
      </c>
      <c r="G12" s="4" t="s">
        <v>442</v>
      </c>
      <c r="H12" s="9" t="s">
        <v>196</v>
      </c>
      <c r="I12" s="5" t="s">
        <v>1670</v>
      </c>
      <c r="J12" s="5" t="s">
        <v>444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50</v>
      </c>
      <c r="D13" s="5" t="s">
        <v>111</v>
      </c>
      <c r="E13" s="7" t="s">
        <v>105</v>
      </c>
      <c r="F13" s="8" t="s">
        <v>105</v>
      </c>
      <c r="G13" s="4" t="s">
        <v>442</v>
      </c>
      <c r="H13" s="9" t="s">
        <v>196</v>
      </c>
      <c r="I13" s="5" t="s">
        <v>1670</v>
      </c>
      <c r="J13" s="5" t="s">
        <v>444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50</v>
      </c>
      <c r="D14" s="5" t="s">
        <v>112</v>
      </c>
      <c r="E14" s="7" t="s">
        <v>105</v>
      </c>
      <c r="F14" s="8" t="s">
        <v>105</v>
      </c>
      <c r="G14" s="4" t="s">
        <v>442</v>
      </c>
      <c r="H14" s="9" t="s">
        <v>196</v>
      </c>
      <c r="I14" s="5" t="s">
        <v>1670</v>
      </c>
      <c r="J14" s="5" t="s">
        <v>444</v>
      </c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50</v>
      </c>
      <c r="D15" s="5" t="s">
        <v>1671</v>
      </c>
      <c r="E15" s="7" t="s">
        <v>105</v>
      </c>
      <c r="F15" s="8" t="s">
        <v>105</v>
      </c>
      <c r="G15" s="4" t="s">
        <v>442</v>
      </c>
      <c r="H15" s="9" t="s">
        <v>196</v>
      </c>
      <c r="I15" s="5" t="s">
        <v>1670</v>
      </c>
      <c r="J15" s="5" t="s">
        <v>444</v>
      </c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50</v>
      </c>
      <c r="D16" s="5" t="s">
        <v>602</v>
      </c>
      <c r="E16" s="7" t="s">
        <v>105</v>
      </c>
      <c r="F16" s="8" t="s">
        <v>105</v>
      </c>
      <c r="G16" s="4" t="s">
        <v>442</v>
      </c>
      <c r="H16" s="9" t="s">
        <v>196</v>
      </c>
      <c r="I16" s="5" t="s">
        <v>1670</v>
      </c>
      <c r="J16" s="5" t="s">
        <v>444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50</v>
      </c>
      <c r="D17" s="5" t="s">
        <v>1672</v>
      </c>
      <c r="E17" s="7" t="s">
        <v>105</v>
      </c>
      <c r="F17" s="8" t="s">
        <v>105</v>
      </c>
      <c r="G17" s="4" t="s">
        <v>442</v>
      </c>
      <c r="H17" s="9" t="s">
        <v>196</v>
      </c>
      <c r="I17" s="5" t="s">
        <v>1670</v>
      </c>
      <c r="J17" s="5" t="s">
        <v>444</v>
      </c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50</v>
      </c>
      <c r="D18" s="5" t="s">
        <v>1673</v>
      </c>
      <c r="E18" s="7" t="s">
        <v>105</v>
      </c>
      <c r="F18" s="8" t="s">
        <v>105</v>
      </c>
      <c r="G18" s="4" t="s">
        <v>442</v>
      </c>
      <c r="H18" s="9" t="s">
        <v>196</v>
      </c>
      <c r="I18" s="5" t="s">
        <v>1670</v>
      </c>
      <c r="J18" s="5" t="s">
        <v>444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50</v>
      </c>
      <c r="D19" s="5" t="s">
        <v>1674</v>
      </c>
      <c r="E19" s="7" t="s">
        <v>105</v>
      </c>
      <c r="F19" s="8" t="s">
        <v>105</v>
      </c>
      <c r="G19" s="4" t="s">
        <v>442</v>
      </c>
      <c r="H19" s="9" t="s">
        <v>196</v>
      </c>
      <c r="I19" s="5" t="s">
        <v>1670</v>
      </c>
      <c r="J19" s="5" t="s">
        <v>444</v>
      </c>
      <c r="K19" s="6">
        <f t="shared" si="0"/>
        <v>1</v>
      </c>
    </row>
    <row r="20" spans="1:11" ht="45" customHeight="1">
      <c r="A20" s="4">
        <v>12</v>
      </c>
      <c r="B20" s="5" t="s">
        <v>113</v>
      </c>
      <c r="C20" s="5" t="s">
        <v>50</v>
      </c>
      <c r="D20" s="5" t="s">
        <v>1675</v>
      </c>
      <c r="E20" s="7" t="s">
        <v>105</v>
      </c>
      <c r="F20" s="8" t="s">
        <v>105</v>
      </c>
      <c r="G20" s="4" t="s">
        <v>442</v>
      </c>
      <c r="H20" s="9" t="s">
        <v>196</v>
      </c>
      <c r="I20" s="5" t="s">
        <v>1670</v>
      </c>
      <c r="J20" s="5" t="s">
        <v>444</v>
      </c>
      <c r="K20" s="6">
        <f t="shared" si="0"/>
        <v>1</v>
      </c>
    </row>
    <row r="21" spans="1:11" ht="4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442</v>
      </c>
      <c r="H21" s="9" t="s">
        <v>196</v>
      </c>
      <c r="I21" s="5" t="s">
        <v>1670</v>
      </c>
      <c r="J21" s="5" t="s">
        <v>444</v>
      </c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442</v>
      </c>
      <c r="H22" s="9" t="s">
        <v>196</v>
      </c>
      <c r="I22" s="5" t="s">
        <v>1670</v>
      </c>
      <c r="J22" s="5" t="s">
        <v>444</v>
      </c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442</v>
      </c>
      <c r="H23" s="9" t="s">
        <v>196</v>
      </c>
      <c r="I23" s="5" t="s">
        <v>1670</v>
      </c>
      <c r="J23" s="5" t="s">
        <v>444</v>
      </c>
      <c r="K23" s="6">
        <f t="shared" si="0"/>
        <v>1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442</v>
      </c>
      <c r="H24" s="9" t="s">
        <v>196</v>
      </c>
      <c r="I24" s="5" t="s">
        <v>1670</v>
      </c>
      <c r="J24" s="5" t="s">
        <v>444</v>
      </c>
      <c r="K24" s="6">
        <f t="shared" si="0"/>
        <v>1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442</v>
      </c>
      <c r="H25" s="9" t="s">
        <v>196</v>
      </c>
      <c r="I25" s="5" t="s">
        <v>1670</v>
      </c>
      <c r="J25" s="5" t="s">
        <v>444</v>
      </c>
      <c r="K25" s="6">
        <f t="shared" si="0"/>
        <v>1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442</v>
      </c>
      <c r="H26" s="9" t="s">
        <v>196</v>
      </c>
      <c r="I26" s="5" t="s">
        <v>1670</v>
      </c>
      <c r="J26" s="5" t="s">
        <v>444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105</v>
      </c>
      <c r="G27" s="4" t="s">
        <v>442</v>
      </c>
      <c r="H27" s="9" t="s">
        <v>196</v>
      </c>
      <c r="I27" s="5" t="s">
        <v>1670</v>
      </c>
      <c r="J27" s="5" t="s">
        <v>444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105</v>
      </c>
      <c r="G28" s="4" t="s">
        <v>442</v>
      </c>
      <c r="H28" s="9" t="s">
        <v>196</v>
      </c>
      <c r="I28" s="5" t="s">
        <v>1670</v>
      </c>
      <c r="J28" s="5" t="s">
        <v>444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105</v>
      </c>
      <c r="G29" s="4" t="s">
        <v>442</v>
      </c>
      <c r="H29" s="9" t="s">
        <v>196</v>
      </c>
      <c r="I29" s="5" t="s">
        <v>1670</v>
      </c>
      <c r="J29" s="5" t="s">
        <v>444</v>
      </c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1676</v>
      </c>
      <c r="E30" s="7" t="s">
        <v>105</v>
      </c>
      <c r="F30" s="8" t="s">
        <v>105</v>
      </c>
      <c r="G30" s="4" t="s">
        <v>442</v>
      </c>
      <c r="H30" s="9" t="s">
        <v>196</v>
      </c>
      <c r="I30" s="5" t="s">
        <v>1670</v>
      </c>
      <c r="J30" s="5" t="s">
        <v>444</v>
      </c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1677</v>
      </c>
      <c r="E31" s="7" t="s">
        <v>105</v>
      </c>
      <c r="F31" s="8" t="s">
        <v>105</v>
      </c>
      <c r="G31" s="4" t="s">
        <v>442</v>
      </c>
      <c r="H31" s="9" t="s">
        <v>196</v>
      </c>
      <c r="I31" s="5" t="s">
        <v>1670</v>
      </c>
      <c r="J31" s="5" t="s">
        <v>444</v>
      </c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1678</v>
      </c>
      <c r="E32" s="7" t="s">
        <v>105</v>
      </c>
      <c r="F32" s="8" t="s">
        <v>105</v>
      </c>
      <c r="G32" s="4" t="s">
        <v>442</v>
      </c>
      <c r="H32" s="9" t="s">
        <v>196</v>
      </c>
      <c r="I32" s="5" t="s">
        <v>1670</v>
      </c>
      <c r="J32" s="5" t="s">
        <v>444</v>
      </c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1679</v>
      </c>
      <c r="E33" s="7" t="s">
        <v>105</v>
      </c>
      <c r="F33" s="8" t="s">
        <v>105</v>
      </c>
      <c r="G33" s="4" t="s">
        <v>442</v>
      </c>
      <c r="H33" s="9" t="s">
        <v>196</v>
      </c>
      <c r="I33" s="5" t="s">
        <v>1670</v>
      </c>
      <c r="J33" s="5" t="s">
        <v>444</v>
      </c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1680</v>
      </c>
      <c r="E34" s="7" t="s">
        <v>105</v>
      </c>
      <c r="F34" s="8" t="s">
        <v>105</v>
      </c>
      <c r="G34" s="4" t="s">
        <v>442</v>
      </c>
      <c r="H34" s="9" t="s">
        <v>196</v>
      </c>
      <c r="I34" s="5" t="s">
        <v>1670</v>
      </c>
      <c r="J34" s="5" t="s">
        <v>444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1681</v>
      </c>
      <c r="E35" s="7" t="s">
        <v>105</v>
      </c>
      <c r="F35" s="8" t="s">
        <v>105</v>
      </c>
      <c r="G35" s="4" t="s">
        <v>442</v>
      </c>
      <c r="H35" s="9" t="s">
        <v>196</v>
      </c>
      <c r="I35" s="5" t="s">
        <v>1670</v>
      </c>
      <c r="J35" s="5" t="s">
        <v>444</v>
      </c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1682</v>
      </c>
      <c r="E36" s="7" t="s">
        <v>105</v>
      </c>
      <c r="F36" s="8" t="s">
        <v>105</v>
      </c>
      <c r="G36" s="4" t="s">
        <v>442</v>
      </c>
      <c r="H36" s="9" t="s">
        <v>196</v>
      </c>
      <c r="I36" s="5" t="s">
        <v>1670</v>
      </c>
      <c r="J36" s="5" t="s">
        <v>444</v>
      </c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1683</v>
      </c>
      <c r="E37" s="7" t="s">
        <v>105</v>
      </c>
      <c r="F37" s="8" t="s">
        <v>105</v>
      </c>
      <c r="G37" s="4" t="s">
        <v>442</v>
      </c>
      <c r="H37" s="9" t="s">
        <v>196</v>
      </c>
      <c r="I37" s="5" t="s">
        <v>1670</v>
      </c>
      <c r="J37" s="5" t="s">
        <v>444</v>
      </c>
      <c r="K37" s="6">
        <f t="shared" si="0"/>
        <v>1</v>
      </c>
    </row>
    <row r="38" spans="1:11" ht="15" customHeight="1">
      <c r="A38" s="4">
        <v>30</v>
      </c>
      <c r="B38" s="5" t="s">
        <v>135</v>
      </c>
      <c r="C38" s="5" t="s">
        <v>121</v>
      </c>
      <c r="D38" s="5" t="s">
        <v>140</v>
      </c>
      <c r="E38" s="7" t="s">
        <v>105</v>
      </c>
      <c r="F38" s="8" t="s">
        <v>105</v>
      </c>
      <c r="G38" s="4" t="s">
        <v>442</v>
      </c>
      <c r="H38" s="9" t="s">
        <v>196</v>
      </c>
      <c r="I38" s="5" t="s">
        <v>1670</v>
      </c>
      <c r="J38" s="5" t="s">
        <v>444</v>
      </c>
      <c r="K38" s="6">
        <f t="shared" si="0"/>
        <v>1</v>
      </c>
    </row>
    <row r="39" spans="1:11" ht="15" customHeight="1">
      <c r="A39" s="4">
        <v>31</v>
      </c>
      <c r="B39" s="5" t="s">
        <v>135</v>
      </c>
      <c r="C39" s="5" t="s">
        <v>121</v>
      </c>
      <c r="D39" s="5" t="s">
        <v>610</v>
      </c>
      <c r="E39" s="7" t="s">
        <v>105</v>
      </c>
      <c r="F39" s="8" t="s">
        <v>105</v>
      </c>
      <c r="G39" s="4" t="s">
        <v>442</v>
      </c>
      <c r="H39" s="9" t="s">
        <v>196</v>
      </c>
      <c r="I39" s="5" t="s">
        <v>1670</v>
      </c>
      <c r="J39" s="5" t="s">
        <v>444</v>
      </c>
      <c r="K39" s="6">
        <f t="shared" si="0"/>
        <v>1</v>
      </c>
    </row>
    <row r="40" spans="1:11" ht="15" customHeight="1">
      <c r="A40" s="4">
        <v>32</v>
      </c>
      <c r="B40" s="5" t="s">
        <v>135</v>
      </c>
      <c r="C40" s="5" t="s">
        <v>121</v>
      </c>
      <c r="D40" s="5" t="s">
        <v>612</v>
      </c>
      <c r="E40" s="7" t="s">
        <v>105</v>
      </c>
      <c r="F40" s="8" t="s">
        <v>105</v>
      </c>
      <c r="G40" s="4" t="s">
        <v>442</v>
      </c>
      <c r="H40" s="9" t="s">
        <v>196</v>
      </c>
      <c r="I40" s="5" t="s">
        <v>1670</v>
      </c>
      <c r="J40" s="5" t="s">
        <v>444</v>
      </c>
      <c r="K40" s="6">
        <f t="shared" si="0"/>
        <v>1</v>
      </c>
    </row>
    <row r="41" spans="1:11" ht="15" customHeight="1">
      <c r="A41" s="4">
        <v>33</v>
      </c>
      <c r="B41" s="5" t="s">
        <v>135</v>
      </c>
      <c r="C41" s="5" t="s">
        <v>121</v>
      </c>
      <c r="D41" s="5" t="s">
        <v>611</v>
      </c>
      <c r="E41" s="7" t="s">
        <v>105</v>
      </c>
      <c r="F41" s="8" t="s">
        <v>105</v>
      </c>
      <c r="G41" s="4" t="s">
        <v>442</v>
      </c>
      <c r="H41" s="9" t="s">
        <v>196</v>
      </c>
      <c r="I41" s="5" t="s">
        <v>1670</v>
      </c>
      <c r="J41" s="5" t="s">
        <v>444</v>
      </c>
      <c r="K41" s="6">
        <f t="shared" ref="K41:K72" si="1">IF(AND(E41="yes",F41="yes",H41="covered"),1,IF(H41="partial",0.5,0))</f>
        <v>1</v>
      </c>
    </row>
    <row r="42" spans="1:11" ht="45" customHeight="1">
      <c r="A42" s="4">
        <v>34</v>
      </c>
      <c r="B42" s="5" t="s">
        <v>133</v>
      </c>
      <c r="C42" s="5" t="s">
        <v>121</v>
      </c>
      <c r="D42" s="5" t="s">
        <v>613</v>
      </c>
      <c r="E42" s="7" t="s">
        <v>105</v>
      </c>
      <c r="F42" s="8" t="s">
        <v>105</v>
      </c>
      <c r="G42" s="4" t="s">
        <v>442</v>
      </c>
      <c r="H42" s="9" t="s">
        <v>196</v>
      </c>
      <c r="I42" s="5" t="s">
        <v>1670</v>
      </c>
      <c r="J42" s="5" t="s">
        <v>444</v>
      </c>
      <c r="K42" s="6">
        <f t="shared" si="1"/>
        <v>1</v>
      </c>
    </row>
    <row r="43" spans="1:11" ht="15" customHeight="1">
      <c r="A43" s="4">
        <v>35</v>
      </c>
      <c r="B43" s="5" t="s">
        <v>133</v>
      </c>
      <c r="C43" s="5" t="s">
        <v>121</v>
      </c>
      <c r="D43" s="5" t="s">
        <v>614</v>
      </c>
      <c r="E43" s="7" t="s">
        <v>105</v>
      </c>
      <c r="F43" s="8" t="s">
        <v>105</v>
      </c>
      <c r="G43" s="4" t="s">
        <v>442</v>
      </c>
      <c r="H43" s="9" t="s">
        <v>196</v>
      </c>
      <c r="I43" s="5" t="s">
        <v>1670</v>
      </c>
      <c r="J43" s="5" t="s">
        <v>444</v>
      </c>
      <c r="K43" s="6">
        <f t="shared" si="1"/>
        <v>1</v>
      </c>
    </row>
    <row r="44" spans="1:11" ht="45" customHeight="1">
      <c r="A44" s="4">
        <v>36</v>
      </c>
      <c r="B44" s="5" t="s">
        <v>539</v>
      </c>
      <c r="C44" s="5" t="s">
        <v>121</v>
      </c>
      <c r="D44" s="5" t="s">
        <v>615</v>
      </c>
      <c r="E44" s="7" t="s">
        <v>105</v>
      </c>
      <c r="F44" s="8" t="s">
        <v>105</v>
      </c>
      <c r="G44" s="4" t="s">
        <v>442</v>
      </c>
      <c r="H44" s="9" t="s">
        <v>196</v>
      </c>
      <c r="I44" s="5" t="s">
        <v>1670</v>
      </c>
      <c r="J44" s="5" t="s">
        <v>444</v>
      </c>
      <c r="K44" s="6">
        <f t="shared" si="1"/>
        <v>1</v>
      </c>
    </row>
    <row r="45" spans="1:11" ht="15" customHeight="1">
      <c r="A45" s="4">
        <v>37</v>
      </c>
      <c r="B45" s="5" t="s">
        <v>539</v>
      </c>
      <c r="C45" s="5" t="s">
        <v>121</v>
      </c>
      <c r="D45" s="5" t="s">
        <v>1684</v>
      </c>
      <c r="E45" s="7" t="s">
        <v>105</v>
      </c>
      <c r="F45" s="8" t="s">
        <v>105</v>
      </c>
      <c r="G45" s="4" t="s">
        <v>442</v>
      </c>
      <c r="H45" s="9" t="s">
        <v>196</v>
      </c>
      <c r="I45" s="5" t="s">
        <v>1670</v>
      </c>
      <c r="J45" s="5" t="s">
        <v>444</v>
      </c>
      <c r="K45" s="6">
        <f t="shared" si="1"/>
        <v>1</v>
      </c>
    </row>
    <row r="46" spans="1:11" ht="15" customHeight="1">
      <c r="A46" s="4">
        <v>38</v>
      </c>
      <c r="B46" s="5" t="s">
        <v>539</v>
      </c>
      <c r="C46" s="5" t="s">
        <v>121</v>
      </c>
      <c r="D46" s="5" t="s">
        <v>1685</v>
      </c>
      <c r="E46" s="7" t="s">
        <v>105</v>
      </c>
      <c r="F46" s="8" t="s">
        <v>105</v>
      </c>
      <c r="G46" s="4" t="s">
        <v>442</v>
      </c>
      <c r="H46" s="9" t="s">
        <v>196</v>
      </c>
      <c r="I46" s="5" t="s">
        <v>1670</v>
      </c>
      <c r="J46" s="5" t="s">
        <v>444</v>
      </c>
      <c r="K46" s="6">
        <f t="shared" si="1"/>
        <v>1</v>
      </c>
    </row>
    <row r="47" spans="1:11" ht="15" customHeight="1">
      <c r="A47" s="4">
        <v>39</v>
      </c>
      <c r="B47" s="5" t="s">
        <v>133</v>
      </c>
      <c r="C47" s="5" t="s">
        <v>121</v>
      </c>
      <c r="D47" s="5" t="s">
        <v>142</v>
      </c>
      <c r="E47" s="7" t="s">
        <v>105</v>
      </c>
      <c r="F47" s="8" t="s">
        <v>105</v>
      </c>
      <c r="G47" s="4" t="s">
        <v>442</v>
      </c>
      <c r="H47" s="9" t="s">
        <v>196</v>
      </c>
      <c r="I47" s="5" t="s">
        <v>1670</v>
      </c>
      <c r="J47" s="5" t="s">
        <v>444</v>
      </c>
      <c r="K47" s="6">
        <f t="shared" si="1"/>
        <v>1</v>
      </c>
    </row>
    <row r="48" spans="1:11" ht="15" customHeight="1">
      <c r="A48" s="4">
        <v>40</v>
      </c>
      <c r="B48" s="5" t="s">
        <v>135</v>
      </c>
      <c r="C48" s="5" t="s">
        <v>121</v>
      </c>
      <c r="D48" s="5" t="s">
        <v>144</v>
      </c>
      <c r="E48" s="7" t="s">
        <v>105</v>
      </c>
      <c r="F48" s="8" t="s">
        <v>105</v>
      </c>
      <c r="G48" s="4" t="s">
        <v>442</v>
      </c>
      <c r="H48" s="9" t="s">
        <v>196</v>
      </c>
      <c r="I48" s="5" t="s">
        <v>1670</v>
      </c>
      <c r="J48" s="5" t="s">
        <v>444</v>
      </c>
      <c r="K48" s="6">
        <f t="shared" si="1"/>
        <v>1</v>
      </c>
    </row>
    <row r="49" spans="1:11" ht="45" customHeight="1">
      <c r="A49" s="4">
        <v>41</v>
      </c>
      <c r="B49" s="5" t="s">
        <v>135</v>
      </c>
      <c r="C49" s="5" t="s">
        <v>121</v>
      </c>
      <c r="D49" s="5" t="s">
        <v>616</v>
      </c>
      <c r="E49" s="7" t="s">
        <v>105</v>
      </c>
      <c r="F49" s="8" t="s">
        <v>105</v>
      </c>
      <c r="G49" s="4" t="s">
        <v>442</v>
      </c>
      <c r="H49" s="9" t="s">
        <v>196</v>
      </c>
      <c r="I49" s="5" t="s">
        <v>1670</v>
      </c>
      <c r="J49" s="5" t="s">
        <v>444</v>
      </c>
      <c r="K49" s="6">
        <f t="shared" si="1"/>
        <v>1</v>
      </c>
    </row>
    <row r="50" spans="1:11" ht="15" customHeight="1">
      <c r="A50" s="4">
        <v>42</v>
      </c>
      <c r="B50" s="5" t="s">
        <v>135</v>
      </c>
      <c r="C50" s="5" t="s">
        <v>121</v>
      </c>
      <c r="D50" s="5" t="s">
        <v>617</v>
      </c>
      <c r="E50" s="7" t="s">
        <v>105</v>
      </c>
      <c r="F50" s="8" t="s">
        <v>105</v>
      </c>
      <c r="G50" s="4" t="s">
        <v>442</v>
      </c>
      <c r="H50" s="9" t="s">
        <v>196</v>
      </c>
      <c r="I50" s="5" t="s">
        <v>1670</v>
      </c>
      <c r="J50" s="5" t="s">
        <v>444</v>
      </c>
      <c r="K50" s="6">
        <f t="shared" si="1"/>
        <v>1</v>
      </c>
    </row>
    <row r="51" spans="1:11" ht="15" customHeight="1">
      <c r="A51" s="4">
        <v>43</v>
      </c>
      <c r="B51" s="5" t="s">
        <v>153</v>
      </c>
      <c r="C51" s="5" t="s">
        <v>154</v>
      </c>
      <c r="D51" s="5" t="s">
        <v>1303</v>
      </c>
      <c r="E51" s="7" t="s">
        <v>105</v>
      </c>
      <c r="F51" s="8" t="s">
        <v>105</v>
      </c>
      <c r="G51" s="4" t="s">
        <v>442</v>
      </c>
      <c r="H51" s="9" t="s">
        <v>196</v>
      </c>
      <c r="I51" s="5" t="s">
        <v>1670</v>
      </c>
      <c r="J51" s="5" t="s">
        <v>444</v>
      </c>
      <c r="K51" s="6">
        <f t="shared" si="1"/>
        <v>1</v>
      </c>
    </row>
    <row r="52" spans="1:11" ht="15" customHeight="1">
      <c r="A52" s="4">
        <v>44</v>
      </c>
      <c r="B52" s="5" t="s">
        <v>153</v>
      </c>
      <c r="C52" s="5" t="s">
        <v>154</v>
      </c>
      <c r="D52" s="5" t="s">
        <v>621</v>
      </c>
      <c r="E52" s="7" t="s">
        <v>105</v>
      </c>
      <c r="F52" s="8" t="s">
        <v>105</v>
      </c>
      <c r="G52" s="4" t="s">
        <v>442</v>
      </c>
      <c r="H52" s="9" t="s">
        <v>196</v>
      </c>
      <c r="I52" s="5" t="s">
        <v>1670</v>
      </c>
      <c r="J52" s="5" t="s">
        <v>444</v>
      </c>
      <c r="K52" s="6">
        <f t="shared" si="1"/>
        <v>1</v>
      </c>
    </row>
    <row r="53" spans="1:11" ht="15" customHeight="1">
      <c r="A53" s="4">
        <v>45</v>
      </c>
      <c r="B53" s="5" t="s">
        <v>153</v>
      </c>
      <c r="C53" s="5" t="s">
        <v>154</v>
      </c>
      <c r="D53" s="5" t="s">
        <v>438</v>
      </c>
      <c r="E53" s="7" t="s">
        <v>105</v>
      </c>
      <c r="F53" s="8" t="s">
        <v>105</v>
      </c>
      <c r="G53" s="4" t="s">
        <v>442</v>
      </c>
      <c r="H53" s="9" t="s">
        <v>196</v>
      </c>
      <c r="I53" s="5" t="s">
        <v>1670</v>
      </c>
      <c r="J53" s="5" t="s">
        <v>444</v>
      </c>
      <c r="K53" s="6">
        <f t="shared" si="1"/>
        <v>1</v>
      </c>
    </row>
    <row r="54" spans="1:11" ht="15" customHeight="1">
      <c r="A54" s="4">
        <v>46</v>
      </c>
      <c r="B54" s="5" t="s">
        <v>153</v>
      </c>
      <c r="C54" s="5" t="s">
        <v>154</v>
      </c>
      <c r="D54" s="5" t="s">
        <v>622</v>
      </c>
      <c r="E54" s="7" t="s">
        <v>105</v>
      </c>
      <c r="F54" s="8" t="s">
        <v>105</v>
      </c>
      <c r="G54" s="4" t="s">
        <v>442</v>
      </c>
      <c r="H54" s="9" t="s">
        <v>196</v>
      </c>
      <c r="I54" s="5" t="s">
        <v>1670</v>
      </c>
      <c r="J54" s="5" t="s">
        <v>444</v>
      </c>
      <c r="K54" s="6">
        <f t="shared" si="1"/>
        <v>1</v>
      </c>
    </row>
    <row r="55" spans="1:11" ht="15" customHeight="1">
      <c r="A55" s="4">
        <v>47</v>
      </c>
      <c r="B55" s="5" t="s">
        <v>153</v>
      </c>
      <c r="C55" s="5" t="s">
        <v>154</v>
      </c>
      <c r="D55" s="5" t="s">
        <v>623</v>
      </c>
      <c r="E55" s="7" t="s">
        <v>105</v>
      </c>
      <c r="F55" s="8" t="s">
        <v>105</v>
      </c>
      <c r="G55" s="4" t="s">
        <v>442</v>
      </c>
      <c r="H55" s="9" t="s">
        <v>196</v>
      </c>
      <c r="I55" s="5" t="s">
        <v>1670</v>
      </c>
      <c r="J55" s="5" t="s">
        <v>444</v>
      </c>
      <c r="K55" s="6">
        <f t="shared" si="1"/>
        <v>1</v>
      </c>
    </row>
    <row r="56" spans="1:11" ht="15" customHeight="1">
      <c r="A56" s="4">
        <v>48</v>
      </c>
      <c r="B56" s="5" t="s">
        <v>153</v>
      </c>
      <c r="C56" s="5" t="s">
        <v>154</v>
      </c>
      <c r="D56" s="5" t="s">
        <v>1686</v>
      </c>
      <c r="E56" s="7" t="s">
        <v>105</v>
      </c>
      <c r="F56" s="8" t="s">
        <v>105</v>
      </c>
      <c r="G56" s="4" t="s">
        <v>442</v>
      </c>
      <c r="H56" s="9" t="s">
        <v>196</v>
      </c>
      <c r="I56" s="5" t="s">
        <v>1670</v>
      </c>
      <c r="J56" s="5" t="s">
        <v>444</v>
      </c>
      <c r="K56" s="6">
        <f t="shared" si="1"/>
        <v>1</v>
      </c>
    </row>
    <row r="57" spans="1:11" ht="15" customHeight="1">
      <c r="A57" s="4">
        <v>49</v>
      </c>
      <c r="B57" s="5" t="s">
        <v>153</v>
      </c>
      <c r="C57" s="5" t="s">
        <v>154</v>
      </c>
      <c r="D57" s="5" t="s">
        <v>1687</v>
      </c>
      <c r="E57" s="7" t="s">
        <v>105</v>
      </c>
      <c r="F57" s="8" t="s">
        <v>105</v>
      </c>
      <c r="G57" s="4" t="s">
        <v>442</v>
      </c>
      <c r="H57" s="9" t="s">
        <v>196</v>
      </c>
      <c r="I57" s="5" t="s">
        <v>1670</v>
      </c>
      <c r="J57" s="5" t="s">
        <v>444</v>
      </c>
      <c r="K57" s="6">
        <f t="shared" si="1"/>
        <v>1</v>
      </c>
    </row>
    <row r="58" spans="1:11" ht="15" customHeight="1">
      <c r="A58" s="4">
        <v>50</v>
      </c>
      <c r="B58" s="5" t="s">
        <v>153</v>
      </c>
      <c r="C58" s="5" t="s">
        <v>154</v>
      </c>
      <c r="D58" s="5" t="s">
        <v>1688</v>
      </c>
      <c r="E58" s="7" t="s">
        <v>105</v>
      </c>
      <c r="F58" s="8" t="s">
        <v>105</v>
      </c>
      <c r="G58" s="4" t="s">
        <v>442</v>
      </c>
      <c r="H58" s="9" t="s">
        <v>196</v>
      </c>
      <c r="I58" s="5" t="s">
        <v>1670</v>
      </c>
      <c r="J58" s="5" t="s">
        <v>444</v>
      </c>
      <c r="K58" s="6">
        <f t="shared" si="1"/>
        <v>1</v>
      </c>
    </row>
    <row r="59" spans="1:11" ht="15" customHeight="1">
      <c r="A59" s="4">
        <v>51</v>
      </c>
      <c r="B59" s="5" t="s">
        <v>153</v>
      </c>
      <c r="C59" s="5" t="s">
        <v>154</v>
      </c>
      <c r="D59" s="5" t="s">
        <v>1689</v>
      </c>
      <c r="E59" s="7" t="s">
        <v>105</v>
      </c>
      <c r="F59" s="8" t="s">
        <v>105</v>
      </c>
      <c r="G59" s="4" t="s">
        <v>442</v>
      </c>
      <c r="H59" s="9" t="s">
        <v>196</v>
      </c>
      <c r="I59" s="5" t="s">
        <v>1670</v>
      </c>
      <c r="J59" s="5" t="s">
        <v>444</v>
      </c>
      <c r="K59" s="6">
        <f t="shared" si="1"/>
        <v>1</v>
      </c>
    </row>
    <row r="60" spans="1:11" ht="15" customHeight="1">
      <c r="A60" s="4">
        <v>52</v>
      </c>
      <c r="B60" s="5" t="s">
        <v>159</v>
      </c>
      <c r="C60" s="5" t="s">
        <v>154</v>
      </c>
      <c r="D60" s="5" t="s">
        <v>160</v>
      </c>
      <c r="E60" s="7" t="s">
        <v>105</v>
      </c>
      <c r="F60" s="8" t="s">
        <v>105</v>
      </c>
      <c r="G60" s="4" t="s">
        <v>442</v>
      </c>
      <c r="H60" s="9" t="s">
        <v>196</v>
      </c>
      <c r="I60" s="5" t="s">
        <v>1670</v>
      </c>
      <c r="J60" s="5" t="s">
        <v>444</v>
      </c>
      <c r="K60" s="6">
        <f t="shared" si="1"/>
        <v>1</v>
      </c>
    </row>
    <row r="61" spans="1:11" ht="15" customHeight="1">
      <c r="A61" s="4">
        <v>53</v>
      </c>
      <c r="B61" s="5" t="s">
        <v>159</v>
      </c>
      <c r="C61" s="5" t="s">
        <v>154</v>
      </c>
      <c r="D61" s="5" t="s">
        <v>624</v>
      </c>
      <c r="E61" s="7" t="s">
        <v>105</v>
      </c>
      <c r="F61" s="8" t="s">
        <v>105</v>
      </c>
      <c r="G61" s="4" t="s">
        <v>442</v>
      </c>
      <c r="H61" s="9" t="s">
        <v>196</v>
      </c>
      <c r="I61" s="5" t="s">
        <v>1670</v>
      </c>
      <c r="J61" s="5" t="s">
        <v>444</v>
      </c>
      <c r="K61" s="6">
        <f t="shared" si="1"/>
        <v>1</v>
      </c>
    </row>
    <row r="62" spans="1:11" ht="15" customHeight="1">
      <c r="A62" s="4">
        <v>54</v>
      </c>
      <c r="B62" s="5" t="s">
        <v>159</v>
      </c>
      <c r="C62" s="5" t="s">
        <v>154</v>
      </c>
      <c r="D62" s="5" t="s">
        <v>625</v>
      </c>
      <c r="E62" s="7" t="s">
        <v>105</v>
      </c>
      <c r="F62" s="8" t="s">
        <v>105</v>
      </c>
      <c r="G62" s="4" t="s">
        <v>442</v>
      </c>
      <c r="H62" s="9" t="s">
        <v>196</v>
      </c>
      <c r="I62" s="5" t="s">
        <v>1670</v>
      </c>
      <c r="J62" s="5" t="s">
        <v>444</v>
      </c>
      <c r="K62" s="6">
        <f t="shared" si="1"/>
        <v>1</v>
      </c>
    </row>
    <row r="63" spans="1:11" ht="15" customHeight="1">
      <c r="A63" s="4">
        <v>55</v>
      </c>
      <c r="B63" s="5" t="s">
        <v>159</v>
      </c>
      <c r="C63" s="5" t="s">
        <v>154</v>
      </c>
      <c r="D63" s="5" t="s">
        <v>162</v>
      </c>
      <c r="E63" s="7" t="s">
        <v>105</v>
      </c>
      <c r="F63" s="8" t="s">
        <v>105</v>
      </c>
      <c r="G63" s="4" t="s">
        <v>442</v>
      </c>
      <c r="H63" s="9" t="s">
        <v>196</v>
      </c>
      <c r="I63" s="5" t="s">
        <v>1670</v>
      </c>
      <c r="J63" s="5" t="s">
        <v>444</v>
      </c>
      <c r="K63" s="6">
        <f t="shared" si="1"/>
        <v>1</v>
      </c>
    </row>
    <row r="64" spans="1:11" ht="15" customHeight="1">
      <c r="A64" s="4">
        <v>56</v>
      </c>
      <c r="B64" s="5" t="s">
        <v>135</v>
      </c>
      <c r="C64" s="5" t="s">
        <v>121</v>
      </c>
      <c r="D64" s="5" t="s">
        <v>169</v>
      </c>
      <c r="E64" s="7" t="s">
        <v>105</v>
      </c>
      <c r="F64" s="8" t="s">
        <v>105</v>
      </c>
      <c r="G64" s="4" t="s">
        <v>442</v>
      </c>
      <c r="H64" s="9" t="s">
        <v>196</v>
      </c>
      <c r="I64" s="5" t="s">
        <v>1670</v>
      </c>
      <c r="J64" s="5" t="s">
        <v>444</v>
      </c>
      <c r="K64" s="6">
        <f t="shared" si="1"/>
        <v>1</v>
      </c>
    </row>
    <row r="65" spans="1:11" ht="30" customHeight="1">
      <c r="A65" s="4">
        <v>57</v>
      </c>
      <c r="B65" s="5" t="s">
        <v>135</v>
      </c>
      <c r="C65" s="5" t="s">
        <v>121</v>
      </c>
      <c r="D65" s="5" t="s">
        <v>170</v>
      </c>
      <c r="E65" s="7" t="s">
        <v>105</v>
      </c>
      <c r="F65" s="8" t="s">
        <v>105</v>
      </c>
      <c r="G65" s="4" t="s">
        <v>442</v>
      </c>
      <c r="H65" s="9" t="s">
        <v>196</v>
      </c>
      <c r="I65" s="5" t="s">
        <v>1670</v>
      </c>
      <c r="J65" s="5" t="s">
        <v>444</v>
      </c>
      <c r="K65" s="6">
        <f t="shared" si="1"/>
        <v>1</v>
      </c>
    </row>
    <row r="66" spans="1:11" ht="30" customHeight="1">
      <c r="A66" s="4">
        <v>58</v>
      </c>
      <c r="B66" s="5" t="s">
        <v>135</v>
      </c>
      <c r="C66" s="5" t="s">
        <v>121</v>
      </c>
      <c r="D66" s="5" t="s">
        <v>171</v>
      </c>
      <c r="E66" s="7" t="s">
        <v>105</v>
      </c>
      <c r="F66" s="8" t="s">
        <v>105</v>
      </c>
      <c r="G66" s="4" t="s">
        <v>442</v>
      </c>
      <c r="H66" s="9" t="s">
        <v>196</v>
      </c>
      <c r="I66" s="5" t="s">
        <v>1670</v>
      </c>
      <c r="J66" s="5" t="s">
        <v>444</v>
      </c>
      <c r="K66" s="6">
        <f t="shared" si="1"/>
        <v>1</v>
      </c>
    </row>
    <row r="67" spans="1:11" ht="30" customHeight="1">
      <c r="A67" s="4">
        <v>59</v>
      </c>
      <c r="B67" s="5" t="s">
        <v>135</v>
      </c>
      <c r="C67" s="5" t="s">
        <v>50</v>
      </c>
      <c r="D67" s="5" t="s">
        <v>627</v>
      </c>
      <c r="E67" s="7" t="s">
        <v>105</v>
      </c>
      <c r="F67" s="8" t="s">
        <v>105</v>
      </c>
      <c r="G67" s="4" t="s">
        <v>442</v>
      </c>
      <c r="H67" s="9" t="s">
        <v>196</v>
      </c>
      <c r="I67" s="5" t="s">
        <v>1670</v>
      </c>
      <c r="J67" s="5" t="s">
        <v>444</v>
      </c>
      <c r="K67" s="6">
        <f t="shared" si="1"/>
        <v>1</v>
      </c>
    </row>
    <row r="68" spans="1:11" ht="30" customHeight="1">
      <c r="A68" s="4">
        <v>60</v>
      </c>
      <c r="B68" s="5" t="s">
        <v>135</v>
      </c>
      <c r="C68" s="5" t="s">
        <v>50</v>
      </c>
      <c r="D68" s="5" t="s">
        <v>628</v>
      </c>
      <c r="E68" s="7" t="s">
        <v>105</v>
      </c>
      <c r="F68" s="8" t="s">
        <v>105</v>
      </c>
      <c r="G68" s="4" t="s">
        <v>442</v>
      </c>
      <c r="H68" s="9" t="s">
        <v>196</v>
      </c>
      <c r="I68" s="5" t="s">
        <v>1670</v>
      </c>
      <c r="J68" s="5" t="s">
        <v>444</v>
      </c>
      <c r="K68" s="6">
        <f t="shared" si="1"/>
        <v>1</v>
      </c>
    </row>
    <row r="69" spans="1:11" ht="15" customHeight="1">
      <c r="A69" s="4">
        <v>61</v>
      </c>
      <c r="B69" s="5" t="s">
        <v>135</v>
      </c>
      <c r="C69" s="5" t="s">
        <v>50</v>
      </c>
      <c r="D69" s="5" t="s">
        <v>629</v>
      </c>
      <c r="E69" s="7" t="s">
        <v>105</v>
      </c>
      <c r="F69" s="8" t="s">
        <v>105</v>
      </c>
      <c r="G69" s="4" t="s">
        <v>442</v>
      </c>
      <c r="H69" s="9" t="s">
        <v>196</v>
      </c>
      <c r="I69" s="5" t="s">
        <v>1670</v>
      </c>
      <c r="J69" s="5" t="s">
        <v>444</v>
      </c>
      <c r="K69" s="6">
        <f t="shared" si="1"/>
        <v>1</v>
      </c>
    </row>
    <row r="70" spans="1:11" ht="30" customHeight="1">
      <c r="A70" s="4">
        <v>62</v>
      </c>
      <c r="B70" s="5" t="s">
        <v>135</v>
      </c>
      <c r="C70" s="5" t="s">
        <v>50</v>
      </c>
      <c r="D70" s="5" t="s">
        <v>630</v>
      </c>
      <c r="E70" s="7" t="s">
        <v>105</v>
      </c>
      <c r="F70" s="8" t="s">
        <v>105</v>
      </c>
      <c r="G70" s="4" t="s">
        <v>442</v>
      </c>
      <c r="H70" s="9" t="s">
        <v>196</v>
      </c>
      <c r="I70" s="5" t="s">
        <v>1670</v>
      </c>
      <c r="J70" s="5" t="s">
        <v>444</v>
      </c>
      <c r="K70" s="6">
        <f t="shared" si="1"/>
        <v>1</v>
      </c>
    </row>
    <row r="71" spans="1:11" ht="15" customHeight="1">
      <c r="A71" s="4">
        <v>63</v>
      </c>
      <c r="B71" s="5" t="s">
        <v>591</v>
      </c>
      <c r="C71" s="5" t="s">
        <v>50</v>
      </c>
      <c r="D71" s="5" t="s">
        <v>631</v>
      </c>
      <c r="E71" s="7" t="s">
        <v>105</v>
      </c>
      <c r="F71" s="8" t="s">
        <v>105</v>
      </c>
      <c r="G71" s="4" t="s">
        <v>442</v>
      </c>
      <c r="H71" s="9" t="s">
        <v>196</v>
      </c>
      <c r="I71" s="5" t="s">
        <v>1670</v>
      </c>
      <c r="J71" s="5" t="s">
        <v>444</v>
      </c>
      <c r="K71" s="6">
        <f t="shared" si="1"/>
        <v>1</v>
      </c>
    </row>
    <row r="72" spans="1:11" ht="15" customHeight="1">
      <c r="A72" s="4">
        <v>64</v>
      </c>
      <c r="B72" s="5" t="s">
        <v>591</v>
      </c>
      <c r="C72" s="5" t="s">
        <v>50</v>
      </c>
      <c r="D72" s="5" t="s">
        <v>632</v>
      </c>
      <c r="E72" s="7" t="s">
        <v>105</v>
      </c>
      <c r="F72" s="8" t="s">
        <v>105</v>
      </c>
      <c r="G72" s="4" t="s">
        <v>442</v>
      </c>
      <c r="H72" s="9" t="s">
        <v>196</v>
      </c>
      <c r="I72" s="5" t="s">
        <v>1670</v>
      </c>
      <c r="J72" s="5" t="s">
        <v>444</v>
      </c>
      <c r="K72" s="6">
        <f t="shared" si="1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13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1690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91</v>
      </c>
      <c r="E4" s="1" t="s">
        <v>105</v>
      </c>
      <c r="F4" s="2" t="s">
        <v>105</v>
      </c>
      <c r="G4" s="1" t="s">
        <v>10</v>
      </c>
      <c r="H4" s="2" t="s">
        <v>196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105</v>
      </c>
      <c r="F8" s="3" t="s">
        <v>105</v>
      </c>
      <c r="G8" s="3" t="s">
        <v>89</v>
      </c>
      <c r="H8" s="3" t="s">
        <v>196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106</v>
      </c>
      <c r="H9" s="9" t="s">
        <v>196</v>
      </c>
      <c r="I9" s="5" t="s">
        <v>1691</v>
      </c>
      <c r="J9" s="5" t="s">
        <v>1692</v>
      </c>
      <c r="K9" s="6"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106</v>
      </c>
      <c r="H10" s="9" t="s">
        <v>196</v>
      </c>
      <c r="I10" s="5" t="s">
        <v>1691</v>
      </c>
      <c r="J10" s="5" t="s">
        <v>1692</v>
      </c>
      <c r="K10" s="6">
        <v>0</v>
      </c>
    </row>
    <row r="11" spans="1:11" ht="15" customHeight="1">
      <c r="A11" s="4">
        <v>3</v>
      </c>
      <c r="B11" s="5" t="s">
        <v>94</v>
      </c>
      <c r="C11" s="5" t="s">
        <v>51</v>
      </c>
      <c r="D11" s="5" t="s">
        <v>104</v>
      </c>
      <c r="E11" s="7" t="s">
        <v>105</v>
      </c>
      <c r="F11" s="8" t="s">
        <v>105</v>
      </c>
      <c r="G11" s="4" t="s">
        <v>106</v>
      </c>
      <c r="H11" s="9" t="s">
        <v>196</v>
      </c>
      <c r="I11" s="5" t="s">
        <v>1691</v>
      </c>
      <c r="J11" s="5" t="s">
        <v>1692</v>
      </c>
      <c r="K11" s="6">
        <f t="shared" ref="K11:K42" si="0">IF(AND(E11="yes",F11="yes",H11="covered"),1,IF(H11="partial",0.5,0))</f>
        <v>1</v>
      </c>
    </row>
    <row r="12" spans="1:11" ht="15" customHeight="1">
      <c r="A12" s="4">
        <v>4</v>
      </c>
      <c r="B12" s="5" t="s">
        <v>94</v>
      </c>
      <c r="C12" s="5" t="s">
        <v>51</v>
      </c>
      <c r="D12" s="5" t="s">
        <v>110</v>
      </c>
      <c r="E12" s="7" t="s">
        <v>105</v>
      </c>
      <c r="F12" s="8" t="s">
        <v>105</v>
      </c>
      <c r="G12" s="4" t="s">
        <v>106</v>
      </c>
      <c r="H12" s="9" t="s">
        <v>196</v>
      </c>
      <c r="I12" s="5" t="s">
        <v>1691</v>
      </c>
      <c r="J12" s="5" t="s">
        <v>1692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51</v>
      </c>
      <c r="D13" s="5" t="s">
        <v>111</v>
      </c>
      <c r="E13" s="7" t="s">
        <v>105</v>
      </c>
      <c r="F13" s="8" t="s">
        <v>105</v>
      </c>
      <c r="G13" s="4" t="s">
        <v>106</v>
      </c>
      <c r="H13" s="9" t="s">
        <v>196</v>
      </c>
      <c r="I13" s="5" t="s">
        <v>1691</v>
      </c>
      <c r="J13" s="5" t="s">
        <v>1692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51</v>
      </c>
      <c r="D14" s="5" t="s">
        <v>112</v>
      </c>
      <c r="E14" s="7" t="s">
        <v>105</v>
      </c>
      <c r="F14" s="8" t="s">
        <v>105</v>
      </c>
      <c r="G14" s="4" t="s">
        <v>106</v>
      </c>
      <c r="H14" s="9" t="s">
        <v>196</v>
      </c>
      <c r="I14" s="5" t="s">
        <v>1691</v>
      </c>
      <c r="J14" s="5" t="s">
        <v>1692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51</v>
      </c>
      <c r="D15" s="5" t="s">
        <v>1693</v>
      </c>
      <c r="E15" s="7" t="s">
        <v>105</v>
      </c>
      <c r="F15" s="8" t="s">
        <v>105</v>
      </c>
      <c r="G15" s="4" t="s">
        <v>106</v>
      </c>
      <c r="H15" s="9" t="s">
        <v>196</v>
      </c>
      <c r="I15" s="5" t="s">
        <v>1691</v>
      </c>
      <c r="J15" s="5" t="s">
        <v>1692</v>
      </c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51</v>
      </c>
      <c r="D16" s="5" t="s">
        <v>1694</v>
      </c>
      <c r="E16" s="7" t="s">
        <v>105</v>
      </c>
      <c r="F16" s="8" t="s">
        <v>105</v>
      </c>
      <c r="G16" s="4" t="s">
        <v>106</v>
      </c>
      <c r="H16" s="9" t="s">
        <v>196</v>
      </c>
      <c r="I16" s="5" t="s">
        <v>1691</v>
      </c>
      <c r="J16" s="5" t="s">
        <v>1692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51</v>
      </c>
      <c r="D17" s="5" t="s">
        <v>1695</v>
      </c>
      <c r="E17" s="7" t="s">
        <v>105</v>
      </c>
      <c r="F17" s="8" t="s">
        <v>105</v>
      </c>
      <c r="G17" s="4" t="s">
        <v>106</v>
      </c>
      <c r="H17" s="9" t="s">
        <v>196</v>
      </c>
      <c r="I17" s="5" t="s">
        <v>1691</v>
      </c>
      <c r="J17" s="5" t="s">
        <v>1692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51</v>
      </c>
      <c r="D18" s="5" t="s">
        <v>1696</v>
      </c>
      <c r="E18" s="7" t="s">
        <v>105</v>
      </c>
      <c r="F18" s="8" t="s">
        <v>105</v>
      </c>
      <c r="G18" s="4" t="s">
        <v>106</v>
      </c>
      <c r="H18" s="9" t="s">
        <v>196</v>
      </c>
      <c r="I18" s="5" t="s">
        <v>1691</v>
      </c>
      <c r="J18" s="5" t="s">
        <v>1692</v>
      </c>
      <c r="K18" s="6">
        <f t="shared" si="0"/>
        <v>1</v>
      </c>
    </row>
    <row r="19" spans="1:11" ht="30" customHeight="1">
      <c r="A19" s="4">
        <v>11</v>
      </c>
      <c r="B19" s="5" t="s">
        <v>113</v>
      </c>
      <c r="C19" s="5" t="s">
        <v>51</v>
      </c>
      <c r="D19" s="5" t="s">
        <v>1697</v>
      </c>
      <c r="E19" s="7" t="s">
        <v>105</v>
      </c>
      <c r="F19" s="8" t="s">
        <v>105</v>
      </c>
      <c r="G19" s="4" t="s">
        <v>106</v>
      </c>
      <c r="H19" s="9" t="s">
        <v>196</v>
      </c>
      <c r="I19" s="5" t="s">
        <v>1691</v>
      </c>
      <c r="J19" s="5" t="s">
        <v>1692</v>
      </c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51</v>
      </c>
      <c r="D20" s="5" t="s">
        <v>1698</v>
      </c>
      <c r="E20" s="7" t="s">
        <v>105</v>
      </c>
      <c r="F20" s="8" t="s">
        <v>105</v>
      </c>
      <c r="G20" s="4" t="s">
        <v>106</v>
      </c>
      <c r="H20" s="9" t="s">
        <v>196</v>
      </c>
      <c r="I20" s="5" t="s">
        <v>1691</v>
      </c>
      <c r="J20" s="5" t="s">
        <v>1692</v>
      </c>
      <c r="K20" s="6">
        <f t="shared" si="0"/>
        <v>1</v>
      </c>
    </row>
    <row r="21" spans="1:11" ht="15" customHeight="1">
      <c r="A21" s="4">
        <v>13</v>
      </c>
      <c r="B21" s="5" t="s">
        <v>113</v>
      </c>
      <c r="C21" s="5" t="s">
        <v>51</v>
      </c>
      <c r="D21" s="5" t="s">
        <v>1699</v>
      </c>
      <c r="E21" s="7" t="s">
        <v>105</v>
      </c>
      <c r="F21" s="8" t="s">
        <v>105</v>
      </c>
      <c r="G21" s="4" t="s">
        <v>106</v>
      </c>
      <c r="H21" s="9" t="s">
        <v>196</v>
      </c>
      <c r="I21" s="5" t="s">
        <v>1691</v>
      </c>
      <c r="J21" s="5" t="s">
        <v>1692</v>
      </c>
      <c r="K21" s="6">
        <f t="shared" si="0"/>
        <v>1</v>
      </c>
    </row>
    <row r="22" spans="1:11" ht="15" customHeight="1">
      <c r="A22" s="4">
        <v>14</v>
      </c>
      <c r="B22" s="5" t="s">
        <v>113</v>
      </c>
      <c r="C22" s="5" t="s">
        <v>51</v>
      </c>
      <c r="D22" s="5" t="s">
        <v>706</v>
      </c>
      <c r="E22" s="7" t="s">
        <v>105</v>
      </c>
      <c r="F22" s="8" t="s">
        <v>105</v>
      </c>
      <c r="G22" s="4" t="s">
        <v>106</v>
      </c>
      <c r="H22" s="9" t="s">
        <v>196</v>
      </c>
      <c r="I22" s="5" t="s">
        <v>1691</v>
      </c>
      <c r="J22" s="5" t="s">
        <v>1692</v>
      </c>
      <c r="K22" s="6">
        <f t="shared" si="0"/>
        <v>1</v>
      </c>
    </row>
    <row r="23" spans="1:11" ht="15" customHeight="1">
      <c r="A23" s="4">
        <v>15</v>
      </c>
      <c r="B23" s="5" t="s">
        <v>120</v>
      </c>
      <c r="C23" s="5" t="s">
        <v>121</v>
      </c>
      <c r="D23" s="5" t="s">
        <v>122</v>
      </c>
      <c r="E23" s="7" t="s">
        <v>105</v>
      </c>
      <c r="F23" s="8" t="s">
        <v>105</v>
      </c>
      <c r="G23" s="4" t="s">
        <v>106</v>
      </c>
      <c r="H23" s="9" t="s">
        <v>196</v>
      </c>
      <c r="I23" s="5" t="s">
        <v>1691</v>
      </c>
      <c r="J23" s="5" t="s">
        <v>1692</v>
      </c>
      <c r="K23" s="6">
        <f t="shared" si="0"/>
        <v>1</v>
      </c>
    </row>
    <row r="24" spans="1:11" ht="15" customHeight="1">
      <c r="A24" s="4">
        <v>16</v>
      </c>
      <c r="B24" s="5" t="s">
        <v>120</v>
      </c>
      <c r="C24" s="5" t="s">
        <v>121</v>
      </c>
      <c r="D24" s="5" t="s">
        <v>123</v>
      </c>
      <c r="E24" s="7" t="s">
        <v>105</v>
      </c>
      <c r="F24" s="8" t="s">
        <v>105</v>
      </c>
      <c r="G24" s="4" t="s">
        <v>106</v>
      </c>
      <c r="H24" s="9" t="s">
        <v>196</v>
      </c>
      <c r="I24" s="5" t="s">
        <v>1691</v>
      </c>
      <c r="J24" s="5" t="s">
        <v>1692</v>
      </c>
      <c r="K24" s="6">
        <f t="shared" si="0"/>
        <v>1</v>
      </c>
    </row>
    <row r="25" spans="1:11" ht="30" customHeight="1">
      <c r="A25" s="4">
        <v>17</v>
      </c>
      <c r="B25" s="5" t="s">
        <v>124</v>
      </c>
      <c r="C25" s="5" t="s">
        <v>121</v>
      </c>
      <c r="D25" s="5" t="s">
        <v>125</v>
      </c>
      <c r="E25" s="7" t="s">
        <v>105</v>
      </c>
      <c r="F25" s="8" t="s">
        <v>105</v>
      </c>
      <c r="G25" s="4" t="s">
        <v>106</v>
      </c>
      <c r="H25" s="9" t="s">
        <v>196</v>
      </c>
      <c r="I25" s="5" t="s">
        <v>1691</v>
      </c>
      <c r="J25" s="5" t="s">
        <v>1692</v>
      </c>
      <c r="K25" s="6">
        <f t="shared" si="0"/>
        <v>1</v>
      </c>
    </row>
    <row r="26" spans="1:11" ht="15" customHeight="1">
      <c r="A26" s="4">
        <v>18</v>
      </c>
      <c r="B26" s="5" t="s">
        <v>124</v>
      </c>
      <c r="C26" s="5" t="s">
        <v>121</v>
      </c>
      <c r="D26" s="5" t="s">
        <v>126</v>
      </c>
      <c r="E26" s="7" t="s">
        <v>105</v>
      </c>
      <c r="F26" s="8" t="s">
        <v>105</v>
      </c>
      <c r="G26" s="4" t="s">
        <v>106</v>
      </c>
      <c r="H26" s="9" t="s">
        <v>196</v>
      </c>
      <c r="I26" s="5" t="s">
        <v>1691</v>
      </c>
      <c r="J26" s="5" t="s">
        <v>1692</v>
      </c>
      <c r="K26" s="6">
        <f t="shared" si="0"/>
        <v>1</v>
      </c>
    </row>
    <row r="27" spans="1:11" ht="15" customHeight="1">
      <c r="A27" s="4">
        <v>19</v>
      </c>
      <c r="B27" s="5" t="s">
        <v>95</v>
      </c>
      <c r="C27" s="5" t="s">
        <v>121</v>
      </c>
      <c r="D27" s="5" t="s">
        <v>127</v>
      </c>
      <c r="E27" s="7" t="s">
        <v>105</v>
      </c>
      <c r="F27" s="8" t="s">
        <v>105</v>
      </c>
      <c r="G27" s="4" t="s">
        <v>106</v>
      </c>
      <c r="H27" s="9" t="s">
        <v>196</v>
      </c>
      <c r="I27" s="5" t="s">
        <v>1691</v>
      </c>
      <c r="J27" s="5" t="s">
        <v>1692</v>
      </c>
      <c r="K27" s="6">
        <f t="shared" si="0"/>
        <v>1</v>
      </c>
    </row>
    <row r="28" spans="1:11" ht="15" customHeight="1">
      <c r="A28" s="4">
        <v>20</v>
      </c>
      <c r="B28" s="5" t="s">
        <v>128</v>
      </c>
      <c r="C28" s="5" t="s">
        <v>121</v>
      </c>
      <c r="D28" s="5" t="s">
        <v>129</v>
      </c>
      <c r="E28" s="7" t="s">
        <v>105</v>
      </c>
      <c r="F28" s="8" t="s">
        <v>105</v>
      </c>
      <c r="G28" s="4" t="s">
        <v>106</v>
      </c>
      <c r="H28" s="9" t="s">
        <v>196</v>
      </c>
      <c r="I28" s="5" t="s">
        <v>1691</v>
      </c>
      <c r="J28" s="5" t="s">
        <v>1692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136</v>
      </c>
      <c r="E29" s="7" t="s">
        <v>105</v>
      </c>
      <c r="F29" s="8" t="s">
        <v>105</v>
      </c>
      <c r="G29" s="4" t="s">
        <v>106</v>
      </c>
      <c r="H29" s="9" t="s">
        <v>196</v>
      </c>
      <c r="I29" s="5" t="s">
        <v>1691</v>
      </c>
      <c r="J29" s="5" t="s">
        <v>1692</v>
      </c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137</v>
      </c>
      <c r="E30" s="7" t="s">
        <v>105</v>
      </c>
      <c r="F30" s="8" t="s">
        <v>105</v>
      </c>
      <c r="G30" s="4" t="s">
        <v>106</v>
      </c>
      <c r="H30" s="9" t="s">
        <v>196</v>
      </c>
      <c r="I30" s="5" t="s">
        <v>1691</v>
      </c>
      <c r="J30" s="5" t="s">
        <v>1692</v>
      </c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138</v>
      </c>
      <c r="E31" s="7" t="s">
        <v>105</v>
      </c>
      <c r="F31" s="8" t="s">
        <v>105</v>
      </c>
      <c r="G31" s="4" t="s">
        <v>106</v>
      </c>
      <c r="H31" s="9" t="s">
        <v>196</v>
      </c>
      <c r="I31" s="5" t="s">
        <v>1691</v>
      </c>
      <c r="J31" s="5" t="s">
        <v>1692</v>
      </c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1700</v>
      </c>
      <c r="E32" s="7" t="s">
        <v>105</v>
      </c>
      <c r="F32" s="8" t="s">
        <v>105</v>
      </c>
      <c r="G32" s="4" t="s">
        <v>106</v>
      </c>
      <c r="H32" s="9" t="s">
        <v>196</v>
      </c>
      <c r="I32" s="5" t="s">
        <v>1691</v>
      </c>
      <c r="J32" s="5" t="s">
        <v>1692</v>
      </c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134</v>
      </c>
      <c r="E33" s="7" t="s">
        <v>105</v>
      </c>
      <c r="F33" s="8" t="s">
        <v>105</v>
      </c>
      <c r="G33" s="4" t="s">
        <v>106</v>
      </c>
      <c r="H33" s="9" t="s">
        <v>196</v>
      </c>
      <c r="I33" s="5" t="s">
        <v>1691</v>
      </c>
      <c r="J33" s="5" t="s">
        <v>1692</v>
      </c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1701</v>
      </c>
      <c r="E34" s="7" t="s">
        <v>105</v>
      </c>
      <c r="F34" s="8" t="s">
        <v>105</v>
      </c>
      <c r="G34" s="4" t="s">
        <v>106</v>
      </c>
      <c r="H34" s="9" t="s">
        <v>196</v>
      </c>
      <c r="I34" s="5" t="s">
        <v>1691</v>
      </c>
      <c r="J34" s="5" t="s">
        <v>1692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613</v>
      </c>
      <c r="E35" s="7" t="s">
        <v>105</v>
      </c>
      <c r="F35" s="8" t="s">
        <v>105</v>
      </c>
      <c r="G35" s="4" t="s">
        <v>106</v>
      </c>
      <c r="H35" s="9" t="s">
        <v>196</v>
      </c>
      <c r="I35" s="5" t="s">
        <v>1691</v>
      </c>
      <c r="J35" s="5" t="s">
        <v>1692</v>
      </c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614</v>
      </c>
      <c r="E36" s="7" t="s">
        <v>105</v>
      </c>
      <c r="F36" s="8" t="s">
        <v>105</v>
      </c>
      <c r="G36" s="4" t="s">
        <v>106</v>
      </c>
      <c r="H36" s="9" t="s">
        <v>196</v>
      </c>
      <c r="I36" s="5" t="s">
        <v>1691</v>
      </c>
      <c r="J36" s="5" t="s">
        <v>1692</v>
      </c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1702</v>
      </c>
      <c r="E37" s="7" t="s">
        <v>105</v>
      </c>
      <c r="F37" s="8" t="s">
        <v>105</v>
      </c>
      <c r="G37" s="4" t="s">
        <v>106</v>
      </c>
      <c r="H37" s="9" t="s">
        <v>196</v>
      </c>
      <c r="I37" s="5" t="s">
        <v>1691</v>
      </c>
      <c r="J37" s="5" t="s">
        <v>1692</v>
      </c>
      <c r="K37" s="6">
        <f t="shared" si="0"/>
        <v>1</v>
      </c>
    </row>
    <row r="38" spans="1:11" ht="15" customHeight="1">
      <c r="A38" s="4">
        <v>30</v>
      </c>
      <c r="B38" s="5" t="s">
        <v>135</v>
      </c>
      <c r="C38" s="5" t="s">
        <v>121</v>
      </c>
      <c r="D38" s="5" t="s">
        <v>140</v>
      </c>
      <c r="E38" s="7" t="s">
        <v>105</v>
      </c>
      <c r="F38" s="8" t="s">
        <v>105</v>
      </c>
      <c r="G38" s="4" t="s">
        <v>106</v>
      </c>
      <c r="H38" s="9" t="s">
        <v>196</v>
      </c>
      <c r="I38" s="5" t="s">
        <v>1691</v>
      </c>
      <c r="J38" s="5" t="s">
        <v>1692</v>
      </c>
      <c r="K38" s="6">
        <f t="shared" si="0"/>
        <v>1</v>
      </c>
    </row>
    <row r="39" spans="1:11" ht="15" customHeight="1">
      <c r="A39" s="4">
        <v>31</v>
      </c>
      <c r="B39" s="5" t="s">
        <v>135</v>
      </c>
      <c r="C39" s="5" t="s">
        <v>121</v>
      </c>
      <c r="D39" s="5" t="s">
        <v>610</v>
      </c>
      <c r="E39" s="7" t="s">
        <v>105</v>
      </c>
      <c r="F39" s="8" t="s">
        <v>105</v>
      </c>
      <c r="G39" s="4" t="s">
        <v>106</v>
      </c>
      <c r="H39" s="9" t="s">
        <v>196</v>
      </c>
      <c r="I39" s="5" t="s">
        <v>1691</v>
      </c>
      <c r="J39" s="5" t="s">
        <v>1692</v>
      </c>
      <c r="K39" s="6">
        <f t="shared" si="0"/>
        <v>1</v>
      </c>
    </row>
    <row r="40" spans="1:11" ht="15" customHeight="1">
      <c r="A40" s="4">
        <v>32</v>
      </c>
      <c r="B40" s="5" t="s">
        <v>135</v>
      </c>
      <c r="C40" s="5" t="s">
        <v>121</v>
      </c>
      <c r="D40" s="5" t="s">
        <v>612</v>
      </c>
      <c r="E40" s="7" t="s">
        <v>105</v>
      </c>
      <c r="F40" s="8" t="s">
        <v>105</v>
      </c>
      <c r="G40" s="4" t="s">
        <v>106</v>
      </c>
      <c r="H40" s="9" t="s">
        <v>196</v>
      </c>
      <c r="I40" s="5" t="s">
        <v>1691</v>
      </c>
      <c r="J40" s="5" t="s">
        <v>1692</v>
      </c>
      <c r="K40" s="6">
        <f t="shared" si="0"/>
        <v>1</v>
      </c>
    </row>
    <row r="41" spans="1:11" ht="15" customHeight="1">
      <c r="A41" s="4">
        <v>33</v>
      </c>
      <c r="B41" s="5" t="s">
        <v>135</v>
      </c>
      <c r="C41" s="5" t="s">
        <v>121</v>
      </c>
      <c r="D41" s="5" t="s">
        <v>611</v>
      </c>
      <c r="E41" s="7" t="s">
        <v>105</v>
      </c>
      <c r="F41" s="8" t="s">
        <v>105</v>
      </c>
      <c r="G41" s="4" t="s">
        <v>106</v>
      </c>
      <c r="H41" s="9" t="s">
        <v>196</v>
      </c>
      <c r="I41" s="5" t="s">
        <v>1691</v>
      </c>
      <c r="J41" s="5" t="s">
        <v>1692</v>
      </c>
      <c r="K41" s="6">
        <f t="shared" si="0"/>
        <v>1</v>
      </c>
    </row>
    <row r="42" spans="1:11" ht="15" customHeight="1">
      <c r="A42" s="4">
        <v>34</v>
      </c>
      <c r="B42" s="5" t="s">
        <v>539</v>
      </c>
      <c r="C42" s="5" t="s">
        <v>121</v>
      </c>
      <c r="D42" s="5" t="s">
        <v>615</v>
      </c>
      <c r="E42" s="7" t="s">
        <v>105</v>
      </c>
      <c r="F42" s="8" t="s">
        <v>105</v>
      </c>
      <c r="G42" s="4" t="s">
        <v>106</v>
      </c>
      <c r="H42" s="9" t="s">
        <v>196</v>
      </c>
      <c r="I42" s="5" t="s">
        <v>1691</v>
      </c>
      <c r="J42" s="5" t="s">
        <v>1692</v>
      </c>
      <c r="K42" s="6">
        <f t="shared" si="0"/>
        <v>1</v>
      </c>
    </row>
    <row r="43" spans="1:11" ht="15" customHeight="1">
      <c r="A43" s="4">
        <v>35</v>
      </c>
      <c r="B43" s="5" t="s">
        <v>133</v>
      </c>
      <c r="C43" s="5" t="s">
        <v>121</v>
      </c>
      <c r="D43" s="5" t="s">
        <v>719</v>
      </c>
      <c r="E43" s="7" t="s">
        <v>105</v>
      </c>
      <c r="F43" s="8" t="s">
        <v>105</v>
      </c>
      <c r="G43" s="4" t="s">
        <v>106</v>
      </c>
      <c r="H43" s="9" t="s">
        <v>196</v>
      </c>
      <c r="I43" s="5" t="s">
        <v>1691</v>
      </c>
      <c r="J43" s="5" t="s">
        <v>1692</v>
      </c>
      <c r="K43" s="6">
        <f t="shared" ref="K43:K74" si="1">IF(AND(E43="yes",F43="yes",H43="covered"),1,IF(H43="partial",0.5,0))</f>
        <v>1</v>
      </c>
    </row>
    <row r="44" spans="1:11" ht="15" customHeight="1">
      <c r="A44" s="4">
        <v>36</v>
      </c>
      <c r="B44" s="5" t="s">
        <v>133</v>
      </c>
      <c r="C44" s="5" t="s">
        <v>121</v>
      </c>
      <c r="D44" s="5" t="s">
        <v>142</v>
      </c>
      <c r="E44" s="7" t="s">
        <v>105</v>
      </c>
      <c r="F44" s="8" t="s">
        <v>105</v>
      </c>
      <c r="G44" s="4" t="s">
        <v>106</v>
      </c>
      <c r="H44" s="9" t="s">
        <v>196</v>
      </c>
      <c r="I44" s="5" t="s">
        <v>1691</v>
      </c>
      <c r="J44" s="5" t="s">
        <v>1692</v>
      </c>
      <c r="K44" s="6">
        <f t="shared" si="1"/>
        <v>1</v>
      </c>
    </row>
    <row r="45" spans="1:11" ht="15" customHeight="1">
      <c r="A45" s="4">
        <v>37</v>
      </c>
      <c r="B45" s="5" t="s">
        <v>133</v>
      </c>
      <c r="C45" s="5" t="s">
        <v>121</v>
      </c>
      <c r="D45" s="5" t="s">
        <v>722</v>
      </c>
      <c r="E45" s="7" t="s">
        <v>105</v>
      </c>
      <c r="F45" s="8" t="s">
        <v>105</v>
      </c>
      <c r="G45" s="4" t="s">
        <v>106</v>
      </c>
      <c r="H45" s="9" t="s">
        <v>196</v>
      </c>
      <c r="I45" s="5" t="s">
        <v>1691</v>
      </c>
      <c r="J45" s="5" t="s">
        <v>1692</v>
      </c>
      <c r="K45" s="6">
        <f t="shared" si="1"/>
        <v>1</v>
      </c>
    </row>
    <row r="46" spans="1:11" ht="15" customHeight="1">
      <c r="A46" s="4">
        <v>38</v>
      </c>
      <c r="B46" s="5" t="s">
        <v>135</v>
      </c>
      <c r="C46" s="5" t="s">
        <v>121</v>
      </c>
      <c r="D46" s="5" t="s">
        <v>144</v>
      </c>
      <c r="E46" s="7" t="s">
        <v>105</v>
      </c>
      <c r="F46" s="8" t="s">
        <v>105</v>
      </c>
      <c r="G46" s="4" t="s">
        <v>106</v>
      </c>
      <c r="H46" s="9" t="s">
        <v>196</v>
      </c>
      <c r="I46" s="5" t="s">
        <v>1691</v>
      </c>
      <c r="J46" s="5" t="s">
        <v>1692</v>
      </c>
      <c r="K46" s="6">
        <f t="shared" si="1"/>
        <v>1</v>
      </c>
    </row>
    <row r="47" spans="1:11" ht="15" customHeight="1">
      <c r="A47" s="4">
        <v>39</v>
      </c>
      <c r="B47" s="5" t="s">
        <v>135</v>
      </c>
      <c r="C47" s="5" t="s">
        <v>121</v>
      </c>
      <c r="D47" s="5" t="s">
        <v>616</v>
      </c>
      <c r="E47" s="7" t="s">
        <v>105</v>
      </c>
      <c r="F47" s="8" t="s">
        <v>105</v>
      </c>
      <c r="G47" s="4" t="s">
        <v>106</v>
      </c>
      <c r="H47" s="9" t="s">
        <v>196</v>
      </c>
      <c r="I47" s="5" t="s">
        <v>1691</v>
      </c>
      <c r="J47" s="5" t="s">
        <v>1692</v>
      </c>
      <c r="K47" s="6">
        <f t="shared" si="1"/>
        <v>1</v>
      </c>
    </row>
    <row r="48" spans="1:11" ht="15" customHeight="1">
      <c r="A48" s="4">
        <v>40</v>
      </c>
      <c r="B48" s="5" t="s">
        <v>135</v>
      </c>
      <c r="C48" s="5" t="s">
        <v>121</v>
      </c>
      <c r="D48" s="5" t="s">
        <v>1273</v>
      </c>
      <c r="E48" s="7" t="s">
        <v>105</v>
      </c>
      <c r="F48" s="8" t="s">
        <v>105</v>
      </c>
      <c r="G48" s="4" t="s">
        <v>106</v>
      </c>
      <c r="H48" s="9" t="s">
        <v>196</v>
      </c>
      <c r="I48" s="5" t="s">
        <v>1691</v>
      </c>
      <c r="J48" s="5" t="s">
        <v>1692</v>
      </c>
      <c r="K48" s="6">
        <f t="shared" si="1"/>
        <v>1</v>
      </c>
    </row>
    <row r="49" spans="1:11" ht="15" customHeight="1">
      <c r="A49" s="4">
        <v>41</v>
      </c>
      <c r="B49" s="5" t="s">
        <v>135</v>
      </c>
      <c r="C49" s="5" t="s">
        <v>121</v>
      </c>
      <c r="D49" s="5" t="s">
        <v>617</v>
      </c>
      <c r="E49" s="7" t="s">
        <v>105</v>
      </c>
      <c r="F49" s="8" t="s">
        <v>105</v>
      </c>
      <c r="G49" s="4" t="s">
        <v>106</v>
      </c>
      <c r="H49" s="9" t="s">
        <v>196</v>
      </c>
      <c r="I49" s="5" t="s">
        <v>1691</v>
      </c>
      <c r="J49" s="5" t="s">
        <v>1692</v>
      </c>
      <c r="K49" s="6">
        <f t="shared" si="1"/>
        <v>1</v>
      </c>
    </row>
    <row r="50" spans="1:11" ht="15" customHeight="1">
      <c r="A50" s="4">
        <v>42</v>
      </c>
      <c r="B50" s="5" t="s">
        <v>120</v>
      </c>
      <c r="C50" s="5" t="s">
        <v>41</v>
      </c>
      <c r="D50" s="5" t="s">
        <v>122</v>
      </c>
      <c r="E50" s="7" t="s">
        <v>105</v>
      </c>
      <c r="F50" s="8" t="s">
        <v>105</v>
      </c>
      <c r="G50" s="4" t="s">
        <v>106</v>
      </c>
      <c r="H50" s="9" t="s">
        <v>196</v>
      </c>
      <c r="I50" s="5" t="s">
        <v>1691</v>
      </c>
      <c r="J50" s="5" t="s">
        <v>1692</v>
      </c>
      <c r="K50" s="6">
        <f t="shared" si="1"/>
        <v>1</v>
      </c>
    </row>
    <row r="51" spans="1:11" ht="15" customHeight="1">
      <c r="A51" s="4">
        <v>43</v>
      </c>
      <c r="B51" s="5" t="s">
        <v>120</v>
      </c>
      <c r="C51" s="5" t="s">
        <v>41</v>
      </c>
      <c r="D51" s="5" t="s">
        <v>123</v>
      </c>
      <c r="E51" s="7" t="s">
        <v>105</v>
      </c>
      <c r="F51" s="8" t="s">
        <v>105</v>
      </c>
      <c r="G51" s="4" t="s">
        <v>106</v>
      </c>
      <c r="H51" s="9" t="s">
        <v>196</v>
      </c>
      <c r="I51" s="5" t="s">
        <v>1691</v>
      </c>
      <c r="J51" s="5" t="s">
        <v>1692</v>
      </c>
      <c r="K51" s="6">
        <f t="shared" si="1"/>
        <v>1</v>
      </c>
    </row>
    <row r="52" spans="1:11" ht="30" customHeight="1">
      <c r="A52" s="4">
        <v>44</v>
      </c>
      <c r="B52" s="5" t="s">
        <v>124</v>
      </c>
      <c r="C52" s="5" t="s">
        <v>41</v>
      </c>
      <c r="D52" s="5" t="s">
        <v>125</v>
      </c>
      <c r="E52" s="7" t="s">
        <v>105</v>
      </c>
      <c r="F52" s="8" t="s">
        <v>105</v>
      </c>
      <c r="G52" s="4" t="s">
        <v>106</v>
      </c>
      <c r="H52" s="9" t="s">
        <v>196</v>
      </c>
      <c r="I52" s="5" t="s">
        <v>1691</v>
      </c>
      <c r="J52" s="5" t="s">
        <v>1692</v>
      </c>
      <c r="K52" s="6">
        <f t="shared" si="1"/>
        <v>1</v>
      </c>
    </row>
    <row r="53" spans="1:11" ht="15" customHeight="1">
      <c r="A53" s="4">
        <v>45</v>
      </c>
      <c r="B53" s="5" t="s">
        <v>124</v>
      </c>
      <c r="C53" s="5" t="s">
        <v>41</v>
      </c>
      <c r="D53" s="5" t="s">
        <v>126</v>
      </c>
      <c r="E53" s="7" t="s">
        <v>105</v>
      </c>
      <c r="F53" s="8" t="s">
        <v>105</v>
      </c>
      <c r="G53" s="4" t="s">
        <v>106</v>
      </c>
      <c r="H53" s="9" t="s">
        <v>196</v>
      </c>
      <c r="I53" s="5" t="s">
        <v>1691</v>
      </c>
      <c r="J53" s="5" t="s">
        <v>1692</v>
      </c>
      <c r="K53" s="6">
        <f t="shared" si="1"/>
        <v>1</v>
      </c>
    </row>
    <row r="54" spans="1:11" ht="15" customHeight="1">
      <c r="A54" s="4">
        <v>46</v>
      </c>
      <c r="B54" s="5" t="s">
        <v>95</v>
      </c>
      <c r="C54" s="5" t="s">
        <v>41</v>
      </c>
      <c r="D54" s="5" t="s">
        <v>127</v>
      </c>
      <c r="E54" s="7" t="s">
        <v>105</v>
      </c>
      <c r="F54" s="8" t="s">
        <v>105</v>
      </c>
      <c r="G54" s="4" t="s">
        <v>106</v>
      </c>
      <c r="H54" s="9" t="s">
        <v>196</v>
      </c>
      <c r="I54" s="5" t="s">
        <v>1691</v>
      </c>
      <c r="J54" s="5" t="s">
        <v>1692</v>
      </c>
      <c r="K54" s="6">
        <f t="shared" si="1"/>
        <v>1</v>
      </c>
    </row>
    <row r="55" spans="1:11" ht="15" customHeight="1">
      <c r="A55" s="4">
        <v>47</v>
      </c>
      <c r="B55" s="5" t="s">
        <v>128</v>
      </c>
      <c r="C55" s="5" t="s">
        <v>41</v>
      </c>
      <c r="D55" s="5" t="s">
        <v>129</v>
      </c>
      <c r="E55" s="7" t="s">
        <v>105</v>
      </c>
      <c r="F55" s="8" t="s">
        <v>105</v>
      </c>
      <c r="G55" s="4" t="s">
        <v>106</v>
      </c>
      <c r="H55" s="9" t="s">
        <v>196</v>
      </c>
      <c r="I55" s="5" t="s">
        <v>1691</v>
      </c>
      <c r="J55" s="5" t="s">
        <v>1692</v>
      </c>
      <c r="K55" s="6">
        <f t="shared" si="1"/>
        <v>1</v>
      </c>
    </row>
    <row r="56" spans="1:11" ht="15" customHeight="1">
      <c r="A56" s="4">
        <v>48</v>
      </c>
      <c r="B56" s="5" t="s">
        <v>133</v>
      </c>
      <c r="C56" s="5" t="s">
        <v>41</v>
      </c>
      <c r="D56" s="5" t="s">
        <v>966</v>
      </c>
      <c r="E56" s="7" t="s">
        <v>105</v>
      </c>
      <c r="F56" s="8" t="s">
        <v>105</v>
      </c>
      <c r="G56" s="4" t="s">
        <v>106</v>
      </c>
      <c r="H56" s="9" t="s">
        <v>196</v>
      </c>
      <c r="I56" s="5" t="s">
        <v>1691</v>
      </c>
      <c r="J56" s="5" t="s">
        <v>1692</v>
      </c>
      <c r="K56" s="6">
        <f t="shared" si="1"/>
        <v>1</v>
      </c>
    </row>
    <row r="57" spans="1:11" ht="15" customHeight="1">
      <c r="A57" s="4">
        <v>49</v>
      </c>
      <c r="B57" s="5" t="s">
        <v>539</v>
      </c>
      <c r="C57" s="5" t="s">
        <v>41</v>
      </c>
      <c r="D57" s="5" t="s">
        <v>540</v>
      </c>
      <c r="E57" s="7" t="s">
        <v>105</v>
      </c>
      <c r="F57" s="8" t="s">
        <v>105</v>
      </c>
      <c r="G57" s="4" t="s">
        <v>106</v>
      </c>
      <c r="H57" s="9" t="s">
        <v>196</v>
      </c>
      <c r="I57" s="5" t="s">
        <v>1691</v>
      </c>
      <c r="J57" s="5" t="s">
        <v>1692</v>
      </c>
      <c r="K57" s="6">
        <f t="shared" si="1"/>
        <v>1</v>
      </c>
    </row>
    <row r="58" spans="1:11" ht="15" customHeight="1">
      <c r="A58" s="4">
        <v>50</v>
      </c>
      <c r="B58" s="5" t="s">
        <v>133</v>
      </c>
      <c r="C58" s="5" t="s">
        <v>41</v>
      </c>
      <c r="D58" s="5" t="s">
        <v>719</v>
      </c>
      <c r="E58" s="7" t="s">
        <v>105</v>
      </c>
      <c r="F58" s="8" t="s">
        <v>105</v>
      </c>
      <c r="G58" s="4" t="s">
        <v>106</v>
      </c>
      <c r="H58" s="9" t="s">
        <v>196</v>
      </c>
      <c r="I58" s="5" t="s">
        <v>1691</v>
      </c>
      <c r="J58" s="5" t="s">
        <v>1692</v>
      </c>
      <c r="K58" s="6">
        <f t="shared" si="1"/>
        <v>1</v>
      </c>
    </row>
    <row r="59" spans="1:11" ht="15" customHeight="1">
      <c r="A59" s="4">
        <v>51</v>
      </c>
      <c r="B59" s="5" t="s">
        <v>133</v>
      </c>
      <c r="C59" s="5" t="s">
        <v>41</v>
      </c>
      <c r="D59" s="5" t="s">
        <v>142</v>
      </c>
      <c r="E59" s="7" t="s">
        <v>105</v>
      </c>
      <c r="F59" s="8" t="s">
        <v>105</v>
      </c>
      <c r="G59" s="4" t="s">
        <v>106</v>
      </c>
      <c r="H59" s="9" t="s">
        <v>196</v>
      </c>
      <c r="I59" s="5" t="s">
        <v>1691</v>
      </c>
      <c r="J59" s="5" t="s">
        <v>1692</v>
      </c>
      <c r="K59" s="6">
        <f t="shared" si="1"/>
        <v>1</v>
      </c>
    </row>
    <row r="60" spans="1:11" ht="15" customHeight="1">
      <c r="A60" s="4">
        <v>52</v>
      </c>
      <c r="B60" s="5" t="s">
        <v>133</v>
      </c>
      <c r="C60" s="5" t="s">
        <v>41</v>
      </c>
      <c r="D60" s="5" t="s">
        <v>1703</v>
      </c>
      <c r="E60" s="7" t="s">
        <v>105</v>
      </c>
      <c r="F60" s="8" t="s">
        <v>105</v>
      </c>
      <c r="G60" s="4" t="s">
        <v>106</v>
      </c>
      <c r="H60" s="9" t="s">
        <v>196</v>
      </c>
      <c r="I60" s="5" t="s">
        <v>1691</v>
      </c>
      <c r="J60" s="5" t="s">
        <v>1692</v>
      </c>
      <c r="K60" s="6">
        <f t="shared" si="1"/>
        <v>1</v>
      </c>
    </row>
    <row r="61" spans="1:11" ht="15" customHeight="1">
      <c r="A61" s="4">
        <v>53</v>
      </c>
      <c r="B61" s="5" t="s">
        <v>133</v>
      </c>
      <c r="C61" s="5" t="s">
        <v>41</v>
      </c>
      <c r="D61" s="5" t="s">
        <v>722</v>
      </c>
      <c r="E61" s="7" t="s">
        <v>105</v>
      </c>
      <c r="F61" s="8" t="s">
        <v>105</v>
      </c>
      <c r="G61" s="4" t="s">
        <v>106</v>
      </c>
      <c r="H61" s="9" t="s">
        <v>196</v>
      </c>
      <c r="I61" s="5" t="s">
        <v>1691</v>
      </c>
      <c r="J61" s="5" t="s">
        <v>1692</v>
      </c>
      <c r="K61" s="6">
        <f t="shared" si="1"/>
        <v>1</v>
      </c>
    </row>
    <row r="62" spans="1:11" ht="15" customHeight="1">
      <c r="A62" s="4">
        <v>54</v>
      </c>
      <c r="B62" s="5" t="s">
        <v>133</v>
      </c>
      <c r="C62" s="5" t="s">
        <v>41</v>
      </c>
      <c r="D62" s="5" t="s">
        <v>545</v>
      </c>
      <c r="E62" s="7" t="s">
        <v>105</v>
      </c>
      <c r="F62" s="8" t="s">
        <v>105</v>
      </c>
      <c r="G62" s="4" t="s">
        <v>106</v>
      </c>
      <c r="H62" s="9" t="s">
        <v>196</v>
      </c>
      <c r="I62" s="5" t="s">
        <v>1691</v>
      </c>
      <c r="J62" s="5" t="s">
        <v>1692</v>
      </c>
      <c r="K62" s="6">
        <f t="shared" si="1"/>
        <v>1</v>
      </c>
    </row>
    <row r="63" spans="1:11" ht="15" customHeight="1">
      <c r="A63" s="4">
        <v>55</v>
      </c>
      <c r="B63" s="5" t="s">
        <v>135</v>
      </c>
      <c r="C63" s="5" t="s">
        <v>41</v>
      </c>
      <c r="D63" s="5" t="s">
        <v>144</v>
      </c>
      <c r="E63" s="7" t="s">
        <v>105</v>
      </c>
      <c r="F63" s="8" t="s">
        <v>105</v>
      </c>
      <c r="G63" s="4" t="s">
        <v>106</v>
      </c>
      <c r="H63" s="9" t="s">
        <v>196</v>
      </c>
      <c r="I63" s="5" t="s">
        <v>1691</v>
      </c>
      <c r="J63" s="5" t="s">
        <v>1692</v>
      </c>
      <c r="K63" s="6">
        <f t="shared" si="1"/>
        <v>1</v>
      </c>
    </row>
    <row r="64" spans="1:11" ht="15" customHeight="1">
      <c r="A64" s="4">
        <v>56</v>
      </c>
      <c r="B64" s="5" t="s">
        <v>135</v>
      </c>
      <c r="C64" s="5" t="s">
        <v>41</v>
      </c>
      <c r="D64" s="5" t="s">
        <v>616</v>
      </c>
      <c r="E64" s="7" t="s">
        <v>105</v>
      </c>
      <c r="F64" s="8" t="s">
        <v>105</v>
      </c>
      <c r="G64" s="4" t="s">
        <v>106</v>
      </c>
      <c r="H64" s="9" t="s">
        <v>196</v>
      </c>
      <c r="I64" s="5" t="s">
        <v>1691</v>
      </c>
      <c r="J64" s="5" t="s">
        <v>1692</v>
      </c>
      <c r="K64" s="6">
        <f t="shared" si="1"/>
        <v>1</v>
      </c>
    </row>
    <row r="65" spans="1:11" ht="15" customHeight="1">
      <c r="A65" s="4">
        <v>57</v>
      </c>
      <c r="B65" s="5" t="s">
        <v>135</v>
      </c>
      <c r="C65" s="5" t="s">
        <v>41</v>
      </c>
      <c r="D65" s="5" t="s">
        <v>617</v>
      </c>
      <c r="E65" s="7" t="s">
        <v>105</v>
      </c>
      <c r="F65" s="8" t="s">
        <v>105</v>
      </c>
      <c r="G65" s="4" t="s">
        <v>106</v>
      </c>
      <c r="H65" s="9" t="s">
        <v>196</v>
      </c>
      <c r="I65" s="5" t="s">
        <v>1691</v>
      </c>
      <c r="J65" s="5" t="s">
        <v>1692</v>
      </c>
      <c r="K65" s="6">
        <f t="shared" si="1"/>
        <v>1</v>
      </c>
    </row>
    <row r="66" spans="1:11" ht="15" customHeight="1">
      <c r="A66" s="4">
        <v>58</v>
      </c>
      <c r="B66" s="5" t="s">
        <v>120</v>
      </c>
      <c r="C66" s="5" t="s">
        <v>561</v>
      </c>
      <c r="D66" s="5" t="s">
        <v>122</v>
      </c>
      <c r="E66" s="7" t="s">
        <v>105</v>
      </c>
      <c r="F66" s="8" t="s">
        <v>105</v>
      </c>
      <c r="G66" s="4" t="s">
        <v>106</v>
      </c>
      <c r="H66" s="9" t="s">
        <v>196</v>
      </c>
      <c r="I66" s="5" t="s">
        <v>1691</v>
      </c>
      <c r="J66" s="5" t="s">
        <v>1692</v>
      </c>
      <c r="K66" s="6">
        <f t="shared" si="1"/>
        <v>1</v>
      </c>
    </row>
    <row r="67" spans="1:11" ht="15" customHeight="1">
      <c r="A67" s="4">
        <v>59</v>
      </c>
      <c r="B67" s="5" t="s">
        <v>120</v>
      </c>
      <c r="C67" s="5" t="s">
        <v>561</v>
      </c>
      <c r="D67" s="5" t="s">
        <v>123</v>
      </c>
      <c r="E67" s="7" t="s">
        <v>105</v>
      </c>
      <c r="F67" s="8" t="s">
        <v>105</v>
      </c>
      <c r="G67" s="4" t="s">
        <v>106</v>
      </c>
      <c r="H67" s="9" t="s">
        <v>196</v>
      </c>
      <c r="I67" s="5" t="s">
        <v>1691</v>
      </c>
      <c r="J67" s="5" t="s">
        <v>1692</v>
      </c>
      <c r="K67" s="6">
        <f t="shared" si="1"/>
        <v>1</v>
      </c>
    </row>
    <row r="68" spans="1:11" ht="30" customHeight="1">
      <c r="A68" s="4">
        <v>60</v>
      </c>
      <c r="B68" s="5" t="s">
        <v>124</v>
      </c>
      <c r="C68" s="5" t="s">
        <v>561</v>
      </c>
      <c r="D68" s="5" t="s">
        <v>125</v>
      </c>
      <c r="E68" s="7" t="s">
        <v>105</v>
      </c>
      <c r="F68" s="8" t="s">
        <v>105</v>
      </c>
      <c r="G68" s="4" t="s">
        <v>106</v>
      </c>
      <c r="H68" s="9" t="s">
        <v>196</v>
      </c>
      <c r="I68" s="5" t="s">
        <v>1691</v>
      </c>
      <c r="J68" s="5" t="s">
        <v>1692</v>
      </c>
      <c r="K68" s="6">
        <f t="shared" si="1"/>
        <v>1</v>
      </c>
    </row>
    <row r="69" spans="1:11" ht="15" customHeight="1">
      <c r="A69" s="4">
        <v>61</v>
      </c>
      <c r="B69" s="5" t="s">
        <v>124</v>
      </c>
      <c r="C69" s="5" t="s">
        <v>561</v>
      </c>
      <c r="D69" s="5" t="s">
        <v>126</v>
      </c>
      <c r="E69" s="7" t="s">
        <v>105</v>
      </c>
      <c r="F69" s="8" t="s">
        <v>105</v>
      </c>
      <c r="G69" s="4" t="s">
        <v>106</v>
      </c>
      <c r="H69" s="9" t="s">
        <v>196</v>
      </c>
      <c r="I69" s="5" t="s">
        <v>1691</v>
      </c>
      <c r="J69" s="5" t="s">
        <v>1692</v>
      </c>
      <c r="K69" s="6">
        <f t="shared" si="1"/>
        <v>1</v>
      </c>
    </row>
    <row r="70" spans="1:11" ht="15" customHeight="1">
      <c r="A70" s="4">
        <v>62</v>
      </c>
      <c r="B70" s="5" t="s">
        <v>95</v>
      </c>
      <c r="C70" s="5" t="s">
        <v>561</v>
      </c>
      <c r="D70" s="5" t="s">
        <v>127</v>
      </c>
      <c r="E70" s="7" t="s">
        <v>105</v>
      </c>
      <c r="F70" s="8" t="s">
        <v>105</v>
      </c>
      <c r="G70" s="4" t="s">
        <v>106</v>
      </c>
      <c r="H70" s="9" t="s">
        <v>196</v>
      </c>
      <c r="I70" s="5" t="s">
        <v>1691</v>
      </c>
      <c r="J70" s="5" t="s">
        <v>1692</v>
      </c>
      <c r="K70" s="6">
        <f t="shared" si="1"/>
        <v>1</v>
      </c>
    </row>
    <row r="71" spans="1:11" ht="15" customHeight="1">
      <c r="A71" s="4">
        <v>63</v>
      </c>
      <c r="B71" s="5" t="s">
        <v>128</v>
      </c>
      <c r="C71" s="5" t="s">
        <v>561</v>
      </c>
      <c r="D71" s="5" t="s">
        <v>129</v>
      </c>
      <c r="E71" s="7" t="s">
        <v>105</v>
      </c>
      <c r="F71" s="8" t="s">
        <v>105</v>
      </c>
      <c r="G71" s="4" t="s">
        <v>106</v>
      </c>
      <c r="H71" s="9" t="s">
        <v>196</v>
      </c>
      <c r="I71" s="5" t="s">
        <v>1691</v>
      </c>
      <c r="J71" s="5" t="s">
        <v>1692</v>
      </c>
      <c r="K71" s="6">
        <f t="shared" si="1"/>
        <v>1</v>
      </c>
    </row>
    <row r="72" spans="1:11" ht="15" customHeight="1">
      <c r="A72" s="4">
        <v>64</v>
      </c>
      <c r="B72" s="5" t="s">
        <v>133</v>
      </c>
      <c r="C72" s="5" t="s">
        <v>561</v>
      </c>
      <c r="D72" s="5" t="s">
        <v>719</v>
      </c>
      <c r="E72" s="7" t="s">
        <v>105</v>
      </c>
      <c r="F72" s="8" t="s">
        <v>105</v>
      </c>
      <c r="G72" s="4" t="s">
        <v>106</v>
      </c>
      <c r="H72" s="9" t="s">
        <v>196</v>
      </c>
      <c r="I72" s="5" t="s">
        <v>1691</v>
      </c>
      <c r="J72" s="5" t="s">
        <v>1692</v>
      </c>
      <c r="K72" s="6">
        <f t="shared" si="1"/>
        <v>1</v>
      </c>
    </row>
    <row r="73" spans="1:11" ht="15" customHeight="1">
      <c r="A73" s="4">
        <v>65</v>
      </c>
      <c r="B73" s="5" t="s">
        <v>133</v>
      </c>
      <c r="C73" s="5" t="s">
        <v>561</v>
      </c>
      <c r="D73" s="5" t="s">
        <v>142</v>
      </c>
      <c r="E73" s="7" t="s">
        <v>105</v>
      </c>
      <c r="F73" s="8" t="s">
        <v>105</v>
      </c>
      <c r="G73" s="4" t="s">
        <v>106</v>
      </c>
      <c r="H73" s="9" t="s">
        <v>196</v>
      </c>
      <c r="I73" s="5" t="s">
        <v>1691</v>
      </c>
      <c r="J73" s="5" t="s">
        <v>1692</v>
      </c>
      <c r="K73" s="6">
        <f t="shared" si="1"/>
        <v>1</v>
      </c>
    </row>
    <row r="74" spans="1:11" ht="30" customHeight="1">
      <c r="A74" s="4">
        <v>66</v>
      </c>
      <c r="B74" s="5" t="s">
        <v>153</v>
      </c>
      <c r="C74" s="5" t="s">
        <v>154</v>
      </c>
      <c r="D74" s="5" t="s">
        <v>1303</v>
      </c>
      <c r="E74" s="7" t="s">
        <v>105</v>
      </c>
      <c r="F74" s="8" t="s">
        <v>105</v>
      </c>
      <c r="G74" s="4" t="s">
        <v>106</v>
      </c>
      <c r="H74" s="9" t="s">
        <v>196</v>
      </c>
      <c r="I74" s="5" t="s">
        <v>1691</v>
      </c>
      <c r="J74" s="5" t="s">
        <v>1692</v>
      </c>
      <c r="K74" s="6">
        <f t="shared" si="1"/>
        <v>1</v>
      </c>
    </row>
    <row r="75" spans="1:11" ht="15" customHeight="1">
      <c r="A75" s="4">
        <v>67</v>
      </c>
      <c r="B75" s="5" t="s">
        <v>153</v>
      </c>
      <c r="C75" s="5" t="s">
        <v>154</v>
      </c>
      <c r="D75" s="5" t="s">
        <v>562</v>
      </c>
      <c r="E75" s="7" t="s">
        <v>105</v>
      </c>
      <c r="F75" s="8" t="s">
        <v>105</v>
      </c>
      <c r="G75" s="4" t="s">
        <v>106</v>
      </c>
      <c r="H75" s="9" t="s">
        <v>196</v>
      </c>
      <c r="I75" s="5" t="s">
        <v>1691</v>
      </c>
      <c r="J75" s="5" t="s">
        <v>1692</v>
      </c>
      <c r="K75" s="6">
        <f t="shared" ref="K75:K99" si="2">IF(AND(E75="yes",F75="yes",H75="covered"),1,IF(H75="partial",0.5,0))</f>
        <v>1</v>
      </c>
    </row>
    <row r="76" spans="1:11" ht="15" customHeight="1">
      <c r="A76" s="4">
        <v>68</v>
      </c>
      <c r="B76" s="5" t="s">
        <v>153</v>
      </c>
      <c r="C76" s="5" t="s">
        <v>154</v>
      </c>
      <c r="D76" s="5" t="s">
        <v>621</v>
      </c>
      <c r="E76" s="7" t="s">
        <v>105</v>
      </c>
      <c r="F76" s="8" t="s">
        <v>105</v>
      </c>
      <c r="G76" s="4" t="s">
        <v>106</v>
      </c>
      <c r="H76" s="9" t="s">
        <v>196</v>
      </c>
      <c r="I76" s="5" t="s">
        <v>1691</v>
      </c>
      <c r="J76" s="5" t="s">
        <v>1692</v>
      </c>
      <c r="K76" s="6">
        <f t="shared" si="2"/>
        <v>1</v>
      </c>
    </row>
    <row r="77" spans="1:11" ht="15" customHeight="1">
      <c r="A77" s="4">
        <v>69</v>
      </c>
      <c r="B77" s="5" t="s">
        <v>153</v>
      </c>
      <c r="C77" s="5" t="s">
        <v>154</v>
      </c>
      <c r="D77" s="5" t="s">
        <v>438</v>
      </c>
      <c r="E77" s="7" t="s">
        <v>105</v>
      </c>
      <c r="F77" s="8" t="s">
        <v>105</v>
      </c>
      <c r="G77" s="4" t="s">
        <v>106</v>
      </c>
      <c r="H77" s="9" t="s">
        <v>196</v>
      </c>
      <c r="I77" s="5" t="s">
        <v>1691</v>
      </c>
      <c r="J77" s="5" t="s">
        <v>1692</v>
      </c>
      <c r="K77" s="6">
        <f t="shared" si="2"/>
        <v>1</v>
      </c>
    </row>
    <row r="78" spans="1:11" ht="15" customHeight="1">
      <c r="A78" s="4">
        <v>70</v>
      </c>
      <c r="B78" s="5" t="s">
        <v>153</v>
      </c>
      <c r="C78" s="5" t="s">
        <v>154</v>
      </c>
      <c r="D78" s="5" t="s">
        <v>158</v>
      </c>
      <c r="E78" s="7" t="s">
        <v>105</v>
      </c>
      <c r="F78" s="8" t="s">
        <v>105</v>
      </c>
      <c r="G78" s="4" t="s">
        <v>106</v>
      </c>
      <c r="H78" s="9" t="s">
        <v>196</v>
      </c>
      <c r="I78" s="5" t="s">
        <v>1691</v>
      </c>
      <c r="J78" s="5" t="s">
        <v>1692</v>
      </c>
      <c r="K78" s="6">
        <f t="shared" si="2"/>
        <v>1</v>
      </c>
    </row>
    <row r="79" spans="1:11" ht="15" customHeight="1">
      <c r="A79" s="4">
        <v>71</v>
      </c>
      <c r="B79" s="5" t="s">
        <v>153</v>
      </c>
      <c r="C79" s="5" t="s">
        <v>154</v>
      </c>
      <c r="D79" s="5" t="s">
        <v>623</v>
      </c>
      <c r="E79" s="7" t="s">
        <v>105</v>
      </c>
      <c r="F79" s="8" t="s">
        <v>105</v>
      </c>
      <c r="G79" s="4" t="s">
        <v>106</v>
      </c>
      <c r="H79" s="9" t="s">
        <v>196</v>
      </c>
      <c r="I79" s="5" t="s">
        <v>1691</v>
      </c>
      <c r="J79" s="5" t="s">
        <v>1692</v>
      </c>
      <c r="K79" s="6">
        <f t="shared" si="2"/>
        <v>1</v>
      </c>
    </row>
    <row r="80" spans="1:11" ht="30" customHeight="1">
      <c r="A80" s="4">
        <v>72</v>
      </c>
      <c r="B80" s="5" t="s">
        <v>159</v>
      </c>
      <c r="C80" s="5" t="s">
        <v>154</v>
      </c>
      <c r="D80" s="5" t="s">
        <v>160</v>
      </c>
      <c r="E80" s="7" t="s">
        <v>105</v>
      </c>
      <c r="F80" s="8" t="s">
        <v>105</v>
      </c>
      <c r="G80" s="4" t="s">
        <v>106</v>
      </c>
      <c r="H80" s="9" t="s">
        <v>196</v>
      </c>
      <c r="I80" s="5" t="s">
        <v>1691</v>
      </c>
      <c r="J80" s="5" t="s">
        <v>1692</v>
      </c>
      <c r="K80" s="6">
        <f t="shared" si="2"/>
        <v>1</v>
      </c>
    </row>
    <row r="81" spans="1:11" ht="15" customHeight="1">
      <c r="A81" s="4">
        <v>73</v>
      </c>
      <c r="B81" s="5" t="s">
        <v>159</v>
      </c>
      <c r="C81" s="5" t="s">
        <v>154</v>
      </c>
      <c r="D81" s="5" t="s">
        <v>1364</v>
      </c>
      <c r="E81" s="7" t="s">
        <v>105</v>
      </c>
      <c r="F81" s="8" t="s">
        <v>105</v>
      </c>
      <c r="G81" s="4" t="s">
        <v>106</v>
      </c>
      <c r="H81" s="9" t="s">
        <v>196</v>
      </c>
      <c r="I81" s="5" t="s">
        <v>1691</v>
      </c>
      <c r="J81" s="5" t="s">
        <v>1692</v>
      </c>
      <c r="K81" s="6">
        <f t="shared" si="2"/>
        <v>1</v>
      </c>
    </row>
    <row r="82" spans="1:11" ht="15" customHeight="1">
      <c r="A82" s="4">
        <v>74</v>
      </c>
      <c r="B82" s="5" t="s">
        <v>159</v>
      </c>
      <c r="C82" s="5" t="s">
        <v>154</v>
      </c>
      <c r="D82" s="5" t="s">
        <v>1704</v>
      </c>
      <c r="E82" s="7" t="s">
        <v>105</v>
      </c>
      <c r="F82" s="8" t="s">
        <v>105</v>
      </c>
      <c r="G82" s="4" t="s">
        <v>106</v>
      </c>
      <c r="H82" s="9" t="s">
        <v>196</v>
      </c>
      <c r="I82" s="5" t="s">
        <v>1691</v>
      </c>
      <c r="J82" s="5" t="s">
        <v>1692</v>
      </c>
      <c r="K82" s="6">
        <f t="shared" si="2"/>
        <v>1</v>
      </c>
    </row>
    <row r="83" spans="1:11" ht="15" customHeight="1">
      <c r="A83" s="4">
        <v>75</v>
      </c>
      <c r="B83" s="5" t="s">
        <v>159</v>
      </c>
      <c r="C83" s="5" t="s">
        <v>154</v>
      </c>
      <c r="D83" s="5" t="s">
        <v>624</v>
      </c>
      <c r="E83" s="7" t="s">
        <v>105</v>
      </c>
      <c r="F83" s="8" t="s">
        <v>105</v>
      </c>
      <c r="G83" s="4" t="s">
        <v>106</v>
      </c>
      <c r="H83" s="9" t="s">
        <v>196</v>
      </c>
      <c r="I83" s="5" t="s">
        <v>1691</v>
      </c>
      <c r="J83" s="5" t="s">
        <v>1692</v>
      </c>
      <c r="K83" s="6">
        <f t="shared" si="2"/>
        <v>1</v>
      </c>
    </row>
    <row r="84" spans="1:11" ht="15" customHeight="1">
      <c r="A84" s="4">
        <v>76</v>
      </c>
      <c r="B84" s="5" t="s">
        <v>159</v>
      </c>
      <c r="C84" s="5" t="s">
        <v>154</v>
      </c>
      <c r="D84" s="5" t="s">
        <v>625</v>
      </c>
      <c r="E84" s="7" t="s">
        <v>105</v>
      </c>
      <c r="F84" s="8" t="s">
        <v>105</v>
      </c>
      <c r="G84" s="4" t="s">
        <v>106</v>
      </c>
      <c r="H84" s="9" t="s">
        <v>196</v>
      </c>
      <c r="I84" s="5" t="s">
        <v>1691</v>
      </c>
      <c r="J84" s="5" t="s">
        <v>1692</v>
      </c>
      <c r="K84" s="6">
        <f t="shared" si="2"/>
        <v>1</v>
      </c>
    </row>
    <row r="85" spans="1:11" ht="15" customHeight="1">
      <c r="A85" s="4">
        <v>77</v>
      </c>
      <c r="B85" s="5" t="s">
        <v>159</v>
      </c>
      <c r="C85" s="5" t="s">
        <v>154</v>
      </c>
      <c r="D85" s="5" t="s">
        <v>1282</v>
      </c>
      <c r="E85" s="7" t="s">
        <v>105</v>
      </c>
      <c r="F85" s="8" t="s">
        <v>105</v>
      </c>
      <c r="G85" s="4" t="s">
        <v>106</v>
      </c>
      <c r="H85" s="9" t="s">
        <v>196</v>
      </c>
      <c r="I85" s="5" t="s">
        <v>1691</v>
      </c>
      <c r="J85" s="5" t="s">
        <v>1692</v>
      </c>
      <c r="K85" s="6">
        <f t="shared" si="2"/>
        <v>1</v>
      </c>
    </row>
    <row r="86" spans="1:11" ht="15" customHeight="1">
      <c r="A86" s="4">
        <v>78</v>
      </c>
      <c r="B86" s="5" t="s">
        <v>159</v>
      </c>
      <c r="C86" s="5" t="s">
        <v>154</v>
      </c>
      <c r="D86" s="5" t="s">
        <v>162</v>
      </c>
      <c r="E86" s="7" t="s">
        <v>105</v>
      </c>
      <c r="F86" s="8" t="s">
        <v>105</v>
      </c>
      <c r="G86" s="4" t="s">
        <v>106</v>
      </c>
      <c r="H86" s="9" t="s">
        <v>196</v>
      </c>
      <c r="I86" s="5" t="s">
        <v>1691</v>
      </c>
      <c r="J86" s="5" t="s">
        <v>1692</v>
      </c>
      <c r="K86" s="6">
        <f t="shared" si="2"/>
        <v>1</v>
      </c>
    </row>
    <row r="87" spans="1:11" ht="15" customHeight="1">
      <c r="A87" s="4">
        <v>79</v>
      </c>
      <c r="B87" s="5" t="s">
        <v>130</v>
      </c>
      <c r="C87" s="5" t="s">
        <v>121</v>
      </c>
      <c r="D87" s="5" t="s">
        <v>164</v>
      </c>
      <c r="E87" s="7" t="s">
        <v>105</v>
      </c>
      <c r="F87" s="8" t="s">
        <v>105</v>
      </c>
      <c r="G87" s="4" t="s">
        <v>106</v>
      </c>
      <c r="H87" s="9" t="s">
        <v>196</v>
      </c>
      <c r="I87" s="5" t="s">
        <v>1691</v>
      </c>
      <c r="J87" s="5" t="s">
        <v>1692</v>
      </c>
      <c r="K87" s="6">
        <f t="shared" si="2"/>
        <v>1</v>
      </c>
    </row>
    <row r="88" spans="1:11" ht="15" customHeight="1">
      <c r="A88" s="4">
        <v>80</v>
      </c>
      <c r="B88" s="5" t="s">
        <v>130</v>
      </c>
      <c r="C88" s="5" t="s">
        <v>121</v>
      </c>
      <c r="D88" s="5" t="s">
        <v>165</v>
      </c>
      <c r="E88" s="7" t="s">
        <v>105</v>
      </c>
      <c r="F88" s="8" t="s">
        <v>105</v>
      </c>
      <c r="G88" s="4" t="s">
        <v>106</v>
      </c>
      <c r="H88" s="9" t="s">
        <v>196</v>
      </c>
      <c r="I88" s="5" t="s">
        <v>1691</v>
      </c>
      <c r="J88" s="5" t="s">
        <v>1692</v>
      </c>
      <c r="K88" s="6">
        <f t="shared" si="2"/>
        <v>1</v>
      </c>
    </row>
    <row r="89" spans="1:11" ht="15" customHeight="1">
      <c r="A89" s="4">
        <v>81</v>
      </c>
      <c r="B89" s="5" t="s">
        <v>130</v>
      </c>
      <c r="C89" s="5" t="s">
        <v>121</v>
      </c>
      <c r="D89" s="5" t="s">
        <v>167</v>
      </c>
      <c r="E89" s="7" t="s">
        <v>105</v>
      </c>
      <c r="F89" s="8" t="s">
        <v>105</v>
      </c>
      <c r="G89" s="4" t="s">
        <v>106</v>
      </c>
      <c r="H89" s="9" t="s">
        <v>196</v>
      </c>
      <c r="I89" s="5" t="s">
        <v>1691</v>
      </c>
      <c r="J89" s="5" t="s">
        <v>1692</v>
      </c>
      <c r="K89" s="6">
        <f t="shared" si="2"/>
        <v>1</v>
      </c>
    </row>
    <row r="90" spans="1:11" ht="15" customHeight="1">
      <c r="A90" s="4">
        <v>82</v>
      </c>
      <c r="B90" s="5" t="s">
        <v>130</v>
      </c>
      <c r="C90" s="5" t="s">
        <v>121</v>
      </c>
      <c r="D90" s="5" t="s">
        <v>168</v>
      </c>
      <c r="E90" s="7" t="s">
        <v>105</v>
      </c>
      <c r="F90" s="8" t="s">
        <v>105</v>
      </c>
      <c r="G90" s="4" t="s">
        <v>106</v>
      </c>
      <c r="H90" s="9" t="s">
        <v>196</v>
      </c>
      <c r="I90" s="5" t="s">
        <v>1691</v>
      </c>
      <c r="J90" s="5" t="s">
        <v>1692</v>
      </c>
      <c r="K90" s="6">
        <f t="shared" si="2"/>
        <v>1</v>
      </c>
    </row>
    <row r="91" spans="1:11" ht="15" customHeight="1">
      <c r="A91" s="4">
        <v>83</v>
      </c>
      <c r="B91" s="5" t="s">
        <v>135</v>
      </c>
      <c r="C91" s="5" t="s">
        <v>121</v>
      </c>
      <c r="D91" s="5" t="s">
        <v>169</v>
      </c>
      <c r="E91" s="7" t="s">
        <v>105</v>
      </c>
      <c r="F91" s="8" t="s">
        <v>105</v>
      </c>
      <c r="G91" s="4" t="s">
        <v>106</v>
      </c>
      <c r="H91" s="9" t="s">
        <v>196</v>
      </c>
      <c r="I91" s="5" t="s">
        <v>1691</v>
      </c>
      <c r="J91" s="5" t="s">
        <v>1692</v>
      </c>
      <c r="K91" s="6">
        <f t="shared" si="2"/>
        <v>1</v>
      </c>
    </row>
    <row r="92" spans="1:11" ht="15" customHeight="1">
      <c r="A92" s="4">
        <v>84</v>
      </c>
      <c r="B92" s="5" t="s">
        <v>135</v>
      </c>
      <c r="C92" s="5" t="s">
        <v>121</v>
      </c>
      <c r="D92" s="5" t="s">
        <v>170</v>
      </c>
      <c r="E92" s="7" t="s">
        <v>105</v>
      </c>
      <c r="F92" s="8" t="s">
        <v>105</v>
      </c>
      <c r="G92" s="4" t="s">
        <v>106</v>
      </c>
      <c r="H92" s="9" t="s">
        <v>196</v>
      </c>
      <c r="I92" s="5" t="s">
        <v>1691</v>
      </c>
      <c r="J92" s="5" t="s">
        <v>1692</v>
      </c>
      <c r="K92" s="6">
        <f t="shared" si="2"/>
        <v>1</v>
      </c>
    </row>
    <row r="93" spans="1:11" ht="15" customHeight="1">
      <c r="A93" s="4">
        <v>85</v>
      </c>
      <c r="B93" s="5" t="s">
        <v>135</v>
      </c>
      <c r="C93" s="5" t="s">
        <v>121</v>
      </c>
      <c r="D93" s="5" t="s">
        <v>171</v>
      </c>
      <c r="E93" s="7" t="s">
        <v>105</v>
      </c>
      <c r="F93" s="8" t="s">
        <v>105</v>
      </c>
      <c r="G93" s="4" t="s">
        <v>106</v>
      </c>
      <c r="H93" s="9" t="s">
        <v>196</v>
      </c>
      <c r="I93" s="5" t="s">
        <v>1691</v>
      </c>
      <c r="J93" s="5" t="s">
        <v>1692</v>
      </c>
      <c r="K93" s="6">
        <f t="shared" si="2"/>
        <v>1</v>
      </c>
    </row>
    <row r="94" spans="1:11" ht="15" customHeight="1">
      <c r="A94" s="4">
        <v>86</v>
      </c>
      <c r="B94" s="5" t="s">
        <v>135</v>
      </c>
      <c r="C94" s="5" t="s">
        <v>51</v>
      </c>
      <c r="D94" s="5" t="s">
        <v>627</v>
      </c>
      <c r="E94" s="7" t="s">
        <v>105</v>
      </c>
      <c r="F94" s="8" t="s">
        <v>105</v>
      </c>
      <c r="G94" s="4" t="s">
        <v>106</v>
      </c>
      <c r="H94" s="9" t="s">
        <v>196</v>
      </c>
      <c r="I94" s="5" t="s">
        <v>1691</v>
      </c>
      <c r="J94" s="5" t="s">
        <v>1692</v>
      </c>
      <c r="K94" s="6">
        <f t="shared" si="2"/>
        <v>1</v>
      </c>
    </row>
    <row r="95" spans="1:11" ht="15" customHeight="1">
      <c r="A95" s="4">
        <v>87</v>
      </c>
      <c r="B95" s="5" t="s">
        <v>135</v>
      </c>
      <c r="C95" s="5" t="s">
        <v>51</v>
      </c>
      <c r="D95" s="5" t="s">
        <v>628</v>
      </c>
      <c r="E95" s="7" t="s">
        <v>105</v>
      </c>
      <c r="F95" s="8" t="s">
        <v>105</v>
      </c>
      <c r="G95" s="4" t="s">
        <v>106</v>
      </c>
      <c r="H95" s="9" t="s">
        <v>196</v>
      </c>
      <c r="I95" s="5" t="s">
        <v>1691</v>
      </c>
      <c r="J95" s="5" t="s">
        <v>1692</v>
      </c>
      <c r="K95" s="6">
        <f t="shared" si="2"/>
        <v>1</v>
      </c>
    </row>
    <row r="96" spans="1:11" ht="15" customHeight="1">
      <c r="A96" s="4">
        <v>88</v>
      </c>
      <c r="B96" s="5" t="s">
        <v>135</v>
      </c>
      <c r="C96" s="5" t="s">
        <v>51</v>
      </c>
      <c r="D96" s="5" t="s">
        <v>629</v>
      </c>
      <c r="E96" s="7" t="s">
        <v>105</v>
      </c>
      <c r="F96" s="8" t="s">
        <v>105</v>
      </c>
      <c r="G96" s="4" t="s">
        <v>106</v>
      </c>
      <c r="H96" s="9" t="s">
        <v>196</v>
      </c>
      <c r="I96" s="5" t="s">
        <v>1691</v>
      </c>
      <c r="J96" s="5" t="s">
        <v>1692</v>
      </c>
      <c r="K96" s="6">
        <f t="shared" si="2"/>
        <v>1</v>
      </c>
    </row>
    <row r="97" spans="1:11" ht="15" customHeight="1">
      <c r="A97" s="4">
        <v>89</v>
      </c>
      <c r="B97" s="5" t="s">
        <v>135</v>
      </c>
      <c r="C97" s="5" t="s">
        <v>51</v>
      </c>
      <c r="D97" s="5" t="s">
        <v>630</v>
      </c>
      <c r="E97" s="7" t="s">
        <v>105</v>
      </c>
      <c r="F97" s="8" t="s">
        <v>105</v>
      </c>
      <c r="G97" s="4" t="s">
        <v>106</v>
      </c>
      <c r="H97" s="9" t="s">
        <v>196</v>
      </c>
      <c r="I97" s="5" t="s">
        <v>1691</v>
      </c>
      <c r="J97" s="5" t="s">
        <v>1692</v>
      </c>
      <c r="K97" s="6">
        <f t="shared" si="2"/>
        <v>1</v>
      </c>
    </row>
    <row r="98" spans="1:11" ht="15" customHeight="1">
      <c r="A98" s="4">
        <v>90</v>
      </c>
      <c r="B98" s="5" t="s">
        <v>591</v>
      </c>
      <c r="C98" s="5" t="s">
        <v>51</v>
      </c>
      <c r="D98" s="5" t="s">
        <v>631</v>
      </c>
      <c r="E98" s="7" t="s">
        <v>105</v>
      </c>
      <c r="F98" s="8" t="s">
        <v>105</v>
      </c>
      <c r="G98" s="4" t="s">
        <v>106</v>
      </c>
      <c r="H98" s="9" t="s">
        <v>196</v>
      </c>
      <c r="I98" s="5" t="s">
        <v>1691</v>
      </c>
      <c r="J98" s="5" t="s">
        <v>1692</v>
      </c>
      <c r="K98" s="6">
        <f t="shared" si="2"/>
        <v>1</v>
      </c>
    </row>
    <row r="99" spans="1:11" ht="30" customHeight="1">
      <c r="A99" s="4">
        <v>91</v>
      </c>
      <c r="B99" s="5" t="s">
        <v>591</v>
      </c>
      <c r="C99" s="5" t="s">
        <v>51</v>
      </c>
      <c r="D99" s="5" t="s">
        <v>632</v>
      </c>
      <c r="E99" s="7" t="s">
        <v>105</v>
      </c>
      <c r="F99" s="8" t="s">
        <v>105</v>
      </c>
      <c r="G99" s="4" t="s">
        <v>106</v>
      </c>
      <c r="H99" s="9" t="s">
        <v>196</v>
      </c>
      <c r="I99" s="5" t="s">
        <v>1691</v>
      </c>
      <c r="J99" s="5" t="s">
        <v>1692</v>
      </c>
      <c r="K99" s="6">
        <f t="shared" si="2"/>
        <v>1</v>
      </c>
    </row>
    <row r="100" spans="1:11" ht="15" customHeight="1"/>
    <row r="101" spans="1:11" ht="15" customHeight="1"/>
    <row r="102" spans="1:11" ht="15" customHeight="1"/>
    <row r="103" spans="1:11" ht="15" customHeight="1"/>
    <row r="104" spans="1:11" ht="15" customHeight="1"/>
    <row r="105" spans="1:11" ht="30" customHeight="1"/>
    <row r="106" spans="1:11" ht="30" customHeight="1"/>
    <row r="107" spans="1:11" ht="30" customHeight="1"/>
    <row r="108" spans="1:11" ht="30" customHeight="1"/>
    <row r="109" spans="1:11" ht="15" customHeight="1"/>
    <row r="110" spans="1:11" ht="30" customHeight="1"/>
    <row r="111" spans="1:11" ht="30" customHeight="1"/>
    <row r="112" spans="1:11" ht="30" customHeight="1"/>
    <row r="113" ht="30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K120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1705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110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52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1706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52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1706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52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1706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52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1706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52</v>
      </c>
      <c r="D15" s="5" t="s">
        <v>1707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1706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52</v>
      </c>
      <c r="D16" s="5" t="s">
        <v>1708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1706</v>
      </c>
      <c r="J16" s="5" t="s">
        <v>109</v>
      </c>
      <c r="K16" s="6">
        <f t="shared" si="0"/>
        <v>0</v>
      </c>
    </row>
    <row r="17" spans="1:11" ht="30" customHeight="1">
      <c r="A17" s="4">
        <v>9</v>
      </c>
      <c r="B17" s="5" t="s">
        <v>113</v>
      </c>
      <c r="C17" s="5" t="s">
        <v>52</v>
      </c>
      <c r="D17" s="5" t="s">
        <v>1709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1706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52</v>
      </c>
      <c r="D18" s="5" t="s">
        <v>1710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1706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52</v>
      </c>
      <c r="D19" s="5" t="s">
        <v>1711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1706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52</v>
      </c>
      <c r="D20" s="5" t="s">
        <v>1712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1706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1706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1706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1706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1706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1706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1706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133</v>
      </c>
      <c r="C27" s="5" t="s">
        <v>121</v>
      </c>
      <c r="D27" s="5" t="s">
        <v>1713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1706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133</v>
      </c>
      <c r="C28" s="5" t="s">
        <v>121</v>
      </c>
      <c r="D28" s="5" t="s">
        <v>1714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1706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1715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1706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1716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1706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1717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1706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1718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1706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140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1706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130</v>
      </c>
      <c r="C34" s="5" t="s">
        <v>121</v>
      </c>
      <c r="D34" s="5" t="s">
        <v>131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1706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130</v>
      </c>
      <c r="C35" s="5" t="s">
        <v>121</v>
      </c>
      <c r="D35" s="5" t="s">
        <v>132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1706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142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1706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135</v>
      </c>
      <c r="C37" s="5" t="s">
        <v>121</v>
      </c>
      <c r="D37" s="5" t="s">
        <v>144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1706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120</v>
      </c>
      <c r="C38" s="5" t="s">
        <v>43</v>
      </c>
      <c r="D38" s="5" t="s">
        <v>122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1706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120</v>
      </c>
      <c r="C39" s="5" t="s">
        <v>43</v>
      </c>
      <c r="D39" s="5" t="s">
        <v>123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1706</v>
      </c>
      <c r="J39" s="5" t="s">
        <v>109</v>
      </c>
      <c r="K39" s="6">
        <f t="shared" si="0"/>
        <v>0</v>
      </c>
    </row>
    <row r="40" spans="1:11" ht="30" customHeight="1">
      <c r="A40" s="4">
        <v>32</v>
      </c>
      <c r="B40" s="5" t="s">
        <v>124</v>
      </c>
      <c r="C40" s="5" t="s">
        <v>43</v>
      </c>
      <c r="D40" s="5" t="s">
        <v>125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1706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124</v>
      </c>
      <c r="C41" s="5" t="s">
        <v>43</v>
      </c>
      <c r="D41" s="5" t="s">
        <v>126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1706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95</v>
      </c>
      <c r="C42" s="5" t="s">
        <v>43</v>
      </c>
      <c r="D42" s="5" t="s">
        <v>127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1706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128</v>
      </c>
      <c r="C43" s="5" t="s">
        <v>43</v>
      </c>
      <c r="D43" s="5" t="s">
        <v>129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1706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130</v>
      </c>
      <c r="C44" s="5" t="s">
        <v>43</v>
      </c>
      <c r="D44" s="5" t="s">
        <v>131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1706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130</v>
      </c>
      <c r="C45" s="5" t="s">
        <v>43</v>
      </c>
      <c r="D45" s="5" t="s">
        <v>132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1706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133</v>
      </c>
      <c r="C46" s="5" t="s">
        <v>43</v>
      </c>
      <c r="D46" s="5" t="s">
        <v>142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1706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120</v>
      </c>
      <c r="C47" s="5" t="s">
        <v>150</v>
      </c>
      <c r="D47" s="5" t="s">
        <v>122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1706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150</v>
      </c>
      <c r="D48" s="5" t="s">
        <v>123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1706</v>
      </c>
      <c r="J48" s="5" t="s">
        <v>109</v>
      </c>
      <c r="K48" s="6">
        <f t="shared" si="1"/>
        <v>0</v>
      </c>
    </row>
    <row r="49" spans="1:11" ht="30" customHeight="1">
      <c r="A49" s="4">
        <v>41</v>
      </c>
      <c r="B49" s="5" t="s">
        <v>124</v>
      </c>
      <c r="C49" s="5" t="s">
        <v>150</v>
      </c>
      <c r="D49" s="5" t="s">
        <v>125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1706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124</v>
      </c>
      <c r="C50" s="5" t="s">
        <v>150</v>
      </c>
      <c r="D50" s="5" t="s">
        <v>126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1706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95</v>
      </c>
      <c r="C51" s="5" t="s">
        <v>150</v>
      </c>
      <c r="D51" s="5" t="s">
        <v>127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1706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128</v>
      </c>
      <c r="C52" s="5" t="s">
        <v>150</v>
      </c>
      <c r="D52" s="5" t="s">
        <v>129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1706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133</v>
      </c>
      <c r="C53" s="5" t="s">
        <v>150</v>
      </c>
      <c r="D53" s="5" t="s">
        <v>1714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1706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539</v>
      </c>
      <c r="C54" s="5" t="s">
        <v>150</v>
      </c>
      <c r="D54" s="5" t="s">
        <v>540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1706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130</v>
      </c>
      <c r="C55" s="5" t="s">
        <v>150</v>
      </c>
      <c r="D55" s="5" t="s">
        <v>131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1706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130</v>
      </c>
      <c r="C56" s="5" t="s">
        <v>150</v>
      </c>
      <c r="D56" s="5" t="s">
        <v>132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1706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133</v>
      </c>
      <c r="C57" s="5" t="s">
        <v>150</v>
      </c>
      <c r="D57" s="5" t="s">
        <v>142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1706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133</v>
      </c>
      <c r="C58" s="5" t="s">
        <v>150</v>
      </c>
      <c r="D58" s="5" t="s">
        <v>146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1706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133</v>
      </c>
      <c r="C59" s="5" t="s">
        <v>150</v>
      </c>
      <c r="D59" s="5" t="s">
        <v>1719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1706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135</v>
      </c>
      <c r="C60" s="5" t="s">
        <v>150</v>
      </c>
      <c r="D60" s="5" t="s">
        <v>144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1706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120</v>
      </c>
      <c r="C61" s="5" t="s">
        <v>1720</v>
      </c>
      <c r="D61" s="5" t="s">
        <v>122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1706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120</v>
      </c>
      <c r="C62" s="5" t="s">
        <v>1720</v>
      </c>
      <c r="D62" s="5" t="s">
        <v>123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1706</v>
      </c>
      <c r="J62" s="5" t="s">
        <v>109</v>
      </c>
      <c r="K62" s="6">
        <f t="shared" si="1"/>
        <v>0</v>
      </c>
    </row>
    <row r="63" spans="1:11" ht="30" customHeight="1">
      <c r="A63" s="4">
        <v>55</v>
      </c>
      <c r="B63" s="5" t="s">
        <v>124</v>
      </c>
      <c r="C63" s="5" t="s">
        <v>1720</v>
      </c>
      <c r="D63" s="5" t="s">
        <v>125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1706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124</v>
      </c>
      <c r="C64" s="5" t="s">
        <v>1720</v>
      </c>
      <c r="D64" s="5" t="s">
        <v>126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1706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95</v>
      </c>
      <c r="C65" s="5" t="s">
        <v>1720</v>
      </c>
      <c r="D65" s="5" t="s">
        <v>127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1706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128</v>
      </c>
      <c r="C66" s="5" t="s">
        <v>1720</v>
      </c>
      <c r="D66" s="5" t="s">
        <v>129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1706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120</v>
      </c>
      <c r="C67" s="5" t="s">
        <v>558</v>
      </c>
      <c r="D67" s="5" t="s">
        <v>122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1706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120</v>
      </c>
      <c r="C68" s="5" t="s">
        <v>558</v>
      </c>
      <c r="D68" s="5" t="s">
        <v>123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1706</v>
      </c>
      <c r="J68" s="5" t="s">
        <v>109</v>
      </c>
      <c r="K68" s="6">
        <f t="shared" si="1"/>
        <v>0</v>
      </c>
    </row>
    <row r="69" spans="1:11" ht="30" customHeight="1">
      <c r="A69" s="4">
        <v>61</v>
      </c>
      <c r="B69" s="5" t="s">
        <v>124</v>
      </c>
      <c r="C69" s="5" t="s">
        <v>558</v>
      </c>
      <c r="D69" s="5" t="s">
        <v>125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1706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124</v>
      </c>
      <c r="C70" s="5" t="s">
        <v>558</v>
      </c>
      <c r="D70" s="5" t="s">
        <v>126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1706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95</v>
      </c>
      <c r="C71" s="5" t="s">
        <v>558</v>
      </c>
      <c r="D71" s="5" t="s">
        <v>127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1706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128</v>
      </c>
      <c r="C72" s="5" t="s">
        <v>558</v>
      </c>
      <c r="D72" s="5" t="s">
        <v>129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1706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130</v>
      </c>
      <c r="C73" s="5" t="s">
        <v>558</v>
      </c>
      <c r="D73" s="5" t="s">
        <v>131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1706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130</v>
      </c>
      <c r="C74" s="5" t="s">
        <v>558</v>
      </c>
      <c r="D74" s="5" t="s">
        <v>132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1706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133</v>
      </c>
      <c r="C75" s="5" t="s">
        <v>558</v>
      </c>
      <c r="D75" s="5" t="s">
        <v>142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1706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120</v>
      </c>
      <c r="C76" s="5" t="s">
        <v>1721</v>
      </c>
      <c r="D76" s="5" t="s">
        <v>122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1706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120</v>
      </c>
      <c r="C77" s="5" t="s">
        <v>1721</v>
      </c>
      <c r="D77" s="5" t="s">
        <v>123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1706</v>
      </c>
      <c r="J77" s="5" t="s">
        <v>109</v>
      </c>
      <c r="K77" s="6">
        <f t="shared" si="2"/>
        <v>0</v>
      </c>
    </row>
    <row r="78" spans="1:11" ht="30" customHeight="1">
      <c r="A78" s="4">
        <v>70</v>
      </c>
      <c r="B78" s="5" t="s">
        <v>124</v>
      </c>
      <c r="C78" s="5" t="s">
        <v>1721</v>
      </c>
      <c r="D78" s="5" t="s">
        <v>125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1706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124</v>
      </c>
      <c r="C79" s="5" t="s">
        <v>1721</v>
      </c>
      <c r="D79" s="5" t="s">
        <v>126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1706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95</v>
      </c>
      <c r="C80" s="5" t="s">
        <v>1721</v>
      </c>
      <c r="D80" s="5" t="s">
        <v>127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1706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128</v>
      </c>
      <c r="C81" s="5" t="s">
        <v>1721</v>
      </c>
      <c r="D81" s="5" t="s">
        <v>129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1706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539</v>
      </c>
      <c r="C82" s="5" t="s">
        <v>1721</v>
      </c>
      <c r="D82" s="5" t="s">
        <v>540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1706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130</v>
      </c>
      <c r="C83" s="5" t="s">
        <v>1721</v>
      </c>
      <c r="D83" s="5" t="s">
        <v>131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1706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130</v>
      </c>
      <c r="C84" s="5" t="s">
        <v>1721</v>
      </c>
      <c r="D84" s="5" t="s">
        <v>132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1706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133</v>
      </c>
      <c r="C85" s="5" t="s">
        <v>1721</v>
      </c>
      <c r="D85" s="5" t="s">
        <v>142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1706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133</v>
      </c>
      <c r="C86" s="5" t="s">
        <v>1721</v>
      </c>
      <c r="D86" s="5" t="s">
        <v>1722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1706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135</v>
      </c>
      <c r="C87" s="5" t="s">
        <v>1721</v>
      </c>
      <c r="D87" s="5" t="s">
        <v>144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1706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120</v>
      </c>
      <c r="C88" s="5" t="s">
        <v>1723</v>
      </c>
      <c r="D88" s="5" t="s">
        <v>122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1706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120</v>
      </c>
      <c r="C89" s="5" t="s">
        <v>1723</v>
      </c>
      <c r="D89" s="5" t="s">
        <v>123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1706</v>
      </c>
      <c r="J89" s="5" t="s">
        <v>109</v>
      </c>
      <c r="K89" s="6">
        <f t="shared" si="2"/>
        <v>0</v>
      </c>
    </row>
    <row r="90" spans="1:11" ht="30" customHeight="1">
      <c r="A90" s="4">
        <v>82</v>
      </c>
      <c r="B90" s="5" t="s">
        <v>124</v>
      </c>
      <c r="C90" s="5" t="s">
        <v>1723</v>
      </c>
      <c r="D90" s="5" t="s">
        <v>125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1706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124</v>
      </c>
      <c r="C91" s="5" t="s">
        <v>1723</v>
      </c>
      <c r="D91" s="5" t="s">
        <v>126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1706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95</v>
      </c>
      <c r="C92" s="5" t="s">
        <v>1723</v>
      </c>
      <c r="D92" s="5" t="s">
        <v>127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1706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128</v>
      </c>
      <c r="C93" s="5" t="s">
        <v>1723</v>
      </c>
      <c r="D93" s="5" t="s">
        <v>129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1706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539</v>
      </c>
      <c r="C94" s="5" t="s">
        <v>1723</v>
      </c>
      <c r="D94" s="5" t="s">
        <v>540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1706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130</v>
      </c>
      <c r="C95" s="5" t="s">
        <v>1723</v>
      </c>
      <c r="D95" s="5" t="s">
        <v>131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1706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130</v>
      </c>
      <c r="C96" s="5" t="s">
        <v>1723</v>
      </c>
      <c r="D96" s="5" t="s">
        <v>132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1706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133</v>
      </c>
      <c r="C97" s="5" t="s">
        <v>1723</v>
      </c>
      <c r="D97" s="5" t="s">
        <v>142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1706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133</v>
      </c>
      <c r="C98" s="5" t="s">
        <v>1723</v>
      </c>
      <c r="D98" s="5" t="s">
        <v>1722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1706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135</v>
      </c>
      <c r="C99" s="5" t="s">
        <v>1723</v>
      </c>
      <c r="D99" s="5" t="s">
        <v>144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1706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153</v>
      </c>
      <c r="C100" s="5" t="s">
        <v>154</v>
      </c>
      <c r="D100" s="5" t="s">
        <v>548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1706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153</v>
      </c>
      <c r="C101" s="5" t="s">
        <v>154</v>
      </c>
      <c r="D101" s="5" t="s">
        <v>562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1706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153</v>
      </c>
      <c r="C102" s="5" t="s">
        <v>154</v>
      </c>
      <c r="D102" s="5" t="s">
        <v>438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1706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159</v>
      </c>
      <c r="C103" s="5" t="s">
        <v>154</v>
      </c>
      <c r="D103" s="5" t="s">
        <v>1724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1706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159</v>
      </c>
      <c r="C104" s="5" t="s">
        <v>154</v>
      </c>
      <c r="D104" s="5" t="s">
        <v>160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1706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159</v>
      </c>
      <c r="C105" s="5" t="s">
        <v>154</v>
      </c>
      <c r="D105" s="5" t="s">
        <v>1725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1706</v>
      </c>
      <c r="J105" s="5" t="s">
        <v>109</v>
      </c>
      <c r="K105" s="6">
        <f t="shared" ref="K105:K120" si="3">IF(AND(E105="yes",F105="yes",H105="covered"),1,IF(H105="partial",0.5,0))</f>
        <v>0</v>
      </c>
    </row>
    <row r="106" spans="1:11" ht="15" customHeight="1">
      <c r="A106" s="4">
        <v>98</v>
      </c>
      <c r="B106" s="5" t="s">
        <v>159</v>
      </c>
      <c r="C106" s="5" t="s">
        <v>154</v>
      </c>
      <c r="D106" s="5" t="s">
        <v>162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1706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159</v>
      </c>
      <c r="C107" s="5" t="s">
        <v>154</v>
      </c>
      <c r="D107" s="5" t="s">
        <v>163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1706</v>
      </c>
      <c r="J107" s="5" t="s">
        <v>109</v>
      </c>
      <c r="K107" s="6">
        <f t="shared" si="3"/>
        <v>0</v>
      </c>
    </row>
    <row r="108" spans="1:11" ht="30" customHeight="1">
      <c r="A108" s="4">
        <v>100</v>
      </c>
      <c r="B108" s="5" t="s">
        <v>130</v>
      </c>
      <c r="C108" s="5" t="s">
        <v>52</v>
      </c>
      <c r="D108" s="5" t="s">
        <v>164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1706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130</v>
      </c>
      <c r="C109" s="5" t="s">
        <v>52</v>
      </c>
      <c r="D109" s="5" t="s">
        <v>165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1706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130</v>
      </c>
      <c r="C110" s="5" t="s">
        <v>52</v>
      </c>
      <c r="D110" s="5" t="s">
        <v>166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1706</v>
      </c>
      <c r="J110" s="5" t="s">
        <v>109</v>
      </c>
      <c r="K110" s="6">
        <f t="shared" si="3"/>
        <v>0</v>
      </c>
    </row>
    <row r="111" spans="1:11" ht="15" customHeight="1">
      <c r="A111" s="4">
        <v>103</v>
      </c>
      <c r="B111" s="5" t="s">
        <v>130</v>
      </c>
      <c r="C111" s="5" t="s">
        <v>52</v>
      </c>
      <c r="D111" s="5" t="s">
        <v>167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1706</v>
      </c>
      <c r="J111" s="5" t="s">
        <v>109</v>
      </c>
      <c r="K111" s="6">
        <f t="shared" si="3"/>
        <v>0</v>
      </c>
    </row>
    <row r="112" spans="1:11" ht="15" customHeight="1">
      <c r="A112" s="4">
        <v>104</v>
      </c>
      <c r="B112" s="5" t="s">
        <v>130</v>
      </c>
      <c r="C112" s="5" t="s">
        <v>52</v>
      </c>
      <c r="D112" s="5" t="s">
        <v>168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1706</v>
      </c>
      <c r="J112" s="5" t="s">
        <v>109</v>
      </c>
      <c r="K112" s="6">
        <f t="shared" si="3"/>
        <v>0</v>
      </c>
    </row>
    <row r="113" spans="1:11" ht="15" customHeight="1">
      <c r="A113" s="4">
        <v>105</v>
      </c>
      <c r="B113" s="5" t="s">
        <v>135</v>
      </c>
      <c r="C113" s="5" t="s">
        <v>121</v>
      </c>
      <c r="D113" s="5" t="s">
        <v>169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1706</v>
      </c>
      <c r="J113" s="5" t="s">
        <v>109</v>
      </c>
      <c r="K113" s="6">
        <f t="shared" si="3"/>
        <v>0</v>
      </c>
    </row>
    <row r="114" spans="1:11" ht="15" customHeight="1">
      <c r="A114" s="4">
        <v>106</v>
      </c>
      <c r="B114" s="5" t="s">
        <v>135</v>
      </c>
      <c r="C114" s="5" t="s">
        <v>121</v>
      </c>
      <c r="D114" s="5" t="s">
        <v>170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1706</v>
      </c>
      <c r="J114" s="5" t="s">
        <v>109</v>
      </c>
      <c r="K114" s="6">
        <f t="shared" si="3"/>
        <v>0</v>
      </c>
    </row>
    <row r="115" spans="1:11" ht="15" customHeight="1">
      <c r="A115" s="4">
        <v>107</v>
      </c>
      <c r="B115" s="5" t="s">
        <v>135</v>
      </c>
      <c r="C115" s="5" t="s">
        <v>121</v>
      </c>
      <c r="D115" s="5" t="s">
        <v>171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1706</v>
      </c>
      <c r="J115" s="5" t="s">
        <v>109</v>
      </c>
      <c r="K115" s="6">
        <f t="shared" si="3"/>
        <v>0</v>
      </c>
    </row>
    <row r="116" spans="1:11" ht="15" customHeight="1">
      <c r="A116" s="4">
        <v>108</v>
      </c>
      <c r="B116" s="5" t="s">
        <v>179</v>
      </c>
      <c r="C116" s="5" t="s">
        <v>52</v>
      </c>
      <c r="D116" s="5" t="s">
        <v>182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1706</v>
      </c>
      <c r="J116" s="5" t="s">
        <v>109</v>
      </c>
      <c r="K116" s="6">
        <f t="shared" si="3"/>
        <v>0</v>
      </c>
    </row>
    <row r="117" spans="1:11" ht="15" customHeight="1">
      <c r="A117" s="4">
        <v>109</v>
      </c>
      <c r="B117" s="5" t="s">
        <v>179</v>
      </c>
      <c r="C117" s="5" t="s">
        <v>52</v>
      </c>
      <c r="D117" s="5" t="s">
        <v>183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1706</v>
      </c>
      <c r="J117" s="5" t="s">
        <v>109</v>
      </c>
      <c r="K117" s="6">
        <f t="shared" si="3"/>
        <v>0</v>
      </c>
    </row>
    <row r="118" spans="1:11" ht="15" customHeight="1">
      <c r="A118" s="4">
        <v>110</v>
      </c>
      <c r="B118" s="5" t="s">
        <v>179</v>
      </c>
      <c r="C118" s="5" t="s">
        <v>52</v>
      </c>
      <c r="D118" s="5" t="s">
        <v>184</v>
      </c>
      <c r="E118" s="7" t="s">
        <v>105</v>
      </c>
      <c r="F118" s="8" t="s">
        <v>97</v>
      </c>
      <c r="G118" s="4" t="s">
        <v>106</v>
      </c>
      <c r="H118" s="9" t="s">
        <v>107</v>
      </c>
      <c r="I118" s="5" t="s">
        <v>1706</v>
      </c>
      <c r="J118" s="5" t="s">
        <v>109</v>
      </c>
      <c r="K118" s="6">
        <f t="shared" si="3"/>
        <v>0</v>
      </c>
    </row>
    <row r="119" spans="1:11" ht="15" customHeight="1">
      <c r="A119" s="4">
        <v>111</v>
      </c>
      <c r="B119" s="5" t="s">
        <v>179</v>
      </c>
      <c r="C119" s="5" t="s">
        <v>52</v>
      </c>
      <c r="D119" s="5" t="s">
        <v>185</v>
      </c>
      <c r="E119" s="7" t="s">
        <v>105</v>
      </c>
      <c r="F119" s="8" t="s">
        <v>97</v>
      </c>
      <c r="G119" s="4" t="s">
        <v>106</v>
      </c>
      <c r="H119" s="9" t="s">
        <v>107</v>
      </c>
      <c r="I119" s="5" t="s">
        <v>1706</v>
      </c>
      <c r="J119" s="5" t="s">
        <v>109</v>
      </c>
      <c r="K119" s="6">
        <f t="shared" si="3"/>
        <v>0</v>
      </c>
    </row>
    <row r="120" spans="1:11" ht="15" customHeight="1">
      <c r="A120" s="4">
        <v>112</v>
      </c>
      <c r="B120" s="5" t="s">
        <v>177</v>
      </c>
      <c r="C120" s="5" t="s">
        <v>52</v>
      </c>
      <c r="D120" s="5" t="s">
        <v>186</v>
      </c>
      <c r="E120" s="7" t="s">
        <v>105</v>
      </c>
      <c r="F120" s="8" t="s">
        <v>97</v>
      </c>
      <c r="G120" s="4" t="s">
        <v>106</v>
      </c>
      <c r="H120" s="9" t="s">
        <v>107</v>
      </c>
      <c r="I120" s="5" t="s">
        <v>1706</v>
      </c>
      <c r="J120" s="5" t="s">
        <v>109</v>
      </c>
      <c r="K120" s="6">
        <f t="shared" si="3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K113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1726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80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106</v>
      </c>
      <c r="H9" s="9" t="s">
        <v>196</v>
      </c>
      <c r="I9" s="5" t="s">
        <v>1727</v>
      </c>
      <c r="J9" s="5" t="s">
        <v>1692</v>
      </c>
      <c r="K9" s="6"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106</v>
      </c>
      <c r="H10" s="9" t="s">
        <v>196</v>
      </c>
      <c r="I10" s="5" t="s">
        <v>1727</v>
      </c>
      <c r="J10" s="5" t="s">
        <v>1692</v>
      </c>
      <c r="K10" s="6">
        <v>0</v>
      </c>
    </row>
    <row r="11" spans="1:11" ht="45" customHeight="1">
      <c r="A11" s="4">
        <v>3</v>
      </c>
      <c r="B11" s="5" t="s">
        <v>94</v>
      </c>
      <c r="C11" s="5" t="s">
        <v>53</v>
      </c>
      <c r="D11" s="5" t="s">
        <v>104</v>
      </c>
      <c r="E11" s="7" t="s">
        <v>105</v>
      </c>
      <c r="F11" s="8" t="s">
        <v>105</v>
      </c>
      <c r="G11" s="4" t="s">
        <v>106</v>
      </c>
      <c r="H11" s="9" t="s">
        <v>196</v>
      </c>
      <c r="I11" s="5" t="s">
        <v>1727</v>
      </c>
      <c r="J11" s="5" t="s">
        <v>1692</v>
      </c>
      <c r="K11" s="6">
        <f t="shared" ref="K11:K42" si="0">IF(AND(E11="yes",F11="yes",H11="covered"),1,IF(H11="partial",0.5,0))</f>
        <v>1</v>
      </c>
    </row>
    <row r="12" spans="1:11" ht="15" customHeight="1">
      <c r="A12" s="4">
        <v>4</v>
      </c>
      <c r="B12" s="5" t="s">
        <v>94</v>
      </c>
      <c r="C12" s="5" t="s">
        <v>53</v>
      </c>
      <c r="D12" s="5" t="s">
        <v>110</v>
      </c>
      <c r="E12" s="7" t="s">
        <v>105</v>
      </c>
      <c r="F12" s="8" t="s">
        <v>105</v>
      </c>
      <c r="G12" s="4" t="s">
        <v>106</v>
      </c>
      <c r="H12" s="9" t="s">
        <v>196</v>
      </c>
      <c r="I12" s="5" t="s">
        <v>1727</v>
      </c>
      <c r="J12" s="5" t="s">
        <v>1692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53</v>
      </c>
      <c r="D13" s="5" t="s">
        <v>111</v>
      </c>
      <c r="E13" s="7" t="s">
        <v>105</v>
      </c>
      <c r="F13" s="8" t="s">
        <v>105</v>
      </c>
      <c r="G13" s="4" t="s">
        <v>106</v>
      </c>
      <c r="H13" s="9" t="s">
        <v>196</v>
      </c>
      <c r="I13" s="5" t="s">
        <v>1728</v>
      </c>
      <c r="J13" s="5" t="s">
        <v>1692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53</v>
      </c>
      <c r="D14" s="5" t="s">
        <v>112</v>
      </c>
      <c r="E14" s="7" t="s">
        <v>105</v>
      </c>
      <c r="F14" s="8" t="s">
        <v>105</v>
      </c>
      <c r="G14" s="4" t="s">
        <v>106</v>
      </c>
      <c r="H14" s="9" t="s">
        <v>196</v>
      </c>
      <c r="I14" s="5" t="s">
        <v>1727</v>
      </c>
      <c r="J14" s="5" t="s">
        <v>1692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53</v>
      </c>
      <c r="D15" s="5" t="s">
        <v>1729</v>
      </c>
      <c r="E15" s="7" t="s">
        <v>105</v>
      </c>
      <c r="F15" s="8" t="s">
        <v>105</v>
      </c>
      <c r="G15" s="4" t="s">
        <v>106</v>
      </c>
      <c r="H15" s="9" t="s">
        <v>196</v>
      </c>
      <c r="I15" s="5" t="s">
        <v>1727</v>
      </c>
      <c r="J15" s="5" t="s">
        <v>1692</v>
      </c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53</v>
      </c>
      <c r="D16" s="5" t="s">
        <v>1730</v>
      </c>
      <c r="E16" s="7" t="s">
        <v>105</v>
      </c>
      <c r="F16" s="8" t="s">
        <v>105</v>
      </c>
      <c r="G16" s="4" t="s">
        <v>106</v>
      </c>
      <c r="H16" s="9" t="s">
        <v>196</v>
      </c>
      <c r="I16" s="5" t="s">
        <v>1727</v>
      </c>
      <c r="J16" s="5" t="s">
        <v>1692</v>
      </c>
      <c r="K16" s="6">
        <f t="shared" si="0"/>
        <v>1</v>
      </c>
    </row>
    <row r="17" spans="1:11" ht="30" customHeight="1">
      <c r="A17" s="4">
        <v>9</v>
      </c>
      <c r="B17" s="5" t="s">
        <v>113</v>
      </c>
      <c r="C17" s="5" t="s">
        <v>53</v>
      </c>
      <c r="D17" s="5" t="s">
        <v>1731</v>
      </c>
      <c r="E17" s="7" t="s">
        <v>105</v>
      </c>
      <c r="F17" s="8" t="s">
        <v>105</v>
      </c>
      <c r="G17" s="4" t="s">
        <v>106</v>
      </c>
      <c r="H17" s="9" t="s">
        <v>196</v>
      </c>
      <c r="I17" s="5" t="s">
        <v>1727</v>
      </c>
      <c r="J17" s="5" t="s">
        <v>1692</v>
      </c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53</v>
      </c>
      <c r="D18" s="5" t="s">
        <v>1732</v>
      </c>
      <c r="E18" s="7" t="s">
        <v>105</v>
      </c>
      <c r="F18" s="8" t="s">
        <v>105</v>
      </c>
      <c r="G18" s="4" t="s">
        <v>106</v>
      </c>
      <c r="H18" s="9" t="s">
        <v>196</v>
      </c>
      <c r="I18" s="5" t="s">
        <v>1727</v>
      </c>
      <c r="J18" s="5" t="s">
        <v>1692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53</v>
      </c>
      <c r="D19" s="5" t="s">
        <v>1733</v>
      </c>
      <c r="E19" s="7" t="s">
        <v>105</v>
      </c>
      <c r="F19" s="8" t="s">
        <v>105</v>
      </c>
      <c r="G19" s="4" t="s">
        <v>106</v>
      </c>
      <c r="H19" s="9" t="s">
        <v>196</v>
      </c>
      <c r="I19" s="5" t="s">
        <v>1727</v>
      </c>
      <c r="J19" s="5" t="s">
        <v>1692</v>
      </c>
      <c r="K19" s="6">
        <f t="shared" si="0"/>
        <v>1</v>
      </c>
    </row>
    <row r="20" spans="1:11" ht="45" customHeight="1">
      <c r="A20" s="4">
        <v>12</v>
      </c>
      <c r="B20" s="5" t="s">
        <v>113</v>
      </c>
      <c r="C20" s="5" t="s">
        <v>53</v>
      </c>
      <c r="D20" s="5" t="s">
        <v>1734</v>
      </c>
      <c r="E20" s="7" t="s">
        <v>105</v>
      </c>
      <c r="F20" s="8" t="s">
        <v>105</v>
      </c>
      <c r="G20" s="4" t="s">
        <v>106</v>
      </c>
      <c r="H20" s="9" t="s">
        <v>196</v>
      </c>
      <c r="I20" s="5" t="s">
        <v>1727</v>
      </c>
      <c r="J20" s="5" t="s">
        <v>1692</v>
      </c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106</v>
      </c>
      <c r="H21" s="9" t="s">
        <v>196</v>
      </c>
      <c r="I21" s="5" t="s">
        <v>1727</v>
      </c>
      <c r="J21" s="5" t="s">
        <v>1692</v>
      </c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106</v>
      </c>
      <c r="H22" s="9" t="s">
        <v>196</v>
      </c>
      <c r="I22" s="5" t="s">
        <v>1735</v>
      </c>
      <c r="J22" s="5" t="s">
        <v>1692</v>
      </c>
      <c r="K22" s="6">
        <f t="shared" si="0"/>
        <v>1</v>
      </c>
    </row>
    <row r="23" spans="1:11" ht="30" customHeight="1">
      <c r="A23" s="4">
        <v>15</v>
      </c>
      <c r="B23" s="5" t="s">
        <v>133</v>
      </c>
      <c r="C23" s="5" t="s">
        <v>121</v>
      </c>
      <c r="D23" s="5" t="s">
        <v>1736</v>
      </c>
      <c r="E23" s="7" t="s">
        <v>105</v>
      </c>
      <c r="F23" s="8" t="s">
        <v>105</v>
      </c>
      <c r="G23" s="4" t="s">
        <v>106</v>
      </c>
      <c r="H23" s="9" t="s">
        <v>196</v>
      </c>
      <c r="I23" s="5" t="s">
        <v>1727</v>
      </c>
      <c r="J23" s="5" t="s">
        <v>1692</v>
      </c>
      <c r="K23" s="6">
        <f t="shared" si="0"/>
        <v>1</v>
      </c>
    </row>
    <row r="24" spans="1:11" ht="15" customHeight="1">
      <c r="A24" s="4">
        <v>16</v>
      </c>
      <c r="B24" s="5" t="s">
        <v>135</v>
      </c>
      <c r="C24" s="5" t="s">
        <v>121</v>
      </c>
      <c r="D24" s="5" t="s">
        <v>1737</v>
      </c>
      <c r="E24" s="7" t="s">
        <v>105</v>
      </c>
      <c r="F24" s="8" t="s">
        <v>105</v>
      </c>
      <c r="G24" s="4" t="s">
        <v>106</v>
      </c>
      <c r="H24" s="9" t="s">
        <v>196</v>
      </c>
      <c r="I24" s="5" t="s">
        <v>1727</v>
      </c>
      <c r="J24" s="5" t="s">
        <v>1692</v>
      </c>
      <c r="K24" s="6">
        <f t="shared" si="0"/>
        <v>1</v>
      </c>
    </row>
    <row r="25" spans="1:11" ht="15" customHeight="1">
      <c r="A25" s="4">
        <v>17</v>
      </c>
      <c r="B25" s="5" t="s">
        <v>135</v>
      </c>
      <c r="C25" s="5" t="s">
        <v>121</v>
      </c>
      <c r="D25" s="5" t="s">
        <v>1738</v>
      </c>
      <c r="E25" s="7" t="s">
        <v>105</v>
      </c>
      <c r="F25" s="8" t="s">
        <v>105</v>
      </c>
      <c r="G25" s="4" t="s">
        <v>106</v>
      </c>
      <c r="H25" s="9" t="s">
        <v>196</v>
      </c>
      <c r="I25" s="5" t="s">
        <v>1727</v>
      </c>
      <c r="J25" s="5" t="s">
        <v>1692</v>
      </c>
      <c r="K25" s="6">
        <f t="shared" si="0"/>
        <v>1</v>
      </c>
    </row>
    <row r="26" spans="1:11" ht="15" customHeight="1">
      <c r="A26" s="4">
        <v>18</v>
      </c>
      <c r="B26" s="5" t="s">
        <v>135</v>
      </c>
      <c r="C26" s="5" t="s">
        <v>121</v>
      </c>
      <c r="D26" s="5" t="s">
        <v>140</v>
      </c>
      <c r="E26" s="7" t="s">
        <v>105</v>
      </c>
      <c r="F26" s="8" t="s">
        <v>105</v>
      </c>
      <c r="G26" s="4" t="s">
        <v>106</v>
      </c>
      <c r="H26" s="9" t="s">
        <v>196</v>
      </c>
      <c r="I26" s="5" t="s">
        <v>1727</v>
      </c>
      <c r="J26" s="5" t="s">
        <v>1692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610</v>
      </c>
      <c r="E27" s="7" t="s">
        <v>105</v>
      </c>
      <c r="F27" s="8" t="s">
        <v>105</v>
      </c>
      <c r="G27" s="4" t="s">
        <v>106</v>
      </c>
      <c r="H27" s="9" t="s">
        <v>196</v>
      </c>
      <c r="I27" s="5" t="s">
        <v>1727</v>
      </c>
      <c r="J27" s="5" t="s">
        <v>1692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612</v>
      </c>
      <c r="E28" s="7" t="s">
        <v>105</v>
      </c>
      <c r="F28" s="8" t="s">
        <v>105</v>
      </c>
      <c r="G28" s="4" t="s">
        <v>106</v>
      </c>
      <c r="H28" s="9" t="s">
        <v>196</v>
      </c>
      <c r="I28" s="5" t="s">
        <v>1727</v>
      </c>
      <c r="J28" s="5" t="s">
        <v>1692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611</v>
      </c>
      <c r="E29" s="7" t="s">
        <v>105</v>
      </c>
      <c r="F29" s="8" t="s">
        <v>105</v>
      </c>
      <c r="G29" s="4" t="s">
        <v>106</v>
      </c>
      <c r="H29" s="9" t="s">
        <v>196</v>
      </c>
      <c r="I29" s="5" t="s">
        <v>1727</v>
      </c>
      <c r="J29" s="5" t="s">
        <v>1692</v>
      </c>
      <c r="K29" s="6">
        <f t="shared" si="0"/>
        <v>1</v>
      </c>
    </row>
    <row r="30" spans="1:11" ht="15" customHeight="1">
      <c r="A30" s="4">
        <v>22</v>
      </c>
      <c r="B30" s="5" t="s">
        <v>120</v>
      </c>
      <c r="C30" s="5" t="s">
        <v>1739</v>
      </c>
      <c r="D30" s="5" t="s">
        <v>122</v>
      </c>
      <c r="E30" s="7" t="s">
        <v>105</v>
      </c>
      <c r="F30" s="8" t="s">
        <v>105</v>
      </c>
      <c r="G30" s="4" t="s">
        <v>106</v>
      </c>
      <c r="H30" s="9" t="s">
        <v>196</v>
      </c>
      <c r="I30" s="5" t="s">
        <v>1727</v>
      </c>
      <c r="J30" s="5" t="s">
        <v>1692</v>
      </c>
      <c r="K30" s="6">
        <f t="shared" si="0"/>
        <v>1</v>
      </c>
    </row>
    <row r="31" spans="1:11" ht="15" customHeight="1">
      <c r="A31" s="4">
        <v>23</v>
      </c>
      <c r="B31" s="5" t="s">
        <v>120</v>
      </c>
      <c r="C31" s="5" t="s">
        <v>1739</v>
      </c>
      <c r="D31" s="5" t="s">
        <v>123</v>
      </c>
      <c r="E31" s="7" t="s">
        <v>105</v>
      </c>
      <c r="F31" s="8" t="s">
        <v>105</v>
      </c>
      <c r="G31" s="4" t="s">
        <v>106</v>
      </c>
      <c r="H31" s="9" t="s">
        <v>196</v>
      </c>
      <c r="I31" s="5" t="s">
        <v>1735</v>
      </c>
      <c r="J31" s="5" t="s">
        <v>1692</v>
      </c>
      <c r="K31" s="6">
        <f t="shared" si="0"/>
        <v>1</v>
      </c>
    </row>
    <row r="32" spans="1:11" ht="15" customHeight="1">
      <c r="A32" s="4">
        <v>24</v>
      </c>
      <c r="B32" s="5" t="s">
        <v>124</v>
      </c>
      <c r="C32" s="5" t="s">
        <v>1739</v>
      </c>
      <c r="D32" s="5" t="s">
        <v>125</v>
      </c>
      <c r="E32" s="7" t="s">
        <v>105</v>
      </c>
      <c r="F32" s="8" t="s">
        <v>105</v>
      </c>
      <c r="G32" s="4" t="s">
        <v>106</v>
      </c>
      <c r="H32" s="9" t="s">
        <v>196</v>
      </c>
      <c r="I32" s="5" t="s">
        <v>1727</v>
      </c>
      <c r="J32" s="5" t="s">
        <v>1692</v>
      </c>
      <c r="K32" s="6">
        <f t="shared" si="0"/>
        <v>1</v>
      </c>
    </row>
    <row r="33" spans="1:11" ht="45" customHeight="1">
      <c r="A33" s="4">
        <v>25</v>
      </c>
      <c r="B33" s="5" t="s">
        <v>124</v>
      </c>
      <c r="C33" s="5" t="s">
        <v>1739</v>
      </c>
      <c r="D33" s="5" t="s">
        <v>126</v>
      </c>
      <c r="E33" s="7" t="s">
        <v>105</v>
      </c>
      <c r="F33" s="8" t="s">
        <v>105</v>
      </c>
      <c r="G33" s="4" t="s">
        <v>106</v>
      </c>
      <c r="H33" s="9" t="s">
        <v>196</v>
      </c>
      <c r="I33" s="5" t="s">
        <v>1727</v>
      </c>
      <c r="J33" s="5" t="s">
        <v>1692</v>
      </c>
      <c r="K33" s="6">
        <f t="shared" si="0"/>
        <v>1</v>
      </c>
    </row>
    <row r="34" spans="1:11" ht="15" customHeight="1">
      <c r="A34" s="4">
        <v>26</v>
      </c>
      <c r="B34" s="5" t="s">
        <v>95</v>
      </c>
      <c r="C34" s="5" t="s">
        <v>1739</v>
      </c>
      <c r="D34" s="5" t="s">
        <v>127</v>
      </c>
      <c r="E34" s="7" t="s">
        <v>105</v>
      </c>
      <c r="F34" s="8" t="s">
        <v>105</v>
      </c>
      <c r="G34" s="4" t="s">
        <v>106</v>
      </c>
      <c r="H34" s="9" t="s">
        <v>196</v>
      </c>
      <c r="I34" s="5" t="s">
        <v>1727</v>
      </c>
      <c r="J34" s="5" t="s">
        <v>1692</v>
      </c>
      <c r="K34" s="6">
        <f t="shared" si="0"/>
        <v>1</v>
      </c>
    </row>
    <row r="35" spans="1:11" ht="15" customHeight="1">
      <c r="A35" s="4">
        <v>27</v>
      </c>
      <c r="B35" s="5" t="s">
        <v>128</v>
      </c>
      <c r="C35" s="5" t="s">
        <v>1739</v>
      </c>
      <c r="D35" s="5" t="s">
        <v>129</v>
      </c>
      <c r="E35" s="7" t="s">
        <v>105</v>
      </c>
      <c r="F35" s="8" t="s">
        <v>105</v>
      </c>
      <c r="G35" s="4" t="s">
        <v>106</v>
      </c>
      <c r="H35" s="9" t="s">
        <v>196</v>
      </c>
      <c r="I35" s="5" t="s">
        <v>1727</v>
      </c>
      <c r="J35" s="5" t="s">
        <v>1692</v>
      </c>
      <c r="K35" s="6">
        <f t="shared" si="0"/>
        <v>1</v>
      </c>
    </row>
    <row r="36" spans="1:11" ht="30" customHeight="1">
      <c r="A36" s="4">
        <v>28</v>
      </c>
      <c r="B36" s="5" t="s">
        <v>133</v>
      </c>
      <c r="C36" s="5" t="s">
        <v>1739</v>
      </c>
      <c r="D36" s="5" t="s">
        <v>1736</v>
      </c>
      <c r="E36" s="7" t="s">
        <v>105</v>
      </c>
      <c r="F36" s="8" t="s">
        <v>105</v>
      </c>
      <c r="G36" s="4" t="s">
        <v>106</v>
      </c>
      <c r="H36" s="9" t="s">
        <v>196</v>
      </c>
      <c r="I36" s="5" t="s">
        <v>1727</v>
      </c>
      <c r="J36" s="5" t="s">
        <v>1692</v>
      </c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1739</v>
      </c>
      <c r="D37" s="5" t="s">
        <v>1740</v>
      </c>
      <c r="E37" s="7" t="s">
        <v>105</v>
      </c>
      <c r="F37" s="8" t="s">
        <v>105</v>
      </c>
      <c r="G37" s="4" t="s">
        <v>106</v>
      </c>
      <c r="H37" s="9" t="s">
        <v>196</v>
      </c>
      <c r="I37" s="5" t="s">
        <v>1727</v>
      </c>
      <c r="J37" s="5" t="s">
        <v>1692</v>
      </c>
      <c r="K37" s="6">
        <f t="shared" si="0"/>
        <v>1</v>
      </c>
    </row>
    <row r="38" spans="1:11" ht="15" customHeight="1">
      <c r="A38" s="4">
        <v>30</v>
      </c>
      <c r="B38" s="5" t="s">
        <v>133</v>
      </c>
      <c r="C38" s="5" t="s">
        <v>1739</v>
      </c>
      <c r="D38" s="5" t="s">
        <v>719</v>
      </c>
      <c r="E38" s="7" t="s">
        <v>105</v>
      </c>
      <c r="F38" s="8" t="s">
        <v>105</v>
      </c>
      <c r="G38" s="4" t="s">
        <v>106</v>
      </c>
      <c r="H38" s="9" t="s">
        <v>196</v>
      </c>
      <c r="I38" s="5" t="s">
        <v>1727</v>
      </c>
      <c r="J38" s="5" t="s">
        <v>1692</v>
      </c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1739</v>
      </c>
      <c r="D39" s="5" t="s">
        <v>142</v>
      </c>
      <c r="E39" s="7" t="s">
        <v>105</v>
      </c>
      <c r="F39" s="8" t="s">
        <v>105</v>
      </c>
      <c r="G39" s="4" t="s">
        <v>106</v>
      </c>
      <c r="H39" s="9" t="s">
        <v>196</v>
      </c>
      <c r="I39" s="5" t="s">
        <v>1727</v>
      </c>
      <c r="J39" s="5" t="s">
        <v>1692</v>
      </c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1739</v>
      </c>
      <c r="D40" s="5" t="s">
        <v>146</v>
      </c>
      <c r="E40" s="7" t="s">
        <v>105</v>
      </c>
      <c r="F40" s="8" t="s">
        <v>105</v>
      </c>
      <c r="G40" s="4" t="s">
        <v>106</v>
      </c>
      <c r="H40" s="9" t="s">
        <v>196</v>
      </c>
      <c r="I40" s="5" t="s">
        <v>1727</v>
      </c>
      <c r="J40" s="5" t="s">
        <v>1692</v>
      </c>
      <c r="K40" s="6">
        <f t="shared" si="0"/>
        <v>1</v>
      </c>
    </row>
    <row r="41" spans="1:11" ht="15" customHeight="1">
      <c r="A41" s="4">
        <v>33</v>
      </c>
      <c r="B41" s="5" t="s">
        <v>120</v>
      </c>
      <c r="C41" s="5" t="s">
        <v>41</v>
      </c>
      <c r="D41" s="5" t="s">
        <v>122</v>
      </c>
      <c r="E41" s="7" t="s">
        <v>105</v>
      </c>
      <c r="F41" s="8" t="s">
        <v>105</v>
      </c>
      <c r="G41" s="4" t="s">
        <v>106</v>
      </c>
      <c r="H41" s="9" t="s">
        <v>196</v>
      </c>
      <c r="I41" s="5" t="s">
        <v>1727</v>
      </c>
      <c r="J41" s="5" t="s">
        <v>1692</v>
      </c>
      <c r="K41" s="6">
        <f t="shared" si="0"/>
        <v>1</v>
      </c>
    </row>
    <row r="42" spans="1:11" ht="15" customHeight="1">
      <c r="A42" s="4">
        <v>34</v>
      </c>
      <c r="B42" s="5" t="s">
        <v>120</v>
      </c>
      <c r="C42" s="5" t="s">
        <v>41</v>
      </c>
      <c r="D42" s="5" t="s">
        <v>123</v>
      </c>
      <c r="E42" s="7" t="s">
        <v>105</v>
      </c>
      <c r="F42" s="8" t="s">
        <v>105</v>
      </c>
      <c r="G42" s="4" t="s">
        <v>106</v>
      </c>
      <c r="H42" s="9" t="s">
        <v>196</v>
      </c>
      <c r="I42" s="5" t="s">
        <v>1735</v>
      </c>
      <c r="J42" s="5" t="s">
        <v>1692</v>
      </c>
      <c r="K42" s="6">
        <f t="shared" si="0"/>
        <v>1</v>
      </c>
    </row>
    <row r="43" spans="1:11" ht="15" customHeight="1">
      <c r="A43" s="4">
        <v>35</v>
      </c>
      <c r="B43" s="5" t="s">
        <v>124</v>
      </c>
      <c r="C43" s="5" t="s">
        <v>41</v>
      </c>
      <c r="D43" s="5" t="s">
        <v>125</v>
      </c>
      <c r="E43" s="7" t="s">
        <v>105</v>
      </c>
      <c r="F43" s="8" t="s">
        <v>105</v>
      </c>
      <c r="G43" s="4" t="s">
        <v>106</v>
      </c>
      <c r="H43" s="9" t="s">
        <v>196</v>
      </c>
      <c r="I43" s="5" t="s">
        <v>1727</v>
      </c>
      <c r="J43" s="5" t="s">
        <v>1692</v>
      </c>
      <c r="K43" s="6">
        <f t="shared" ref="K43:K74" si="1">IF(AND(E43="yes",F43="yes",H43="covered"),1,IF(H43="partial",0.5,0))</f>
        <v>1</v>
      </c>
    </row>
    <row r="44" spans="1:11" ht="45" customHeight="1">
      <c r="A44" s="4">
        <v>36</v>
      </c>
      <c r="B44" s="5" t="s">
        <v>124</v>
      </c>
      <c r="C44" s="5" t="s">
        <v>41</v>
      </c>
      <c r="D44" s="5" t="s">
        <v>126</v>
      </c>
      <c r="E44" s="7" t="s">
        <v>105</v>
      </c>
      <c r="F44" s="8" t="s">
        <v>105</v>
      </c>
      <c r="G44" s="4" t="s">
        <v>106</v>
      </c>
      <c r="H44" s="9" t="s">
        <v>196</v>
      </c>
      <c r="I44" s="5" t="s">
        <v>1727</v>
      </c>
      <c r="J44" s="5" t="s">
        <v>1692</v>
      </c>
      <c r="K44" s="6">
        <f t="shared" si="1"/>
        <v>1</v>
      </c>
    </row>
    <row r="45" spans="1:11" ht="15" customHeight="1">
      <c r="A45" s="4">
        <v>37</v>
      </c>
      <c r="B45" s="5" t="s">
        <v>95</v>
      </c>
      <c r="C45" s="5" t="s">
        <v>41</v>
      </c>
      <c r="D45" s="5" t="s">
        <v>127</v>
      </c>
      <c r="E45" s="7" t="s">
        <v>105</v>
      </c>
      <c r="F45" s="8" t="s">
        <v>105</v>
      </c>
      <c r="G45" s="4" t="s">
        <v>106</v>
      </c>
      <c r="H45" s="9" t="s">
        <v>196</v>
      </c>
      <c r="I45" s="5" t="s">
        <v>1727</v>
      </c>
      <c r="J45" s="5" t="s">
        <v>1692</v>
      </c>
      <c r="K45" s="6">
        <f t="shared" si="1"/>
        <v>1</v>
      </c>
    </row>
    <row r="46" spans="1:11" ht="15" customHeight="1">
      <c r="A46" s="4">
        <v>38</v>
      </c>
      <c r="B46" s="5" t="s">
        <v>128</v>
      </c>
      <c r="C46" s="5" t="s">
        <v>41</v>
      </c>
      <c r="D46" s="5" t="s">
        <v>129</v>
      </c>
      <c r="E46" s="7" t="s">
        <v>105</v>
      </c>
      <c r="F46" s="8" t="s">
        <v>105</v>
      </c>
      <c r="G46" s="4" t="s">
        <v>106</v>
      </c>
      <c r="H46" s="9" t="s">
        <v>196</v>
      </c>
      <c r="I46" s="5" t="s">
        <v>1727</v>
      </c>
      <c r="J46" s="5" t="s">
        <v>1692</v>
      </c>
      <c r="K46" s="6">
        <f t="shared" si="1"/>
        <v>1</v>
      </c>
    </row>
    <row r="47" spans="1:11" ht="30" customHeight="1">
      <c r="A47" s="4">
        <v>39</v>
      </c>
      <c r="B47" s="5" t="s">
        <v>130</v>
      </c>
      <c r="C47" s="5" t="s">
        <v>41</v>
      </c>
      <c r="D47" s="5" t="s">
        <v>131</v>
      </c>
      <c r="E47" s="7" t="s">
        <v>105</v>
      </c>
      <c r="F47" s="8" t="s">
        <v>105</v>
      </c>
      <c r="G47" s="4" t="s">
        <v>106</v>
      </c>
      <c r="H47" s="9" t="s">
        <v>196</v>
      </c>
      <c r="I47" s="5" t="s">
        <v>1727</v>
      </c>
      <c r="J47" s="5" t="s">
        <v>1692</v>
      </c>
      <c r="K47" s="6">
        <f t="shared" si="1"/>
        <v>1</v>
      </c>
    </row>
    <row r="48" spans="1:11" ht="15" customHeight="1">
      <c r="A48" s="4">
        <v>40</v>
      </c>
      <c r="B48" s="5" t="s">
        <v>130</v>
      </c>
      <c r="C48" s="5" t="s">
        <v>41</v>
      </c>
      <c r="D48" s="5" t="s">
        <v>132</v>
      </c>
      <c r="E48" s="7" t="s">
        <v>105</v>
      </c>
      <c r="F48" s="8" t="s">
        <v>105</v>
      </c>
      <c r="G48" s="4" t="s">
        <v>106</v>
      </c>
      <c r="H48" s="9" t="s">
        <v>196</v>
      </c>
      <c r="I48" s="5" t="s">
        <v>1727</v>
      </c>
      <c r="J48" s="5" t="s">
        <v>1692</v>
      </c>
      <c r="K48" s="6">
        <f t="shared" si="1"/>
        <v>1</v>
      </c>
    </row>
    <row r="49" spans="1:11" ht="15" customHeight="1">
      <c r="A49" s="4">
        <v>41</v>
      </c>
      <c r="B49" s="5" t="s">
        <v>133</v>
      </c>
      <c r="C49" s="5" t="s">
        <v>41</v>
      </c>
      <c r="D49" s="5" t="s">
        <v>719</v>
      </c>
      <c r="E49" s="7" t="s">
        <v>105</v>
      </c>
      <c r="F49" s="8" t="s">
        <v>105</v>
      </c>
      <c r="G49" s="4" t="s">
        <v>106</v>
      </c>
      <c r="H49" s="9" t="s">
        <v>196</v>
      </c>
      <c r="I49" s="5" t="s">
        <v>1727</v>
      </c>
      <c r="J49" s="5" t="s">
        <v>1692</v>
      </c>
      <c r="K49" s="6">
        <f t="shared" si="1"/>
        <v>1</v>
      </c>
    </row>
    <row r="50" spans="1:11" ht="15" customHeight="1">
      <c r="A50" s="4">
        <v>42</v>
      </c>
      <c r="B50" s="5" t="s">
        <v>133</v>
      </c>
      <c r="C50" s="5" t="s">
        <v>41</v>
      </c>
      <c r="D50" s="5" t="s">
        <v>142</v>
      </c>
      <c r="E50" s="7" t="s">
        <v>105</v>
      </c>
      <c r="F50" s="8" t="s">
        <v>105</v>
      </c>
      <c r="G50" s="4" t="s">
        <v>106</v>
      </c>
      <c r="H50" s="9" t="s">
        <v>196</v>
      </c>
      <c r="I50" s="5" t="s">
        <v>1727</v>
      </c>
      <c r="J50" s="5" t="s">
        <v>1692</v>
      </c>
      <c r="K50" s="6">
        <f t="shared" si="1"/>
        <v>1</v>
      </c>
    </row>
    <row r="51" spans="1:11" ht="15" customHeight="1">
      <c r="A51" s="4">
        <v>43</v>
      </c>
      <c r="B51" s="5" t="s">
        <v>133</v>
      </c>
      <c r="C51" s="5" t="s">
        <v>41</v>
      </c>
      <c r="D51" s="5" t="s">
        <v>146</v>
      </c>
      <c r="E51" s="7" t="s">
        <v>105</v>
      </c>
      <c r="F51" s="8" t="s">
        <v>105</v>
      </c>
      <c r="G51" s="4" t="s">
        <v>106</v>
      </c>
      <c r="H51" s="9" t="s">
        <v>196</v>
      </c>
      <c r="I51" s="5" t="s">
        <v>1727</v>
      </c>
      <c r="J51" s="5" t="s">
        <v>1692</v>
      </c>
      <c r="K51" s="6">
        <f t="shared" si="1"/>
        <v>1</v>
      </c>
    </row>
    <row r="52" spans="1:11" ht="15" customHeight="1">
      <c r="A52" s="4">
        <v>44</v>
      </c>
      <c r="B52" s="5" t="s">
        <v>135</v>
      </c>
      <c r="C52" s="5" t="s">
        <v>41</v>
      </c>
      <c r="D52" s="5" t="s">
        <v>144</v>
      </c>
      <c r="E52" s="7" t="s">
        <v>105</v>
      </c>
      <c r="F52" s="8" t="s">
        <v>105</v>
      </c>
      <c r="G52" s="4" t="s">
        <v>106</v>
      </c>
      <c r="H52" s="9" t="s">
        <v>196</v>
      </c>
      <c r="I52" s="5" t="s">
        <v>1727</v>
      </c>
      <c r="J52" s="5" t="s">
        <v>1692</v>
      </c>
      <c r="K52" s="6">
        <f t="shared" si="1"/>
        <v>1</v>
      </c>
    </row>
    <row r="53" spans="1:11" ht="15" customHeight="1">
      <c r="A53" s="4">
        <v>45</v>
      </c>
      <c r="B53" s="5" t="s">
        <v>135</v>
      </c>
      <c r="C53" s="5" t="s">
        <v>41</v>
      </c>
      <c r="D53" s="5" t="s">
        <v>616</v>
      </c>
      <c r="E53" s="7" t="s">
        <v>105</v>
      </c>
      <c r="F53" s="8" t="s">
        <v>105</v>
      </c>
      <c r="G53" s="4" t="s">
        <v>106</v>
      </c>
      <c r="H53" s="9" t="s">
        <v>196</v>
      </c>
      <c r="I53" s="5" t="s">
        <v>1727</v>
      </c>
      <c r="J53" s="5" t="s">
        <v>1692</v>
      </c>
      <c r="K53" s="6">
        <f t="shared" si="1"/>
        <v>1</v>
      </c>
    </row>
    <row r="54" spans="1:11" ht="15" customHeight="1">
      <c r="A54" s="4">
        <v>46</v>
      </c>
      <c r="B54" s="5" t="s">
        <v>135</v>
      </c>
      <c r="C54" s="5" t="s">
        <v>41</v>
      </c>
      <c r="D54" s="5" t="s">
        <v>1273</v>
      </c>
      <c r="E54" s="7" t="s">
        <v>105</v>
      </c>
      <c r="F54" s="8" t="s">
        <v>105</v>
      </c>
      <c r="G54" s="4" t="s">
        <v>106</v>
      </c>
      <c r="H54" s="9" t="s">
        <v>196</v>
      </c>
      <c r="I54" s="5" t="s">
        <v>1727</v>
      </c>
      <c r="J54" s="5" t="s">
        <v>1692</v>
      </c>
      <c r="K54" s="6">
        <f t="shared" si="1"/>
        <v>1</v>
      </c>
    </row>
    <row r="55" spans="1:11" ht="15" customHeight="1">
      <c r="A55" s="4">
        <v>47</v>
      </c>
      <c r="B55" s="5" t="s">
        <v>135</v>
      </c>
      <c r="C55" s="5" t="s">
        <v>41</v>
      </c>
      <c r="D55" s="5" t="s">
        <v>617</v>
      </c>
      <c r="E55" s="7" t="s">
        <v>105</v>
      </c>
      <c r="F55" s="8" t="s">
        <v>105</v>
      </c>
      <c r="G55" s="4" t="s">
        <v>106</v>
      </c>
      <c r="H55" s="9" t="s">
        <v>196</v>
      </c>
      <c r="I55" s="5" t="s">
        <v>1727</v>
      </c>
      <c r="J55" s="5" t="s">
        <v>1692</v>
      </c>
      <c r="K55" s="6">
        <f t="shared" si="1"/>
        <v>1</v>
      </c>
    </row>
    <row r="56" spans="1:11" ht="15" customHeight="1">
      <c r="A56" s="4">
        <v>48</v>
      </c>
      <c r="B56" s="5" t="s">
        <v>120</v>
      </c>
      <c r="C56" s="5" t="s">
        <v>71</v>
      </c>
      <c r="D56" s="5" t="s">
        <v>122</v>
      </c>
      <c r="E56" s="7" t="s">
        <v>105</v>
      </c>
      <c r="F56" s="8" t="s">
        <v>105</v>
      </c>
      <c r="G56" s="4" t="s">
        <v>106</v>
      </c>
      <c r="H56" s="9" t="s">
        <v>196</v>
      </c>
      <c r="I56" s="5" t="s">
        <v>1727</v>
      </c>
      <c r="J56" s="5" t="s">
        <v>1692</v>
      </c>
      <c r="K56" s="6">
        <f t="shared" si="1"/>
        <v>1</v>
      </c>
    </row>
    <row r="57" spans="1:11" ht="45" customHeight="1">
      <c r="A57" s="4">
        <v>49</v>
      </c>
      <c r="B57" s="5" t="s">
        <v>120</v>
      </c>
      <c r="C57" s="5" t="s">
        <v>71</v>
      </c>
      <c r="D57" s="5" t="s">
        <v>123</v>
      </c>
      <c r="E57" s="7" t="s">
        <v>105</v>
      </c>
      <c r="F57" s="8" t="s">
        <v>105</v>
      </c>
      <c r="G57" s="4" t="s">
        <v>106</v>
      </c>
      <c r="H57" s="9" t="s">
        <v>196</v>
      </c>
      <c r="I57" s="5" t="s">
        <v>1735</v>
      </c>
      <c r="J57" s="5" t="s">
        <v>1692</v>
      </c>
      <c r="K57" s="6">
        <f t="shared" si="1"/>
        <v>1</v>
      </c>
    </row>
    <row r="58" spans="1:11" ht="15" customHeight="1">
      <c r="A58" s="4">
        <v>50</v>
      </c>
      <c r="B58" s="5" t="s">
        <v>124</v>
      </c>
      <c r="C58" s="5" t="s">
        <v>71</v>
      </c>
      <c r="D58" s="5" t="s">
        <v>125</v>
      </c>
      <c r="E58" s="7" t="s">
        <v>105</v>
      </c>
      <c r="F58" s="8" t="s">
        <v>105</v>
      </c>
      <c r="G58" s="4" t="s">
        <v>106</v>
      </c>
      <c r="H58" s="9" t="s">
        <v>196</v>
      </c>
      <c r="I58" s="5" t="s">
        <v>1727</v>
      </c>
      <c r="J58" s="5" t="s">
        <v>1692</v>
      </c>
      <c r="K58" s="6">
        <f t="shared" si="1"/>
        <v>1</v>
      </c>
    </row>
    <row r="59" spans="1:11" ht="15" customHeight="1">
      <c r="A59" s="4">
        <v>51</v>
      </c>
      <c r="B59" s="5" t="s">
        <v>124</v>
      </c>
      <c r="C59" s="5" t="s">
        <v>71</v>
      </c>
      <c r="D59" s="5" t="s">
        <v>126</v>
      </c>
      <c r="E59" s="7" t="s">
        <v>105</v>
      </c>
      <c r="F59" s="8" t="s">
        <v>105</v>
      </c>
      <c r="G59" s="4" t="s">
        <v>106</v>
      </c>
      <c r="H59" s="9" t="s">
        <v>196</v>
      </c>
      <c r="I59" s="5" t="s">
        <v>1727</v>
      </c>
      <c r="J59" s="5" t="s">
        <v>1692</v>
      </c>
      <c r="K59" s="6">
        <f t="shared" si="1"/>
        <v>1</v>
      </c>
    </row>
    <row r="60" spans="1:11" ht="30" customHeight="1">
      <c r="A60" s="4">
        <v>52</v>
      </c>
      <c r="B60" s="5" t="s">
        <v>95</v>
      </c>
      <c r="C60" s="5" t="s">
        <v>71</v>
      </c>
      <c r="D60" s="5" t="s">
        <v>127</v>
      </c>
      <c r="E60" s="7" t="s">
        <v>105</v>
      </c>
      <c r="F60" s="8" t="s">
        <v>105</v>
      </c>
      <c r="G60" s="4" t="s">
        <v>106</v>
      </c>
      <c r="H60" s="9" t="s">
        <v>196</v>
      </c>
      <c r="I60" s="5" t="s">
        <v>1727</v>
      </c>
      <c r="J60" s="5" t="s">
        <v>1692</v>
      </c>
      <c r="K60" s="6">
        <f t="shared" si="1"/>
        <v>1</v>
      </c>
    </row>
    <row r="61" spans="1:11" ht="15" customHeight="1">
      <c r="A61" s="4">
        <v>53</v>
      </c>
      <c r="B61" s="5" t="s">
        <v>128</v>
      </c>
      <c r="C61" s="5" t="s">
        <v>71</v>
      </c>
      <c r="D61" s="5" t="s">
        <v>129</v>
      </c>
      <c r="E61" s="7" t="s">
        <v>105</v>
      </c>
      <c r="F61" s="8" t="s">
        <v>105</v>
      </c>
      <c r="G61" s="4" t="s">
        <v>106</v>
      </c>
      <c r="H61" s="9" t="s">
        <v>196</v>
      </c>
      <c r="I61" s="5" t="s">
        <v>1727</v>
      </c>
      <c r="J61" s="5" t="s">
        <v>1692</v>
      </c>
      <c r="K61" s="6">
        <f t="shared" si="1"/>
        <v>1</v>
      </c>
    </row>
    <row r="62" spans="1:11" ht="15" customHeight="1">
      <c r="A62" s="4">
        <v>54</v>
      </c>
      <c r="B62" s="5" t="s">
        <v>130</v>
      </c>
      <c r="C62" s="5" t="s">
        <v>71</v>
      </c>
      <c r="D62" s="5" t="s">
        <v>131</v>
      </c>
      <c r="E62" s="7" t="s">
        <v>105</v>
      </c>
      <c r="F62" s="8" t="s">
        <v>105</v>
      </c>
      <c r="G62" s="4" t="s">
        <v>106</v>
      </c>
      <c r="H62" s="9" t="s">
        <v>196</v>
      </c>
      <c r="I62" s="5" t="s">
        <v>1727</v>
      </c>
      <c r="J62" s="5" t="s">
        <v>1692</v>
      </c>
      <c r="K62" s="6">
        <f t="shared" si="1"/>
        <v>1</v>
      </c>
    </row>
    <row r="63" spans="1:11" ht="15" customHeight="1">
      <c r="A63" s="4">
        <v>55</v>
      </c>
      <c r="B63" s="5" t="s">
        <v>130</v>
      </c>
      <c r="C63" s="5" t="s">
        <v>71</v>
      </c>
      <c r="D63" s="5" t="s">
        <v>132</v>
      </c>
      <c r="E63" s="7" t="s">
        <v>105</v>
      </c>
      <c r="F63" s="8" t="s">
        <v>105</v>
      </c>
      <c r="G63" s="4" t="s">
        <v>106</v>
      </c>
      <c r="H63" s="9" t="s">
        <v>196</v>
      </c>
      <c r="I63" s="5" t="s">
        <v>1727</v>
      </c>
      <c r="J63" s="5" t="s">
        <v>1692</v>
      </c>
      <c r="K63" s="6">
        <f t="shared" si="1"/>
        <v>1</v>
      </c>
    </row>
    <row r="64" spans="1:11" ht="15" customHeight="1">
      <c r="A64" s="4">
        <v>56</v>
      </c>
      <c r="B64" s="5" t="s">
        <v>133</v>
      </c>
      <c r="C64" s="5" t="s">
        <v>71</v>
      </c>
      <c r="D64" s="5" t="s">
        <v>719</v>
      </c>
      <c r="E64" s="7" t="s">
        <v>105</v>
      </c>
      <c r="F64" s="8" t="s">
        <v>105</v>
      </c>
      <c r="G64" s="4" t="s">
        <v>106</v>
      </c>
      <c r="H64" s="9" t="s">
        <v>196</v>
      </c>
      <c r="I64" s="5" t="s">
        <v>1727</v>
      </c>
      <c r="J64" s="5" t="s">
        <v>1692</v>
      </c>
      <c r="K64" s="6">
        <f t="shared" si="1"/>
        <v>1</v>
      </c>
    </row>
    <row r="65" spans="1:11" ht="15" customHeight="1">
      <c r="A65" s="4">
        <v>57</v>
      </c>
      <c r="B65" s="5" t="s">
        <v>133</v>
      </c>
      <c r="C65" s="5" t="s">
        <v>71</v>
      </c>
      <c r="D65" s="5" t="s">
        <v>142</v>
      </c>
      <c r="E65" s="7" t="s">
        <v>105</v>
      </c>
      <c r="F65" s="8" t="s">
        <v>105</v>
      </c>
      <c r="G65" s="4" t="s">
        <v>106</v>
      </c>
      <c r="H65" s="9" t="s">
        <v>196</v>
      </c>
      <c r="I65" s="5" t="s">
        <v>1727</v>
      </c>
      <c r="J65" s="5" t="s">
        <v>1692</v>
      </c>
      <c r="K65" s="6">
        <f t="shared" si="1"/>
        <v>1</v>
      </c>
    </row>
    <row r="66" spans="1:11" ht="15" customHeight="1">
      <c r="A66" s="4">
        <v>58</v>
      </c>
      <c r="B66" s="5" t="s">
        <v>133</v>
      </c>
      <c r="C66" s="5" t="s">
        <v>71</v>
      </c>
      <c r="D66" s="5" t="s">
        <v>146</v>
      </c>
      <c r="E66" s="7" t="s">
        <v>105</v>
      </c>
      <c r="F66" s="8" t="s">
        <v>105</v>
      </c>
      <c r="G66" s="4" t="s">
        <v>106</v>
      </c>
      <c r="H66" s="9" t="s">
        <v>196</v>
      </c>
      <c r="I66" s="5" t="s">
        <v>1727</v>
      </c>
      <c r="J66" s="5" t="s">
        <v>1692</v>
      </c>
      <c r="K66" s="6">
        <f t="shared" si="1"/>
        <v>1</v>
      </c>
    </row>
    <row r="67" spans="1:11" ht="15" customHeight="1">
      <c r="A67" s="4">
        <v>59</v>
      </c>
      <c r="B67" s="5" t="s">
        <v>135</v>
      </c>
      <c r="C67" s="5" t="s">
        <v>71</v>
      </c>
      <c r="D67" s="5" t="s">
        <v>144</v>
      </c>
      <c r="E67" s="7" t="s">
        <v>105</v>
      </c>
      <c r="F67" s="8" t="s">
        <v>105</v>
      </c>
      <c r="G67" s="4" t="s">
        <v>106</v>
      </c>
      <c r="H67" s="9" t="s">
        <v>196</v>
      </c>
      <c r="I67" s="5" t="s">
        <v>1727</v>
      </c>
      <c r="J67" s="5" t="s">
        <v>1692</v>
      </c>
      <c r="K67" s="6">
        <f t="shared" si="1"/>
        <v>1</v>
      </c>
    </row>
    <row r="68" spans="1:11" ht="15" customHeight="1">
      <c r="A68" s="4">
        <v>60</v>
      </c>
      <c r="B68" s="5" t="s">
        <v>135</v>
      </c>
      <c r="C68" s="5" t="s">
        <v>71</v>
      </c>
      <c r="D68" s="5" t="s">
        <v>616</v>
      </c>
      <c r="E68" s="7" t="s">
        <v>105</v>
      </c>
      <c r="F68" s="8" t="s">
        <v>105</v>
      </c>
      <c r="G68" s="4" t="s">
        <v>106</v>
      </c>
      <c r="H68" s="9" t="s">
        <v>196</v>
      </c>
      <c r="I68" s="5" t="s">
        <v>1727</v>
      </c>
      <c r="J68" s="5" t="s">
        <v>1692</v>
      </c>
      <c r="K68" s="6">
        <f t="shared" si="1"/>
        <v>1</v>
      </c>
    </row>
    <row r="69" spans="1:11" ht="15" customHeight="1">
      <c r="A69" s="4">
        <v>61</v>
      </c>
      <c r="B69" s="5" t="s">
        <v>135</v>
      </c>
      <c r="C69" s="5" t="s">
        <v>71</v>
      </c>
      <c r="D69" s="5" t="s">
        <v>1273</v>
      </c>
      <c r="E69" s="7" t="s">
        <v>105</v>
      </c>
      <c r="F69" s="8" t="s">
        <v>105</v>
      </c>
      <c r="G69" s="4" t="s">
        <v>106</v>
      </c>
      <c r="H69" s="9" t="s">
        <v>196</v>
      </c>
      <c r="I69" s="5" t="s">
        <v>1727</v>
      </c>
      <c r="J69" s="5" t="s">
        <v>1692</v>
      </c>
      <c r="K69" s="6">
        <f t="shared" si="1"/>
        <v>1</v>
      </c>
    </row>
    <row r="70" spans="1:11" ht="15" customHeight="1">
      <c r="A70" s="4">
        <v>62</v>
      </c>
      <c r="B70" s="5" t="s">
        <v>135</v>
      </c>
      <c r="C70" s="5" t="s">
        <v>71</v>
      </c>
      <c r="D70" s="5" t="s">
        <v>617</v>
      </c>
      <c r="E70" s="7" t="s">
        <v>105</v>
      </c>
      <c r="F70" s="8" t="s">
        <v>105</v>
      </c>
      <c r="G70" s="4" t="s">
        <v>106</v>
      </c>
      <c r="H70" s="9" t="s">
        <v>196</v>
      </c>
      <c r="I70" s="5" t="s">
        <v>1727</v>
      </c>
      <c r="J70" s="5" t="s">
        <v>1692</v>
      </c>
      <c r="K70" s="6">
        <f t="shared" si="1"/>
        <v>1</v>
      </c>
    </row>
    <row r="71" spans="1:11" ht="15" customHeight="1">
      <c r="A71" s="4">
        <v>63</v>
      </c>
      <c r="B71" s="5" t="s">
        <v>153</v>
      </c>
      <c r="C71" s="5" t="s">
        <v>154</v>
      </c>
      <c r="D71" s="5" t="s">
        <v>562</v>
      </c>
      <c r="E71" s="7" t="s">
        <v>105</v>
      </c>
      <c r="F71" s="8" t="s">
        <v>105</v>
      </c>
      <c r="G71" s="4" t="s">
        <v>106</v>
      </c>
      <c r="H71" s="9" t="s">
        <v>196</v>
      </c>
      <c r="I71" s="5" t="s">
        <v>1727</v>
      </c>
      <c r="J71" s="5" t="s">
        <v>1692</v>
      </c>
      <c r="K71" s="6">
        <f t="shared" si="1"/>
        <v>1</v>
      </c>
    </row>
    <row r="72" spans="1:11" ht="45" customHeight="1">
      <c r="A72" s="4">
        <v>64</v>
      </c>
      <c r="B72" s="5" t="s">
        <v>153</v>
      </c>
      <c r="C72" s="5" t="s">
        <v>154</v>
      </c>
      <c r="D72" s="5" t="s">
        <v>621</v>
      </c>
      <c r="E72" s="7" t="s">
        <v>105</v>
      </c>
      <c r="F72" s="8" t="s">
        <v>105</v>
      </c>
      <c r="G72" s="4" t="s">
        <v>106</v>
      </c>
      <c r="H72" s="9" t="s">
        <v>196</v>
      </c>
      <c r="I72" s="5" t="s">
        <v>1727</v>
      </c>
      <c r="J72" s="5" t="s">
        <v>1692</v>
      </c>
      <c r="K72" s="6">
        <f t="shared" si="1"/>
        <v>1</v>
      </c>
    </row>
    <row r="73" spans="1:11" ht="15" customHeight="1">
      <c r="A73" s="4">
        <v>65</v>
      </c>
      <c r="B73" s="5" t="s">
        <v>153</v>
      </c>
      <c r="C73" s="5" t="s">
        <v>154</v>
      </c>
      <c r="D73" s="5" t="s">
        <v>438</v>
      </c>
      <c r="E73" s="7" t="s">
        <v>105</v>
      </c>
      <c r="F73" s="8" t="s">
        <v>105</v>
      </c>
      <c r="G73" s="4" t="s">
        <v>106</v>
      </c>
      <c r="H73" s="9" t="s">
        <v>196</v>
      </c>
      <c r="I73" s="5" t="s">
        <v>1727</v>
      </c>
      <c r="J73" s="5" t="s">
        <v>1692</v>
      </c>
      <c r="K73" s="6">
        <f t="shared" si="1"/>
        <v>1</v>
      </c>
    </row>
    <row r="74" spans="1:11" ht="15" customHeight="1">
      <c r="A74" s="4">
        <v>66</v>
      </c>
      <c r="B74" s="5" t="s">
        <v>153</v>
      </c>
      <c r="C74" s="5" t="s">
        <v>154</v>
      </c>
      <c r="D74" s="5" t="s">
        <v>622</v>
      </c>
      <c r="E74" s="7" t="s">
        <v>105</v>
      </c>
      <c r="F74" s="8" t="s">
        <v>105</v>
      </c>
      <c r="G74" s="4" t="s">
        <v>106</v>
      </c>
      <c r="H74" s="9" t="s">
        <v>196</v>
      </c>
      <c r="I74" s="5" t="s">
        <v>1727</v>
      </c>
      <c r="J74" s="5" t="s">
        <v>1692</v>
      </c>
      <c r="K74" s="6">
        <f t="shared" si="1"/>
        <v>1</v>
      </c>
    </row>
    <row r="75" spans="1:11" ht="30" customHeight="1">
      <c r="A75" s="4">
        <v>67</v>
      </c>
      <c r="B75" s="5" t="s">
        <v>153</v>
      </c>
      <c r="C75" s="5" t="s">
        <v>154</v>
      </c>
      <c r="D75" s="5" t="s">
        <v>623</v>
      </c>
      <c r="E75" s="7" t="s">
        <v>105</v>
      </c>
      <c r="F75" s="8" t="s">
        <v>105</v>
      </c>
      <c r="G75" s="4" t="s">
        <v>106</v>
      </c>
      <c r="H75" s="9" t="s">
        <v>196</v>
      </c>
      <c r="I75" s="5" t="s">
        <v>1727</v>
      </c>
      <c r="J75" s="5" t="s">
        <v>1692</v>
      </c>
      <c r="K75" s="6">
        <f t="shared" ref="K75:K88" si="2">IF(AND(E75="yes",F75="yes",H75="covered"),1,IF(H75="partial",0.5,0))</f>
        <v>1</v>
      </c>
    </row>
    <row r="76" spans="1:11" ht="15" customHeight="1">
      <c r="A76" s="4">
        <v>68</v>
      </c>
      <c r="B76" s="5" t="s">
        <v>159</v>
      </c>
      <c r="C76" s="5" t="s">
        <v>154</v>
      </c>
      <c r="D76" s="5" t="s">
        <v>160</v>
      </c>
      <c r="E76" s="7" t="s">
        <v>105</v>
      </c>
      <c r="F76" s="8" t="s">
        <v>105</v>
      </c>
      <c r="G76" s="4" t="s">
        <v>106</v>
      </c>
      <c r="H76" s="9" t="s">
        <v>196</v>
      </c>
      <c r="I76" s="5" t="s">
        <v>1727</v>
      </c>
      <c r="J76" s="5" t="s">
        <v>1692</v>
      </c>
      <c r="K76" s="6">
        <f t="shared" si="2"/>
        <v>1</v>
      </c>
    </row>
    <row r="77" spans="1:11" ht="15" customHeight="1">
      <c r="A77" s="4">
        <v>69</v>
      </c>
      <c r="B77" s="5" t="s">
        <v>159</v>
      </c>
      <c r="C77" s="5" t="s">
        <v>154</v>
      </c>
      <c r="D77" s="5" t="s">
        <v>624</v>
      </c>
      <c r="E77" s="7" t="s">
        <v>105</v>
      </c>
      <c r="F77" s="8" t="s">
        <v>105</v>
      </c>
      <c r="G77" s="4" t="s">
        <v>106</v>
      </c>
      <c r="H77" s="9" t="s">
        <v>196</v>
      </c>
      <c r="I77" s="5" t="s">
        <v>1727</v>
      </c>
      <c r="J77" s="5" t="s">
        <v>1692</v>
      </c>
      <c r="K77" s="6">
        <f t="shared" si="2"/>
        <v>1</v>
      </c>
    </row>
    <row r="78" spans="1:11" ht="45" customHeight="1">
      <c r="A78" s="4">
        <v>70</v>
      </c>
      <c r="B78" s="5" t="s">
        <v>159</v>
      </c>
      <c r="C78" s="5" t="s">
        <v>154</v>
      </c>
      <c r="D78" s="5" t="s">
        <v>625</v>
      </c>
      <c r="E78" s="7" t="s">
        <v>105</v>
      </c>
      <c r="F78" s="8" t="s">
        <v>105</v>
      </c>
      <c r="G78" s="4" t="s">
        <v>106</v>
      </c>
      <c r="H78" s="9" t="s">
        <v>196</v>
      </c>
      <c r="I78" s="5" t="s">
        <v>1727</v>
      </c>
      <c r="J78" s="5" t="s">
        <v>1692</v>
      </c>
      <c r="K78" s="6">
        <f t="shared" si="2"/>
        <v>1</v>
      </c>
    </row>
    <row r="79" spans="1:11" ht="15" customHeight="1">
      <c r="A79" s="4">
        <v>71</v>
      </c>
      <c r="B79" s="5" t="s">
        <v>159</v>
      </c>
      <c r="C79" s="5" t="s">
        <v>154</v>
      </c>
      <c r="D79" s="5" t="s">
        <v>1282</v>
      </c>
      <c r="E79" s="7" t="s">
        <v>105</v>
      </c>
      <c r="F79" s="8" t="s">
        <v>105</v>
      </c>
      <c r="G79" s="4" t="s">
        <v>106</v>
      </c>
      <c r="H79" s="9" t="s">
        <v>196</v>
      </c>
      <c r="I79" s="5" t="s">
        <v>1727</v>
      </c>
      <c r="J79" s="5" t="s">
        <v>1692</v>
      </c>
      <c r="K79" s="6">
        <f t="shared" si="2"/>
        <v>1</v>
      </c>
    </row>
    <row r="80" spans="1:11" ht="15" customHeight="1">
      <c r="A80" s="4">
        <v>72</v>
      </c>
      <c r="B80" s="5" t="s">
        <v>159</v>
      </c>
      <c r="C80" s="5" t="s">
        <v>154</v>
      </c>
      <c r="D80" s="5" t="s">
        <v>162</v>
      </c>
      <c r="E80" s="7" t="s">
        <v>105</v>
      </c>
      <c r="F80" s="8" t="s">
        <v>105</v>
      </c>
      <c r="G80" s="4" t="s">
        <v>106</v>
      </c>
      <c r="H80" s="9" t="s">
        <v>196</v>
      </c>
      <c r="I80" s="5" t="s">
        <v>1727</v>
      </c>
      <c r="J80" s="5" t="s">
        <v>1692</v>
      </c>
      <c r="K80" s="6">
        <f t="shared" si="2"/>
        <v>1</v>
      </c>
    </row>
    <row r="81" spans="1:11" ht="30" customHeight="1">
      <c r="A81" s="4">
        <v>73</v>
      </c>
      <c r="B81" s="5" t="s">
        <v>159</v>
      </c>
      <c r="C81" s="5" t="s">
        <v>154</v>
      </c>
      <c r="D81" s="5" t="s">
        <v>163</v>
      </c>
      <c r="E81" s="7" t="s">
        <v>105</v>
      </c>
      <c r="F81" s="8" t="s">
        <v>105</v>
      </c>
      <c r="G81" s="4" t="s">
        <v>106</v>
      </c>
      <c r="H81" s="9" t="s">
        <v>196</v>
      </c>
      <c r="I81" s="5" t="s">
        <v>1727</v>
      </c>
      <c r="J81" s="5" t="s">
        <v>1692</v>
      </c>
      <c r="K81" s="6">
        <f t="shared" si="2"/>
        <v>1</v>
      </c>
    </row>
    <row r="82" spans="1:11" ht="15" customHeight="1">
      <c r="A82" s="4">
        <v>74</v>
      </c>
      <c r="B82" s="5" t="s">
        <v>135</v>
      </c>
      <c r="C82" s="5" t="s">
        <v>121</v>
      </c>
      <c r="D82" s="5" t="s">
        <v>169</v>
      </c>
      <c r="E82" s="7" t="s">
        <v>105</v>
      </c>
      <c r="F82" s="8" t="s">
        <v>105</v>
      </c>
      <c r="G82" s="4" t="s">
        <v>106</v>
      </c>
      <c r="H82" s="9" t="s">
        <v>196</v>
      </c>
      <c r="I82" s="5" t="s">
        <v>1727</v>
      </c>
      <c r="J82" s="5" t="s">
        <v>1692</v>
      </c>
      <c r="K82" s="6">
        <f t="shared" si="2"/>
        <v>1</v>
      </c>
    </row>
    <row r="83" spans="1:11" ht="15" customHeight="1">
      <c r="A83" s="4">
        <v>75</v>
      </c>
      <c r="B83" s="5" t="s">
        <v>135</v>
      </c>
      <c r="C83" s="5" t="s">
        <v>121</v>
      </c>
      <c r="D83" s="5" t="s">
        <v>170</v>
      </c>
      <c r="E83" s="7" t="s">
        <v>105</v>
      </c>
      <c r="F83" s="8" t="s">
        <v>105</v>
      </c>
      <c r="G83" s="4" t="s">
        <v>106</v>
      </c>
      <c r="H83" s="9" t="s">
        <v>196</v>
      </c>
      <c r="I83" s="5" t="s">
        <v>1727</v>
      </c>
      <c r="J83" s="5" t="s">
        <v>1692</v>
      </c>
      <c r="K83" s="6">
        <f t="shared" si="2"/>
        <v>1</v>
      </c>
    </row>
    <row r="84" spans="1:11" ht="45" customHeight="1">
      <c r="A84" s="4">
        <v>76</v>
      </c>
      <c r="B84" s="5" t="s">
        <v>135</v>
      </c>
      <c r="C84" s="5" t="s">
        <v>121</v>
      </c>
      <c r="D84" s="5" t="s">
        <v>171</v>
      </c>
      <c r="E84" s="7" t="s">
        <v>105</v>
      </c>
      <c r="F84" s="8" t="s">
        <v>105</v>
      </c>
      <c r="G84" s="4" t="s">
        <v>106</v>
      </c>
      <c r="H84" s="9" t="s">
        <v>196</v>
      </c>
      <c r="I84" s="5" t="s">
        <v>1735</v>
      </c>
      <c r="J84" s="5" t="s">
        <v>1692</v>
      </c>
      <c r="K84" s="6">
        <f t="shared" si="2"/>
        <v>1</v>
      </c>
    </row>
    <row r="85" spans="1:11" ht="15" customHeight="1">
      <c r="A85" s="4">
        <v>77</v>
      </c>
      <c r="B85" s="5" t="s">
        <v>135</v>
      </c>
      <c r="C85" s="5" t="s">
        <v>53</v>
      </c>
      <c r="D85" s="5" t="s">
        <v>627</v>
      </c>
      <c r="E85" s="7" t="s">
        <v>105</v>
      </c>
      <c r="F85" s="8" t="s">
        <v>105</v>
      </c>
      <c r="G85" s="4" t="s">
        <v>106</v>
      </c>
      <c r="H85" s="9" t="s">
        <v>196</v>
      </c>
      <c r="I85" s="5" t="s">
        <v>1727</v>
      </c>
      <c r="J85" s="5" t="s">
        <v>1692</v>
      </c>
      <c r="K85" s="6">
        <f t="shared" si="2"/>
        <v>1</v>
      </c>
    </row>
    <row r="86" spans="1:11" ht="15" customHeight="1">
      <c r="A86" s="4">
        <v>78</v>
      </c>
      <c r="B86" s="5" t="s">
        <v>135</v>
      </c>
      <c r="C86" s="5" t="s">
        <v>53</v>
      </c>
      <c r="D86" s="5" t="s">
        <v>628</v>
      </c>
      <c r="E86" s="7" t="s">
        <v>105</v>
      </c>
      <c r="F86" s="8" t="s">
        <v>105</v>
      </c>
      <c r="G86" s="4" t="s">
        <v>106</v>
      </c>
      <c r="H86" s="9" t="s">
        <v>196</v>
      </c>
      <c r="I86" s="5" t="s">
        <v>1727</v>
      </c>
      <c r="J86" s="5" t="s">
        <v>1692</v>
      </c>
      <c r="K86" s="6">
        <f t="shared" si="2"/>
        <v>1</v>
      </c>
    </row>
    <row r="87" spans="1:11" ht="30" customHeight="1">
      <c r="A87" s="4">
        <v>79</v>
      </c>
      <c r="B87" s="5" t="s">
        <v>135</v>
      </c>
      <c r="C87" s="5" t="s">
        <v>53</v>
      </c>
      <c r="D87" s="5" t="s">
        <v>629</v>
      </c>
      <c r="E87" s="7" t="s">
        <v>105</v>
      </c>
      <c r="F87" s="8" t="s">
        <v>105</v>
      </c>
      <c r="G87" s="4" t="s">
        <v>106</v>
      </c>
      <c r="H87" s="9" t="s">
        <v>196</v>
      </c>
      <c r="I87" s="5" t="s">
        <v>1727</v>
      </c>
      <c r="J87" s="5" t="s">
        <v>1692</v>
      </c>
      <c r="K87" s="6">
        <f t="shared" si="2"/>
        <v>1</v>
      </c>
    </row>
    <row r="88" spans="1:11" ht="15" customHeight="1">
      <c r="A88" s="4">
        <v>80</v>
      </c>
      <c r="B88" s="5" t="s">
        <v>135</v>
      </c>
      <c r="C88" s="5" t="s">
        <v>53</v>
      </c>
      <c r="D88" s="5" t="s">
        <v>630</v>
      </c>
      <c r="E88" s="7" t="s">
        <v>105</v>
      </c>
      <c r="F88" s="8" t="s">
        <v>105</v>
      </c>
      <c r="G88" s="4" t="s">
        <v>106</v>
      </c>
      <c r="H88" s="9" t="s">
        <v>196</v>
      </c>
      <c r="I88" s="5" t="s">
        <v>1727</v>
      </c>
      <c r="J88" s="5" t="s">
        <v>1692</v>
      </c>
      <c r="K88" s="6">
        <f t="shared" si="2"/>
        <v>1</v>
      </c>
    </row>
    <row r="89" spans="1:11" ht="15" customHeight="1"/>
    <row r="90" spans="1:11" ht="15" customHeight="1"/>
    <row r="91" spans="1:11" ht="15" customHeight="1"/>
    <row r="92" spans="1:11" ht="15" customHeight="1"/>
    <row r="93" spans="1:11" ht="15" customHeight="1"/>
    <row r="94" spans="1:11" ht="15" customHeight="1"/>
    <row r="95" spans="1:11" ht="15" customHeight="1"/>
    <row r="96" spans="1:11" ht="15" customHeight="1"/>
    <row r="97" ht="15" customHeight="1"/>
    <row r="98" ht="15" customHeight="1"/>
    <row r="99" ht="15" customHeight="1"/>
    <row r="100" ht="15" customHeight="1"/>
    <row r="101" ht="15" customHeight="1"/>
    <row r="102" ht="30" customHeight="1"/>
    <row r="103" ht="15" customHeight="1"/>
    <row r="104" ht="15" customHeight="1"/>
    <row r="105" ht="15" customHeight="1"/>
    <row r="106" ht="15" customHeight="1"/>
    <row r="107" ht="45" customHeight="1"/>
    <row r="108" ht="30" customHeight="1"/>
    <row r="109" ht="30" customHeight="1"/>
    <row r="110" ht="30" customHeight="1"/>
    <row r="111" ht="30" customHeight="1"/>
    <row r="112" ht="45" customHeight="1"/>
    <row r="113" ht="30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139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1741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131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195</v>
      </c>
      <c r="H9" s="9" t="s">
        <v>196</v>
      </c>
      <c r="I9" s="5" t="s">
        <v>1742</v>
      </c>
      <c r="J9" s="5" t="s">
        <v>198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195</v>
      </c>
      <c r="H10" s="9" t="s">
        <v>196</v>
      </c>
      <c r="I10" s="5" t="s">
        <v>1742</v>
      </c>
      <c r="J10" s="5" t="s">
        <v>198</v>
      </c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54</v>
      </c>
      <c r="D11" s="5" t="s">
        <v>104</v>
      </c>
      <c r="E11" s="7" t="s">
        <v>105</v>
      </c>
      <c r="F11" s="8" t="s">
        <v>105</v>
      </c>
      <c r="G11" s="4" t="s">
        <v>195</v>
      </c>
      <c r="H11" s="9" t="s">
        <v>196</v>
      </c>
      <c r="I11" s="5" t="s">
        <v>1742</v>
      </c>
      <c r="J11" s="5" t="s">
        <v>198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54</v>
      </c>
      <c r="D12" s="5" t="s">
        <v>110</v>
      </c>
      <c r="E12" s="7" t="s">
        <v>105</v>
      </c>
      <c r="F12" s="8" t="s">
        <v>105</v>
      </c>
      <c r="G12" s="4" t="s">
        <v>195</v>
      </c>
      <c r="H12" s="9" t="s">
        <v>196</v>
      </c>
      <c r="I12" s="5" t="s">
        <v>1742</v>
      </c>
      <c r="J12" s="5" t="s">
        <v>198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54</v>
      </c>
      <c r="D13" s="5" t="s">
        <v>111</v>
      </c>
      <c r="E13" s="7" t="s">
        <v>105</v>
      </c>
      <c r="F13" s="8" t="s">
        <v>105</v>
      </c>
      <c r="G13" s="4" t="s">
        <v>195</v>
      </c>
      <c r="H13" s="9" t="s">
        <v>196</v>
      </c>
      <c r="I13" s="5" t="s">
        <v>1742</v>
      </c>
      <c r="J13" s="5" t="s">
        <v>198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54</v>
      </c>
      <c r="D14" s="5" t="s">
        <v>112</v>
      </c>
      <c r="E14" s="7" t="s">
        <v>105</v>
      </c>
      <c r="F14" s="8" t="s">
        <v>105</v>
      </c>
      <c r="G14" s="4" t="s">
        <v>195</v>
      </c>
      <c r="H14" s="9" t="s">
        <v>196</v>
      </c>
      <c r="I14" s="5" t="s">
        <v>1742</v>
      </c>
      <c r="J14" s="5" t="s">
        <v>198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54</v>
      </c>
      <c r="D15" s="5" t="s">
        <v>701</v>
      </c>
      <c r="E15" s="7" t="s">
        <v>105</v>
      </c>
      <c r="F15" s="8" t="s">
        <v>105</v>
      </c>
      <c r="G15" s="4" t="s">
        <v>195</v>
      </c>
      <c r="H15" s="9" t="s">
        <v>196</v>
      </c>
      <c r="I15" s="5" t="s">
        <v>1742</v>
      </c>
      <c r="J15" s="5" t="s">
        <v>198</v>
      </c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54</v>
      </c>
      <c r="D16" s="5" t="s">
        <v>1743</v>
      </c>
      <c r="E16" s="7" t="s">
        <v>105</v>
      </c>
      <c r="F16" s="8" t="s">
        <v>105</v>
      </c>
      <c r="G16" s="4" t="s">
        <v>195</v>
      </c>
      <c r="H16" s="9" t="s">
        <v>196</v>
      </c>
      <c r="I16" s="5" t="s">
        <v>1742</v>
      </c>
      <c r="J16" s="5" t="s">
        <v>198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54</v>
      </c>
      <c r="D17" s="5" t="s">
        <v>1744</v>
      </c>
      <c r="E17" s="7" t="s">
        <v>105</v>
      </c>
      <c r="F17" s="8" t="s">
        <v>105</v>
      </c>
      <c r="G17" s="4" t="s">
        <v>195</v>
      </c>
      <c r="H17" s="9" t="s">
        <v>196</v>
      </c>
      <c r="I17" s="5" t="s">
        <v>1742</v>
      </c>
      <c r="J17" s="5" t="s">
        <v>198</v>
      </c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54</v>
      </c>
      <c r="D18" s="5" t="s">
        <v>1408</v>
      </c>
      <c r="E18" s="7" t="s">
        <v>105</v>
      </c>
      <c r="F18" s="8" t="s">
        <v>105</v>
      </c>
      <c r="G18" s="4" t="s">
        <v>195</v>
      </c>
      <c r="H18" s="9" t="s">
        <v>196</v>
      </c>
      <c r="I18" s="5" t="s">
        <v>1742</v>
      </c>
      <c r="J18" s="5" t="s">
        <v>198</v>
      </c>
      <c r="K18" s="6">
        <f t="shared" si="0"/>
        <v>1</v>
      </c>
    </row>
    <row r="19" spans="1:11" ht="45" customHeight="1">
      <c r="A19" s="4">
        <v>11</v>
      </c>
      <c r="B19" s="5" t="s">
        <v>113</v>
      </c>
      <c r="C19" s="5" t="s">
        <v>54</v>
      </c>
      <c r="D19" s="5" t="s">
        <v>1745</v>
      </c>
      <c r="E19" s="7" t="s">
        <v>105</v>
      </c>
      <c r="F19" s="8" t="s">
        <v>105</v>
      </c>
      <c r="G19" s="4" t="s">
        <v>195</v>
      </c>
      <c r="H19" s="9" t="s">
        <v>196</v>
      </c>
      <c r="I19" s="5" t="s">
        <v>1742</v>
      </c>
      <c r="J19" s="5" t="s">
        <v>198</v>
      </c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54</v>
      </c>
      <c r="D20" s="5" t="s">
        <v>1746</v>
      </c>
      <c r="E20" s="7" t="s">
        <v>105</v>
      </c>
      <c r="F20" s="8" t="s">
        <v>105</v>
      </c>
      <c r="G20" s="4" t="s">
        <v>195</v>
      </c>
      <c r="H20" s="9" t="s">
        <v>196</v>
      </c>
      <c r="I20" s="5" t="s">
        <v>1742</v>
      </c>
      <c r="J20" s="5" t="s">
        <v>198</v>
      </c>
      <c r="K20" s="6">
        <f t="shared" si="0"/>
        <v>1</v>
      </c>
    </row>
    <row r="21" spans="1:11" ht="15" customHeight="1">
      <c r="A21" s="4">
        <v>13</v>
      </c>
      <c r="B21" s="5" t="s">
        <v>113</v>
      </c>
      <c r="C21" s="5" t="s">
        <v>54</v>
      </c>
      <c r="D21" s="5" t="s">
        <v>1747</v>
      </c>
      <c r="E21" s="7" t="s">
        <v>105</v>
      </c>
      <c r="F21" s="8" t="s">
        <v>105</v>
      </c>
      <c r="G21" s="4" t="s">
        <v>195</v>
      </c>
      <c r="H21" s="9" t="s">
        <v>196</v>
      </c>
      <c r="I21" s="5" t="s">
        <v>1742</v>
      </c>
      <c r="J21" s="5" t="s">
        <v>198</v>
      </c>
      <c r="K21" s="6">
        <f t="shared" si="0"/>
        <v>1</v>
      </c>
    </row>
    <row r="22" spans="1:11" ht="15" customHeight="1">
      <c r="A22" s="4">
        <v>14</v>
      </c>
      <c r="B22" s="5" t="s">
        <v>113</v>
      </c>
      <c r="C22" s="5" t="s">
        <v>54</v>
      </c>
      <c r="D22" s="5" t="s">
        <v>1748</v>
      </c>
      <c r="E22" s="7" t="s">
        <v>105</v>
      </c>
      <c r="F22" s="8" t="s">
        <v>105</v>
      </c>
      <c r="G22" s="4" t="s">
        <v>195</v>
      </c>
      <c r="H22" s="9" t="s">
        <v>196</v>
      </c>
      <c r="I22" s="5" t="s">
        <v>1742</v>
      </c>
      <c r="J22" s="5" t="s">
        <v>198</v>
      </c>
      <c r="K22" s="6">
        <f t="shared" si="0"/>
        <v>1</v>
      </c>
    </row>
    <row r="23" spans="1:11" ht="45" customHeight="1">
      <c r="A23" s="4">
        <v>15</v>
      </c>
      <c r="B23" s="5" t="s">
        <v>120</v>
      </c>
      <c r="C23" s="5" t="s">
        <v>121</v>
      </c>
      <c r="D23" s="5" t="s">
        <v>122</v>
      </c>
      <c r="E23" s="7" t="s">
        <v>105</v>
      </c>
      <c r="F23" s="8" t="s">
        <v>105</v>
      </c>
      <c r="G23" s="4" t="s">
        <v>195</v>
      </c>
      <c r="H23" s="9" t="s">
        <v>196</v>
      </c>
      <c r="I23" s="5" t="s">
        <v>1742</v>
      </c>
      <c r="J23" s="5" t="s">
        <v>198</v>
      </c>
      <c r="K23" s="6">
        <f t="shared" si="0"/>
        <v>1</v>
      </c>
    </row>
    <row r="24" spans="1:11" ht="15" customHeight="1">
      <c r="A24" s="4">
        <v>16</v>
      </c>
      <c r="B24" s="5" t="s">
        <v>120</v>
      </c>
      <c r="C24" s="5" t="s">
        <v>121</v>
      </c>
      <c r="D24" s="5" t="s">
        <v>123</v>
      </c>
      <c r="E24" s="7" t="s">
        <v>105</v>
      </c>
      <c r="F24" s="8" t="s">
        <v>105</v>
      </c>
      <c r="G24" s="4" t="s">
        <v>195</v>
      </c>
      <c r="H24" s="9" t="s">
        <v>196</v>
      </c>
      <c r="I24" s="5" t="s">
        <v>1742</v>
      </c>
      <c r="J24" s="5" t="s">
        <v>198</v>
      </c>
      <c r="K24" s="6">
        <f t="shared" si="0"/>
        <v>1</v>
      </c>
    </row>
    <row r="25" spans="1:11" ht="30" customHeight="1">
      <c r="A25" s="4">
        <v>17</v>
      </c>
      <c r="B25" s="5" t="s">
        <v>124</v>
      </c>
      <c r="C25" s="5" t="s">
        <v>121</v>
      </c>
      <c r="D25" s="5" t="s">
        <v>1749</v>
      </c>
      <c r="E25" s="7" t="s">
        <v>105</v>
      </c>
      <c r="F25" s="8" t="s">
        <v>105</v>
      </c>
      <c r="G25" s="4" t="s">
        <v>1750</v>
      </c>
      <c r="H25" s="9" t="s">
        <v>196</v>
      </c>
      <c r="I25" s="5" t="s">
        <v>1751</v>
      </c>
      <c r="J25" s="5" t="s">
        <v>198</v>
      </c>
      <c r="K25" s="6">
        <f t="shared" si="0"/>
        <v>1</v>
      </c>
    </row>
    <row r="26" spans="1:11" ht="45" customHeight="1">
      <c r="A26" s="4">
        <v>18</v>
      </c>
      <c r="B26" s="5" t="s">
        <v>124</v>
      </c>
      <c r="C26" s="5" t="s">
        <v>121</v>
      </c>
      <c r="D26" s="5" t="s">
        <v>1584</v>
      </c>
      <c r="E26" s="7" t="s">
        <v>105</v>
      </c>
      <c r="F26" s="8" t="s">
        <v>105</v>
      </c>
      <c r="G26" s="4" t="s">
        <v>1752</v>
      </c>
      <c r="H26" s="9" t="s">
        <v>196</v>
      </c>
      <c r="I26" s="5" t="s">
        <v>1753</v>
      </c>
      <c r="J26" s="5" t="s">
        <v>198</v>
      </c>
      <c r="K26" s="6">
        <f t="shared" si="0"/>
        <v>1</v>
      </c>
    </row>
    <row r="27" spans="1:11" ht="15" customHeight="1">
      <c r="A27" s="4">
        <v>19</v>
      </c>
      <c r="B27" s="5" t="s">
        <v>95</v>
      </c>
      <c r="C27" s="5" t="s">
        <v>121</v>
      </c>
      <c r="D27" s="5" t="s">
        <v>1754</v>
      </c>
      <c r="E27" s="7" t="s">
        <v>105</v>
      </c>
      <c r="F27" s="8" t="s">
        <v>105</v>
      </c>
      <c r="G27" s="4" t="s">
        <v>1755</v>
      </c>
      <c r="H27" s="9" t="s">
        <v>196</v>
      </c>
      <c r="I27" s="5" t="s">
        <v>1756</v>
      </c>
      <c r="J27" s="5" t="s">
        <v>198</v>
      </c>
      <c r="K27" s="6">
        <f t="shared" si="0"/>
        <v>1</v>
      </c>
    </row>
    <row r="28" spans="1:11" ht="15" customHeight="1">
      <c r="A28" s="4">
        <v>20</v>
      </c>
      <c r="B28" s="5" t="s">
        <v>128</v>
      </c>
      <c r="C28" s="5" t="s">
        <v>121</v>
      </c>
      <c r="D28" s="5" t="s">
        <v>1757</v>
      </c>
      <c r="E28" s="7" t="s">
        <v>105</v>
      </c>
      <c r="F28" s="8" t="s">
        <v>105</v>
      </c>
      <c r="G28" s="4" t="s">
        <v>1758</v>
      </c>
      <c r="H28" s="9" t="s">
        <v>196</v>
      </c>
      <c r="I28" s="5" t="s">
        <v>1759</v>
      </c>
      <c r="J28" s="5" t="s">
        <v>198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657</v>
      </c>
      <c r="E29" s="7" t="s">
        <v>105</v>
      </c>
      <c r="F29" s="8" t="s">
        <v>105</v>
      </c>
      <c r="G29" s="4" t="s">
        <v>195</v>
      </c>
      <c r="H29" s="9" t="s">
        <v>196</v>
      </c>
      <c r="I29" s="5" t="s">
        <v>1742</v>
      </c>
      <c r="J29" s="5" t="s">
        <v>198</v>
      </c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658</v>
      </c>
      <c r="E30" s="7" t="s">
        <v>105</v>
      </c>
      <c r="F30" s="8" t="s">
        <v>105</v>
      </c>
      <c r="G30" s="4" t="s">
        <v>195</v>
      </c>
      <c r="H30" s="9" t="s">
        <v>196</v>
      </c>
      <c r="I30" s="5" t="s">
        <v>1742</v>
      </c>
      <c r="J30" s="5" t="s">
        <v>198</v>
      </c>
      <c r="K30" s="6">
        <f t="shared" si="0"/>
        <v>1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659</v>
      </c>
      <c r="E31" s="7" t="s">
        <v>105</v>
      </c>
      <c r="F31" s="8" t="s">
        <v>105</v>
      </c>
      <c r="G31" s="4" t="s">
        <v>195</v>
      </c>
      <c r="H31" s="9" t="s">
        <v>196</v>
      </c>
      <c r="I31" s="5" t="s">
        <v>1742</v>
      </c>
      <c r="J31" s="5" t="s">
        <v>198</v>
      </c>
      <c r="K31" s="6">
        <f t="shared" si="0"/>
        <v>1</v>
      </c>
    </row>
    <row r="32" spans="1:11" ht="15" customHeight="1">
      <c r="A32" s="4">
        <v>24</v>
      </c>
      <c r="B32" s="5" t="s">
        <v>713</v>
      </c>
      <c r="C32" s="5" t="s">
        <v>121</v>
      </c>
      <c r="D32" s="5" t="s">
        <v>1760</v>
      </c>
      <c r="E32" s="7" t="s">
        <v>105</v>
      </c>
      <c r="F32" s="8" t="s">
        <v>105</v>
      </c>
      <c r="G32" s="4" t="s">
        <v>195</v>
      </c>
      <c r="H32" s="9" t="s">
        <v>196</v>
      </c>
      <c r="I32" s="5" t="s">
        <v>1742</v>
      </c>
      <c r="J32" s="5" t="s">
        <v>198</v>
      </c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1761</v>
      </c>
      <c r="E33" s="7" t="s">
        <v>105</v>
      </c>
      <c r="F33" s="8" t="s">
        <v>105</v>
      </c>
      <c r="G33" s="4" t="s">
        <v>195</v>
      </c>
      <c r="H33" s="9" t="s">
        <v>196</v>
      </c>
      <c r="I33" s="5" t="s">
        <v>1742</v>
      </c>
      <c r="J33" s="5" t="s">
        <v>198</v>
      </c>
      <c r="K33" s="6">
        <f t="shared" si="0"/>
        <v>1</v>
      </c>
    </row>
    <row r="34" spans="1:11" ht="15" customHeight="1">
      <c r="A34" s="4">
        <v>26</v>
      </c>
      <c r="B34" s="5" t="s">
        <v>713</v>
      </c>
      <c r="C34" s="5" t="s">
        <v>121</v>
      </c>
      <c r="D34" s="5" t="s">
        <v>1762</v>
      </c>
      <c r="E34" s="7" t="s">
        <v>105</v>
      </c>
      <c r="F34" s="8" t="s">
        <v>105</v>
      </c>
      <c r="G34" s="4" t="s">
        <v>195</v>
      </c>
      <c r="H34" s="9" t="s">
        <v>196</v>
      </c>
      <c r="I34" s="5" t="s">
        <v>1742</v>
      </c>
      <c r="J34" s="5" t="s">
        <v>198</v>
      </c>
      <c r="K34" s="6">
        <f t="shared" si="0"/>
        <v>1</v>
      </c>
    </row>
    <row r="35" spans="1:11" ht="15" customHeight="1">
      <c r="A35" s="4">
        <v>27</v>
      </c>
      <c r="B35" s="5" t="s">
        <v>135</v>
      </c>
      <c r="C35" s="5" t="s">
        <v>121</v>
      </c>
      <c r="D35" s="5" t="s">
        <v>140</v>
      </c>
      <c r="E35" s="7" t="s">
        <v>105</v>
      </c>
      <c r="F35" s="8" t="s">
        <v>105</v>
      </c>
      <c r="G35" s="4" t="s">
        <v>195</v>
      </c>
      <c r="H35" s="9" t="s">
        <v>196</v>
      </c>
      <c r="I35" s="5" t="s">
        <v>1742</v>
      </c>
      <c r="J35" s="5" t="s">
        <v>198</v>
      </c>
      <c r="K35" s="6">
        <f t="shared" si="0"/>
        <v>1</v>
      </c>
    </row>
    <row r="36" spans="1:11" ht="45" customHeight="1">
      <c r="A36" s="4">
        <v>28</v>
      </c>
      <c r="B36" s="5" t="s">
        <v>120</v>
      </c>
      <c r="C36" s="5" t="s">
        <v>55</v>
      </c>
      <c r="D36" s="5" t="s">
        <v>122</v>
      </c>
      <c r="E36" s="7" t="s">
        <v>105</v>
      </c>
      <c r="F36" s="8" t="s">
        <v>105</v>
      </c>
      <c r="G36" s="4" t="s">
        <v>195</v>
      </c>
      <c r="H36" s="9" t="s">
        <v>196</v>
      </c>
      <c r="I36" s="5" t="s">
        <v>1742</v>
      </c>
      <c r="J36" s="5" t="s">
        <v>198</v>
      </c>
      <c r="K36" s="6">
        <f t="shared" si="0"/>
        <v>1</v>
      </c>
    </row>
    <row r="37" spans="1:11" ht="15" customHeight="1">
      <c r="A37" s="4">
        <v>29</v>
      </c>
      <c r="B37" s="5" t="s">
        <v>120</v>
      </c>
      <c r="C37" s="5" t="s">
        <v>55</v>
      </c>
      <c r="D37" s="5" t="s">
        <v>123</v>
      </c>
      <c r="E37" s="7" t="s">
        <v>105</v>
      </c>
      <c r="F37" s="8" t="s">
        <v>105</v>
      </c>
      <c r="G37" s="4" t="s">
        <v>195</v>
      </c>
      <c r="H37" s="9" t="s">
        <v>196</v>
      </c>
      <c r="I37" s="5" t="s">
        <v>1742</v>
      </c>
      <c r="J37" s="5" t="s">
        <v>198</v>
      </c>
      <c r="K37" s="6">
        <f t="shared" si="0"/>
        <v>1</v>
      </c>
    </row>
    <row r="38" spans="1:11" ht="45" customHeight="1">
      <c r="A38" s="4">
        <v>30</v>
      </c>
      <c r="B38" s="5" t="s">
        <v>124</v>
      </c>
      <c r="C38" s="5" t="s">
        <v>55</v>
      </c>
      <c r="D38" s="5" t="s">
        <v>1763</v>
      </c>
      <c r="E38" s="7" t="s">
        <v>105</v>
      </c>
      <c r="F38" s="8" t="s">
        <v>105</v>
      </c>
      <c r="G38" s="4" t="s">
        <v>1764</v>
      </c>
      <c r="H38" s="9" t="s">
        <v>196</v>
      </c>
      <c r="I38" s="5" t="s">
        <v>1765</v>
      </c>
      <c r="J38" s="5" t="s">
        <v>198</v>
      </c>
      <c r="K38" s="6">
        <f t="shared" si="0"/>
        <v>1</v>
      </c>
    </row>
    <row r="39" spans="1:11" ht="45" customHeight="1">
      <c r="A39" s="4">
        <v>31</v>
      </c>
      <c r="B39" s="5" t="s">
        <v>124</v>
      </c>
      <c r="C39" s="5" t="s">
        <v>55</v>
      </c>
      <c r="D39" s="5" t="s">
        <v>1766</v>
      </c>
      <c r="E39" s="7" t="s">
        <v>105</v>
      </c>
      <c r="F39" s="8" t="s">
        <v>105</v>
      </c>
      <c r="G39" s="4" t="s">
        <v>1767</v>
      </c>
      <c r="H39" s="9" t="s">
        <v>196</v>
      </c>
      <c r="I39" s="5" t="s">
        <v>1768</v>
      </c>
      <c r="J39" s="5" t="s">
        <v>198</v>
      </c>
      <c r="K39" s="6">
        <f t="shared" si="0"/>
        <v>1</v>
      </c>
    </row>
    <row r="40" spans="1:11" ht="45" customHeight="1">
      <c r="A40" s="4">
        <v>32</v>
      </c>
      <c r="B40" s="5" t="s">
        <v>95</v>
      </c>
      <c r="C40" s="5" t="s">
        <v>55</v>
      </c>
      <c r="D40" s="5" t="s">
        <v>1769</v>
      </c>
      <c r="E40" s="7" t="s">
        <v>105</v>
      </c>
      <c r="F40" s="8" t="s">
        <v>105</v>
      </c>
      <c r="G40" s="4" t="s">
        <v>1770</v>
      </c>
      <c r="H40" s="9" t="s">
        <v>196</v>
      </c>
      <c r="I40" s="5" t="s">
        <v>1771</v>
      </c>
      <c r="J40" s="5" t="s">
        <v>198</v>
      </c>
      <c r="K40" s="6">
        <f t="shared" si="0"/>
        <v>1</v>
      </c>
    </row>
    <row r="41" spans="1:11" ht="15" customHeight="1">
      <c r="A41" s="4">
        <v>33</v>
      </c>
      <c r="B41" s="5" t="s">
        <v>128</v>
      </c>
      <c r="C41" s="5" t="s">
        <v>55</v>
      </c>
      <c r="D41" s="5" t="s">
        <v>1772</v>
      </c>
      <c r="E41" s="7" t="s">
        <v>105</v>
      </c>
      <c r="F41" s="8" t="s">
        <v>105</v>
      </c>
      <c r="G41" s="4" t="s">
        <v>1773</v>
      </c>
      <c r="H41" s="9" t="s">
        <v>196</v>
      </c>
      <c r="I41" s="5" t="s">
        <v>1774</v>
      </c>
      <c r="J41" s="5" t="s">
        <v>198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713</v>
      </c>
      <c r="C42" s="5" t="s">
        <v>55</v>
      </c>
      <c r="D42" s="5" t="s">
        <v>714</v>
      </c>
      <c r="E42" s="7" t="s">
        <v>105</v>
      </c>
      <c r="F42" s="8" t="s">
        <v>105</v>
      </c>
      <c r="G42" s="4" t="s">
        <v>195</v>
      </c>
      <c r="H42" s="9" t="s">
        <v>196</v>
      </c>
      <c r="I42" s="5" t="s">
        <v>1742</v>
      </c>
      <c r="J42" s="5" t="s">
        <v>198</v>
      </c>
      <c r="K42" s="6">
        <f t="shared" si="1"/>
        <v>1</v>
      </c>
    </row>
    <row r="43" spans="1:11" ht="15" customHeight="1">
      <c r="A43" s="4">
        <v>35</v>
      </c>
      <c r="B43" s="5" t="s">
        <v>135</v>
      </c>
      <c r="C43" s="5" t="s">
        <v>55</v>
      </c>
      <c r="D43" s="5" t="s">
        <v>140</v>
      </c>
      <c r="E43" s="7" t="s">
        <v>105</v>
      </c>
      <c r="F43" s="8" t="s">
        <v>105</v>
      </c>
      <c r="G43" s="4" t="s">
        <v>195</v>
      </c>
      <c r="H43" s="9" t="s">
        <v>196</v>
      </c>
      <c r="I43" s="5" t="s">
        <v>1742</v>
      </c>
      <c r="J43" s="5" t="s">
        <v>198</v>
      </c>
      <c r="K43" s="6">
        <f t="shared" si="1"/>
        <v>1</v>
      </c>
    </row>
    <row r="44" spans="1:11" ht="15" customHeight="1">
      <c r="A44" s="4">
        <v>36</v>
      </c>
      <c r="B44" s="5" t="s">
        <v>120</v>
      </c>
      <c r="C44" s="5" t="s">
        <v>1775</v>
      </c>
      <c r="D44" s="5" t="s">
        <v>122</v>
      </c>
      <c r="E44" s="7" t="s">
        <v>105</v>
      </c>
      <c r="F44" s="8" t="s">
        <v>105</v>
      </c>
      <c r="G44" s="4" t="s">
        <v>195</v>
      </c>
      <c r="H44" s="9" t="s">
        <v>196</v>
      </c>
      <c r="I44" s="5" t="s">
        <v>1742</v>
      </c>
      <c r="J44" s="5" t="s">
        <v>198</v>
      </c>
      <c r="K44" s="6">
        <f t="shared" si="1"/>
        <v>1</v>
      </c>
    </row>
    <row r="45" spans="1:11" ht="15" customHeight="1">
      <c r="A45" s="4">
        <v>37</v>
      </c>
      <c r="B45" s="5" t="s">
        <v>120</v>
      </c>
      <c r="C45" s="5" t="s">
        <v>1775</v>
      </c>
      <c r="D45" s="5" t="s">
        <v>123</v>
      </c>
      <c r="E45" s="7" t="s">
        <v>105</v>
      </c>
      <c r="F45" s="8" t="s">
        <v>105</v>
      </c>
      <c r="G45" s="4" t="s">
        <v>195</v>
      </c>
      <c r="H45" s="9" t="s">
        <v>196</v>
      </c>
      <c r="I45" s="5" t="s">
        <v>1742</v>
      </c>
      <c r="J45" s="5" t="s">
        <v>198</v>
      </c>
      <c r="K45" s="6">
        <f t="shared" si="1"/>
        <v>1</v>
      </c>
    </row>
    <row r="46" spans="1:11" ht="30" customHeight="1">
      <c r="A46" s="4">
        <v>38</v>
      </c>
      <c r="B46" s="5" t="s">
        <v>124</v>
      </c>
      <c r="C46" s="5" t="s">
        <v>1775</v>
      </c>
      <c r="D46" s="5" t="s">
        <v>125</v>
      </c>
      <c r="E46" s="7" t="s">
        <v>105</v>
      </c>
      <c r="F46" s="8" t="s">
        <v>105</v>
      </c>
      <c r="G46" s="4" t="s">
        <v>195</v>
      </c>
      <c r="H46" s="9" t="s">
        <v>196</v>
      </c>
      <c r="I46" s="5" t="s">
        <v>1742</v>
      </c>
      <c r="J46" s="5" t="s">
        <v>198</v>
      </c>
      <c r="K46" s="6">
        <f t="shared" si="1"/>
        <v>1</v>
      </c>
    </row>
    <row r="47" spans="1:11" ht="45" customHeight="1">
      <c r="A47" s="4">
        <v>39</v>
      </c>
      <c r="B47" s="5" t="s">
        <v>124</v>
      </c>
      <c r="C47" s="5" t="s">
        <v>1775</v>
      </c>
      <c r="D47" s="5" t="s">
        <v>126</v>
      </c>
      <c r="E47" s="7" t="s">
        <v>105</v>
      </c>
      <c r="F47" s="8" t="s">
        <v>105</v>
      </c>
      <c r="G47" s="4" t="s">
        <v>195</v>
      </c>
      <c r="H47" s="9" t="s">
        <v>196</v>
      </c>
      <c r="I47" s="5" t="s">
        <v>1742</v>
      </c>
      <c r="J47" s="5" t="s">
        <v>198</v>
      </c>
      <c r="K47" s="6">
        <f t="shared" si="1"/>
        <v>1</v>
      </c>
    </row>
    <row r="48" spans="1:11" ht="15" customHeight="1">
      <c r="A48" s="4">
        <v>40</v>
      </c>
      <c r="B48" s="5" t="s">
        <v>95</v>
      </c>
      <c r="C48" s="5" t="s">
        <v>1775</v>
      </c>
      <c r="D48" s="5" t="s">
        <v>127</v>
      </c>
      <c r="E48" s="7" t="s">
        <v>105</v>
      </c>
      <c r="F48" s="8" t="s">
        <v>105</v>
      </c>
      <c r="G48" s="4" t="s">
        <v>195</v>
      </c>
      <c r="H48" s="9" t="s">
        <v>196</v>
      </c>
      <c r="I48" s="5" t="s">
        <v>1742</v>
      </c>
      <c r="J48" s="5" t="s">
        <v>198</v>
      </c>
      <c r="K48" s="6">
        <f t="shared" si="1"/>
        <v>1</v>
      </c>
    </row>
    <row r="49" spans="1:11" ht="15" customHeight="1">
      <c r="A49" s="4">
        <v>41</v>
      </c>
      <c r="B49" s="5" t="s">
        <v>128</v>
      </c>
      <c r="C49" s="5" t="s">
        <v>1775</v>
      </c>
      <c r="D49" s="5" t="s">
        <v>129</v>
      </c>
      <c r="E49" s="7" t="s">
        <v>105</v>
      </c>
      <c r="F49" s="8" t="s">
        <v>105</v>
      </c>
      <c r="G49" s="4" t="s">
        <v>195</v>
      </c>
      <c r="H49" s="9" t="s">
        <v>196</v>
      </c>
      <c r="I49" s="5" t="s">
        <v>1742</v>
      </c>
      <c r="J49" s="5" t="s">
        <v>198</v>
      </c>
      <c r="K49" s="6">
        <f t="shared" si="1"/>
        <v>1</v>
      </c>
    </row>
    <row r="50" spans="1:11" ht="15" customHeight="1">
      <c r="A50" s="4">
        <v>42</v>
      </c>
      <c r="B50" s="5" t="s">
        <v>130</v>
      </c>
      <c r="C50" s="5" t="s">
        <v>1775</v>
      </c>
      <c r="D50" s="5" t="s">
        <v>131</v>
      </c>
      <c r="E50" s="7" t="s">
        <v>105</v>
      </c>
      <c r="F50" s="8" t="s">
        <v>105</v>
      </c>
      <c r="G50" s="4" t="s">
        <v>195</v>
      </c>
      <c r="H50" s="9" t="s">
        <v>196</v>
      </c>
      <c r="I50" s="5" t="s">
        <v>1742</v>
      </c>
      <c r="J50" s="5" t="s">
        <v>198</v>
      </c>
      <c r="K50" s="6">
        <f t="shared" si="1"/>
        <v>1</v>
      </c>
    </row>
    <row r="51" spans="1:11" ht="15" customHeight="1">
      <c r="A51" s="4">
        <v>43</v>
      </c>
      <c r="B51" s="5" t="s">
        <v>130</v>
      </c>
      <c r="C51" s="5" t="s">
        <v>1775</v>
      </c>
      <c r="D51" s="5" t="s">
        <v>132</v>
      </c>
      <c r="E51" s="7" t="s">
        <v>105</v>
      </c>
      <c r="F51" s="8" t="s">
        <v>105</v>
      </c>
      <c r="G51" s="4" t="s">
        <v>195</v>
      </c>
      <c r="H51" s="9" t="s">
        <v>196</v>
      </c>
      <c r="I51" s="5" t="s">
        <v>1742</v>
      </c>
      <c r="J51" s="5" t="s">
        <v>198</v>
      </c>
      <c r="K51" s="6">
        <f t="shared" si="1"/>
        <v>1</v>
      </c>
    </row>
    <row r="52" spans="1:11" ht="15" customHeight="1">
      <c r="A52" s="4">
        <v>44</v>
      </c>
      <c r="B52" s="5" t="s">
        <v>133</v>
      </c>
      <c r="C52" s="5" t="s">
        <v>1775</v>
      </c>
      <c r="D52" s="5" t="s">
        <v>719</v>
      </c>
      <c r="E52" s="7" t="s">
        <v>105</v>
      </c>
      <c r="F52" s="8" t="s">
        <v>105</v>
      </c>
      <c r="G52" s="4" t="s">
        <v>195</v>
      </c>
      <c r="H52" s="9" t="s">
        <v>196</v>
      </c>
      <c r="I52" s="5" t="s">
        <v>1742</v>
      </c>
      <c r="J52" s="5" t="s">
        <v>198</v>
      </c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1775</v>
      </c>
      <c r="D53" s="5" t="s">
        <v>142</v>
      </c>
      <c r="E53" s="7" t="s">
        <v>105</v>
      </c>
      <c r="F53" s="8" t="s">
        <v>105</v>
      </c>
      <c r="G53" s="4" t="s">
        <v>195</v>
      </c>
      <c r="H53" s="9" t="s">
        <v>196</v>
      </c>
      <c r="I53" s="5" t="s">
        <v>1742</v>
      </c>
      <c r="J53" s="5" t="s">
        <v>198</v>
      </c>
      <c r="K53" s="6">
        <f t="shared" si="1"/>
        <v>1</v>
      </c>
    </row>
    <row r="54" spans="1:11" ht="15" customHeight="1">
      <c r="A54" s="4">
        <v>46</v>
      </c>
      <c r="B54" s="5" t="s">
        <v>120</v>
      </c>
      <c r="C54" s="5" t="s">
        <v>145</v>
      </c>
      <c r="D54" s="5" t="s">
        <v>122</v>
      </c>
      <c r="E54" s="7" t="s">
        <v>105</v>
      </c>
      <c r="F54" s="8" t="s">
        <v>105</v>
      </c>
      <c r="G54" s="4" t="s">
        <v>195</v>
      </c>
      <c r="H54" s="9" t="s">
        <v>196</v>
      </c>
      <c r="I54" s="5" t="s">
        <v>1742</v>
      </c>
      <c r="J54" s="5" t="s">
        <v>198</v>
      </c>
      <c r="K54" s="6">
        <f t="shared" si="1"/>
        <v>1</v>
      </c>
    </row>
    <row r="55" spans="1:11" ht="15" customHeight="1">
      <c r="A55" s="4">
        <v>47</v>
      </c>
      <c r="B55" s="5" t="s">
        <v>120</v>
      </c>
      <c r="C55" s="5" t="s">
        <v>145</v>
      </c>
      <c r="D55" s="5" t="s">
        <v>123</v>
      </c>
      <c r="E55" s="7" t="s">
        <v>105</v>
      </c>
      <c r="F55" s="8" t="s">
        <v>105</v>
      </c>
      <c r="G55" s="4" t="s">
        <v>195</v>
      </c>
      <c r="H55" s="9" t="s">
        <v>196</v>
      </c>
      <c r="I55" s="5" t="s">
        <v>1742</v>
      </c>
      <c r="J55" s="5" t="s">
        <v>198</v>
      </c>
      <c r="K55" s="6">
        <f t="shared" si="1"/>
        <v>1</v>
      </c>
    </row>
    <row r="56" spans="1:11" ht="30" customHeight="1">
      <c r="A56" s="4">
        <v>48</v>
      </c>
      <c r="B56" s="5" t="s">
        <v>124</v>
      </c>
      <c r="C56" s="5" t="s">
        <v>145</v>
      </c>
      <c r="D56" s="5" t="s">
        <v>125</v>
      </c>
      <c r="E56" s="7" t="s">
        <v>105</v>
      </c>
      <c r="F56" s="8" t="s">
        <v>105</v>
      </c>
      <c r="G56" s="4" t="s">
        <v>195</v>
      </c>
      <c r="H56" s="9" t="s">
        <v>196</v>
      </c>
      <c r="I56" s="5" t="s">
        <v>1742</v>
      </c>
      <c r="J56" s="5" t="s">
        <v>198</v>
      </c>
      <c r="K56" s="6">
        <f t="shared" si="1"/>
        <v>1</v>
      </c>
    </row>
    <row r="57" spans="1:11" ht="45" customHeight="1">
      <c r="A57" s="4">
        <v>49</v>
      </c>
      <c r="B57" s="5" t="s">
        <v>124</v>
      </c>
      <c r="C57" s="5" t="s">
        <v>145</v>
      </c>
      <c r="D57" s="5" t="s">
        <v>126</v>
      </c>
      <c r="E57" s="7" t="s">
        <v>105</v>
      </c>
      <c r="F57" s="8" t="s">
        <v>105</v>
      </c>
      <c r="G57" s="4" t="s">
        <v>195</v>
      </c>
      <c r="H57" s="9" t="s">
        <v>196</v>
      </c>
      <c r="I57" s="5" t="s">
        <v>1742</v>
      </c>
      <c r="J57" s="5" t="s">
        <v>198</v>
      </c>
      <c r="K57" s="6">
        <f t="shared" si="1"/>
        <v>1</v>
      </c>
    </row>
    <row r="58" spans="1:11" ht="15" customHeight="1">
      <c r="A58" s="4">
        <v>50</v>
      </c>
      <c r="B58" s="5" t="s">
        <v>95</v>
      </c>
      <c r="C58" s="5" t="s">
        <v>145</v>
      </c>
      <c r="D58" s="5" t="s">
        <v>127</v>
      </c>
      <c r="E58" s="7" t="s">
        <v>105</v>
      </c>
      <c r="F58" s="8" t="s">
        <v>105</v>
      </c>
      <c r="G58" s="4" t="s">
        <v>195</v>
      </c>
      <c r="H58" s="9" t="s">
        <v>196</v>
      </c>
      <c r="I58" s="5" t="s">
        <v>1742</v>
      </c>
      <c r="J58" s="5" t="s">
        <v>198</v>
      </c>
      <c r="K58" s="6">
        <f t="shared" si="1"/>
        <v>1</v>
      </c>
    </row>
    <row r="59" spans="1:11" ht="15" customHeight="1">
      <c r="A59" s="4">
        <v>51</v>
      </c>
      <c r="B59" s="5" t="s">
        <v>128</v>
      </c>
      <c r="C59" s="5" t="s">
        <v>145</v>
      </c>
      <c r="D59" s="5" t="s">
        <v>129</v>
      </c>
      <c r="E59" s="7" t="s">
        <v>105</v>
      </c>
      <c r="F59" s="8" t="s">
        <v>105</v>
      </c>
      <c r="G59" s="4" t="s">
        <v>195</v>
      </c>
      <c r="H59" s="9" t="s">
        <v>196</v>
      </c>
      <c r="I59" s="5" t="s">
        <v>1742</v>
      </c>
      <c r="J59" s="5" t="s">
        <v>198</v>
      </c>
      <c r="K59" s="6">
        <f t="shared" si="1"/>
        <v>1</v>
      </c>
    </row>
    <row r="60" spans="1:11" ht="15" customHeight="1">
      <c r="A60" s="4">
        <v>52</v>
      </c>
      <c r="B60" s="5" t="s">
        <v>130</v>
      </c>
      <c r="C60" s="5" t="s">
        <v>145</v>
      </c>
      <c r="D60" s="5" t="s">
        <v>131</v>
      </c>
      <c r="E60" s="7" t="s">
        <v>105</v>
      </c>
      <c r="F60" s="8" t="s">
        <v>105</v>
      </c>
      <c r="G60" s="4" t="s">
        <v>195</v>
      </c>
      <c r="H60" s="9" t="s">
        <v>196</v>
      </c>
      <c r="I60" s="5" t="s">
        <v>1742</v>
      </c>
      <c r="J60" s="5" t="s">
        <v>198</v>
      </c>
      <c r="K60" s="6">
        <f t="shared" si="1"/>
        <v>1</v>
      </c>
    </row>
    <row r="61" spans="1:11" ht="15" customHeight="1">
      <c r="A61" s="4">
        <v>53</v>
      </c>
      <c r="B61" s="5" t="s">
        <v>130</v>
      </c>
      <c r="C61" s="5" t="s">
        <v>145</v>
      </c>
      <c r="D61" s="5" t="s">
        <v>132</v>
      </c>
      <c r="E61" s="7" t="s">
        <v>105</v>
      </c>
      <c r="F61" s="8" t="s">
        <v>105</v>
      </c>
      <c r="G61" s="4" t="s">
        <v>195</v>
      </c>
      <c r="H61" s="9" t="s">
        <v>196</v>
      </c>
      <c r="I61" s="5" t="s">
        <v>1742</v>
      </c>
      <c r="J61" s="5" t="s">
        <v>198</v>
      </c>
      <c r="K61" s="6">
        <f t="shared" si="1"/>
        <v>1</v>
      </c>
    </row>
    <row r="62" spans="1:11" ht="15" customHeight="1">
      <c r="A62" s="4">
        <v>54</v>
      </c>
      <c r="B62" s="5" t="s">
        <v>133</v>
      </c>
      <c r="C62" s="5" t="s">
        <v>145</v>
      </c>
      <c r="D62" s="5" t="s">
        <v>719</v>
      </c>
      <c r="E62" s="7" t="s">
        <v>105</v>
      </c>
      <c r="F62" s="8" t="s">
        <v>105</v>
      </c>
      <c r="G62" s="4" t="s">
        <v>195</v>
      </c>
      <c r="H62" s="9" t="s">
        <v>196</v>
      </c>
      <c r="I62" s="5" t="s">
        <v>1742</v>
      </c>
      <c r="J62" s="5" t="s">
        <v>198</v>
      </c>
      <c r="K62" s="6">
        <f t="shared" si="1"/>
        <v>1</v>
      </c>
    </row>
    <row r="63" spans="1:11" ht="15" customHeight="1">
      <c r="A63" s="4">
        <v>55</v>
      </c>
      <c r="B63" s="5" t="s">
        <v>133</v>
      </c>
      <c r="C63" s="5" t="s">
        <v>145</v>
      </c>
      <c r="D63" s="5" t="s">
        <v>142</v>
      </c>
      <c r="E63" s="7" t="s">
        <v>105</v>
      </c>
      <c r="F63" s="8" t="s">
        <v>105</v>
      </c>
      <c r="G63" s="4" t="s">
        <v>195</v>
      </c>
      <c r="H63" s="9" t="s">
        <v>196</v>
      </c>
      <c r="I63" s="5" t="s">
        <v>1742</v>
      </c>
      <c r="J63" s="5" t="s">
        <v>198</v>
      </c>
      <c r="K63" s="6">
        <f t="shared" si="1"/>
        <v>1</v>
      </c>
    </row>
    <row r="64" spans="1:11" ht="15" customHeight="1">
      <c r="A64" s="4">
        <v>56</v>
      </c>
      <c r="B64" s="5" t="s">
        <v>133</v>
      </c>
      <c r="C64" s="5" t="s">
        <v>145</v>
      </c>
      <c r="D64" s="5" t="s">
        <v>146</v>
      </c>
      <c r="E64" s="7" t="s">
        <v>105</v>
      </c>
      <c r="F64" s="8" t="s">
        <v>105</v>
      </c>
      <c r="G64" s="4" t="s">
        <v>195</v>
      </c>
      <c r="H64" s="9" t="s">
        <v>196</v>
      </c>
      <c r="I64" s="5" t="s">
        <v>1742</v>
      </c>
      <c r="J64" s="5" t="s">
        <v>198</v>
      </c>
      <c r="K64" s="6">
        <f t="shared" si="1"/>
        <v>1</v>
      </c>
    </row>
    <row r="65" spans="1:11" ht="15" customHeight="1">
      <c r="A65" s="4">
        <v>57</v>
      </c>
      <c r="B65" s="5" t="s">
        <v>133</v>
      </c>
      <c r="C65" s="5" t="s">
        <v>145</v>
      </c>
      <c r="D65" s="5" t="s">
        <v>1776</v>
      </c>
      <c r="E65" s="7" t="s">
        <v>105</v>
      </c>
      <c r="F65" s="8" t="s">
        <v>105</v>
      </c>
      <c r="G65" s="4" t="s">
        <v>195</v>
      </c>
      <c r="H65" s="9" t="s">
        <v>196</v>
      </c>
      <c r="I65" s="5" t="s">
        <v>1742</v>
      </c>
      <c r="J65" s="5" t="s">
        <v>198</v>
      </c>
      <c r="K65" s="6">
        <f t="shared" si="1"/>
        <v>1</v>
      </c>
    </row>
    <row r="66" spans="1:11" ht="15" customHeight="1">
      <c r="A66" s="4">
        <v>58</v>
      </c>
      <c r="B66" s="5" t="s">
        <v>135</v>
      </c>
      <c r="C66" s="5" t="s">
        <v>145</v>
      </c>
      <c r="D66" s="5" t="s">
        <v>144</v>
      </c>
      <c r="E66" s="7" t="s">
        <v>105</v>
      </c>
      <c r="F66" s="8" t="s">
        <v>105</v>
      </c>
      <c r="G66" s="4" t="s">
        <v>195</v>
      </c>
      <c r="H66" s="9" t="s">
        <v>196</v>
      </c>
      <c r="I66" s="5" t="s">
        <v>1742</v>
      </c>
      <c r="J66" s="5" t="s">
        <v>198</v>
      </c>
      <c r="K66" s="6">
        <f t="shared" si="1"/>
        <v>1</v>
      </c>
    </row>
    <row r="67" spans="1:11" ht="15" customHeight="1">
      <c r="A67" s="4">
        <v>59</v>
      </c>
      <c r="B67" s="5" t="s">
        <v>120</v>
      </c>
      <c r="C67" s="5" t="s">
        <v>147</v>
      </c>
      <c r="D67" s="5" t="s">
        <v>122</v>
      </c>
      <c r="E67" s="7" t="s">
        <v>105</v>
      </c>
      <c r="F67" s="8" t="s">
        <v>105</v>
      </c>
      <c r="G67" s="4" t="s">
        <v>195</v>
      </c>
      <c r="H67" s="9" t="s">
        <v>196</v>
      </c>
      <c r="I67" s="5" t="s">
        <v>1742</v>
      </c>
      <c r="J67" s="5" t="s">
        <v>198</v>
      </c>
      <c r="K67" s="6">
        <f t="shared" si="1"/>
        <v>1</v>
      </c>
    </row>
    <row r="68" spans="1:11" ht="15" customHeight="1">
      <c r="A68" s="4">
        <v>60</v>
      </c>
      <c r="B68" s="5" t="s">
        <v>120</v>
      </c>
      <c r="C68" s="5" t="s">
        <v>147</v>
      </c>
      <c r="D68" s="5" t="s">
        <v>123</v>
      </c>
      <c r="E68" s="7" t="s">
        <v>105</v>
      </c>
      <c r="F68" s="8" t="s">
        <v>105</v>
      </c>
      <c r="G68" s="4" t="s">
        <v>195</v>
      </c>
      <c r="H68" s="9" t="s">
        <v>196</v>
      </c>
      <c r="I68" s="5" t="s">
        <v>1742</v>
      </c>
      <c r="J68" s="5" t="s">
        <v>198</v>
      </c>
      <c r="K68" s="6">
        <f t="shared" si="1"/>
        <v>1</v>
      </c>
    </row>
    <row r="69" spans="1:11" ht="30" customHeight="1">
      <c r="A69" s="4">
        <v>61</v>
      </c>
      <c r="B69" s="5" t="s">
        <v>124</v>
      </c>
      <c r="C69" s="5" t="s">
        <v>147</v>
      </c>
      <c r="D69" s="5" t="s">
        <v>125</v>
      </c>
      <c r="E69" s="7" t="s">
        <v>105</v>
      </c>
      <c r="F69" s="8" t="s">
        <v>105</v>
      </c>
      <c r="G69" s="4" t="s">
        <v>195</v>
      </c>
      <c r="H69" s="9" t="s">
        <v>196</v>
      </c>
      <c r="I69" s="5" t="s">
        <v>1742</v>
      </c>
      <c r="J69" s="5" t="s">
        <v>198</v>
      </c>
      <c r="K69" s="6">
        <f t="shared" si="1"/>
        <v>1</v>
      </c>
    </row>
    <row r="70" spans="1:11" ht="45" customHeight="1">
      <c r="A70" s="4">
        <v>62</v>
      </c>
      <c r="B70" s="5" t="s">
        <v>124</v>
      </c>
      <c r="C70" s="5" t="s">
        <v>147</v>
      </c>
      <c r="D70" s="5" t="s">
        <v>126</v>
      </c>
      <c r="E70" s="7" t="s">
        <v>105</v>
      </c>
      <c r="F70" s="8" t="s">
        <v>105</v>
      </c>
      <c r="G70" s="4" t="s">
        <v>195</v>
      </c>
      <c r="H70" s="9" t="s">
        <v>196</v>
      </c>
      <c r="I70" s="5" t="s">
        <v>1742</v>
      </c>
      <c r="J70" s="5" t="s">
        <v>198</v>
      </c>
      <c r="K70" s="6">
        <f t="shared" si="1"/>
        <v>1</v>
      </c>
    </row>
    <row r="71" spans="1:11" ht="15" customHeight="1">
      <c r="A71" s="4">
        <v>63</v>
      </c>
      <c r="B71" s="5" t="s">
        <v>95</v>
      </c>
      <c r="C71" s="5" t="s">
        <v>147</v>
      </c>
      <c r="D71" s="5" t="s">
        <v>127</v>
      </c>
      <c r="E71" s="7" t="s">
        <v>105</v>
      </c>
      <c r="F71" s="8" t="s">
        <v>105</v>
      </c>
      <c r="G71" s="4" t="s">
        <v>195</v>
      </c>
      <c r="H71" s="9" t="s">
        <v>196</v>
      </c>
      <c r="I71" s="5" t="s">
        <v>1742</v>
      </c>
      <c r="J71" s="5" t="s">
        <v>198</v>
      </c>
      <c r="K71" s="6">
        <f t="shared" si="1"/>
        <v>1</v>
      </c>
    </row>
    <row r="72" spans="1:11" ht="15" customHeight="1">
      <c r="A72" s="4">
        <v>64</v>
      </c>
      <c r="B72" s="5" t="s">
        <v>128</v>
      </c>
      <c r="C72" s="5" t="s">
        <v>147</v>
      </c>
      <c r="D72" s="5" t="s">
        <v>129</v>
      </c>
      <c r="E72" s="7" t="s">
        <v>105</v>
      </c>
      <c r="F72" s="8" t="s">
        <v>105</v>
      </c>
      <c r="G72" s="4" t="s">
        <v>195</v>
      </c>
      <c r="H72" s="9" t="s">
        <v>196</v>
      </c>
      <c r="I72" s="5" t="s">
        <v>1742</v>
      </c>
      <c r="J72" s="5" t="s">
        <v>198</v>
      </c>
      <c r="K72" s="6">
        <f t="shared" si="1"/>
        <v>1</v>
      </c>
    </row>
    <row r="73" spans="1:11" ht="15" customHeight="1">
      <c r="A73" s="4">
        <v>65</v>
      </c>
      <c r="B73" s="5" t="s">
        <v>713</v>
      </c>
      <c r="C73" s="5" t="s">
        <v>147</v>
      </c>
      <c r="D73" s="5" t="s">
        <v>1415</v>
      </c>
      <c r="E73" s="7" t="s">
        <v>105</v>
      </c>
      <c r="F73" s="8" t="s">
        <v>105</v>
      </c>
      <c r="G73" s="4" t="s">
        <v>195</v>
      </c>
      <c r="H73" s="9" t="s">
        <v>196</v>
      </c>
      <c r="I73" s="5" t="s">
        <v>1742</v>
      </c>
      <c r="J73" s="5" t="s">
        <v>198</v>
      </c>
      <c r="K73" s="6">
        <f t="shared" ref="K73:K104" si="2">IF(AND(E73="yes",F73="yes",H73="covered"),1,IF(H73="partial",0.5,0))</f>
        <v>1</v>
      </c>
    </row>
    <row r="74" spans="1:11" ht="15" customHeight="1">
      <c r="A74" s="4">
        <v>66</v>
      </c>
      <c r="B74" s="5" t="s">
        <v>713</v>
      </c>
      <c r="C74" s="5" t="s">
        <v>147</v>
      </c>
      <c r="D74" s="5" t="s">
        <v>1416</v>
      </c>
      <c r="E74" s="7" t="s">
        <v>105</v>
      </c>
      <c r="F74" s="8" t="s">
        <v>105</v>
      </c>
      <c r="G74" s="4" t="s">
        <v>195</v>
      </c>
      <c r="H74" s="9" t="s">
        <v>196</v>
      </c>
      <c r="I74" s="5" t="s">
        <v>1742</v>
      </c>
      <c r="J74" s="5" t="s">
        <v>198</v>
      </c>
      <c r="K74" s="6">
        <f t="shared" si="2"/>
        <v>1</v>
      </c>
    </row>
    <row r="75" spans="1:11" ht="15" customHeight="1">
      <c r="A75" s="4">
        <v>67</v>
      </c>
      <c r="B75" s="5" t="s">
        <v>713</v>
      </c>
      <c r="C75" s="5" t="s">
        <v>147</v>
      </c>
      <c r="D75" s="5" t="s">
        <v>1417</v>
      </c>
      <c r="E75" s="7" t="s">
        <v>105</v>
      </c>
      <c r="F75" s="8" t="s">
        <v>105</v>
      </c>
      <c r="G75" s="4" t="s">
        <v>195</v>
      </c>
      <c r="H75" s="9" t="s">
        <v>196</v>
      </c>
      <c r="I75" s="5" t="s">
        <v>1742</v>
      </c>
      <c r="J75" s="5" t="s">
        <v>198</v>
      </c>
      <c r="K75" s="6">
        <f t="shared" si="2"/>
        <v>1</v>
      </c>
    </row>
    <row r="76" spans="1:11" ht="15" customHeight="1">
      <c r="A76" s="4">
        <v>68</v>
      </c>
      <c r="B76" s="5" t="s">
        <v>539</v>
      </c>
      <c r="C76" s="5" t="s">
        <v>147</v>
      </c>
      <c r="D76" s="5" t="s">
        <v>615</v>
      </c>
      <c r="E76" s="7" t="s">
        <v>105</v>
      </c>
      <c r="F76" s="8" t="s">
        <v>105</v>
      </c>
      <c r="G76" s="4" t="s">
        <v>195</v>
      </c>
      <c r="H76" s="9" t="s">
        <v>196</v>
      </c>
      <c r="I76" s="5" t="s">
        <v>1742</v>
      </c>
      <c r="J76" s="5" t="s">
        <v>198</v>
      </c>
      <c r="K76" s="6">
        <f t="shared" si="2"/>
        <v>1</v>
      </c>
    </row>
    <row r="77" spans="1:11" ht="15" customHeight="1">
      <c r="A77" s="4">
        <v>69</v>
      </c>
      <c r="B77" s="5" t="s">
        <v>133</v>
      </c>
      <c r="C77" s="5" t="s">
        <v>147</v>
      </c>
      <c r="D77" s="5" t="s">
        <v>719</v>
      </c>
      <c r="E77" s="7" t="s">
        <v>105</v>
      </c>
      <c r="F77" s="8" t="s">
        <v>105</v>
      </c>
      <c r="G77" s="4" t="s">
        <v>195</v>
      </c>
      <c r="H77" s="9" t="s">
        <v>196</v>
      </c>
      <c r="I77" s="5" t="s">
        <v>1742</v>
      </c>
      <c r="J77" s="5" t="s">
        <v>198</v>
      </c>
      <c r="K77" s="6">
        <f t="shared" si="2"/>
        <v>1</v>
      </c>
    </row>
    <row r="78" spans="1:11" ht="15" customHeight="1">
      <c r="A78" s="4">
        <v>70</v>
      </c>
      <c r="B78" s="5" t="s">
        <v>133</v>
      </c>
      <c r="C78" s="5" t="s">
        <v>147</v>
      </c>
      <c r="D78" s="5" t="s">
        <v>142</v>
      </c>
      <c r="E78" s="7" t="s">
        <v>105</v>
      </c>
      <c r="F78" s="8" t="s">
        <v>105</v>
      </c>
      <c r="G78" s="4" t="s">
        <v>195</v>
      </c>
      <c r="H78" s="9" t="s">
        <v>196</v>
      </c>
      <c r="I78" s="5" t="s">
        <v>1742</v>
      </c>
      <c r="J78" s="5" t="s">
        <v>198</v>
      </c>
      <c r="K78" s="6">
        <f t="shared" si="2"/>
        <v>1</v>
      </c>
    </row>
    <row r="79" spans="1:11" ht="15" customHeight="1">
      <c r="A79" s="4">
        <v>71</v>
      </c>
      <c r="B79" s="5" t="s">
        <v>133</v>
      </c>
      <c r="C79" s="5" t="s">
        <v>147</v>
      </c>
      <c r="D79" s="5" t="s">
        <v>146</v>
      </c>
      <c r="E79" s="7" t="s">
        <v>105</v>
      </c>
      <c r="F79" s="8" t="s">
        <v>105</v>
      </c>
      <c r="G79" s="4" t="s">
        <v>195</v>
      </c>
      <c r="H79" s="9" t="s">
        <v>196</v>
      </c>
      <c r="I79" s="5" t="s">
        <v>1742</v>
      </c>
      <c r="J79" s="5" t="s">
        <v>198</v>
      </c>
      <c r="K79" s="6">
        <f t="shared" si="2"/>
        <v>1</v>
      </c>
    </row>
    <row r="80" spans="1:11" ht="15" customHeight="1">
      <c r="A80" s="4">
        <v>72</v>
      </c>
      <c r="B80" s="5" t="s">
        <v>713</v>
      </c>
      <c r="C80" s="5" t="s">
        <v>147</v>
      </c>
      <c r="D80" s="5" t="s">
        <v>1418</v>
      </c>
      <c r="E80" s="7" t="s">
        <v>105</v>
      </c>
      <c r="F80" s="8" t="s">
        <v>105</v>
      </c>
      <c r="G80" s="4" t="s">
        <v>195</v>
      </c>
      <c r="H80" s="9" t="s">
        <v>196</v>
      </c>
      <c r="I80" s="5" t="s">
        <v>1742</v>
      </c>
      <c r="J80" s="5" t="s">
        <v>198</v>
      </c>
      <c r="K80" s="6">
        <f t="shared" si="2"/>
        <v>1</v>
      </c>
    </row>
    <row r="81" spans="1:11" ht="15" customHeight="1">
      <c r="A81" s="4">
        <v>73</v>
      </c>
      <c r="B81" s="5" t="s">
        <v>133</v>
      </c>
      <c r="C81" s="5" t="s">
        <v>147</v>
      </c>
      <c r="D81" s="5" t="s">
        <v>1118</v>
      </c>
      <c r="E81" s="7" t="s">
        <v>105</v>
      </c>
      <c r="F81" s="8" t="s">
        <v>105</v>
      </c>
      <c r="G81" s="4" t="s">
        <v>195</v>
      </c>
      <c r="H81" s="9" t="s">
        <v>196</v>
      </c>
      <c r="I81" s="5" t="s">
        <v>1742</v>
      </c>
      <c r="J81" s="5" t="s">
        <v>198</v>
      </c>
      <c r="K81" s="6">
        <f t="shared" si="2"/>
        <v>1</v>
      </c>
    </row>
    <row r="82" spans="1:11" ht="15" customHeight="1">
      <c r="A82" s="4">
        <v>74</v>
      </c>
      <c r="B82" s="5" t="s">
        <v>120</v>
      </c>
      <c r="C82" s="5" t="s">
        <v>1419</v>
      </c>
      <c r="D82" s="5" t="s">
        <v>122</v>
      </c>
      <c r="E82" s="7" t="s">
        <v>105</v>
      </c>
      <c r="F82" s="8" t="s">
        <v>105</v>
      </c>
      <c r="G82" s="4" t="s">
        <v>195</v>
      </c>
      <c r="H82" s="9" t="s">
        <v>196</v>
      </c>
      <c r="I82" s="5" t="s">
        <v>1742</v>
      </c>
      <c r="J82" s="5" t="s">
        <v>198</v>
      </c>
      <c r="K82" s="6">
        <f t="shared" si="2"/>
        <v>1</v>
      </c>
    </row>
    <row r="83" spans="1:11" ht="15" customHeight="1">
      <c r="A83" s="4">
        <v>75</v>
      </c>
      <c r="B83" s="5" t="s">
        <v>120</v>
      </c>
      <c r="C83" s="5" t="s">
        <v>1419</v>
      </c>
      <c r="D83" s="5" t="s">
        <v>123</v>
      </c>
      <c r="E83" s="7" t="s">
        <v>105</v>
      </c>
      <c r="F83" s="8" t="s">
        <v>105</v>
      </c>
      <c r="G83" s="4" t="s">
        <v>195</v>
      </c>
      <c r="H83" s="9" t="s">
        <v>196</v>
      </c>
      <c r="I83" s="5" t="s">
        <v>1742</v>
      </c>
      <c r="J83" s="5" t="s">
        <v>198</v>
      </c>
      <c r="K83" s="6">
        <f t="shared" si="2"/>
        <v>1</v>
      </c>
    </row>
    <row r="84" spans="1:11" ht="30" customHeight="1">
      <c r="A84" s="4">
        <v>76</v>
      </c>
      <c r="B84" s="5" t="s">
        <v>124</v>
      </c>
      <c r="C84" s="5" t="s">
        <v>1419</v>
      </c>
      <c r="D84" s="5" t="s">
        <v>125</v>
      </c>
      <c r="E84" s="7" t="s">
        <v>105</v>
      </c>
      <c r="F84" s="8" t="s">
        <v>105</v>
      </c>
      <c r="G84" s="4" t="s">
        <v>195</v>
      </c>
      <c r="H84" s="9" t="s">
        <v>196</v>
      </c>
      <c r="I84" s="5" t="s">
        <v>1742</v>
      </c>
      <c r="J84" s="5" t="s">
        <v>198</v>
      </c>
      <c r="K84" s="6">
        <f t="shared" si="2"/>
        <v>1</v>
      </c>
    </row>
    <row r="85" spans="1:11" ht="45" customHeight="1">
      <c r="A85" s="4">
        <v>77</v>
      </c>
      <c r="B85" s="5" t="s">
        <v>124</v>
      </c>
      <c r="C85" s="5" t="s">
        <v>1419</v>
      </c>
      <c r="D85" s="5" t="s">
        <v>126</v>
      </c>
      <c r="E85" s="7" t="s">
        <v>105</v>
      </c>
      <c r="F85" s="8" t="s">
        <v>105</v>
      </c>
      <c r="G85" s="4" t="s">
        <v>195</v>
      </c>
      <c r="H85" s="9" t="s">
        <v>196</v>
      </c>
      <c r="I85" s="5" t="s">
        <v>1742</v>
      </c>
      <c r="J85" s="5" t="s">
        <v>198</v>
      </c>
      <c r="K85" s="6">
        <f t="shared" si="2"/>
        <v>1</v>
      </c>
    </row>
    <row r="86" spans="1:11" ht="45" customHeight="1">
      <c r="A86" s="4">
        <v>78</v>
      </c>
      <c r="B86" s="5" t="s">
        <v>95</v>
      </c>
      <c r="C86" s="5" t="s">
        <v>1419</v>
      </c>
      <c r="D86" s="5" t="s">
        <v>127</v>
      </c>
      <c r="E86" s="7" t="s">
        <v>105</v>
      </c>
      <c r="F86" s="8" t="s">
        <v>105</v>
      </c>
      <c r="G86" s="4" t="s">
        <v>195</v>
      </c>
      <c r="H86" s="9" t="s">
        <v>196</v>
      </c>
      <c r="I86" s="5" t="s">
        <v>1742</v>
      </c>
      <c r="J86" s="5" t="s">
        <v>198</v>
      </c>
      <c r="K86" s="6">
        <f t="shared" si="2"/>
        <v>1</v>
      </c>
    </row>
    <row r="87" spans="1:11" ht="45" customHeight="1">
      <c r="A87" s="4">
        <v>79</v>
      </c>
      <c r="B87" s="5" t="s">
        <v>128</v>
      </c>
      <c r="C87" s="5" t="s">
        <v>1419</v>
      </c>
      <c r="D87" s="5" t="s">
        <v>129</v>
      </c>
      <c r="E87" s="7" t="s">
        <v>105</v>
      </c>
      <c r="F87" s="8" t="s">
        <v>105</v>
      </c>
      <c r="G87" s="4" t="s">
        <v>195</v>
      </c>
      <c r="H87" s="9" t="s">
        <v>196</v>
      </c>
      <c r="I87" s="5" t="s">
        <v>1742</v>
      </c>
      <c r="J87" s="5" t="s">
        <v>198</v>
      </c>
      <c r="K87" s="6">
        <f t="shared" si="2"/>
        <v>1</v>
      </c>
    </row>
    <row r="88" spans="1:11" ht="15" customHeight="1">
      <c r="A88" s="4">
        <v>80</v>
      </c>
      <c r="B88" s="5" t="s">
        <v>133</v>
      </c>
      <c r="C88" s="5" t="s">
        <v>1419</v>
      </c>
      <c r="D88" s="5" t="s">
        <v>1420</v>
      </c>
      <c r="E88" s="7" t="s">
        <v>105</v>
      </c>
      <c r="F88" s="8" t="s">
        <v>105</v>
      </c>
      <c r="G88" s="4" t="s">
        <v>1777</v>
      </c>
      <c r="H88" s="9" t="s">
        <v>196</v>
      </c>
      <c r="I88" s="5" t="s">
        <v>1778</v>
      </c>
      <c r="J88" s="5" t="s">
        <v>198</v>
      </c>
      <c r="K88" s="6">
        <f t="shared" si="2"/>
        <v>1</v>
      </c>
    </row>
    <row r="89" spans="1:11" ht="15" customHeight="1">
      <c r="A89" s="4">
        <v>81</v>
      </c>
      <c r="B89" s="5" t="s">
        <v>133</v>
      </c>
      <c r="C89" s="5" t="s">
        <v>1419</v>
      </c>
      <c r="D89" s="5" t="s">
        <v>1421</v>
      </c>
      <c r="E89" s="7" t="s">
        <v>105</v>
      </c>
      <c r="F89" s="8" t="s">
        <v>105</v>
      </c>
      <c r="G89" s="4" t="s">
        <v>1779</v>
      </c>
      <c r="H89" s="9" t="s">
        <v>196</v>
      </c>
      <c r="I89" s="5" t="s">
        <v>1780</v>
      </c>
      <c r="J89" s="5" t="s">
        <v>198</v>
      </c>
      <c r="K89" s="6">
        <f t="shared" si="2"/>
        <v>1</v>
      </c>
    </row>
    <row r="90" spans="1:11" ht="15" customHeight="1">
      <c r="A90" s="4">
        <v>82</v>
      </c>
      <c r="B90" s="5" t="s">
        <v>133</v>
      </c>
      <c r="C90" s="5" t="s">
        <v>1419</v>
      </c>
      <c r="D90" s="5" t="s">
        <v>719</v>
      </c>
      <c r="E90" s="7" t="s">
        <v>105</v>
      </c>
      <c r="F90" s="8" t="s">
        <v>105</v>
      </c>
      <c r="G90" s="4" t="s">
        <v>195</v>
      </c>
      <c r="H90" s="9" t="s">
        <v>196</v>
      </c>
      <c r="I90" s="5" t="s">
        <v>1742</v>
      </c>
      <c r="J90" s="5" t="s">
        <v>198</v>
      </c>
      <c r="K90" s="6">
        <f t="shared" si="2"/>
        <v>1</v>
      </c>
    </row>
    <row r="91" spans="1:11" ht="15" customHeight="1">
      <c r="A91" s="4">
        <v>83</v>
      </c>
      <c r="B91" s="5" t="s">
        <v>133</v>
      </c>
      <c r="C91" s="5" t="s">
        <v>1419</v>
      </c>
      <c r="D91" s="5" t="s">
        <v>142</v>
      </c>
      <c r="E91" s="7" t="s">
        <v>105</v>
      </c>
      <c r="F91" s="8" t="s">
        <v>105</v>
      </c>
      <c r="G91" s="4" t="s">
        <v>195</v>
      </c>
      <c r="H91" s="9" t="s">
        <v>196</v>
      </c>
      <c r="I91" s="5" t="s">
        <v>1742</v>
      </c>
      <c r="J91" s="5" t="s">
        <v>198</v>
      </c>
      <c r="K91" s="6">
        <f t="shared" si="2"/>
        <v>1</v>
      </c>
    </row>
    <row r="92" spans="1:11" ht="15" customHeight="1">
      <c r="A92" s="4">
        <v>84</v>
      </c>
      <c r="B92" s="5" t="s">
        <v>713</v>
      </c>
      <c r="C92" s="5" t="s">
        <v>1419</v>
      </c>
      <c r="D92" s="5" t="s">
        <v>1418</v>
      </c>
      <c r="E92" s="7" t="s">
        <v>105</v>
      </c>
      <c r="F92" s="8" t="s">
        <v>105</v>
      </c>
      <c r="G92" s="4" t="s">
        <v>195</v>
      </c>
      <c r="H92" s="9" t="s">
        <v>196</v>
      </c>
      <c r="I92" s="5" t="s">
        <v>1742</v>
      </c>
      <c r="J92" s="5" t="s">
        <v>198</v>
      </c>
      <c r="K92" s="6">
        <f t="shared" si="2"/>
        <v>1</v>
      </c>
    </row>
    <row r="93" spans="1:11" ht="15" customHeight="1">
      <c r="A93" s="4">
        <v>85</v>
      </c>
      <c r="B93" s="5" t="s">
        <v>120</v>
      </c>
      <c r="C93" s="5" t="s">
        <v>1076</v>
      </c>
      <c r="D93" s="5" t="s">
        <v>122</v>
      </c>
      <c r="E93" s="7" t="s">
        <v>105</v>
      </c>
      <c r="F93" s="8" t="s">
        <v>105</v>
      </c>
      <c r="G93" s="4" t="s">
        <v>195</v>
      </c>
      <c r="H93" s="9" t="s">
        <v>196</v>
      </c>
      <c r="I93" s="5" t="s">
        <v>1742</v>
      </c>
      <c r="J93" s="5" t="s">
        <v>198</v>
      </c>
      <c r="K93" s="6">
        <f t="shared" si="2"/>
        <v>1</v>
      </c>
    </row>
    <row r="94" spans="1:11" ht="15" customHeight="1">
      <c r="A94" s="4">
        <v>86</v>
      </c>
      <c r="B94" s="5" t="s">
        <v>120</v>
      </c>
      <c r="C94" s="5" t="s">
        <v>1076</v>
      </c>
      <c r="D94" s="5" t="s">
        <v>123</v>
      </c>
      <c r="E94" s="7" t="s">
        <v>105</v>
      </c>
      <c r="F94" s="8" t="s">
        <v>105</v>
      </c>
      <c r="G94" s="4" t="s">
        <v>195</v>
      </c>
      <c r="H94" s="9" t="s">
        <v>196</v>
      </c>
      <c r="I94" s="5" t="s">
        <v>1742</v>
      </c>
      <c r="J94" s="5" t="s">
        <v>198</v>
      </c>
      <c r="K94" s="6">
        <f t="shared" si="2"/>
        <v>1</v>
      </c>
    </row>
    <row r="95" spans="1:11" ht="30" customHeight="1">
      <c r="A95" s="4">
        <v>87</v>
      </c>
      <c r="B95" s="5" t="s">
        <v>124</v>
      </c>
      <c r="C95" s="5" t="s">
        <v>1076</v>
      </c>
      <c r="D95" s="5" t="s">
        <v>125</v>
      </c>
      <c r="E95" s="7" t="s">
        <v>105</v>
      </c>
      <c r="F95" s="8" t="s">
        <v>105</v>
      </c>
      <c r="G95" s="4" t="s">
        <v>195</v>
      </c>
      <c r="H95" s="9" t="s">
        <v>196</v>
      </c>
      <c r="I95" s="5" t="s">
        <v>1742</v>
      </c>
      <c r="J95" s="5" t="s">
        <v>198</v>
      </c>
      <c r="K95" s="6">
        <f t="shared" si="2"/>
        <v>1</v>
      </c>
    </row>
    <row r="96" spans="1:11" ht="45" customHeight="1">
      <c r="A96" s="4">
        <v>88</v>
      </c>
      <c r="B96" s="5" t="s">
        <v>124</v>
      </c>
      <c r="C96" s="5" t="s">
        <v>1076</v>
      </c>
      <c r="D96" s="5" t="s">
        <v>126</v>
      </c>
      <c r="E96" s="7" t="s">
        <v>105</v>
      </c>
      <c r="F96" s="8" t="s">
        <v>105</v>
      </c>
      <c r="G96" s="4" t="s">
        <v>195</v>
      </c>
      <c r="H96" s="9" t="s">
        <v>196</v>
      </c>
      <c r="I96" s="5" t="s">
        <v>1742</v>
      </c>
      <c r="J96" s="5" t="s">
        <v>198</v>
      </c>
      <c r="K96" s="6">
        <f t="shared" si="2"/>
        <v>1</v>
      </c>
    </row>
    <row r="97" spans="1:11" ht="15" customHeight="1">
      <c r="A97" s="4">
        <v>89</v>
      </c>
      <c r="B97" s="5" t="s">
        <v>95</v>
      </c>
      <c r="C97" s="5" t="s">
        <v>1076</v>
      </c>
      <c r="D97" s="5" t="s">
        <v>127</v>
      </c>
      <c r="E97" s="7" t="s">
        <v>105</v>
      </c>
      <c r="F97" s="8" t="s">
        <v>105</v>
      </c>
      <c r="G97" s="4" t="s">
        <v>195</v>
      </c>
      <c r="H97" s="9" t="s">
        <v>196</v>
      </c>
      <c r="I97" s="5" t="s">
        <v>1742</v>
      </c>
      <c r="J97" s="5" t="s">
        <v>198</v>
      </c>
      <c r="K97" s="6">
        <f t="shared" si="2"/>
        <v>1</v>
      </c>
    </row>
    <row r="98" spans="1:11" ht="15" customHeight="1">
      <c r="A98" s="4">
        <v>90</v>
      </c>
      <c r="B98" s="5" t="s">
        <v>128</v>
      </c>
      <c r="C98" s="5" t="s">
        <v>1076</v>
      </c>
      <c r="D98" s="5" t="s">
        <v>129</v>
      </c>
      <c r="E98" s="7" t="s">
        <v>105</v>
      </c>
      <c r="F98" s="8" t="s">
        <v>105</v>
      </c>
      <c r="G98" s="4" t="s">
        <v>195</v>
      </c>
      <c r="H98" s="9" t="s">
        <v>196</v>
      </c>
      <c r="I98" s="5" t="s">
        <v>1742</v>
      </c>
      <c r="J98" s="5" t="s">
        <v>198</v>
      </c>
      <c r="K98" s="6">
        <f t="shared" si="2"/>
        <v>1</v>
      </c>
    </row>
    <row r="99" spans="1:11" ht="15" customHeight="1">
      <c r="A99" s="4">
        <v>91</v>
      </c>
      <c r="B99" s="5" t="s">
        <v>130</v>
      </c>
      <c r="C99" s="5" t="s">
        <v>1076</v>
      </c>
      <c r="D99" s="5" t="s">
        <v>131</v>
      </c>
      <c r="E99" s="7" t="s">
        <v>105</v>
      </c>
      <c r="F99" s="8" t="s">
        <v>105</v>
      </c>
      <c r="G99" s="4" t="s">
        <v>195</v>
      </c>
      <c r="H99" s="9" t="s">
        <v>196</v>
      </c>
      <c r="I99" s="5" t="s">
        <v>1742</v>
      </c>
      <c r="J99" s="5" t="s">
        <v>198</v>
      </c>
      <c r="K99" s="6">
        <f t="shared" si="2"/>
        <v>1</v>
      </c>
    </row>
    <row r="100" spans="1:11" ht="15" customHeight="1">
      <c r="A100" s="4">
        <v>92</v>
      </c>
      <c r="B100" s="5" t="s">
        <v>130</v>
      </c>
      <c r="C100" s="5" t="s">
        <v>1076</v>
      </c>
      <c r="D100" s="5" t="s">
        <v>132</v>
      </c>
      <c r="E100" s="7" t="s">
        <v>105</v>
      </c>
      <c r="F100" s="8" t="s">
        <v>105</v>
      </c>
      <c r="G100" s="4" t="s">
        <v>195</v>
      </c>
      <c r="H100" s="9" t="s">
        <v>196</v>
      </c>
      <c r="I100" s="5" t="s">
        <v>1742</v>
      </c>
      <c r="J100" s="5" t="s">
        <v>198</v>
      </c>
      <c r="K100" s="6">
        <f t="shared" si="2"/>
        <v>1</v>
      </c>
    </row>
    <row r="101" spans="1:11" ht="15" customHeight="1">
      <c r="A101" s="4">
        <v>93</v>
      </c>
      <c r="B101" s="5" t="s">
        <v>133</v>
      </c>
      <c r="C101" s="5" t="s">
        <v>1076</v>
      </c>
      <c r="D101" s="5" t="s">
        <v>719</v>
      </c>
      <c r="E101" s="7" t="s">
        <v>105</v>
      </c>
      <c r="F101" s="8" t="s">
        <v>105</v>
      </c>
      <c r="G101" s="4" t="s">
        <v>195</v>
      </c>
      <c r="H101" s="9" t="s">
        <v>196</v>
      </c>
      <c r="I101" s="5" t="s">
        <v>1742</v>
      </c>
      <c r="J101" s="5" t="s">
        <v>198</v>
      </c>
      <c r="K101" s="6">
        <f t="shared" si="2"/>
        <v>1</v>
      </c>
    </row>
    <row r="102" spans="1:11" ht="15" customHeight="1">
      <c r="A102" s="4">
        <v>94</v>
      </c>
      <c r="B102" s="5" t="s">
        <v>153</v>
      </c>
      <c r="C102" s="5" t="s">
        <v>154</v>
      </c>
      <c r="D102" s="5" t="s">
        <v>155</v>
      </c>
      <c r="E102" s="7" t="s">
        <v>105</v>
      </c>
      <c r="F102" s="8" t="s">
        <v>105</v>
      </c>
      <c r="G102" s="4" t="s">
        <v>195</v>
      </c>
      <c r="H102" s="9" t="s">
        <v>196</v>
      </c>
      <c r="I102" s="5" t="s">
        <v>1742</v>
      </c>
      <c r="J102" s="5" t="s">
        <v>198</v>
      </c>
      <c r="K102" s="6">
        <f t="shared" si="2"/>
        <v>1</v>
      </c>
    </row>
    <row r="103" spans="1:11" ht="15" customHeight="1">
      <c r="A103" s="4">
        <v>95</v>
      </c>
      <c r="B103" s="5" t="s">
        <v>153</v>
      </c>
      <c r="C103" s="5" t="s">
        <v>154</v>
      </c>
      <c r="D103" s="5" t="s">
        <v>156</v>
      </c>
      <c r="E103" s="7" t="s">
        <v>105</v>
      </c>
      <c r="F103" s="8" t="s">
        <v>105</v>
      </c>
      <c r="G103" s="4" t="s">
        <v>195</v>
      </c>
      <c r="H103" s="9" t="s">
        <v>196</v>
      </c>
      <c r="I103" s="5" t="s">
        <v>1742</v>
      </c>
      <c r="J103" s="5" t="s">
        <v>198</v>
      </c>
      <c r="K103" s="6">
        <f t="shared" si="2"/>
        <v>1</v>
      </c>
    </row>
    <row r="104" spans="1:11" ht="30" customHeight="1">
      <c r="A104" s="4">
        <v>96</v>
      </c>
      <c r="B104" s="5" t="s">
        <v>153</v>
      </c>
      <c r="C104" s="5" t="s">
        <v>154</v>
      </c>
      <c r="D104" s="5" t="s">
        <v>157</v>
      </c>
      <c r="E104" s="7" t="s">
        <v>105</v>
      </c>
      <c r="F104" s="8" t="s">
        <v>105</v>
      </c>
      <c r="G104" s="4" t="s">
        <v>195</v>
      </c>
      <c r="H104" s="9" t="s">
        <v>196</v>
      </c>
      <c r="I104" s="5" t="s">
        <v>1742</v>
      </c>
      <c r="J104" s="5" t="s">
        <v>198</v>
      </c>
      <c r="K104" s="6">
        <f t="shared" si="2"/>
        <v>1</v>
      </c>
    </row>
    <row r="105" spans="1:11" ht="15" customHeight="1">
      <c r="A105" s="4">
        <v>97</v>
      </c>
      <c r="B105" s="5" t="s">
        <v>153</v>
      </c>
      <c r="C105" s="5" t="s">
        <v>154</v>
      </c>
      <c r="D105" s="5" t="s">
        <v>726</v>
      </c>
      <c r="E105" s="7" t="s">
        <v>105</v>
      </c>
      <c r="F105" s="8" t="s">
        <v>105</v>
      </c>
      <c r="G105" s="4" t="s">
        <v>195</v>
      </c>
      <c r="H105" s="9" t="s">
        <v>196</v>
      </c>
      <c r="I105" s="5" t="s">
        <v>1742</v>
      </c>
      <c r="J105" s="5" t="s">
        <v>198</v>
      </c>
      <c r="K105" s="6">
        <f t="shared" ref="K105:K139" si="3">IF(AND(E105="yes",F105="yes",H105="covered"),1,IF(H105="partial",0.5,0))</f>
        <v>1</v>
      </c>
    </row>
    <row r="106" spans="1:11" ht="15" customHeight="1">
      <c r="A106" s="4">
        <v>98</v>
      </c>
      <c r="B106" s="5" t="s">
        <v>153</v>
      </c>
      <c r="C106" s="5" t="s">
        <v>154</v>
      </c>
      <c r="D106" s="5" t="s">
        <v>562</v>
      </c>
      <c r="E106" s="7" t="s">
        <v>105</v>
      </c>
      <c r="F106" s="8" t="s">
        <v>105</v>
      </c>
      <c r="G106" s="4" t="s">
        <v>195</v>
      </c>
      <c r="H106" s="9" t="s">
        <v>196</v>
      </c>
      <c r="I106" s="5" t="s">
        <v>1742</v>
      </c>
      <c r="J106" s="5" t="s">
        <v>198</v>
      </c>
      <c r="K106" s="6">
        <f t="shared" si="3"/>
        <v>1</v>
      </c>
    </row>
    <row r="107" spans="1:11" ht="15" customHeight="1">
      <c r="A107" s="4">
        <v>99</v>
      </c>
      <c r="B107" s="5" t="s">
        <v>153</v>
      </c>
      <c r="C107" s="5" t="s">
        <v>154</v>
      </c>
      <c r="D107" s="5" t="s">
        <v>438</v>
      </c>
      <c r="E107" s="7" t="s">
        <v>105</v>
      </c>
      <c r="F107" s="8" t="s">
        <v>105</v>
      </c>
      <c r="G107" s="4" t="s">
        <v>195</v>
      </c>
      <c r="H107" s="9" t="s">
        <v>196</v>
      </c>
      <c r="I107" s="5" t="s">
        <v>1742</v>
      </c>
      <c r="J107" s="5" t="s">
        <v>198</v>
      </c>
      <c r="K107" s="6">
        <f t="shared" si="3"/>
        <v>1</v>
      </c>
    </row>
    <row r="108" spans="1:11" ht="15" customHeight="1">
      <c r="A108" s="4">
        <v>100</v>
      </c>
      <c r="B108" s="5" t="s">
        <v>153</v>
      </c>
      <c r="C108" s="5" t="s">
        <v>154</v>
      </c>
      <c r="D108" s="5" t="s">
        <v>1604</v>
      </c>
      <c r="E108" s="7" t="s">
        <v>105</v>
      </c>
      <c r="F108" s="8" t="s">
        <v>105</v>
      </c>
      <c r="G108" s="4" t="s">
        <v>195</v>
      </c>
      <c r="H108" s="9" t="s">
        <v>196</v>
      </c>
      <c r="I108" s="5" t="s">
        <v>1742</v>
      </c>
      <c r="J108" s="5" t="s">
        <v>198</v>
      </c>
      <c r="K108" s="6">
        <f t="shared" si="3"/>
        <v>1</v>
      </c>
    </row>
    <row r="109" spans="1:11" ht="15" customHeight="1">
      <c r="A109" s="4">
        <v>101</v>
      </c>
      <c r="B109" s="5" t="s">
        <v>159</v>
      </c>
      <c r="C109" s="5" t="s">
        <v>154</v>
      </c>
      <c r="D109" s="5" t="s">
        <v>160</v>
      </c>
      <c r="E109" s="7" t="s">
        <v>105</v>
      </c>
      <c r="F109" s="8" t="s">
        <v>105</v>
      </c>
      <c r="G109" s="4" t="s">
        <v>195</v>
      </c>
      <c r="H109" s="9" t="s">
        <v>196</v>
      </c>
      <c r="I109" s="5" t="s">
        <v>1742</v>
      </c>
      <c r="J109" s="5" t="s">
        <v>198</v>
      </c>
      <c r="K109" s="6">
        <f t="shared" si="3"/>
        <v>1</v>
      </c>
    </row>
    <row r="110" spans="1:11" ht="15" customHeight="1">
      <c r="A110" s="4">
        <v>102</v>
      </c>
      <c r="B110" s="5" t="s">
        <v>159</v>
      </c>
      <c r="C110" s="5" t="s">
        <v>154</v>
      </c>
      <c r="D110" s="5" t="s">
        <v>730</v>
      </c>
      <c r="E110" s="7" t="s">
        <v>105</v>
      </c>
      <c r="F110" s="8" t="s">
        <v>105</v>
      </c>
      <c r="G110" s="4" t="s">
        <v>195</v>
      </c>
      <c r="H110" s="9" t="s">
        <v>196</v>
      </c>
      <c r="I110" s="5" t="s">
        <v>1742</v>
      </c>
      <c r="J110" s="5" t="s">
        <v>198</v>
      </c>
      <c r="K110" s="6">
        <f t="shared" si="3"/>
        <v>1</v>
      </c>
    </row>
    <row r="111" spans="1:11" ht="15" customHeight="1">
      <c r="A111" s="4">
        <v>103</v>
      </c>
      <c r="B111" s="5" t="s">
        <v>159</v>
      </c>
      <c r="C111" s="5" t="s">
        <v>154</v>
      </c>
      <c r="D111" s="5" t="s">
        <v>1425</v>
      </c>
      <c r="E111" s="7" t="s">
        <v>105</v>
      </c>
      <c r="F111" s="8" t="s">
        <v>105</v>
      </c>
      <c r="G111" s="4" t="s">
        <v>195</v>
      </c>
      <c r="H111" s="9" t="s">
        <v>196</v>
      </c>
      <c r="I111" s="5" t="s">
        <v>1742</v>
      </c>
      <c r="J111" s="5" t="s">
        <v>198</v>
      </c>
      <c r="K111" s="6">
        <f t="shared" si="3"/>
        <v>1</v>
      </c>
    </row>
    <row r="112" spans="1:11" ht="15" customHeight="1">
      <c r="A112" s="4">
        <v>104</v>
      </c>
      <c r="B112" s="5" t="s">
        <v>159</v>
      </c>
      <c r="C112" s="5" t="s">
        <v>154</v>
      </c>
      <c r="D112" s="5" t="s">
        <v>162</v>
      </c>
      <c r="E112" s="7" t="s">
        <v>105</v>
      </c>
      <c r="F112" s="8" t="s">
        <v>105</v>
      </c>
      <c r="G112" s="4" t="s">
        <v>195</v>
      </c>
      <c r="H112" s="9" t="s">
        <v>196</v>
      </c>
      <c r="I112" s="5" t="s">
        <v>1742</v>
      </c>
      <c r="J112" s="5" t="s">
        <v>198</v>
      </c>
      <c r="K112" s="6">
        <f t="shared" si="3"/>
        <v>1</v>
      </c>
    </row>
    <row r="113" spans="1:11" ht="15" customHeight="1">
      <c r="A113" s="4">
        <v>105</v>
      </c>
      <c r="B113" s="5" t="s">
        <v>159</v>
      </c>
      <c r="C113" s="5" t="s">
        <v>154</v>
      </c>
      <c r="D113" s="5" t="s">
        <v>163</v>
      </c>
      <c r="E113" s="7" t="s">
        <v>105</v>
      </c>
      <c r="F113" s="8" t="s">
        <v>105</v>
      </c>
      <c r="G113" s="4" t="s">
        <v>195</v>
      </c>
      <c r="H113" s="9" t="s">
        <v>196</v>
      </c>
      <c r="I113" s="5" t="s">
        <v>1742</v>
      </c>
      <c r="J113" s="5" t="s">
        <v>198</v>
      </c>
      <c r="K113" s="6">
        <f t="shared" si="3"/>
        <v>1</v>
      </c>
    </row>
    <row r="114" spans="1:11" ht="15" customHeight="1">
      <c r="A114" s="4">
        <v>106</v>
      </c>
      <c r="B114" s="5" t="s">
        <v>159</v>
      </c>
      <c r="C114" s="5" t="s">
        <v>154</v>
      </c>
      <c r="D114" s="5" t="s">
        <v>1781</v>
      </c>
      <c r="E114" s="7" t="s">
        <v>105</v>
      </c>
      <c r="F114" s="8" t="s">
        <v>105</v>
      </c>
      <c r="G114" s="4" t="s">
        <v>195</v>
      </c>
      <c r="H114" s="9" t="s">
        <v>196</v>
      </c>
      <c r="I114" s="5" t="s">
        <v>1742</v>
      </c>
      <c r="J114" s="5" t="s">
        <v>198</v>
      </c>
      <c r="K114" s="6">
        <f t="shared" si="3"/>
        <v>1</v>
      </c>
    </row>
    <row r="115" spans="1:11" ht="30" customHeight="1">
      <c r="A115" s="4">
        <v>107</v>
      </c>
      <c r="B115" s="5" t="s">
        <v>130</v>
      </c>
      <c r="C115" s="5" t="s">
        <v>54</v>
      </c>
      <c r="D115" s="5" t="s">
        <v>164</v>
      </c>
      <c r="E115" s="7" t="s">
        <v>105</v>
      </c>
      <c r="F115" s="8" t="s">
        <v>105</v>
      </c>
      <c r="G115" s="4" t="s">
        <v>195</v>
      </c>
      <c r="H115" s="9" t="s">
        <v>196</v>
      </c>
      <c r="I115" s="5" t="s">
        <v>1742</v>
      </c>
      <c r="J115" s="5" t="s">
        <v>198</v>
      </c>
      <c r="K115" s="6">
        <f t="shared" si="3"/>
        <v>1</v>
      </c>
    </row>
    <row r="116" spans="1:11" ht="15" customHeight="1">
      <c r="A116" s="4">
        <v>108</v>
      </c>
      <c r="B116" s="5" t="s">
        <v>130</v>
      </c>
      <c r="C116" s="5" t="s">
        <v>54</v>
      </c>
      <c r="D116" s="5" t="s">
        <v>165</v>
      </c>
      <c r="E116" s="7" t="s">
        <v>105</v>
      </c>
      <c r="F116" s="8" t="s">
        <v>105</v>
      </c>
      <c r="G116" s="4" t="s">
        <v>195</v>
      </c>
      <c r="H116" s="9" t="s">
        <v>196</v>
      </c>
      <c r="I116" s="5" t="s">
        <v>1742</v>
      </c>
      <c r="J116" s="5" t="s">
        <v>198</v>
      </c>
      <c r="K116" s="6">
        <f t="shared" si="3"/>
        <v>1</v>
      </c>
    </row>
    <row r="117" spans="1:11" ht="15" customHeight="1">
      <c r="A117" s="4">
        <v>109</v>
      </c>
      <c r="B117" s="5" t="s">
        <v>130</v>
      </c>
      <c r="C117" s="5" t="s">
        <v>54</v>
      </c>
      <c r="D117" s="5" t="s">
        <v>166</v>
      </c>
      <c r="E117" s="7" t="s">
        <v>105</v>
      </c>
      <c r="F117" s="8" t="s">
        <v>105</v>
      </c>
      <c r="G117" s="4" t="s">
        <v>195</v>
      </c>
      <c r="H117" s="9" t="s">
        <v>196</v>
      </c>
      <c r="I117" s="5" t="s">
        <v>1742</v>
      </c>
      <c r="J117" s="5" t="s">
        <v>198</v>
      </c>
      <c r="K117" s="6">
        <f t="shared" si="3"/>
        <v>1</v>
      </c>
    </row>
    <row r="118" spans="1:11" ht="15" customHeight="1">
      <c r="A118" s="4">
        <v>110</v>
      </c>
      <c r="B118" s="5" t="s">
        <v>130</v>
      </c>
      <c r="C118" s="5" t="s">
        <v>54</v>
      </c>
      <c r="D118" s="5" t="s">
        <v>167</v>
      </c>
      <c r="E118" s="7" t="s">
        <v>105</v>
      </c>
      <c r="F118" s="8" t="s">
        <v>105</v>
      </c>
      <c r="G118" s="4" t="s">
        <v>195</v>
      </c>
      <c r="H118" s="9" t="s">
        <v>196</v>
      </c>
      <c r="I118" s="5" t="s">
        <v>1742</v>
      </c>
      <c r="J118" s="5" t="s">
        <v>198</v>
      </c>
      <c r="K118" s="6">
        <f t="shared" si="3"/>
        <v>1</v>
      </c>
    </row>
    <row r="119" spans="1:11" ht="15" customHeight="1">
      <c r="A119" s="4">
        <v>111</v>
      </c>
      <c r="B119" s="5" t="s">
        <v>130</v>
      </c>
      <c r="C119" s="5" t="s">
        <v>54</v>
      </c>
      <c r="D119" s="5" t="s">
        <v>168</v>
      </c>
      <c r="E119" s="7" t="s">
        <v>105</v>
      </c>
      <c r="F119" s="8" t="s">
        <v>105</v>
      </c>
      <c r="G119" s="4" t="s">
        <v>195</v>
      </c>
      <c r="H119" s="9" t="s">
        <v>196</v>
      </c>
      <c r="I119" s="5" t="s">
        <v>1742</v>
      </c>
      <c r="J119" s="5" t="s">
        <v>198</v>
      </c>
      <c r="K119" s="6">
        <f t="shared" si="3"/>
        <v>1</v>
      </c>
    </row>
    <row r="120" spans="1:11" ht="15" customHeight="1">
      <c r="A120" s="4">
        <v>112</v>
      </c>
      <c r="B120" s="5" t="s">
        <v>135</v>
      </c>
      <c r="C120" s="5" t="s">
        <v>121</v>
      </c>
      <c r="D120" s="5" t="s">
        <v>169</v>
      </c>
      <c r="E120" s="7" t="s">
        <v>105</v>
      </c>
      <c r="F120" s="8" t="s">
        <v>105</v>
      </c>
      <c r="G120" s="4" t="s">
        <v>195</v>
      </c>
      <c r="H120" s="9" t="s">
        <v>196</v>
      </c>
      <c r="I120" s="5" t="s">
        <v>1742</v>
      </c>
      <c r="J120" s="5" t="s">
        <v>198</v>
      </c>
      <c r="K120" s="6">
        <f t="shared" si="3"/>
        <v>1</v>
      </c>
    </row>
    <row r="121" spans="1:11" ht="15" customHeight="1">
      <c r="A121" s="4">
        <v>113</v>
      </c>
      <c r="B121" s="5" t="s">
        <v>135</v>
      </c>
      <c r="C121" s="5" t="s">
        <v>121</v>
      </c>
      <c r="D121" s="5" t="s">
        <v>170</v>
      </c>
      <c r="E121" s="7" t="s">
        <v>105</v>
      </c>
      <c r="F121" s="8" t="s">
        <v>105</v>
      </c>
      <c r="G121" s="4" t="s">
        <v>195</v>
      </c>
      <c r="H121" s="9" t="s">
        <v>196</v>
      </c>
      <c r="I121" s="5" t="s">
        <v>1742</v>
      </c>
      <c r="J121" s="5" t="s">
        <v>198</v>
      </c>
      <c r="K121" s="6">
        <f t="shared" si="3"/>
        <v>1</v>
      </c>
    </row>
    <row r="122" spans="1:11" ht="15" customHeight="1">
      <c r="A122" s="4">
        <v>114</v>
      </c>
      <c r="B122" s="5" t="s">
        <v>135</v>
      </c>
      <c r="C122" s="5" t="s">
        <v>121</v>
      </c>
      <c r="D122" s="5" t="s">
        <v>171</v>
      </c>
      <c r="E122" s="7" t="s">
        <v>105</v>
      </c>
      <c r="F122" s="8" t="s">
        <v>105</v>
      </c>
      <c r="G122" s="4" t="s">
        <v>195</v>
      </c>
      <c r="H122" s="9" t="s">
        <v>196</v>
      </c>
      <c r="I122" s="5" t="s">
        <v>1742</v>
      </c>
      <c r="J122" s="5" t="s">
        <v>198</v>
      </c>
      <c r="K122" s="6">
        <f t="shared" si="3"/>
        <v>1</v>
      </c>
    </row>
    <row r="123" spans="1:11" ht="15" customHeight="1">
      <c r="A123" s="4">
        <v>115</v>
      </c>
      <c r="B123" s="5" t="s">
        <v>172</v>
      </c>
      <c r="C123" s="5" t="s">
        <v>145</v>
      </c>
      <c r="D123" s="5" t="s">
        <v>173</v>
      </c>
      <c r="E123" s="7" t="s">
        <v>105</v>
      </c>
      <c r="F123" s="8" t="s">
        <v>105</v>
      </c>
      <c r="G123" s="4" t="s">
        <v>195</v>
      </c>
      <c r="H123" s="9" t="s">
        <v>196</v>
      </c>
      <c r="I123" s="5" t="s">
        <v>1742</v>
      </c>
      <c r="J123" s="5" t="s">
        <v>198</v>
      </c>
      <c r="K123" s="6">
        <f t="shared" si="3"/>
        <v>1</v>
      </c>
    </row>
    <row r="124" spans="1:11" ht="15" customHeight="1">
      <c r="A124" s="4">
        <v>116</v>
      </c>
      <c r="B124" s="5" t="s">
        <v>172</v>
      </c>
      <c r="C124" s="5" t="s">
        <v>145</v>
      </c>
      <c r="D124" s="5" t="s">
        <v>174</v>
      </c>
      <c r="E124" s="7" t="s">
        <v>105</v>
      </c>
      <c r="F124" s="8" t="s">
        <v>105</v>
      </c>
      <c r="G124" s="4" t="s">
        <v>195</v>
      </c>
      <c r="H124" s="9" t="s">
        <v>196</v>
      </c>
      <c r="I124" s="5" t="s">
        <v>1742</v>
      </c>
      <c r="J124" s="5" t="s">
        <v>198</v>
      </c>
      <c r="K124" s="6">
        <f t="shared" si="3"/>
        <v>1</v>
      </c>
    </row>
    <row r="125" spans="1:11" ht="15" customHeight="1">
      <c r="A125" s="4">
        <v>117</v>
      </c>
      <c r="B125" s="5" t="s">
        <v>172</v>
      </c>
      <c r="C125" s="5" t="s">
        <v>145</v>
      </c>
      <c r="D125" s="5" t="s">
        <v>175</v>
      </c>
      <c r="E125" s="7" t="s">
        <v>105</v>
      </c>
      <c r="F125" s="8" t="s">
        <v>105</v>
      </c>
      <c r="G125" s="4" t="s">
        <v>195</v>
      </c>
      <c r="H125" s="9" t="s">
        <v>196</v>
      </c>
      <c r="I125" s="5" t="s">
        <v>1742</v>
      </c>
      <c r="J125" s="5" t="s">
        <v>198</v>
      </c>
      <c r="K125" s="6">
        <f t="shared" si="3"/>
        <v>1</v>
      </c>
    </row>
    <row r="126" spans="1:11" ht="15" customHeight="1">
      <c r="A126" s="4">
        <v>118</v>
      </c>
      <c r="B126" s="5" t="s">
        <v>172</v>
      </c>
      <c r="C126" s="5" t="s">
        <v>145</v>
      </c>
      <c r="D126" s="5" t="s">
        <v>176</v>
      </c>
      <c r="E126" s="7" t="s">
        <v>105</v>
      </c>
      <c r="F126" s="8" t="s">
        <v>105</v>
      </c>
      <c r="G126" s="4" t="s">
        <v>195</v>
      </c>
      <c r="H126" s="9" t="s">
        <v>196</v>
      </c>
      <c r="I126" s="5" t="s">
        <v>1742</v>
      </c>
      <c r="J126" s="5" t="s">
        <v>198</v>
      </c>
      <c r="K126" s="6">
        <f t="shared" si="3"/>
        <v>1</v>
      </c>
    </row>
    <row r="127" spans="1:11" ht="15" customHeight="1">
      <c r="A127" s="4">
        <v>119</v>
      </c>
      <c r="B127" s="5" t="s">
        <v>177</v>
      </c>
      <c r="C127" s="5" t="s">
        <v>145</v>
      </c>
      <c r="D127" s="5" t="s">
        <v>178</v>
      </c>
      <c r="E127" s="7" t="s">
        <v>105</v>
      </c>
      <c r="F127" s="8" t="s">
        <v>105</v>
      </c>
      <c r="G127" s="4" t="s">
        <v>195</v>
      </c>
      <c r="H127" s="9" t="s">
        <v>196</v>
      </c>
      <c r="I127" s="5" t="s">
        <v>1742</v>
      </c>
      <c r="J127" s="5" t="s">
        <v>198</v>
      </c>
      <c r="K127" s="6">
        <f t="shared" si="3"/>
        <v>1</v>
      </c>
    </row>
    <row r="128" spans="1:11" ht="15" customHeight="1">
      <c r="A128" s="4">
        <v>120</v>
      </c>
      <c r="B128" s="5" t="s">
        <v>405</v>
      </c>
      <c r="C128" s="5" t="s">
        <v>54</v>
      </c>
      <c r="D128" s="5" t="s">
        <v>1122</v>
      </c>
      <c r="E128" s="7" t="s">
        <v>105</v>
      </c>
      <c r="F128" s="8" t="s">
        <v>105</v>
      </c>
      <c r="G128" s="4" t="s">
        <v>1782</v>
      </c>
      <c r="H128" s="9" t="s">
        <v>196</v>
      </c>
      <c r="I128" s="5" t="s">
        <v>1783</v>
      </c>
      <c r="J128" s="5" t="s">
        <v>198</v>
      </c>
      <c r="K128" s="6">
        <f t="shared" si="3"/>
        <v>1</v>
      </c>
    </row>
    <row r="129" spans="1:11" ht="15" customHeight="1">
      <c r="A129" s="4">
        <v>121</v>
      </c>
      <c r="B129" s="5" t="s">
        <v>405</v>
      </c>
      <c r="C129" s="5" t="s">
        <v>54</v>
      </c>
      <c r="D129" s="5" t="s">
        <v>1123</v>
      </c>
      <c r="E129" s="7" t="s">
        <v>105</v>
      </c>
      <c r="F129" s="8" t="s">
        <v>105</v>
      </c>
      <c r="G129" s="4" t="s">
        <v>195</v>
      </c>
      <c r="H129" s="9" t="s">
        <v>196</v>
      </c>
      <c r="I129" s="5" t="s">
        <v>1742</v>
      </c>
      <c r="J129" s="5" t="s">
        <v>198</v>
      </c>
      <c r="K129" s="6">
        <f t="shared" si="3"/>
        <v>1</v>
      </c>
    </row>
    <row r="130" spans="1:11" ht="45" customHeight="1">
      <c r="A130" s="4">
        <v>122</v>
      </c>
      <c r="B130" s="5" t="s">
        <v>405</v>
      </c>
      <c r="C130" s="5" t="s">
        <v>54</v>
      </c>
      <c r="D130" s="5" t="s">
        <v>1124</v>
      </c>
      <c r="E130" s="7" t="s">
        <v>105</v>
      </c>
      <c r="F130" s="8" t="s">
        <v>105</v>
      </c>
      <c r="G130" s="4" t="s">
        <v>195</v>
      </c>
      <c r="H130" s="9" t="s">
        <v>196</v>
      </c>
      <c r="I130" s="5" t="s">
        <v>1742</v>
      </c>
      <c r="J130" s="5" t="s">
        <v>198</v>
      </c>
      <c r="K130" s="6">
        <f t="shared" si="3"/>
        <v>1</v>
      </c>
    </row>
    <row r="131" spans="1:11" ht="45" customHeight="1">
      <c r="A131" s="4">
        <v>123</v>
      </c>
      <c r="B131" s="5" t="s">
        <v>177</v>
      </c>
      <c r="C131" s="5" t="s">
        <v>54</v>
      </c>
      <c r="D131" s="5" t="s">
        <v>1125</v>
      </c>
      <c r="E131" s="7" t="s">
        <v>105</v>
      </c>
      <c r="F131" s="8" t="s">
        <v>105</v>
      </c>
      <c r="G131" s="4" t="s">
        <v>195</v>
      </c>
      <c r="H131" s="9" t="s">
        <v>196</v>
      </c>
      <c r="I131" s="5" t="s">
        <v>1742</v>
      </c>
      <c r="J131" s="5" t="s">
        <v>198</v>
      </c>
      <c r="K131" s="6">
        <f t="shared" si="3"/>
        <v>1</v>
      </c>
    </row>
    <row r="132" spans="1:11" ht="15" customHeight="1">
      <c r="A132" s="4">
        <v>124</v>
      </c>
      <c r="B132" s="5" t="s">
        <v>177</v>
      </c>
      <c r="C132" s="5" t="s">
        <v>54</v>
      </c>
      <c r="D132" s="5" t="s">
        <v>1126</v>
      </c>
      <c r="E132" s="7" t="s">
        <v>105</v>
      </c>
      <c r="F132" s="8" t="s">
        <v>105</v>
      </c>
      <c r="G132" s="4" t="s">
        <v>1784</v>
      </c>
      <c r="H132" s="9" t="s">
        <v>196</v>
      </c>
      <c r="I132" s="5" t="s">
        <v>1785</v>
      </c>
      <c r="J132" s="5" t="s">
        <v>198</v>
      </c>
      <c r="K132" s="6">
        <f t="shared" si="3"/>
        <v>1</v>
      </c>
    </row>
    <row r="133" spans="1:11" ht="45" customHeight="1">
      <c r="A133" s="4">
        <v>125</v>
      </c>
      <c r="B133" s="5" t="s">
        <v>927</v>
      </c>
      <c r="C133" s="5" t="s">
        <v>54</v>
      </c>
      <c r="D133" s="5" t="s">
        <v>1786</v>
      </c>
      <c r="E133" s="7" t="s">
        <v>105</v>
      </c>
      <c r="F133" s="8" t="s">
        <v>105</v>
      </c>
      <c r="G133" s="4" t="s">
        <v>1787</v>
      </c>
      <c r="H133" s="9" t="s">
        <v>196</v>
      </c>
      <c r="I133" s="5" t="s">
        <v>1788</v>
      </c>
      <c r="J133" s="5" t="s">
        <v>198</v>
      </c>
      <c r="K133" s="6">
        <f t="shared" si="3"/>
        <v>1</v>
      </c>
    </row>
    <row r="134" spans="1:11" ht="15" customHeight="1">
      <c r="A134" s="4">
        <v>126</v>
      </c>
      <c r="B134" s="5" t="s">
        <v>55</v>
      </c>
      <c r="C134" s="5" t="s">
        <v>54</v>
      </c>
      <c r="D134" s="5" t="s">
        <v>731</v>
      </c>
      <c r="E134" s="7" t="s">
        <v>105</v>
      </c>
      <c r="F134" s="8" t="s">
        <v>105</v>
      </c>
      <c r="G134" s="4" t="s">
        <v>195</v>
      </c>
      <c r="H134" s="9" t="s">
        <v>196</v>
      </c>
      <c r="I134" s="5" t="s">
        <v>1742</v>
      </c>
      <c r="J134" s="5" t="s">
        <v>198</v>
      </c>
      <c r="K134" s="6">
        <f t="shared" si="3"/>
        <v>1</v>
      </c>
    </row>
    <row r="135" spans="1:11" ht="15" customHeight="1">
      <c r="A135" s="4">
        <v>127</v>
      </c>
      <c r="B135" s="5" t="s">
        <v>55</v>
      </c>
      <c r="C135" s="5" t="s">
        <v>54</v>
      </c>
      <c r="D135" s="5" t="s">
        <v>732</v>
      </c>
      <c r="E135" s="7" t="s">
        <v>105</v>
      </c>
      <c r="F135" s="8" t="s">
        <v>105</v>
      </c>
      <c r="G135" s="4" t="s">
        <v>1789</v>
      </c>
      <c r="H135" s="9" t="s">
        <v>196</v>
      </c>
      <c r="I135" s="5" t="s">
        <v>1790</v>
      </c>
      <c r="J135" s="5" t="s">
        <v>198</v>
      </c>
      <c r="K135" s="6">
        <f t="shared" si="3"/>
        <v>1</v>
      </c>
    </row>
    <row r="136" spans="1:11" ht="45" customHeight="1">
      <c r="A136" s="4">
        <v>128</v>
      </c>
      <c r="B136" s="5" t="s">
        <v>713</v>
      </c>
      <c r="C136" s="5" t="s">
        <v>54</v>
      </c>
      <c r="D136" s="5" t="s">
        <v>733</v>
      </c>
      <c r="E136" s="7" t="s">
        <v>105</v>
      </c>
      <c r="F136" s="8" t="s">
        <v>105</v>
      </c>
      <c r="G136" s="4" t="s">
        <v>195</v>
      </c>
      <c r="H136" s="9" t="s">
        <v>196</v>
      </c>
      <c r="I136" s="5" t="s">
        <v>1742</v>
      </c>
      <c r="J136" s="5" t="s">
        <v>198</v>
      </c>
      <c r="K136" s="6">
        <f t="shared" si="3"/>
        <v>1</v>
      </c>
    </row>
    <row r="137" spans="1:11" ht="30" customHeight="1">
      <c r="A137" s="4">
        <v>129</v>
      </c>
      <c r="B137" s="5" t="s">
        <v>713</v>
      </c>
      <c r="C137" s="5" t="s">
        <v>54</v>
      </c>
      <c r="D137" s="5" t="s">
        <v>734</v>
      </c>
      <c r="E137" s="7" t="s">
        <v>105</v>
      </c>
      <c r="F137" s="8" t="s">
        <v>105</v>
      </c>
      <c r="G137" s="4" t="s">
        <v>195</v>
      </c>
      <c r="H137" s="9" t="s">
        <v>196</v>
      </c>
      <c r="I137" s="5" t="s">
        <v>1742</v>
      </c>
      <c r="J137" s="5" t="s">
        <v>198</v>
      </c>
      <c r="K137" s="6">
        <f t="shared" si="3"/>
        <v>1</v>
      </c>
    </row>
    <row r="138" spans="1:11" ht="45" customHeight="1">
      <c r="A138" s="4">
        <v>130</v>
      </c>
      <c r="B138" s="5" t="s">
        <v>713</v>
      </c>
      <c r="C138" s="5" t="s">
        <v>54</v>
      </c>
      <c r="D138" s="5" t="s">
        <v>735</v>
      </c>
      <c r="E138" s="7" t="s">
        <v>105</v>
      </c>
      <c r="F138" s="8" t="s">
        <v>105</v>
      </c>
      <c r="G138" s="4" t="s">
        <v>1791</v>
      </c>
      <c r="H138" s="9" t="s">
        <v>196</v>
      </c>
      <c r="I138" s="5" t="s">
        <v>1792</v>
      </c>
      <c r="J138" s="5" t="s">
        <v>198</v>
      </c>
      <c r="K138" s="6">
        <f t="shared" si="3"/>
        <v>1</v>
      </c>
    </row>
    <row r="139" spans="1:11" ht="15" customHeight="1">
      <c r="A139" s="4">
        <v>131</v>
      </c>
      <c r="B139" s="5" t="s">
        <v>713</v>
      </c>
      <c r="C139" s="5" t="s">
        <v>54</v>
      </c>
      <c r="D139" s="5" t="s">
        <v>736</v>
      </c>
      <c r="E139" s="7" t="s">
        <v>105</v>
      </c>
      <c r="F139" s="8" t="s">
        <v>105</v>
      </c>
      <c r="G139" s="4" t="s">
        <v>1793</v>
      </c>
      <c r="H139" s="9" t="s">
        <v>196</v>
      </c>
      <c r="I139" s="5" t="s">
        <v>1794</v>
      </c>
      <c r="J139" s="5" t="s">
        <v>198</v>
      </c>
      <c r="K139" s="6">
        <f t="shared" si="3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K31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1795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IFERROR(SUM(K9:K31)/COUNTA(A9:A31),0)</f>
        <v>1</v>
      </c>
      <c r="C4" s="1" t="s">
        <v>8</v>
      </c>
      <c r="D4" s="2">
        <f>COUNTIF(H9:H31,"covered")</f>
        <v>23</v>
      </c>
      <c r="E4" s="1" t="s">
        <v>9</v>
      </c>
      <c r="F4" s="2">
        <f>COUNTIF(H9:H31,"partial")</f>
        <v>0</v>
      </c>
      <c r="G4" s="1" t="s">
        <v>10</v>
      </c>
      <c r="H4" s="2">
        <f>COUNTIF(H9:H31,"missing")</f>
        <v>0</v>
      </c>
      <c r="I4" s="1" t="s">
        <v>11</v>
      </c>
      <c r="J4" s="2">
        <f>COUNTIF(F9:F31,"no")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19">
        <v>1</v>
      </c>
      <c r="B9" s="20" t="s">
        <v>94</v>
      </c>
      <c r="C9" s="20" t="s">
        <v>95</v>
      </c>
      <c r="D9" s="20" t="s">
        <v>96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100</v>
      </c>
      <c r="J9" s="20" t="s">
        <v>109</v>
      </c>
      <c r="K9" s="21">
        <f t="shared" ref="K9:K31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95</v>
      </c>
      <c r="D10" s="20" t="s">
        <v>102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100</v>
      </c>
      <c r="J10" s="20" t="s">
        <v>1090</v>
      </c>
      <c r="K10" s="21">
        <f t="shared" si="0"/>
        <v>1</v>
      </c>
    </row>
    <row r="11" spans="1:11" ht="15" customHeight="1">
      <c r="A11" s="19">
        <v>3</v>
      </c>
      <c r="B11" s="20" t="s">
        <v>94</v>
      </c>
      <c r="C11" s="20" t="s">
        <v>55</v>
      </c>
      <c r="D11" s="20" t="s">
        <v>104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1796</v>
      </c>
      <c r="J11" s="20"/>
      <c r="K11" s="21">
        <f t="shared" si="0"/>
        <v>1</v>
      </c>
    </row>
    <row r="12" spans="1:11" ht="15" customHeight="1">
      <c r="A12" s="19">
        <v>4</v>
      </c>
      <c r="B12" s="20" t="s">
        <v>94</v>
      </c>
      <c r="C12" s="20" t="s">
        <v>55</v>
      </c>
      <c r="D12" s="20" t="s">
        <v>110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1796</v>
      </c>
      <c r="J12" s="20"/>
      <c r="K12" s="21">
        <f t="shared" si="0"/>
        <v>1</v>
      </c>
    </row>
    <row r="13" spans="1:11" ht="15" customHeight="1">
      <c r="A13" s="19">
        <v>5</v>
      </c>
      <c r="B13" s="20" t="s">
        <v>94</v>
      </c>
      <c r="C13" s="20" t="s">
        <v>55</v>
      </c>
      <c r="D13" s="20" t="s">
        <v>111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1796</v>
      </c>
      <c r="J13" s="20"/>
      <c r="K13" s="21">
        <f t="shared" si="0"/>
        <v>1</v>
      </c>
    </row>
    <row r="14" spans="1:11" ht="15" customHeight="1">
      <c r="A14" s="19">
        <v>6</v>
      </c>
      <c r="B14" s="20" t="s">
        <v>94</v>
      </c>
      <c r="C14" s="20" t="s">
        <v>55</v>
      </c>
      <c r="D14" s="20" t="s">
        <v>112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1796</v>
      </c>
      <c r="J14" s="20"/>
      <c r="K14" s="21">
        <f t="shared" si="0"/>
        <v>1</v>
      </c>
    </row>
    <row r="15" spans="1:11" ht="15" customHeight="1">
      <c r="A15" s="19">
        <v>7</v>
      </c>
      <c r="B15" s="20" t="s">
        <v>113</v>
      </c>
      <c r="C15" s="20" t="s">
        <v>55</v>
      </c>
      <c r="D15" s="20" t="s">
        <v>1797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1796</v>
      </c>
      <c r="J15" s="20"/>
      <c r="K15" s="21">
        <f t="shared" si="0"/>
        <v>1</v>
      </c>
    </row>
    <row r="16" spans="1:11" ht="15" customHeight="1">
      <c r="A16" s="19">
        <v>8</v>
      </c>
      <c r="B16" s="20" t="s">
        <v>113</v>
      </c>
      <c r="C16" s="20" t="s">
        <v>55</v>
      </c>
      <c r="D16" s="20" t="s">
        <v>1798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1796</v>
      </c>
      <c r="J16" s="20"/>
      <c r="K16" s="21">
        <f t="shared" si="0"/>
        <v>1</v>
      </c>
    </row>
    <row r="17" spans="1:11" ht="15" customHeight="1">
      <c r="A17" s="19">
        <v>9</v>
      </c>
      <c r="B17" s="20" t="s">
        <v>113</v>
      </c>
      <c r="C17" s="20" t="s">
        <v>55</v>
      </c>
      <c r="D17" s="20" t="s">
        <v>1799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1796</v>
      </c>
      <c r="J17" s="20"/>
      <c r="K17" s="21">
        <f t="shared" si="0"/>
        <v>1</v>
      </c>
    </row>
    <row r="18" spans="1:11" ht="15" customHeight="1">
      <c r="A18" s="19">
        <v>10</v>
      </c>
      <c r="B18" s="20" t="s">
        <v>113</v>
      </c>
      <c r="C18" s="20" t="s">
        <v>55</v>
      </c>
      <c r="D18" s="20" t="s">
        <v>1800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1796</v>
      </c>
      <c r="J18" s="20"/>
      <c r="K18" s="21">
        <f t="shared" si="0"/>
        <v>1</v>
      </c>
    </row>
    <row r="19" spans="1:11" ht="15" customHeight="1">
      <c r="A19" s="19">
        <v>11</v>
      </c>
      <c r="B19" s="20" t="s">
        <v>120</v>
      </c>
      <c r="C19" s="20" t="s">
        <v>55</v>
      </c>
      <c r="D19" s="20" t="s">
        <v>1801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1796</v>
      </c>
      <c r="J19" s="20"/>
      <c r="K19" s="21">
        <f t="shared" si="0"/>
        <v>1</v>
      </c>
    </row>
    <row r="20" spans="1:11" ht="30" customHeight="1">
      <c r="A20" s="19">
        <v>12</v>
      </c>
      <c r="B20" s="20" t="s">
        <v>120</v>
      </c>
      <c r="C20" s="20" t="s">
        <v>55</v>
      </c>
      <c r="D20" s="20" t="s">
        <v>123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1796</v>
      </c>
      <c r="J20" s="20"/>
      <c r="K20" s="21">
        <f t="shared" si="0"/>
        <v>1</v>
      </c>
    </row>
    <row r="21" spans="1:11" ht="30" customHeight="1">
      <c r="A21" s="19">
        <v>13</v>
      </c>
      <c r="B21" s="20" t="s">
        <v>124</v>
      </c>
      <c r="C21" s="20" t="s">
        <v>55</v>
      </c>
      <c r="D21" s="20" t="s">
        <v>1802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1796</v>
      </c>
      <c r="J21" s="20"/>
      <c r="K21" s="21">
        <f t="shared" si="0"/>
        <v>1</v>
      </c>
    </row>
    <row r="22" spans="1:11" ht="15" customHeight="1">
      <c r="A22" s="19">
        <v>14</v>
      </c>
      <c r="B22" s="20" t="s">
        <v>124</v>
      </c>
      <c r="C22" s="20" t="s">
        <v>55</v>
      </c>
      <c r="D22" s="20" t="s">
        <v>1803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1796</v>
      </c>
      <c r="J22" s="20"/>
      <c r="K22" s="21">
        <f t="shared" si="0"/>
        <v>1</v>
      </c>
    </row>
    <row r="23" spans="1:11" ht="15" customHeight="1">
      <c r="A23" s="19">
        <v>15</v>
      </c>
      <c r="B23" s="20" t="s">
        <v>95</v>
      </c>
      <c r="C23" s="20" t="s">
        <v>1804</v>
      </c>
      <c r="D23" s="20" t="s">
        <v>1805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1796</v>
      </c>
      <c r="J23" s="20"/>
      <c r="K23" s="21">
        <f t="shared" si="0"/>
        <v>1</v>
      </c>
    </row>
    <row r="24" spans="1:11" ht="15" customHeight="1">
      <c r="A24" s="19">
        <v>16</v>
      </c>
      <c r="B24" s="20" t="s">
        <v>120</v>
      </c>
      <c r="C24" s="20" t="s">
        <v>1804</v>
      </c>
      <c r="D24" s="20" t="s">
        <v>1806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1796</v>
      </c>
      <c r="J24" s="20"/>
      <c r="K24" s="21">
        <f t="shared" si="0"/>
        <v>1</v>
      </c>
    </row>
    <row r="25" spans="1:11" ht="15" customHeight="1">
      <c r="A25" s="19">
        <v>17</v>
      </c>
      <c r="B25" s="20" t="s">
        <v>120</v>
      </c>
      <c r="C25" s="20" t="s">
        <v>1804</v>
      </c>
      <c r="D25" s="20" t="s">
        <v>1807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1796</v>
      </c>
      <c r="J25" s="20"/>
      <c r="K25" s="21">
        <f t="shared" si="0"/>
        <v>1</v>
      </c>
    </row>
    <row r="26" spans="1:11" ht="30" customHeight="1">
      <c r="A26" s="19">
        <v>18</v>
      </c>
      <c r="B26" s="20" t="s">
        <v>124</v>
      </c>
      <c r="C26" s="20" t="s">
        <v>1804</v>
      </c>
      <c r="D26" s="20" t="s">
        <v>1808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1796</v>
      </c>
      <c r="J26" s="20"/>
      <c r="K26" s="21">
        <f t="shared" si="0"/>
        <v>1</v>
      </c>
    </row>
    <row r="27" spans="1:11" ht="15" customHeight="1">
      <c r="A27" s="19">
        <v>19</v>
      </c>
      <c r="B27" s="20" t="s">
        <v>124</v>
      </c>
      <c r="C27" s="20" t="s">
        <v>1804</v>
      </c>
      <c r="D27" s="20" t="s">
        <v>1809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1796</v>
      </c>
      <c r="J27" s="20"/>
      <c r="K27" s="21">
        <f t="shared" si="0"/>
        <v>1</v>
      </c>
    </row>
    <row r="28" spans="1:11" ht="15" customHeight="1">
      <c r="A28" s="19">
        <v>20</v>
      </c>
      <c r="B28" s="20" t="s">
        <v>95</v>
      </c>
      <c r="C28" s="20" t="s">
        <v>1804</v>
      </c>
      <c r="D28" s="20" t="s">
        <v>1810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1796</v>
      </c>
      <c r="J28" s="20"/>
      <c r="K28" s="21">
        <f t="shared" si="0"/>
        <v>1</v>
      </c>
    </row>
    <row r="29" spans="1:11" ht="15" customHeight="1">
      <c r="A29" s="19">
        <v>21</v>
      </c>
      <c r="B29" s="20" t="s">
        <v>451</v>
      </c>
      <c r="C29" s="20" t="s">
        <v>55</v>
      </c>
      <c r="D29" s="20" t="s">
        <v>1811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1796</v>
      </c>
      <c r="J29" s="20"/>
      <c r="K29" s="21">
        <f t="shared" si="0"/>
        <v>1</v>
      </c>
    </row>
    <row r="30" spans="1:11" ht="15" customHeight="1">
      <c r="A30" s="19">
        <v>22</v>
      </c>
      <c r="B30" s="20" t="s">
        <v>451</v>
      </c>
      <c r="C30" s="20" t="s">
        <v>55</v>
      </c>
      <c r="D30" s="20" t="s">
        <v>1812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1796</v>
      </c>
      <c r="J30" s="20"/>
      <c r="K30" s="21">
        <f t="shared" si="0"/>
        <v>1</v>
      </c>
    </row>
    <row r="31" spans="1:11" ht="15" customHeight="1">
      <c r="A31" s="19">
        <v>23</v>
      </c>
      <c r="B31" s="20" t="s">
        <v>451</v>
      </c>
      <c r="C31" s="20" t="s">
        <v>55</v>
      </c>
      <c r="D31" s="20" t="s">
        <v>1813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1796</v>
      </c>
      <c r="J31" s="20"/>
      <c r="K31" s="21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K50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1814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42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37">
        <v>1</v>
      </c>
      <c r="B9" s="38" t="s">
        <v>94</v>
      </c>
      <c r="C9" s="38" t="s">
        <v>95</v>
      </c>
      <c r="D9" s="38" t="s">
        <v>96</v>
      </c>
      <c r="E9" s="37" t="s">
        <v>105</v>
      </c>
      <c r="F9" s="37" t="s">
        <v>105</v>
      </c>
      <c r="G9" s="37" t="s">
        <v>564</v>
      </c>
      <c r="H9" s="37" t="s">
        <v>196</v>
      </c>
      <c r="I9" s="38" t="s">
        <v>1815</v>
      </c>
      <c r="J9" s="38" t="s">
        <v>566</v>
      </c>
      <c r="K9" s="39">
        <f t="shared" ref="K9:K50" si="0">IF(AND(E9="yes",F9="yes",H9="covered"),1,IF(H9="partial",0.5,0))</f>
        <v>1</v>
      </c>
    </row>
    <row r="10" spans="1:11" ht="15" customHeight="1">
      <c r="A10" s="37">
        <v>2</v>
      </c>
      <c r="B10" s="38" t="s">
        <v>94</v>
      </c>
      <c r="C10" s="38" t="s">
        <v>95</v>
      </c>
      <c r="D10" s="38" t="s">
        <v>102</v>
      </c>
      <c r="E10" s="37" t="s">
        <v>105</v>
      </c>
      <c r="F10" s="37" t="s">
        <v>105</v>
      </c>
      <c r="G10" s="37" t="s">
        <v>564</v>
      </c>
      <c r="H10" s="37" t="s">
        <v>196</v>
      </c>
      <c r="I10" s="38" t="s">
        <v>1815</v>
      </c>
      <c r="J10" s="38" t="s">
        <v>566</v>
      </c>
      <c r="K10" s="39">
        <f t="shared" si="0"/>
        <v>1</v>
      </c>
    </row>
    <row r="11" spans="1:11" ht="15" customHeight="1">
      <c r="A11" s="37">
        <v>3</v>
      </c>
      <c r="B11" s="38" t="s">
        <v>94</v>
      </c>
      <c r="C11" s="38" t="s">
        <v>56</v>
      </c>
      <c r="D11" s="38" t="s">
        <v>104</v>
      </c>
      <c r="E11" s="37" t="s">
        <v>105</v>
      </c>
      <c r="F11" s="37" t="s">
        <v>105</v>
      </c>
      <c r="G11" s="37" t="s">
        <v>564</v>
      </c>
      <c r="H11" s="37" t="s">
        <v>196</v>
      </c>
      <c r="I11" s="38" t="s">
        <v>1815</v>
      </c>
      <c r="J11" s="38" t="s">
        <v>566</v>
      </c>
      <c r="K11" s="39">
        <f t="shared" si="0"/>
        <v>1</v>
      </c>
    </row>
    <row r="12" spans="1:11" ht="15" customHeight="1">
      <c r="A12" s="37">
        <v>4</v>
      </c>
      <c r="B12" s="38" t="s">
        <v>94</v>
      </c>
      <c r="C12" s="38" t="s">
        <v>56</v>
      </c>
      <c r="D12" s="38" t="s">
        <v>110</v>
      </c>
      <c r="E12" s="37" t="s">
        <v>105</v>
      </c>
      <c r="F12" s="37" t="s">
        <v>105</v>
      </c>
      <c r="G12" s="37" t="s">
        <v>564</v>
      </c>
      <c r="H12" s="37" t="s">
        <v>196</v>
      </c>
      <c r="I12" s="38" t="s">
        <v>1815</v>
      </c>
      <c r="J12" s="38" t="s">
        <v>566</v>
      </c>
      <c r="K12" s="39">
        <f t="shared" si="0"/>
        <v>1</v>
      </c>
    </row>
    <row r="13" spans="1:11" ht="15" customHeight="1">
      <c r="A13" s="37">
        <v>5</v>
      </c>
      <c r="B13" s="38" t="s">
        <v>94</v>
      </c>
      <c r="C13" s="38" t="s">
        <v>56</v>
      </c>
      <c r="D13" s="38" t="s">
        <v>111</v>
      </c>
      <c r="E13" s="37" t="s">
        <v>105</v>
      </c>
      <c r="F13" s="37" t="s">
        <v>105</v>
      </c>
      <c r="G13" s="37" t="s">
        <v>564</v>
      </c>
      <c r="H13" s="37" t="s">
        <v>196</v>
      </c>
      <c r="I13" s="38" t="s">
        <v>1815</v>
      </c>
      <c r="J13" s="38" t="s">
        <v>566</v>
      </c>
      <c r="K13" s="39">
        <f t="shared" si="0"/>
        <v>1</v>
      </c>
    </row>
    <row r="14" spans="1:11" ht="15" customHeight="1">
      <c r="A14" s="37">
        <v>6</v>
      </c>
      <c r="B14" s="38" t="s">
        <v>94</v>
      </c>
      <c r="C14" s="38" t="s">
        <v>56</v>
      </c>
      <c r="D14" s="38" t="s">
        <v>112</v>
      </c>
      <c r="E14" s="37" t="s">
        <v>105</v>
      </c>
      <c r="F14" s="37" t="s">
        <v>105</v>
      </c>
      <c r="G14" s="37" t="s">
        <v>564</v>
      </c>
      <c r="H14" s="37" t="s">
        <v>196</v>
      </c>
      <c r="I14" s="38" t="s">
        <v>1815</v>
      </c>
      <c r="J14" s="38" t="s">
        <v>566</v>
      </c>
      <c r="K14" s="39">
        <f t="shared" si="0"/>
        <v>1</v>
      </c>
    </row>
    <row r="15" spans="1:11" ht="15" customHeight="1">
      <c r="A15" s="37">
        <v>7</v>
      </c>
      <c r="B15" s="38" t="s">
        <v>113</v>
      </c>
      <c r="C15" s="38" t="s">
        <v>56</v>
      </c>
      <c r="D15" s="38" t="s">
        <v>1816</v>
      </c>
      <c r="E15" s="37" t="s">
        <v>105</v>
      </c>
      <c r="F15" s="37" t="s">
        <v>105</v>
      </c>
      <c r="G15" s="37" t="s">
        <v>564</v>
      </c>
      <c r="H15" s="37" t="s">
        <v>196</v>
      </c>
      <c r="I15" s="38" t="s">
        <v>1815</v>
      </c>
      <c r="J15" s="38" t="s">
        <v>566</v>
      </c>
      <c r="K15" s="39">
        <f t="shared" si="0"/>
        <v>1</v>
      </c>
    </row>
    <row r="16" spans="1:11" ht="15" customHeight="1">
      <c r="A16" s="37">
        <v>8</v>
      </c>
      <c r="B16" s="38" t="s">
        <v>113</v>
      </c>
      <c r="C16" s="38" t="s">
        <v>56</v>
      </c>
      <c r="D16" s="38" t="s">
        <v>1817</v>
      </c>
      <c r="E16" s="37" t="s">
        <v>105</v>
      </c>
      <c r="F16" s="37" t="s">
        <v>105</v>
      </c>
      <c r="G16" s="37" t="s">
        <v>564</v>
      </c>
      <c r="H16" s="37" t="s">
        <v>196</v>
      </c>
      <c r="I16" s="38" t="s">
        <v>1815</v>
      </c>
      <c r="J16" s="38" t="s">
        <v>566</v>
      </c>
      <c r="K16" s="39">
        <f t="shared" si="0"/>
        <v>1</v>
      </c>
    </row>
    <row r="17" spans="1:11" ht="15" customHeight="1">
      <c r="A17" s="37">
        <v>9</v>
      </c>
      <c r="B17" s="38" t="s">
        <v>113</v>
      </c>
      <c r="C17" s="38" t="s">
        <v>56</v>
      </c>
      <c r="D17" s="38" t="s">
        <v>1818</v>
      </c>
      <c r="E17" s="37" t="s">
        <v>105</v>
      </c>
      <c r="F17" s="37" t="s">
        <v>105</v>
      </c>
      <c r="G17" s="37" t="s">
        <v>564</v>
      </c>
      <c r="H17" s="37" t="s">
        <v>196</v>
      </c>
      <c r="I17" s="38" t="s">
        <v>1815</v>
      </c>
      <c r="J17" s="38" t="s">
        <v>566</v>
      </c>
      <c r="K17" s="39">
        <f t="shared" si="0"/>
        <v>1</v>
      </c>
    </row>
    <row r="18" spans="1:11" ht="15" customHeight="1">
      <c r="A18" s="37">
        <v>10</v>
      </c>
      <c r="B18" s="38" t="s">
        <v>113</v>
      </c>
      <c r="C18" s="38" t="s">
        <v>56</v>
      </c>
      <c r="D18" s="38" t="s">
        <v>1819</v>
      </c>
      <c r="E18" s="37" t="s">
        <v>105</v>
      </c>
      <c r="F18" s="37" t="s">
        <v>105</v>
      </c>
      <c r="G18" s="37" t="s">
        <v>564</v>
      </c>
      <c r="H18" s="37" t="s">
        <v>196</v>
      </c>
      <c r="I18" s="38" t="s">
        <v>1815</v>
      </c>
      <c r="J18" s="38" t="s">
        <v>566</v>
      </c>
      <c r="K18" s="39">
        <f t="shared" si="0"/>
        <v>1</v>
      </c>
    </row>
    <row r="19" spans="1:11" ht="15" customHeight="1">
      <c r="A19" s="37">
        <v>11</v>
      </c>
      <c r="B19" s="38" t="s">
        <v>113</v>
      </c>
      <c r="C19" s="38" t="s">
        <v>56</v>
      </c>
      <c r="D19" s="38" t="s">
        <v>1820</v>
      </c>
      <c r="E19" s="37" t="s">
        <v>105</v>
      </c>
      <c r="F19" s="37" t="s">
        <v>105</v>
      </c>
      <c r="G19" s="37" t="s">
        <v>564</v>
      </c>
      <c r="H19" s="37" t="s">
        <v>196</v>
      </c>
      <c r="I19" s="38" t="s">
        <v>1815</v>
      </c>
      <c r="J19" s="38" t="s">
        <v>566</v>
      </c>
      <c r="K19" s="39">
        <f t="shared" si="0"/>
        <v>1</v>
      </c>
    </row>
    <row r="20" spans="1:11" ht="15" customHeight="1">
      <c r="A20" s="37">
        <v>12</v>
      </c>
      <c r="B20" s="38" t="s">
        <v>113</v>
      </c>
      <c r="C20" s="38" t="s">
        <v>56</v>
      </c>
      <c r="D20" s="38" t="s">
        <v>1821</v>
      </c>
      <c r="E20" s="37" t="s">
        <v>105</v>
      </c>
      <c r="F20" s="37" t="s">
        <v>105</v>
      </c>
      <c r="G20" s="37" t="s">
        <v>564</v>
      </c>
      <c r="H20" s="37" t="s">
        <v>196</v>
      </c>
      <c r="I20" s="38" t="s">
        <v>1815</v>
      </c>
      <c r="J20" s="38" t="s">
        <v>566</v>
      </c>
      <c r="K20" s="39">
        <f t="shared" si="0"/>
        <v>1</v>
      </c>
    </row>
    <row r="21" spans="1:11" ht="15" customHeight="1">
      <c r="A21" s="37">
        <v>13</v>
      </c>
      <c r="B21" s="38" t="s">
        <v>120</v>
      </c>
      <c r="C21" s="38" t="s">
        <v>121</v>
      </c>
      <c r="D21" s="38" t="s">
        <v>122</v>
      </c>
      <c r="E21" s="37" t="s">
        <v>105</v>
      </c>
      <c r="F21" s="37" t="s">
        <v>105</v>
      </c>
      <c r="G21" s="37" t="s">
        <v>564</v>
      </c>
      <c r="H21" s="37" t="s">
        <v>196</v>
      </c>
      <c r="I21" s="38" t="s">
        <v>1815</v>
      </c>
      <c r="J21" s="38" t="s">
        <v>566</v>
      </c>
      <c r="K21" s="39">
        <f t="shared" si="0"/>
        <v>1</v>
      </c>
    </row>
    <row r="22" spans="1:11" ht="15" customHeight="1">
      <c r="A22" s="37">
        <v>14</v>
      </c>
      <c r="B22" s="38" t="s">
        <v>120</v>
      </c>
      <c r="C22" s="38" t="s">
        <v>121</v>
      </c>
      <c r="D22" s="38" t="s">
        <v>123</v>
      </c>
      <c r="E22" s="37" t="s">
        <v>105</v>
      </c>
      <c r="F22" s="37" t="s">
        <v>105</v>
      </c>
      <c r="G22" s="37" t="s">
        <v>564</v>
      </c>
      <c r="H22" s="37" t="s">
        <v>196</v>
      </c>
      <c r="I22" s="38" t="s">
        <v>1815</v>
      </c>
      <c r="J22" s="38" t="s">
        <v>566</v>
      </c>
      <c r="K22" s="39">
        <f t="shared" si="0"/>
        <v>1</v>
      </c>
    </row>
    <row r="23" spans="1:11" ht="30" customHeight="1">
      <c r="A23" s="37">
        <v>15</v>
      </c>
      <c r="B23" s="38" t="s">
        <v>124</v>
      </c>
      <c r="C23" s="38" t="s">
        <v>121</v>
      </c>
      <c r="D23" s="38" t="s">
        <v>125</v>
      </c>
      <c r="E23" s="37" t="s">
        <v>105</v>
      </c>
      <c r="F23" s="37" t="s">
        <v>105</v>
      </c>
      <c r="G23" s="37" t="s">
        <v>564</v>
      </c>
      <c r="H23" s="37" t="s">
        <v>196</v>
      </c>
      <c r="I23" s="38" t="s">
        <v>1815</v>
      </c>
      <c r="J23" s="38" t="s">
        <v>566</v>
      </c>
      <c r="K23" s="39">
        <f t="shared" si="0"/>
        <v>1</v>
      </c>
    </row>
    <row r="24" spans="1:11" ht="15" customHeight="1">
      <c r="A24" s="37">
        <v>16</v>
      </c>
      <c r="B24" s="38" t="s">
        <v>124</v>
      </c>
      <c r="C24" s="38" t="s">
        <v>121</v>
      </c>
      <c r="D24" s="38" t="s">
        <v>126</v>
      </c>
      <c r="E24" s="37" t="s">
        <v>105</v>
      </c>
      <c r="F24" s="37" t="s">
        <v>105</v>
      </c>
      <c r="G24" s="37" t="s">
        <v>564</v>
      </c>
      <c r="H24" s="37" t="s">
        <v>196</v>
      </c>
      <c r="I24" s="38" t="s">
        <v>1815</v>
      </c>
      <c r="J24" s="38" t="s">
        <v>566</v>
      </c>
      <c r="K24" s="39">
        <f t="shared" si="0"/>
        <v>1</v>
      </c>
    </row>
    <row r="25" spans="1:11" ht="15" customHeight="1">
      <c r="A25" s="37">
        <v>17</v>
      </c>
      <c r="B25" s="38" t="s">
        <v>95</v>
      </c>
      <c r="C25" s="38" t="s">
        <v>121</v>
      </c>
      <c r="D25" s="38" t="s">
        <v>127</v>
      </c>
      <c r="E25" s="37" t="s">
        <v>105</v>
      </c>
      <c r="F25" s="37" t="s">
        <v>105</v>
      </c>
      <c r="G25" s="37" t="s">
        <v>564</v>
      </c>
      <c r="H25" s="37" t="s">
        <v>196</v>
      </c>
      <c r="I25" s="38" t="s">
        <v>1815</v>
      </c>
      <c r="J25" s="38" t="s">
        <v>566</v>
      </c>
      <c r="K25" s="39">
        <f t="shared" si="0"/>
        <v>1</v>
      </c>
    </row>
    <row r="26" spans="1:11" ht="15" customHeight="1">
      <c r="A26" s="37">
        <v>18</v>
      </c>
      <c r="B26" s="38" t="s">
        <v>128</v>
      </c>
      <c r="C26" s="38" t="s">
        <v>121</v>
      </c>
      <c r="D26" s="38" t="s">
        <v>129</v>
      </c>
      <c r="E26" s="37" t="s">
        <v>105</v>
      </c>
      <c r="F26" s="37" t="s">
        <v>105</v>
      </c>
      <c r="G26" s="37" t="s">
        <v>564</v>
      </c>
      <c r="H26" s="37" t="s">
        <v>196</v>
      </c>
      <c r="I26" s="38" t="s">
        <v>1815</v>
      </c>
      <c r="J26" s="38" t="s">
        <v>566</v>
      </c>
      <c r="K26" s="39">
        <f t="shared" si="0"/>
        <v>1</v>
      </c>
    </row>
    <row r="27" spans="1:11" ht="15" customHeight="1">
      <c r="A27" s="37">
        <v>19</v>
      </c>
      <c r="B27" s="38" t="s">
        <v>135</v>
      </c>
      <c r="C27" s="38" t="s">
        <v>121</v>
      </c>
      <c r="D27" s="38" t="s">
        <v>140</v>
      </c>
      <c r="E27" s="37" t="s">
        <v>105</v>
      </c>
      <c r="F27" s="37" t="s">
        <v>105</v>
      </c>
      <c r="G27" s="37" t="s">
        <v>564</v>
      </c>
      <c r="H27" s="37" t="s">
        <v>196</v>
      </c>
      <c r="I27" s="38" t="s">
        <v>1815</v>
      </c>
      <c r="J27" s="38" t="s">
        <v>566</v>
      </c>
      <c r="K27" s="39">
        <f t="shared" si="0"/>
        <v>1</v>
      </c>
    </row>
    <row r="28" spans="1:11" ht="15" customHeight="1">
      <c r="A28" s="37">
        <v>20</v>
      </c>
      <c r="B28" s="38" t="s">
        <v>135</v>
      </c>
      <c r="C28" s="38" t="s">
        <v>121</v>
      </c>
      <c r="D28" s="38" t="s">
        <v>581</v>
      </c>
      <c r="E28" s="37" t="s">
        <v>105</v>
      </c>
      <c r="F28" s="37" t="s">
        <v>105</v>
      </c>
      <c r="G28" s="37" t="s">
        <v>564</v>
      </c>
      <c r="H28" s="37" t="s">
        <v>196</v>
      </c>
      <c r="I28" s="38" t="s">
        <v>1815</v>
      </c>
      <c r="J28" s="38" t="s">
        <v>566</v>
      </c>
      <c r="K28" s="39">
        <f t="shared" si="0"/>
        <v>1</v>
      </c>
    </row>
    <row r="29" spans="1:11" ht="15" customHeight="1">
      <c r="A29" s="37">
        <v>21</v>
      </c>
      <c r="B29" s="38" t="s">
        <v>135</v>
      </c>
      <c r="C29" s="38" t="s">
        <v>121</v>
      </c>
      <c r="D29" s="38" t="s">
        <v>582</v>
      </c>
      <c r="E29" s="37" t="s">
        <v>105</v>
      </c>
      <c r="F29" s="37" t="s">
        <v>105</v>
      </c>
      <c r="G29" s="37" t="s">
        <v>564</v>
      </c>
      <c r="H29" s="37" t="s">
        <v>196</v>
      </c>
      <c r="I29" s="38" t="s">
        <v>1815</v>
      </c>
      <c r="J29" s="38" t="s">
        <v>566</v>
      </c>
      <c r="K29" s="39">
        <f t="shared" si="0"/>
        <v>1</v>
      </c>
    </row>
    <row r="30" spans="1:11" ht="15" customHeight="1">
      <c r="A30" s="37">
        <v>22</v>
      </c>
      <c r="B30" s="38" t="s">
        <v>135</v>
      </c>
      <c r="C30" s="38" t="s">
        <v>121</v>
      </c>
      <c r="D30" s="38" t="s">
        <v>1822</v>
      </c>
      <c r="E30" s="37" t="s">
        <v>105</v>
      </c>
      <c r="F30" s="37" t="s">
        <v>105</v>
      </c>
      <c r="G30" s="37" t="s">
        <v>564</v>
      </c>
      <c r="H30" s="37" t="s">
        <v>196</v>
      </c>
      <c r="I30" s="38" t="s">
        <v>1815</v>
      </c>
      <c r="J30" s="38" t="s">
        <v>566</v>
      </c>
      <c r="K30" s="39">
        <f t="shared" si="0"/>
        <v>1</v>
      </c>
    </row>
    <row r="31" spans="1:11" ht="15" customHeight="1">
      <c r="A31" s="37">
        <v>23</v>
      </c>
      <c r="B31" s="38" t="s">
        <v>135</v>
      </c>
      <c r="C31" s="38" t="s">
        <v>121</v>
      </c>
      <c r="D31" s="38" t="s">
        <v>1823</v>
      </c>
      <c r="E31" s="37" t="s">
        <v>105</v>
      </c>
      <c r="F31" s="37" t="s">
        <v>105</v>
      </c>
      <c r="G31" s="37" t="s">
        <v>564</v>
      </c>
      <c r="H31" s="37" t="s">
        <v>196</v>
      </c>
      <c r="I31" s="38" t="s">
        <v>1815</v>
      </c>
      <c r="J31" s="38" t="s">
        <v>566</v>
      </c>
      <c r="K31" s="39">
        <f t="shared" si="0"/>
        <v>1</v>
      </c>
    </row>
    <row r="32" spans="1:11" ht="15" customHeight="1">
      <c r="A32" s="37">
        <v>24</v>
      </c>
      <c r="B32" s="38" t="s">
        <v>135</v>
      </c>
      <c r="C32" s="38" t="s">
        <v>121</v>
      </c>
      <c r="D32" s="38" t="s">
        <v>1824</v>
      </c>
      <c r="E32" s="37" t="s">
        <v>105</v>
      </c>
      <c r="F32" s="37" t="s">
        <v>105</v>
      </c>
      <c r="G32" s="37" t="s">
        <v>564</v>
      </c>
      <c r="H32" s="37" t="s">
        <v>196</v>
      </c>
      <c r="I32" s="38" t="s">
        <v>1815</v>
      </c>
      <c r="J32" s="38" t="s">
        <v>566</v>
      </c>
      <c r="K32" s="39">
        <f t="shared" si="0"/>
        <v>1</v>
      </c>
    </row>
    <row r="33" spans="1:11" ht="15" customHeight="1">
      <c r="A33" s="37">
        <v>25</v>
      </c>
      <c r="B33" s="38" t="s">
        <v>135</v>
      </c>
      <c r="C33" s="38" t="s">
        <v>121</v>
      </c>
      <c r="D33" s="38" t="s">
        <v>1825</v>
      </c>
      <c r="E33" s="37" t="s">
        <v>105</v>
      </c>
      <c r="F33" s="37" t="s">
        <v>105</v>
      </c>
      <c r="G33" s="37" t="s">
        <v>564</v>
      </c>
      <c r="H33" s="37" t="s">
        <v>196</v>
      </c>
      <c r="I33" s="38" t="s">
        <v>1815</v>
      </c>
      <c r="J33" s="38" t="s">
        <v>566</v>
      </c>
      <c r="K33" s="39">
        <f t="shared" si="0"/>
        <v>1</v>
      </c>
    </row>
    <row r="34" spans="1:11" ht="15" customHeight="1">
      <c r="A34" s="37">
        <v>26</v>
      </c>
      <c r="B34" s="38" t="s">
        <v>135</v>
      </c>
      <c r="C34" s="38" t="s">
        <v>121</v>
      </c>
      <c r="D34" s="38" t="s">
        <v>1826</v>
      </c>
      <c r="E34" s="37" t="s">
        <v>105</v>
      </c>
      <c r="F34" s="37" t="s">
        <v>105</v>
      </c>
      <c r="G34" s="37" t="s">
        <v>564</v>
      </c>
      <c r="H34" s="37" t="s">
        <v>196</v>
      </c>
      <c r="I34" s="38" t="s">
        <v>1815</v>
      </c>
      <c r="J34" s="38" t="s">
        <v>566</v>
      </c>
      <c r="K34" s="39">
        <f t="shared" si="0"/>
        <v>1</v>
      </c>
    </row>
    <row r="35" spans="1:11" ht="15" customHeight="1">
      <c r="A35" s="37">
        <v>27</v>
      </c>
      <c r="B35" s="38" t="s">
        <v>135</v>
      </c>
      <c r="C35" s="38" t="s">
        <v>121</v>
      </c>
      <c r="D35" s="38" t="s">
        <v>1827</v>
      </c>
      <c r="E35" s="37" t="s">
        <v>105</v>
      </c>
      <c r="F35" s="37" t="s">
        <v>105</v>
      </c>
      <c r="G35" s="37" t="s">
        <v>564</v>
      </c>
      <c r="H35" s="37" t="s">
        <v>196</v>
      </c>
      <c r="I35" s="38" t="s">
        <v>1815</v>
      </c>
      <c r="J35" s="38" t="s">
        <v>566</v>
      </c>
      <c r="K35" s="39">
        <f t="shared" si="0"/>
        <v>1</v>
      </c>
    </row>
    <row r="36" spans="1:11" ht="15" customHeight="1">
      <c r="A36" s="37">
        <v>28</v>
      </c>
      <c r="B36" s="38" t="s">
        <v>130</v>
      </c>
      <c r="C36" s="38" t="s">
        <v>121</v>
      </c>
      <c r="D36" s="38" t="s">
        <v>131</v>
      </c>
      <c r="E36" s="37" t="s">
        <v>105</v>
      </c>
      <c r="F36" s="37" t="s">
        <v>105</v>
      </c>
      <c r="G36" s="37" t="s">
        <v>564</v>
      </c>
      <c r="H36" s="37" t="s">
        <v>196</v>
      </c>
      <c r="I36" s="38" t="s">
        <v>1815</v>
      </c>
      <c r="J36" s="38" t="s">
        <v>566</v>
      </c>
      <c r="K36" s="39">
        <f t="shared" si="0"/>
        <v>1</v>
      </c>
    </row>
    <row r="37" spans="1:11" ht="15" customHeight="1">
      <c r="A37" s="37">
        <v>29</v>
      </c>
      <c r="B37" s="38" t="s">
        <v>130</v>
      </c>
      <c r="C37" s="38" t="s">
        <v>121</v>
      </c>
      <c r="D37" s="38" t="s">
        <v>132</v>
      </c>
      <c r="E37" s="37" t="s">
        <v>105</v>
      </c>
      <c r="F37" s="37" t="s">
        <v>105</v>
      </c>
      <c r="G37" s="37" t="s">
        <v>564</v>
      </c>
      <c r="H37" s="37" t="s">
        <v>196</v>
      </c>
      <c r="I37" s="38" t="s">
        <v>1815</v>
      </c>
      <c r="J37" s="38" t="s">
        <v>566</v>
      </c>
      <c r="K37" s="39">
        <f t="shared" si="0"/>
        <v>1</v>
      </c>
    </row>
    <row r="38" spans="1:11" ht="15" customHeight="1">
      <c r="A38" s="37">
        <v>30</v>
      </c>
      <c r="B38" s="38" t="s">
        <v>133</v>
      </c>
      <c r="C38" s="38" t="s">
        <v>121</v>
      </c>
      <c r="D38" s="38" t="s">
        <v>142</v>
      </c>
      <c r="E38" s="37" t="s">
        <v>105</v>
      </c>
      <c r="F38" s="37" t="s">
        <v>105</v>
      </c>
      <c r="G38" s="37" t="s">
        <v>564</v>
      </c>
      <c r="H38" s="37" t="s">
        <v>196</v>
      </c>
      <c r="I38" s="38" t="s">
        <v>1815</v>
      </c>
      <c r="J38" s="38" t="s">
        <v>566</v>
      </c>
      <c r="K38" s="39">
        <f t="shared" si="0"/>
        <v>1</v>
      </c>
    </row>
    <row r="39" spans="1:11" ht="15" customHeight="1">
      <c r="A39" s="37">
        <v>31</v>
      </c>
      <c r="B39" s="38" t="s">
        <v>135</v>
      </c>
      <c r="C39" s="38" t="s">
        <v>121</v>
      </c>
      <c r="D39" s="38" t="s">
        <v>144</v>
      </c>
      <c r="E39" s="37" t="s">
        <v>105</v>
      </c>
      <c r="F39" s="37" t="s">
        <v>105</v>
      </c>
      <c r="G39" s="37" t="s">
        <v>564</v>
      </c>
      <c r="H39" s="37" t="s">
        <v>196</v>
      </c>
      <c r="I39" s="38" t="s">
        <v>1815</v>
      </c>
      <c r="J39" s="38" t="s">
        <v>566</v>
      </c>
      <c r="K39" s="39">
        <f t="shared" si="0"/>
        <v>1</v>
      </c>
    </row>
    <row r="40" spans="1:11" ht="15" customHeight="1">
      <c r="A40" s="37">
        <v>32</v>
      </c>
      <c r="B40" s="38" t="s">
        <v>133</v>
      </c>
      <c r="C40" s="38" t="s">
        <v>121</v>
      </c>
      <c r="D40" s="38" t="s">
        <v>1828</v>
      </c>
      <c r="E40" s="37" t="s">
        <v>105</v>
      </c>
      <c r="F40" s="37" t="s">
        <v>105</v>
      </c>
      <c r="G40" s="37" t="s">
        <v>564</v>
      </c>
      <c r="H40" s="37" t="s">
        <v>196</v>
      </c>
      <c r="I40" s="38" t="s">
        <v>1815</v>
      </c>
      <c r="J40" s="38" t="s">
        <v>566</v>
      </c>
      <c r="K40" s="39">
        <f t="shared" si="0"/>
        <v>1</v>
      </c>
    </row>
    <row r="41" spans="1:11" ht="15" customHeight="1">
      <c r="A41" s="37">
        <v>33</v>
      </c>
      <c r="B41" s="38" t="s">
        <v>153</v>
      </c>
      <c r="C41" s="38" t="s">
        <v>154</v>
      </c>
      <c r="D41" s="38" t="s">
        <v>156</v>
      </c>
      <c r="E41" s="37" t="s">
        <v>105</v>
      </c>
      <c r="F41" s="37" t="s">
        <v>105</v>
      </c>
      <c r="G41" s="37" t="s">
        <v>564</v>
      </c>
      <c r="H41" s="37" t="s">
        <v>196</v>
      </c>
      <c r="I41" s="38" t="s">
        <v>1815</v>
      </c>
      <c r="J41" s="38" t="s">
        <v>566</v>
      </c>
      <c r="K41" s="39">
        <f t="shared" si="0"/>
        <v>1</v>
      </c>
    </row>
    <row r="42" spans="1:11" ht="30" customHeight="1">
      <c r="A42" s="37">
        <v>34</v>
      </c>
      <c r="B42" s="38" t="s">
        <v>159</v>
      </c>
      <c r="C42" s="38" t="s">
        <v>154</v>
      </c>
      <c r="D42" s="38" t="s">
        <v>160</v>
      </c>
      <c r="E42" s="37" t="s">
        <v>105</v>
      </c>
      <c r="F42" s="37" t="s">
        <v>105</v>
      </c>
      <c r="G42" s="37" t="s">
        <v>564</v>
      </c>
      <c r="H42" s="37" t="s">
        <v>196</v>
      </c>
      <c r="I42" s="38" t="s">
        <v>1815</v>
      </c>
      <c r="J42" s="38" t="s">
        <v>566</v>
      </c>
      <c r="K42" s="39">
        <f t="shared" si="0"/>
        <v>1</v>
      </c>
    </row>
    <row r="43" spans="1:11" ht="15" customHeight="1">
      <c r="A43" s="37">
        <v>35</v>
      </c>
      <c r="B43" s="38" t="s">
        <v>159</v>
      </c>
      <c r="C43" s="38" t="s">
        <v>154</v>
      </c>
      <c r="D43" s="38" t="s">
        <v>1829</v>
      </c>
      <c r="E43" s="37" t="s">
        <v>105</v>
      </c>
      <c r="F43" s="37" t="s">
        <v>105</v>
      </c>
      <c r="G43" s="37" t="s">
        <v>564</v>
      </c>
      <c r="H43" s="37" t="s">
        <v>196</v>
      </c>
      <c r="I43" s="38" t="s">
        <v>1815</v>
      </c>
      <c r="J43" s="38" t="s">
        <v>566</v>
      </c>
      <c r="K43" s="39">
        <f t="shared" si="0"/>
        <v>1</v>
      </c>
    </row>
    <row r="44" spans="1:11" ht="15" customHeight="1">
      <c r="A44" s="37">
        <v>36</v>
      </c>
      <c r="B44" s="38" t="s">
        <v>159</v>
      </c>
      <c r="C44" s="38" t="s">
        <v>154</v>
      </c>
      <c r="D44" s="38" t="s">
        <v>162</v>
      </c>
      <c r="E44" s="37" t="s">
        <v>105</v>
      </c>
      <c r="F44" s="37" t="s">
        <v>105</v>
      </c>
      <c r="G44" s="37" t="s">
        <v>564</v>
      </c>
      <c r="H44" s="37" t="s">
        <v>196</v>
      </c>
      <c r="I44" s="38" t="s">
        <v>1815</v>
      </c>
      <c r="J44" s="38" t="s">
        <v>566</v>
      </c>
      <c r="K44" s="39">
        <f t="shared" si="0"/>
        <v>1</v>
      </c>
    </row>
    <row r="45" spans="1:11" ht="30" customHeight="1">
      <c r="A45" s="37">
        <v>37</v>
      </c>
      <c r="B45" s="38" t="s">
        <v>130</v>
      </c>
      <c r="C45" s="38" t="s">
        <v>56</v>
      </c>
      <c r="D45" s="38" t="s">
        <v>164</v>
      </c>
      <c r="E45" s="37" t="s">
        <v>105</v>
      </c>
      <c r="F45" s="37" t="s">
        <v>105</v>
      </c>
      <c r="G45" s="37" t="s">
        <v>564</v>
      </c>
      <c r="H45" s="37" t="s">
        <v>196</v>
      </c>
      <c r="I45" s="38" t="s">
        <v>1815</v>
      </c>
      <c r="J45" s="38" t="s">
        <v>566</v>
      </c>
      <c r="K45" s="39">
        <f t="shared" si="0"/>
        <v>1</v>
      </c>
    </row>
    <row r="46" spans="1:11" ht="15" customHeight="1">
      <c r="A46" s="37">
        <v>38</v>
      </c>
      <c r="B46" s="38" t="s">
        <v>130</v>
      </c>
      <c r="C46" s="38" t="s">
        <v>56</v>
      </c>
      <c r="D46" s="38" t="s">
        <v>165</v>
      </c>
      <c r="E46" s="37" t="s">
        <v>105</v>
      </c>
      <c r="F46" s="37" t="s">
        <v>105</v>
      </c>
      <c r="G46" s="37" t="s">
        <v>564</v>
      </c>
      <c r="H46" s="37" t="s">
        <v>196</v>
      </c>
      <c r="I46" s="38" t="s">
        <v>1815</v>
      </c>
      <c r="J46" s="38" t="s">
        <v>566</v>
      </c>
      <c r="K46" s="39">
        <f t="shared" si="0"/>
        <v>1</v>
      </c>
    </row>
    <row r="47" spans="1:11" ht="15" customHeight="1">
      <c r="A47" s="37">
        <v>39</v>
      </c>
      <c r="B47" s="38" t="s">
        <v>130</v>
      </c>
      <c r="C47" s="38" t="s">
        <v>56</v>
      </c>
      <c r="D47" s="38" t="s">
        <v>166</v>
      </c>
      <c r="E47" s="37" t="s">
        <v>105</v>
      </c>
      <c r="F47" s="37" t="s">
        <v>105</v>
      </c>
      <c r="G47" s="37" t="s">
        <v>564</v>
      </c>
      <c r="H47" s="37" t="s">
        <v>196</v>
      </c>
      <c r="I47" s="38" t="s">
        <v>1815</v>
      </c>
      <c r="J47" s="38" t="s">
        <v>566</v>
      </c>
      <c r="K47" s="39">
        <f t="shared" si="0"/>
        <v>1</v>
      </c>
    </row>
    <row r="48" spans="1:11" ht="60" customHeight="1">
      <c r="A48" s="37">
        <v>40</v>
      </c>
      <c r="B48" s="38" t="s">
        <v>130</v>
      </c>
      <c r="C48" s="38" t="s">
        <v>56</v>
      </c>
      <c r="D48" s="38" t="s">
        <v>167</v>
      </c>
      <c r="E48" s="37" t="s">
        <v>105</v>
      </c>
      <c r="F48" s="37" t="s">
        <v>105</v>
      </c>
      <c r="G48" s="37" t="s">
        <v>564</v>
      </c>
      <c r="H48" s="37" t="s">
        <v>196</v>
      </c>
      <c r="I48" s="38" t="s">
        <v>1815</v>
      </c>
      <c r="J48" s="38" t="s">
        <v>566</v>
      </c>
      <c r="K48" s="39">
        <f t="shared" si="0"/>
        <v>1</v>
      </c>
    </row>
    <row r="49" spans="1:11" ht="15" customHeight="1">
      <c r="A49" s="37">
        <v>41</v>
      </c>
      <c r="B49" s="38" t="s">
        <v>130</v>
      </c>
      <c r="C49" s="38" t="s">
        <v>56</v>
      </c>
      <c r="D49" s="38" t="s">
        <v>168</v>
      </c>
      <c r="E49" s="37" t="s">
        <v>105</v>
      </c>
      <c r="F49" s="37" t="s">
        <v>105</v>
      </c>
      <c r="G49" s="37" t="s">
        <v>564</v>
      </c>
      <c r="H49" s="37" t="s">
        <v>196</v>
      </c>
      <c r="I49" s="38" t="s">
        <v>1815</v>
      </c>
      <c r="J49" s="38" t="s">
        <v>566</v>
      </c>
      <c r="K49" s="39">
        <f t="shared" si="0"/>
        <v>1</v>
      </c>
    </row>
    <row r="50" spans="1:11" ht="60" customHeight="1">
      <c r="A50" s="37">
        <v>42</v>
      </c>
      <c r="B50" s="38" t="s">
        <v>874</v>
      </c>
      <c r="C50" s="38" t="s">
        <v>1830</v>
      </c>
      <c r="D50" s="38" t="s">
        <v>1831</v>
      </c>
      <c r="E50" s="37" t="s">
        <v>105</v>
      </c>
      <c r="F50" s="37" t="s">
        <v>105</v>
      </c>
      <c r="G50" s="37" t="s">
        <v>564</v>
      </c>
      <c r="H50" s="37" t="s">
        <v>196</v>
      </c>
      <c r="I50" s="38" t="s">
        <v>1815</v>
      </c>
      <c r="J50" s="38" t="s">
        <v>566</v>
      </c>
      <c r="K50" s="39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67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1832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IFERROR(SUM(K9:K67)/COUNTA(A9:A67),0)</f>
        <v>1</v>
      </c>
      <c r="C4" s="1" t="s">
        <v>8</v>
      </c>
      <c r="D4" s="2">
        <f>COUNTIF(H9:H67,"covered")</f>
        <v>59</v>
      </c>
      <c r="E4" s="1" t="s">
        <v>9</v>
      </c>
      <c r="F4" s="2">
        <f>COUNTIF(H9:H67,"partial")</f>
        <v>0</v>
      </c>
      <c r="G4" s="1" t="s">
        <v>10</v>
      </c>
      <c r="H4" s="2">
        <f>COUNTIF(H9:H67,"missing")</f>
        <v>0</v>
      </c>
      <c r="I4" s="1" t="s">
        <v>11</v>
      </c>
      <c r="J4" s="2">
        <f>COUNTIF(F9:F67,"no")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7" t="s">
        <v>105</v>
      </c>
      <c r="G9" s="4" t="s">
        <v>442</v>
      </c>
      <c r="H9" s="12" t="s">
        <v>196</v>
      </c>
      <c r="I9" s="5" t="s">
        <v>100</v>
      </c>
      <c r="J9" s="5"/>
      <c r="K9" s="6">
        <f t="shared" ref="K9:K40" si="0">IF(AND(E9="yes",F9="yes",H9="covered"),1,IF(AND(E9="yes",H9="partial"),0.5,0))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7" t="s">
        <v>105</v>
      </c>
      <c r="G10" s="4" t="s">
        <v>442</v>
      </c>
      <c r="H10" s="12" t="s">
        <v>196</v>
      </c>
      <c r="I10" s="5" t="s">
        <v>100</v>
      </c>
      <c r="J10" s="5"/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57</v>
      </c>
      <c r="D11" s="5" t="s">
        <v>104</v>
      </c>
      <c r="E11" s="7" t="s">
        <v>105</v>
      </c>
      <c r="F11" s="7" t="s">
        <v>105</v>
      </c>
      <c r="G11" s="4" t="s">
        <v>442</v>
      </c>
      <c r="H11" s="11" t="s">
        <v>196</v>
      </c>
      <c r="I11" s="5" t="s">
        <v>1833</v>
      </c>
      <c r="J11" s="5"/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57</v>
      </c>
      <c r="D12" s="5" t="s">
        <v>110</v>
      </c>
      <c r="E12" s="7" t="s">
        <v>105</v>
      </c>
      <c r="F12" s="7" t="s">
        <v>105</v>
      </c>
      <c r="G12" s="4" t="s">
        <v>442</v>
      </c>
      <c r="H12" s="11" t="s">
        <v>196</v>
      </c>
      <c r="I12" s="5" t="s">
        <v>1833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57</v>
      </c>
      <c r="D13" s="5" t="s">
        <v>111</v>
      </c>
      <c r="E13" s="7" t="s">
        <v>105</v>
      </c>
      <c r="F13" s="7" t="s">
        <v>105</v>
      </c>
      <c r="G13" s="4" t="s">
        <v>442</v>
      </c>
      <c r="H13" s="11" t="s">
        <v>196</v>
      </c>
      <c r="I13" s="5" t="s">
        <v>1833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57</v>
      </c>
      <c r="D14" s="5" t="s">
        <v>112</v>
      </c>
      <c r="E14" s="7" t="s">
        <v>105</v>
      </c>
      <c r="F14" s="7" t="s">
        <v>105</v>
      </c>
      <c r="G14" s="4" t="s">
        <v>442</v>
      </c>
      <c r="H14" s="11" t="s">
        <v>196</v>
      </c>
      <c r="I14" s="5" t="s">
        <v>1833</v>
      </c>
      <c r="J14" s="5"/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57</v>
      </c>
      <c r="D15" s="5" t="s">
        <v>1834</v>
      </c>
      <c r="E15" s="7" t="s">
        <v>105</v>
      </c>
      <c r="F15" s="7" t="s">
        <v>105</v>
      </c>
      <c r="G15" s="4" t="s">
        <v>442</v>
      </c>
      <c r="H15" s="11" t="s">
        <v>196</v>
      </c>
      <c r="I15" s="5" t="s">
        <v>1833</v>
      </c>
      <c r="J15" s="5"/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57</v>
      </c>
      <c r="D16" s="5" t="s">
        <v>1835</v>
      </c>
      <c r="E16" s="7" t="s">
        <v>105</v>
      </c>
      <c r="F16" s="7" t="s">
        <v>105</v>
      </c>
      <c r="G16" s="4" t="s">
        <v>442</v>
      </c>
      <c r="H16" s="11" t="s">
        <v>196</v>
      </c>
      <c r="I16" s="5" t="s">
        <v>1833</v>
      </c>
      <c r="J16" s="5"/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57</v>
      </c>
      <c r="D17" s="5" t="s">
        <v>1836</v>
      </c>
      <c r="E17" s="7" t="s">
        <v>105</v>
      </c>
      <c r="F17" s="7" t="s">
        <v>105</v>
      </c>
      <c r="G17" s="4" t="s">
        <v>442</v>
      </c>
      <c r="H17" s="11" t="s">
        <v>196</v>
      </c>
      <c r="I17" s="5" t="s">
        <v>1833</v>
      </c>
      <c r="J17" s="5"/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57</v>
      </c>
      <c r="D18" s="5" t="s">
        <v>1837</v>
      </c>
      <c r="E18" s="7" t="s">
        <v>105</v>
      </c>
      <c r="F18" s="7" t="s">
        <v>105</v>
      </c>
      <c r="G18" s="4" t="s">
        <v>442</v>
      </c>
      <c r="H18" s="11" t="s">
        <v>196</v>
      </c>
      <c r="I18" s="5" t="s">
        <v>1833</v>
      </c>
      <c r="J18" s="5"/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57</v>
      </c>
      <c r="D19" s="5" t="s">
        <v>1838</v>
      </c>
      <c r="E19" s="7" t="s">
        <v>105</v>
      </c>
      <c r="F19" s="7" t="s">
        <v>105</v>
      </c>
      <c r="G19" s="4" t="s">
        <v>442</v>
      </c>
      <c r="H19" s="11" t="s">
        <v>196</v>
      </c>
      <c r="I19" s="5" t="s">
        <v>1833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7" t="s">
        <v>105</v>
      </c>
      <c r="G20" s="4" t="s">
        <v>442</v>
      </c>
      <c r="H20" s="11" t="s">
        <v>196</v>
      </c>
      <c r="I20" s="5" t="s">
        <v>1833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7" t="s">
        <v>105</v>
      </c>
      <c r="G21" s="4" t="s">
        <v>442</v>
      </c>
      <c r="H21" s="11" t="s">
        <v>196</v>
      </c>
      <c r="I21" s="5" t="s">
        <v>1833</v>
      </c>
      <c r="J21" s="5"/>
      <c r="K21" s="6">
        <f t="shared" si="0"/>
        <v>1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7" t="s">
        <v>105</v>
      </c>
      <c r="G22" s="4" t="s">
        <v>442</v>
      </c>
      <c r="H22" s="11" t="s">
        <v>196</v>
      </c>
      <c r="I22" s="5" t="s">
        <v>1833</v>
      </c>
      <c r="J22" s="5"/>
      <c r="K22" s="6">
        <f t="shared" si="0"/>
        <v>1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7" t="s">
        <v>105</v>
      </c>
      <c r="G23" s="4" t="s">
        <v>442</v>
      </c>
      <c r="H23" s="11" t="s">
        <v>196</v>
      </c>
      <c r="I23" s="5" t="s">
        <v>1833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7" t="s">
        <v>105</v>
      </c>
      <c r="G24" s="4" t="s">
        <v>442</v>
      </c>
      <c r="H24" s="11" t="s">
        <v>196</v>
      </c>
      <c r="I24" s="5" t="s">
        <v>1833</v>
      </c>
      <c r="J24" s="5"/>
      <c r="K24" s="6">
        <f t="shared" si="0"/>
        <v>1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7" t="s">
        <v>105</v>
      </c>
      <c r="G25" s="4" t="s">
        <v>442</v>
      </c>
      <c r="H25" s="11" t="s">
        <v>196</v>
      </c>
      <c r="I25" s="5" t="s">
        <v>1833</v>
      </c>
      <c r="J25" s="5"/>
      <c r="K25" s="6">
        <f t="shared" si="0"/>
        <v>1</v>
      </c>
    </row>
    <row r="26" spans="1:11" ht="15" customHeight="1">
      <c r="A26" s="4">
        <v>18</v>
      </c>
      <c r="B26" s="5" t="s">
        <v>130</v>
      </c>
      <c r="C26" s="5" t="s">
        <v>121</v>
      </c>
      <c r="D26" s="5" t="s">
        <v>131</v>
      </c>
      <c r="E26" s="7" t="s">
        <v>105</v>
      </c>
      <c r="F26" s="7" t="s">
        <v>105</v>
      </c>
      <c r="G26" s="4" t="s">
        <v>442</v>
      </c>
      <c r="H26" s="11" t="s">
        <v>196</v>
      </c>
      <c r="I26" s="5" t="s">
        <v>1833</v>
      </c>
      <c r="J26" s="5"/>
      <c r="K26" s="6">
        <f t="shared" si="0"/>
        <v>1</v>
      </c>
    </row>
    <row r="27" spans="1:11" ht="15" customHeight="1">
      <c r="A27" s="4">
        <v>19</v>
      </c>
      <c r="B27" s="5" t="s">
        <v>130</v>
      </c>
      <c r="C27" s="5" t="s">
        <v>121</v>
      </c>
      <c r="D27" s="5" t="s">
        <v>132</v>
      </c>
      <c r="E27" s="7" t="s">
        <v>105</v>
      </c>
      <c r="F27" s="7" t="s">
        <v>105</v>
      </c>
      <c r="G27" s="4" t="s">
        <v>442</v>
      </c>
      <c r="H27" s="11" t="s">
        <v>196</v>
      </c>
      <c r="I27" s="5" t="s">
        <v>1833</v>
      </c>
      <c r="J27" s="5"/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136</v>
      </c>
      <c r="E28" s="7" t="s">
        <v>105</v>
      </c>
      <c r="F28" s="7" t="s">
        <v>105</v>
      </c>
      <c r="G28" s="4" t="s">
        <v>442</v>
      </c>
      <c r="H28" s="11" t="s">
        <v>196</v>
      </c>
      <c r="I28" s="5" t="s">
        <v>1833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1676</v>
      </c>
      <c r="E29" s="7" t="s">
        <v>105</v>
      </c>
      <c r="F29" s="7" t="s">
        <v>105</v>
      </c>
      <c r="G29" s="4" t="s">
        <v>442</v>
      </c>
      <c r="H29" s="11" t="s">
        <v>196</v>
      </c>
      <c r="I29" s="5" t="s">
        <v>1833</v>
      </c>
      <c r="J29" s="5"/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1677</v>
      </c>
      <c r="E30" s="7" t="s">
        <v>105</v>
      </c>
      <c r="F30" s="7" t="s">
        <v>105</v>
      </c>
      <c r="G30" s="4" t="s">
        <v>442</v>
      </c>
      <c r="H30" s="11" t="s">
        <v>196</v>
      </c>
      <c r="I30" s="5" t="s">
        <v>1833</v>
      </c>
      <c r="J30" s="5"/>
      <c r="K30" s="6">
        <f t="shared" si="0"/>
        <v>1</v>
      </c>
    </row>
    <row r="31" spans="1:11" ht="15" customHeight="1">
      <c r="A31" s="4">
        <v>23</v>
      </c>
      <c r="B31" s="5" t="s">
        <v>539</v>
      </c>
      <c r="C31" s="5" t="s">
        <v>121</v>
      </c>
      <c r="D31" s="5" t="s">
        <v>1839</v>
      </c>
      <c r="E31" s="7" t="s">
        <v>105</v>
      </c>
      <c r="F31" s="7" t="s">
        <v>105</v>
      </c>
      <c r="G31" s="4" t="s">
        <v>442</v>
      </c>
      <c r="H31" s="11" t="s">
        <v>196</v>
      </c>
      <c r="I31" s="5" t="s">
        <v>1833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1840</v>
      </c>
      <c r="E32" s="7" t="s">
        <v>105</v>
      </c>
      <c r="F32" s="7" t="s">
        <v>105</v>
      </c>
      <c r="G32" s="4" t="s">
        <v>442</v>
      </c>
      <c r="H32" s="11" t="s">
        <v>196</v>
      </c>
      <c r="I32" s="5" t="s">
        <v>1833</v>
      </c>
      <c r="J32" s="5"/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142</v>
      </c>
      <c r="E33" s="7" t="s">
        <v>105</v>
      </c>
      <c r="F33" s="7" t="s">
        <v>105</v>
      </c>
      <c r="G33" s="4" t="s">
        <v>442</v>
      </c>
      <c r="H33" s="11" t="s">
        <v>196</v>
      </c>
      <c r="I33" s="5" t="s">
        <v>1833</v>
      </c>
      <c r="J33" s="5"/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146</v>
      </c>
      <c r="E34" s="7" t="s">
        <v>105</v>
      </c>
      <c r="F34" s="7" t="s">
        <v>105</v>
      </c>
      <c r="G34" s="4" t="s">
        <v>442</v>
      </c>
      <c r="H34" s="11" t="s">
        <v>196</v>
      </c>
      <c r="I34" s="5" t="s">
        <v>1833</v>
      </c>
      <c r="J34" s="5"/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1841</v>
      </c>
      <c r="E35" s="7" t="s">
        <v>105</v>
      </c>
      <c r="F35" s="7" t="s">
        <v>105</v>
      </c>
      <c r="G35" s="4" t="s">
        <v>442</v>
      </c>
      <c r="H35" s="11" t="s">
        <v>196</v>
      </c>
      <c r="I35" s="5" t="s">
        <v>1833</v>
      </c>
      <c r="J35" s="5"/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1842</v>
      </c>
      <c r="E36" s="7" t="s">
        <v>105</v>
      </c>
      <c r="F36" s="7" t="s">
        <v>105</v>
      </c>
      <c r="G36" s="4" t="s">
        <v>442</v>
      </c>
      <c r="H36" s="11" t="s">
        <v>196</v>
      </c>
      <c r="I36" s="5" t="s">
        <v>1833</v>
      </c>
      <c r="J36" s="5"/>
      <c r="K36" s="6">
        <f t="shared" si="0"/>
        <v>1</v>
      </c>
    </row>
    <row r="37" spans="1:11" ht="15" customHeight="1">
      <c r="A37" s="4">
        <v>29</v>
      </c>
      <c r="B37" s="5" t="s">
        <v>135</v>
      </c>
      <c r="C37" s="5" t="s">
        <v>121</v>
      </c>
      <c r="D37" s="5" t="s">
        <v>544</v>
      </c>
      <c r="E37" s="7" t="s">
        <v>105</v>
      </c>
      <c r="F37" s="7" t="s">
        <v>105</v>
      </c>
      <c r="G37" s="4" t="s">
        <v>442</v>
      </c>
      <c r="H37" s="11" t="s">
        <v>196</v>
      </c>
      <c r="I37" s="5" t="s">
        <v>1833</v>
      </c>
      <c r="J37" s="5"/>
      <c r="K37" s="6">
        <f t="shared" si="0"/>
        <v>1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1843</v>
      </c>
      <c r="E38" s="7" t="s">
        <v>105</v>
      </c>
      <c r="F38" s="7" t="s">
        <v>105</v>
      </c>
      <c r="G38" s="4" t="s">
        <v>442</v>
      </c>
      <c r="H38" s="11" t="s">
        <v>196</v>
      </c>
      <c r="I38" s="5" t="s">
        <v>1833</v>
      </c>
      <c r="J38" s="5"/>
      <c r="K38" s="6">
        <f t="shared" si="0"/>
        <v>1</v>
      </c>
    </row>
    <row r="39" spans="1:11" ht="15" customHeight="1">
      <c r="A39" s="4">
        <v>31</v>
      </c>
      <c r="B39" s="5" t="s">
        <v>120</v>
      </c>
      <c r="C39" s="5" t="s">
        <v>618</v>
      </c>
      <c r="D39" s="5" t="s">
        <v>122</v>
      </c>
      <c r="E39" s="7" t="s">
        <v>105</v>
      </c>
      <c r="F39" s="7" t="s">
        <v>105</v>
      </c>
      <c r="G39" s="4" t="s">
        <v>442</v>
      </c>
      <c r="H39" s="11" t="s">
        <v>196</v>
      </c>
      <c r="I39" s="5" t="s">
        <v>1833</v>
      </c>
      <c r="J39" s="5"/>
      <c r="K39" s="6">
        <f t="shared" si="0"/>
        <v>1</v>
      </c>
    </row>
    <row r="40" spans="1:11" ht="15" customHeight="1">
      <c r="A40" s="4">
        <v>32</v>
      </c>
      <c r="B40" s="5" t="s">
        <v>120</v>
      </c>
      <c r="C40" s="5" t="s">
        <v>618</v>
      </c>
      <c r="D40" s="5" t="s">
        <v>123</v>
      </c>
      <c r="E40" s="7" t="s">
        <v>105</v>
      </c>
      <c r="F40" s="7" t="s">
        <v>105</v>
      </c>
      <c r="G40" s="4" t="s">
        <v>442</v>
      </c>
      <c r="H40" s="11" t="s">
        <v>196</v>
      </c>
      <c r="I40" s="5" t="s">
        <v>1833</v>
      </c>
      <c r="J40" s="5"/>
      <c r="K40" s="6">
        <f t="shared" si="0"/>
        <v>1</v>
      </c>
    </row>
    <row r="41" spans="1:11" ht="30" customHeight="1">
      <c r="A41" s="4">
        <v>33</v>
      </c>
      <c r="B41" s="5" t="s">
        <v>124</v>
      </c>
      <c r="C41" s="5" t="s">
        <v>618</v>
      </c>
      <c r="D41" s="5" t="s">
        <v>125</v>
      </c>
      <c r="E41" s="7" t="s">
        <v>105</v>
      </c>
      <c r="F41" s="7" t="s">
        <v>105</v>
      </c>
      <c r="G41" s="4" t="s">
        <v>442</v>
      </c>
      <c r="H41" s="11" t="s">
        <v>196</v>
      </c>
      <c r="I41" s="5" t="s">
        <v>1833</v>
      </c>
      <c r="J41" s="5"/>
      <c r="K41" s="6">
        <f t="shared" ref="K41:K67" si="1">IF(AND(E41="yes",F41="yes",H41="covered"),1,IF(AND(E41="yes",H41="partial"),0.5,0))</f>
        <v>1</v>
      </c>
    </row>
    <row r="42" spans="1:11" ht="15" customHeight="1">
      <c r="A42" s="4">
        <v>34</v>
      </c>
      <c r="B42" s="5" t="s">
        <v>124</v>
      </c>
      <c r="C42" s="5" t="s">
        <v>618</v>
      </c>
      <c r="D42" s="5" t="s">
        <v>126</v>
      </c>
      <c r="E42" s="7" t="s">
        <v>105</v>
      </c>
      <c r="F42" s="7" t="s">
        <v>105</v>
      </c>
      <c r="G42" s="4" t="s">
        <v>442</v>
      </c>
      <c r="H42" s="11" t="s">
        <v>196</v>
      </c>
      <c r="I42" s="5" t="s">
        <v>1833</v>
      </c>
      <c r="J42" s="5"/>
      <c r="K42" s="6">
        <f t="shared" si="1"/>
        <v>1</v>
      </c>
    </row>
    <row r="43" spans="1:11" ht="15" customHeight="1">
      <c r="A43" s="4">
        <v>35</v>
      </c>
      <c r="B43" s="5" t="s">
        <v>95</v>
      </c>
      <c r="C43" s="5" t="s">
        <v>618</v>
      </c>
      <c r="D43" s="5" t="s">
        <v>127</v>
      </c>
      <c r="E43" s="7" t="s">
        <v>105</v>
      </c>
      <c r="F43" s="7" t="s">
        <v>105</v>
      </c>
      <c r="G43" s="4" t="s">
        <v>442</v>
      </c>
      <c r="H43" s="11" t="s">
        <v>196</v>
      </c>
      <c r="I43" s="5" t="s">
        <v>1833</v>
      </c>
      <c r="J43" s="5"/>
      <c r="K43" s="6">
        <f t="shared" si="1"/>
        <v>1</v>
      </c>
    </row>
    <row r="44" spans="1:11" ht="15" customHeight="1">
      <c r="A44" s="4">
        <v>36</v>
      </c>
      <c r="B44" s="5" t="s">
        <v>128</v>
      </c>
      <c r="C44" s="5" t="s">
        <v>618</v>
      </c>
      <c r="D44" s="5" t="s">
        <v>129</v>
      </c>
      <c r="E44" s="7" t="s">
        <v>105</v>
      </c>
      <c r="F44" s="7" t="s">
        <v>105</v>
      </c>
      <c r="G44" s="4" t="s">
        <v>442</v>
      </c>
      <c r="H44" s="11" t="s">
        <v>196</v>
      </c>
      <c r="I44" s="5" t="s">
        <v>1833</v>
      </c>
      <c r="J44" s="5"/>
      <c r="K44" s="6">
        <f t="shared" si="1"/>
        <v>1</v>
      </c>
    </row>
    <row r="45" spans="1:11" ht="15" customHeight="1">
      <c r="A45" s="4">
        <v>37</v>
      </c>
      <c r="B45" s="5" t="s">
        <v>130</v>
      </c>
      <c r="C45" s="5" t="s">
        <v>618</v>
      </c>
      <c r="D45" s="5" t="s">
        <v>131</v>
      </c>
      <c r="E45" s="7" t="s">
        <v>105</v>
      </c>
      <c r="F45" s="7" t="s">
        <v>105</v>
      </c>
      <c r="G45" s="4" t="s">
        <v>442</v>
      </c>
      <c r="H45" s="11" t="s">
        <v>196</v>
      </c>
      <c r="I45" s="5" t="s">
        <v>1833</v>
      </c>
      <c r="J45" s="5"/>
      <c r="K45" s="6">
        <f t="shared" si="1"/>
        <v>1</v>
      </c>
    </row>
    <row r="46" spans="1:11" ht="15" customHeight="1">
      <c r="A46" s="4">
        <v>38</v>
      </c>
      <c r="B46" s="5" t="s">
        <v>130</v>
      </c>
      <c r="C46" s="5" t="s">
        <v>618</v>
      </c>
      <c r="D46" s="5" t="s">
        <v>132</v>
      </c>
      <c r="E46" s="7" t="s">
        <v>105</v>
      </c>
      <c r="F46" s="7" t="s">
        <v>105</v>
      </c>
      <c r="G46" s="4" t="s">
        <v>442</v>
      </c>
      <c r="H46" s="11" t="s">
        <v>196</v>
      </c>
      <c r="I46" s="5" t="s">
        <v>1833</v>
      </c>
      <c r="J46" s="5"/>
      <c r="K46" s="6">
        <f t="shared" si="1"/>
        <v>1</v>
      </c>
    </row>
    <row r="47" spans="1:11" ht="15" customHeight="1">
      <c r="A47" s="4">
        <v>39</v>
      </c>
      <c r="B47" s="5" t="s">
        <v>133</v>
      </c>
      <c r="C47" s="5" t="s">
        <v>618</v>
      </c>
      <c r="D47" s="5" t="s">
        <v>142</v>
      </c>
      <c r="E47" s="7" t="s">
        <v>105</v>
      </c>
      <c r="F47" s="7" t="s">
        <v>105</v>
      </c>
      <c r="G47" s="4" t="s">
        <v>442</v>
      </c>
      <c r="H47" s="11" t="s">
        <v>196</v>
      </c>
      <c r="I47" s="5" t="s">
        <v>1833</v>
      </c>
      <c r="J47" s="5"/>
      <c r="K47" s="6">
        <f t="shared" si="1"/>
        <v>1</v>
      </c>
    </row>
    <row r="48" spans="1:11" ht="15" customHeight="1">
      <c r="A48" s="4">
        <v>40</v>
      </c>
      <c r="B48" s="5" t="s">
        <v>133</v>
      </c>
      <c r="C48" s="5" t="s">
        <v>618</v>
      </c>
      <c r="D48" s="5" t="s">
        <v>146</v>
      </c>
      <c r="E48" s="7" t="s">
        <v>105</v>
      </c>
      <c r="F48" s="7" t="s">
        <v>105</v>
      </c>
      <c r="G48" s="4" t="s">
        <v>442</v>
      </c>
      <c r="H48" s="11" t="s">
        <v>196</v>
      </c>
      <c r="I48" s="5" t="s">
        <v>1833</v>
      </c>
      <c r="J48" s="5"/>
      <c r="K48" s="6">
        <f t="shared" si="1"/>
        <v>1</v>
      </c>
    </row>
    <row r="49" spans="1:11" ht="15" customHeight="1">
      <c r="A49" s="4">
        <v>41</v>
      </c>
      <c r="B49" s="5" t="s">
        <v>133</v>
      </c>
      <c r="C49" s="5" t="s">
        <v>618</v>
      </c>
      <c r="D49" s="5" t="s">
        <v>1841</v>
      </c>
      <c r="E49" s="7" t="s">
        <v>105</v>
      </c>
      <c r="F49" s="7" t="s">
        <v>105</v>
      </c>
      <c r="G49" s="4" t="s">
        <v>442</v>
      </c>
      <c r="H49" s="11" t="s">
        <v>196</v>
      </c>
      <c r="I49" s="5" t="s">
        <v>1833</v>
      </c>
      <c r="J49" s="5"/>
      <c r="K49" s="6">
        <f t="shared" si="1"/>
        <v>1</v>
      </c>
    </row>
    <row r="50" spans="1:11" ht="15" customHeight="1">
      <c r="A50" s="4">
        <v>42</v>
      </c>
      <c r="B50" s="5" t="s">
        <v>133</v>
      </c>
      <c r="C50" s="5" t="s">
        <v>618</v>
      </c>
      <c r="D50" s="5" t="s">
        <v>1842</v>
      </c>
      <c r="E50" s="7" t="s">
        <v>105</v>
      </c>
      <c r="F50" s="7" t="s">
        <v>105</v>
      </c>
      <c r="G50" s="4" t="s">
        <v>442</v>
      </c>
      <c r="H50" s="11" t="s">
        <v>196</v>
      </c>
      <c r="I50" s="5" t="s">
        <v>1833</v>
      </c>
      <c r="J50" s="5"/>
      <c r="K50" s="6">
        <f t="shared" si="1"/>
        <v>1</v>
      </c>
    </row>
    <row r="51" spans="1:11" ht="15" customHeight="1">
      <c r="A51" s="4">
        <v>43</v>
      </c>
      <c r="B51" s="5" t="s">
        <v>135</v>
      </c>
      <c r="C51" s="5" t="s">
        <v>618</v>
      </c>
      <c r="D51" s="5" t="s">
        <v>544</v>
      </c>
      <c r="E51" s="7" t="s">
        <v>105</v>
      </c>
      <c r="F51" s="7" t="s">
        <v>105</v>
      </c>
      <c r="G51" s="4" t="s">
        <v>442</v>
      </c>
      <c r="H51" s="11" t="s">
        <v>196</v>
      </c>
      <c r="I51" s="5" t="s">
        <v>1833</v>
      </c>
      <c r="J51" s="5"/>
      <c r="K51" s="6">
        <f t="shared" si="1"/>
        <v>1</v>
      </c>
    </row>
    <row r="52" spans="1:11" ht="15" customHeight="1">
      <c r="A52" s="4">
        <v>44</v>
      </c>
      <c r="B52" s="5" t="s">
        <v>133</v>
      </c>
      <c r="C52" s="5" t="s">
        <v>618</v>
      </c>
      <c r="D52" s="5" t="s">
        <v>1843</v>
      </c>
      <c r="E52" s="7" t="s">
        <v>105</v>
      </c>
      <c r="F52" s="7" t="s">
        <v>105</v>
      </c>
      <c r="G52" s="4" t="s">
        <v>442</v>
      </c>
      <c r="H52" s="11" t="s">
        <v>196</v>
      </c>
      <c r="I52" s="5" t="s">
        <v>1833</v>
      </c>
      <c r="J52" s="5"/>
      <c r="K52" s="6">
        <f t="shared" si="1"/>
        <v>1</v>
      </c>
    </row>
    <row r="53" spans="1:11" ht="15" customHeight="1">
      <c r="A53" s="4">
        <v>45</v>
      </c>
      <c r="B53" s="5" t="s">
        <v>153</v>
      </c>
      <c r="C53" s="5" t="s">
        <v>154</v>
      </c>
      <c r="D53" s="5" t="s">
        <v>562</v>
      </c>
      <c r="E53" s="7" t="s">
        <v>105</v>
      </c>
      <c r="F53" s="7" t="s">
        <v>105</v>
      </c>
      <c r="G53" s="4" t="s">
        <v>442</v>
      </c>
      <c r="H53" s="11" t="s">
        <v>196</v>
      </c>
      <c r="I53" s="5" t="s">
        <v>1833</v>
      </c>
      <c r="J53" s="5"/>
      <c r="K53" s="6">
        <f t="shared" si="1"/>
        <v>1</v>
      </c>
    </row>
    <row r="54" spans="1:11" ht="15" customHeight="1">
      <c r="A54" s="4">
        <v>46</v>
      </c>
      <c r="B54" s="5" t="s">
        <v>153</v>
      </c>
      <c r="C54" s="5" t="s">
        <v>154</v>
      </c>
      <c r="D54" s="5" t="s">
        <v>1686</v>
      </c>
      <c r="E54" s="7" t="s">
        <v>105</v>
      </c>
      <c r="F54" s="7" t="s">
        <v>105</v>
      </c>
      <c r="G54" s="4" t="s">
        <v>442</v>
      </c>
      <c r="H54" s="11" t="s">
        <v>196</v>
      </c>
      <c r="I54" s="5" t="s">
        <v>1833</v>
      </c>
      <c r="J54" s="5"/>
      <c r="K54" s="6">
        <f t="shared" si="1"/>
        <v>1</v>
      </c>
    </row>
    <row r="55" spans="1:11" ht="15" customHeight="1">
      <c r="A55" s="4">
        <v>47</v>
      </c>
      <c r="B55" s="5" t="s">
        <v>153</v>
      </c>
      <c r="C55" s="5" t="s">
        <v>154</v>
      </c>
      <c r="D55" s="5" t="s">
        <v>1687</v>
      </c>
      <c r="E55" s="7" t="s">
        <v>105</v>
      </c>
      <c r="F55" s="7" t="s">
        <v>105</v>
      </c>
      <c r="G55" s="4" t="s">
        <v>442</v>
      </c>
      <c r="H55" s="11" t="s">
        <v>196</v>
      </c>
      <c r="I55" s="5" t="s">
        <v>1833</v>
      </c>
      <c r="J55" s="5"/>
      <c r="K55" s="6">
        <f t="shared" si="1"/>
        <v>1</v>
      </c>
    </row>
    <row r="56" spans="1:11" ht="15" customHeight="1">
      <c r="A56" s="4">
        <v>48</v>
      </c>
      <c r="B56" s="5" t="s">
        <v>153</v>
      </c>
      <c r="C56" s="5" t="s">
        <v>154</v>
      </c>
      <c r="D56" s="5" t="s">
        <v>1688</v>
      </c>
      <c r="E56" s="7" t="s">
        <v>105</v>
      </c>
      <c r="F56" s="7" t="s">
        <v>105</v>
      </c>
      <c r="G56" s="4" t="s">
        <v>442</v>
      </c>
      <c r="H56" s="11" t="s">
        <v>196</v>
      </c>
      <c r="I56" s="5" t="s">
        <v>1833</v>
      </c>
      <c r="J56" s="5"/>
      <c r="K56" s="6">
        <f t="shared" si="1"/>
        <v>1</v>
      </c>
    </row>
    <row r="57" spans="1:11" ht="15" customHeight="1">
      <c r="A57" s="4">
        <v>49</v>
      </c>
      <c r="B57" s="5" t="s">
        <v>153</v>
      </c>
      <c r="C57" s="5" t="s">
        <v>154</v>
      </c>
      <c r="D57" s="5" t="s">
        <v>1689</v>
      </c>
      <c r="E57" s="7" t="s">
        <v>105</v>
      </c>
      <c r="F57" s="7" t="s">
        <v>105</v>
      </c>
      <c r="G57" s="4" t="s">
        <v>442</v>
      </c>
      <c r="H57" s="11" t="s">
        <v>196</v>
      </c>
      <c r="I57" s="5" t="s">
        <v>1833</v>
      </c>
      <c r="J57" s="5"/>
      <c r="K57" s="6">
        <f t="shared" si="1"/>
        <v>1</v>
      </c>
    </row>
    <row r="58" spans="1:11" ht="15" customHeight="1">
      <c r="A58" s="4">
        <v>50</v>
      </c>
      <c r="B58" s="5" t="s">
        <v>159</v>
      </c>
      <c r="C58" s="5" t="s">
        <v>154</v>
      </c>
      <c r="D58" s="5" t="s">
        <v>1844</v>
      </c>
      <c r="E58" s="7" t="s">
        <v>105</v>
      </c>
      <c r="F58" s="7" t="s">
        <v>105</v>
      </c>
      <c r="G58" s="4" t="s">
        <v>442</v>
      </c>
      <c r="H58" s="11" t="s">
        <v>196</v>
      </c>
      <c r="I58" s="5" t="s">
        <v>1833</v>
      </c>
      <c r="J58" s="5"/>
      <c r="K58" s="6">
        <f t="shared" si="1"/>
        <v>1</v>
      </c>
    </row>
    <row r="59" spans="1:11" ht="15" customHeight="1">
      <c r="A59" s="4">
        <v>51</v>
      </c>
      <c r="B59" s="5" t="s">
        <v>159</v>
      </c>
      <c r="C59" s="5" t="s">
        <v>154</v>
      </c>
      <c r="D59" s="5" t="s">
        <v>1845</v>
      </c>
      <c r="E59" s="7" t="s">
        <v>105</v>
      </c>
      <c r="F59" s="7" t="s">
        <v>105</v>
      </c>
      <c r="G59" s="4" t="s">
        <v>442</v>
      </c>
      <c r="H59" s="11" t="s">
        <v>196</v>
      </c>
      <c r="I59" s="5" t="s">
        <v>1833</v>
      </c>
      <c r="J59" s="5"/>
      <c r="K59" s="6">
        <f t="shared" si="1"/>
        <v>1</v>
      </c>
    </row>
    <row r="60" spans="1:11" ht="15" customHeight="1">
      <c r="A60" s="4">
        <v>52</v>
      </c>
      <c r="B60" s="5" t="s">
        <v>159</v>
      </c>
      <c r="C60" s="5" t="s">
        <v>154</v>
      </c>
      <c r="D60" s="5" t="s">
        <v>1846</v>
      </c>
      <c r="E60" s="7" t="s">
        <v>105</v>
      </c>
      <c r="F60" s="7" t="s">
        <v>105</v>
      </c>
      <c r="G60" s="4" t="s">
        <v>442</v>
      </c>
      <c r="H60" s="11" t="s">
        <v>196</v>
      </c>
      <c r="I60" s="5" t="s">
        <v>1833</v>
      </c>
      <c r="J60" s="5"/>
      <c r="K60" s="6">
        <f t="shared" si="1"/>
        <v>1</v>
      </c>
    </row>
    <row r="61" spans="1:11" ht="15" customHeight="1">
      <c r="A61" s="4">
        <v>53</v>
      </c>
      <c r="B61" s="5" t="s">
        <v>159</v>
      </c>
      <c r="C61" s="5" t="s">
        <v>154</v>
      </c>
      <c r="D61" s="5" t="s">
        <v>162</v>
      </c>
      <c r="E61" s="7" t="s">
        <v>105</v>
      </c>
      <c r="F61" s="7" t="s">
        <v>105</v>
      </c>
      <c r="G61" s="4" t="s">
        <v>442</v>
      </c>
      <c r="H61" s="11" t="s">
        <v>196</v>
      </c>
      <c r="I61" s="5" t="s">
        <v>1833</v>
      </c>
      <c r="J61" s="5"/>
      <c r="K61" s="6">
        <f t="shared" si="1"/>
        <v>1</v>
      </c>
    </row>
    <row r="62" spans="1:11" ht="15" customHeight="1">
      <c r="A62" s="4">
        <v>54</v>
      </c>
      <c r="B62" s="5" t="s">
        <v>159</v>
      </c>
      <c r="C62" s="5" t="s">
        <v>154</v>
      </c>
      <c r="D62" s="5" t="s">
        <v>163</v>
      </c>
      <c r="E62" s="7" t="s">
        <v>105</v>
      </c>
      <c r="F62" s="7" t="s">
        <v>105</v>
      </c>
      <c r="G62" s="4" t="s">
        <v>442</v>
      </c>
      <c r="H62" s="11" t="s">
        <v>196</v>
      </c>
      <c r="I62" s="5" t="s">
        <v>1833</v>
      </c>
      <c r="J62" s="5"/>
      <c r="K62" s="6">
        <f t="shared" si="1"/>
        <v>1</v>
      </c>
    </row>
    <row r="63" spans="1:11" ht="15" customHeight="1">
      <c r="A63" s="4">
        <v>55</v>
      </c>
      <c r="B63" s="5" t="s">
        <v>159</v>
      </c>
      <c r="C63" s="5" t="s">
        <v>154</v>
      </c>
      <c r="D63" s="5" t="s">
        <v>551</v>
      </c>
      <c r="E63" s="7" t="s">
        <v>105</v>
      </c>
      <c r="F63" s="7" t="s">
        <v>105</v>
      </c>
      <c r="G63" s="4" t="s">
        <v>442</v>
      </c>
      <c r="H63" s="11" t="s">
        <v>196</v>
      </c>
      <c r="I63" s="5" t="s">
        <v>1833</v>
      </c>
      <c r="J63" s="5"/>
      <c r="K63" s="6">
        <f t="shared" si="1"/>
        <v>1</v>
      </c>
    </row>
    <row r="64" spans="1:11" ht="15" customHeight="1">
      <c r="A64" s="4">
        <v>56</v>
      </c>
      <c r="B64" s="5" t="s">
        <v>130</v>
      </c>
      <c r="C64" s="5" t="s">
        <v>57</v>
      </c>
      <c r="D64" s="5" t="s">
        <v>164</v>
      </c>
      <c r="E64" s="7" t="s">
        <v>105</v>
      </c>
      <c r="F64" s="7" t="s">
        <v>105</v>
      </c>
      <c r="G64" s="4" t="s">
        <v>442</v>
      </c>
      <c r="H64" s="11" t="s">
        <v>196</v>
      </c>
      <c r="I64" s="5" t="s">
        <v>1833</v>
      </c>
      <c r="J64" s="5"/>
      <c r="K64" s="6">
        <f t="shared" si="1"/>
        <v>1</v>
      </c>
    </row>
    <row r="65" spans="1:11" ht="15" customHeight="1">
      <c r="A65" s="4">
        <v>57</v>
      </c>
      <c r="B65" s="5" t="s">
        <v>130</v>
      </c>
      <c r="C65" s="5" t="s">
        <v>57</v>
      </c>
      <c r="D65" s="5" t="s">
        <v>165</v>
      </c>
      <c r="E65" s="7" t="s">
        <v>105</v>
      </c>
      <c r="F65" s="7" t="s">
        <v>105</v>
      </c>
      <c r="G65" s="4" t="s">
        <v>442</v>
      </c>
      <c r="H65" s="11" t="s">
        <v>196</v>
      </c>
      <c r="I65" s="5" t="s">
        <v>1833</v>
      </c>
      <c r="J65" s="5"/>
      <c r="K65" s="6">
        <f t="shared" si="1"/>
        <v>1</v>
      </c>
    </row>
    <row r="66" spans="1:11" ht="15" customHeight="1">
      <c r="A66" s="4">
        <v>58</v>
      </c>
      <c r="B66" s="5" t="s">
        <v>130</v>
      </c>
      <c r="C66" s="5" t="s">
        <v>57</v>
      </c>
      <c r="D66" s="5" t="s">
        <v>167</v>
      </c>
      <c r="E66" s="7" t="s">
        <v>105</v>
      </c>
      <c r="F66" s="7" t="s">
        <v>105</v>
      </c>
      <c r="G66" s="4" t="s">
        <v>442</v>
      </c>
      <c r="H66" s="11" t="s">
        <v>196</v>
      </c>
      <c r="I66" s="5" t="s">
        <v>1833</v>
      </c>
      <c r="J66" s="5"/>
      <c r="K66" s="6">
        <f t="shared" si="1"/>
        <v>1</v>
      </c>
    </row>
    <row r="67" spans="1:11" ht="15" customHeight="1">
      <c r="A67" s="4">
        <v>59</v>
      </c>
      <c r="B67" s="5" t="s">
        <v>130</v>
      </c>
      <c r="C67" s="5" t="s">
        <v>57</v>
      </c>
      <c r="D67" s="5" t="s">
        <v>168</v>
      </c>
      <c r="E67" s="7" t="s">
        <v>105</v>
      </c>
      <c r="F67" s="7" t="s">
        <v>105</v>
      </c>
      <c r="G67" s="4" t="s">
        <v>442</v>
      </c>
      <c r="H67" s="11" t="s">
        <v>196</v>
      </c>
      <c r="I67" s="5" t="s">
        <v>1833</v>
      </c>
      <c r="J67" s="5"/>
      <c r="K67" s="6">
        <f t="shared" si="1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K9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1847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86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106</v>
      </c>
      <c r="H9" s="9" t="s">
        <v>196</v>
      </c>
      <c r="I9" s="5" t="s">
        <v>1848</v>
      </c>
      <c r="J9" s="5" t="s">
        <v>109</v>
      </c>
      <c r="K9" s="6">
        <f t="shared" ref="K9:K40" si="0">IF(AND(E9="yes",F9="yes",H9="covered"),1,IF(H9="partial",0.5,0))</f>
        <v>1</v>
      </c>
    </row>
    <row r="10" spans="1:11" ht="4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106</v>
      </c>
      <c r="H10" s="9" t="s">
        <v>196</v>
      </c>
      <c r="I10" s="5" t="s">
        <v>1848</v>
      </c>
      <c r="J10" s="5" t="s">
        <v>109</v>
      </c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58</v>
      </c>
      <c r="D11" s="5" t="s">
        <v>104</v>
      </c>
      <c r="E11" s="7" t="s">
        <v>105</v>
      </c>
      <c r="F11" s="8" t="s">
        <v>105</v>
      </c>
      <c r="G11" s="4" t="s">
        <v>106</v>
      </c>
      <c r="H11" s="9" t="s">
        <v>196</v>
      </c>
      <c r="I11" s="5" t="s">
        <v>1848</v>
      </c>
      <c r="J11" s="5" t="s">
        <v>109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58</v>
      </c>
      <c r="D12" s="5" t="s">
        <v>110</v>
      </c>
      <c r="E12" s="7" t="s">
        <v>105</v>
      </c>
      <c r="F12" s="8" t="s">
        <v>105</v>
      </c>
      <c r="G12" s="4" t="s">
        <v>106</v>
      </c>
      <c r="H12" s="9" t="s">
        <v>196</v>
      </c>
      <c r="I12" s="5" t="s">
        <v>1849</v>
      </c>
      <c r="J12" s="5" t="s">
        <v>109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58</v>
      </c>
      <c r="D13" s="5" t="s">
        <v>111</v>
      </c>
      <c r="E13" s="7" t="s">
        <v>105</v>
      </c>
      <c r="F13" s="8" t="s">
        <v>105</v>
      </c>
      <c r="G13" s="4" t="s">
        <v>106</v>
      </c>
      <c r="H13" s="9" t="s">
        <v>196</v>
      </c>
      <c r="I13" s="5" t="s">
        <v>1848</v>
      </c>
      <c r="J13" s="5" t="s">
        <v>109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58</v>
      </c>
      <c r="D14" s="5" t="s">
        <v>112</v>
      </c>
      <c r="E14" s="7" t="s">
        <v>105</v>
      </c>
      <c r="F14" s="8" t="s">
        <v>105</v>
      </c>
      <c r="G14" s="4" t="s">
        <v>106</v>
      </c>
      <c r="H14" s="9" t="s">
        <v>196</v>
      </c>
      <c r="I14" s="5" t="s">
        <v>1848</v>
      </c>
      <c r="J14" s="5" t="s">
        <v>109</v>
      </c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58</v>
      </c>
      <c r="D15" s="5" t="s">
        <v>1850</v>
      </c>
      <c r="E15" s="7" t="s">
        <v>105</v>
      </c>
      <c r="F15" s="8" t="s">
        <v>105</v>
      </c>
      <c r="G15" s="4" t="s">
        <v>106</v>
      </c>
      <c r="H15" s="9" t="s">
        <v>196</v>
      </c>
      <c r="I15" s="5" t="s">
        <v>1848</v>
      </c>
      <c r="J15" s="5" t="s">
        <v>109</v>
      </c>
      <c r="K15" s="6">
        <f t="shared" si="0"/>
        <v>1</v>
      </c>
    </row>
    <row r="16" spans="1:11" ht="15" customHeight="1">
      <c r="A16" s="4">
        <v>8</v>
      </c>
      <c r="B16" s="5" t="s">
        <v>113</v>
      </c>
      <c r="C16" s="5" t="s">
        <v>58</v>
      </c>
      <c r="D16" s="5" t="s">
        <v>602</v>
      </c>
      <c r="E16" s="7" t="s">
        <v>105</v>
      </c>
      <c r="F16" s="8" t="s">
        <v>105</v>
      </c>
      <c r="G16" s="4" t="s">
        <v>106</v>
      </c>
      <c r="H16" s="9" t="s">
        <v>196</v>
      </c>
      <c r="I16" s="5" t="s">
        <v>1848</v>
      </c>
      <c r="J16" s="5" t="s">
        <v>109</v>
      </c>
      <c r="K16" s="6">
        <f t="shared" si="0"/>
        <v>1</v>
      </c>
    </row>
    <row r="17" spans="1:11" ht="30" customHeight="1">
      <c r="A17" s="4">
        <v>9</v>
      </c>
      <c r="B17" s="5" t="s">
        <v>113</v>
      </c>
      <c r="C17" s="5" t="s">
        <v>58</v>
      </c>
      <c r="D17" s="5" t="s">
        <v>1851</v>
      </c>
      <c r="E17" s="7" t="s">
        <v>105</v>
      </c>
      <c r="F17" s="8" t="s">
        <v>105</v>
      </c>
      <c r="G17" s="4" t="s">
        <v>106</v>
      </c>
      <c r="H17" s="9" t="s">
        <v>196</v>
      </c>
      <c r="I17" s="5" t="s">
        <v>1848</v>
      </c>
      <c r="J17" s="5" t="s">
        <v>109</v>
      </c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58</v>
      </c>
      <c r="D18" s="5" t="s">
        <v>1852</v>
      </c>
      <c r="E18" s="7" t="s">
        <v>105</v>
      </c>
      <c r="F18" s="8" t="s">
        <v>105</v>
      </c>
      <c r="G18" s="4" t="s">
        <v>106</v>
      </c>
      <c r="H18" s="9" t="s">
        <v>196</v>
      </c>
      <c r="I18" s="5" t="s">
        <v>1848</v>
      </c>
      <c r="J18" s="5" t="s">
        <v>109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58</v>
      </c>
      <c r="D19" s="5" t="s">
        <v>1853</v>
      </c>
      <c r="E19" s="7" t="s">
        <v>105</v>
      </c>
      <c r="F19" s="8" t="s">
        <v>105</v>
      </c>
      <c r="G19" s="4" t="s">
        <v>106</v>
      </c>
      <c r="H19" s="9" t="s">
        <v>196</v>
      </c>
      <c r="I19" s="5" t="s">
        <v>1848</v>
      </c>
      <c r="J19" s="5" t="s">
        <v>109</v>
      </c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58</v>
      </c>
      <c r="D20" s="5" t="s">
        <v>1854</v>
      </c>
      <c r="E20" s="7" t="s">
        <v>105</v>
      </c>
      <c r="F20" s="8" t="s">
        <v>105</v>
      </c>
      <c r="G20" s="4" t="s">
        <v>106</v>
      </c>
      <c r="H20" s="9" t="s">
        <v>196</v>
      </c>
      <c r="I20" s="5" t="s">
        <v>1848</v>
      </c>
      <c r="J20" s="5" t="s">
        <v>109</v>
      </c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106</v>
      </c>
      <c r="H21" s="9" t="s">
        <v>196</v>
      </c>
      <c r="I21" s="5" t="s">
        <v>1848</v>
      </c>
      <c r="J21" s="5" t="s">
        <v>109</v>
      </c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106</v>
      </c>
      <c r="H22" s="9" t="s">
        <v>196</v>
      </c>
      <c r="I22" s="5" t="s">
        <v>1848</v>
      </c>
      <c r="J22" s="5" t="s">
        <v>109</v>
      </c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106</v>
      </c>
      <c r="H23" s="9" t="s">
        <v>196</v>
      </c>
      <c r="I23" s="5" t="s">
        <v>1848</v>
      </c>
      <c r="J23" s="5" t="s">
        <v>109</v>
      </c>
      <c r="K23" s="6">
        <f t="shared" si="0"/>
        <v>1</v>
      </c>
    </row>
    <row r="24" spans="1:11" ht="4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106</v>
      </c>
      <c r="H24" s="9" t="s">
        <v>196</v>
      </c>
      <c r="I24" s="5" t="s">
        <v>1848</v>
      </c>
      <c r="J24" s="5" t="s">
        <v>109</v>
      </c>
      <c r="K24" s="6">
        <f t="shared" si="0"/>
        <v>1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106</v>
      </c>
      <c r="H25" s="9" t="s">
        <v>196</v>
      </c>
      <c r="I25" s="5" t="s">
        <v>1848</v>
      </c>
      <c r="J25" s="5" t="s">
        <v>109</v>
      </c>
      <c r="K25" s="6">
        <f t="shared" si="0"/>
        <v>1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106</v>
      </c>
      <c r="H26" s="9" t="s">
        <v>196</v>
      </c>
      <c r="I26" s="5" t="s">
        <v>1855</v>
      </c>
      <c r="J26" s="5" t="s">
        <v>109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105</v>
      </c>
      <c r="G27" s="4" t="s">
        <v>106</v>
      </c>
      <c r="H27" s="9" t="s">
        <v>196</v>
      </c>
      <c r="I27" s="5" t="s">
        <v>1848</v>
      </c>
      <c r="J27" s="5" t="s">
        <v>109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105</v>
      </c>
      <c r="G28" s="4" t="s">
        <v>106</v>
      </c>
      <c r="H28" s="9" t="s">
        <v>196</v>
      </c>
      <c r="I28" s="5" t="s">
        <v>1848</v>
      </c>
      <c r="J28" s="5" t="s">
        <v>109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105</v>
      </c>
      <c r="G29" s="4" t="s">
        <v>106</v>
      </c>
      <c r="H29" s="9" t="s">
        <v>196</v>
      </c>
      <c r="I29" s="5" t="s">
        <v>1848</v>
      </c>
      <c r="J29" s="5" t="s">
        <v>109</v>
      </c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613</v>
      </c>
      <c r="E30" s="7" t="s">
        <v>105</v>
      </c>
      <c r="F30" s="8" t="s">
        <v>105</v>
      </c>
      <c r="G30" s="4" t="s">
        <v>106</v>
      </c>
      <c r="H30" s="9" t="s">
        <v>196</v>
      </c>
      <c r="I30" s="5" t="s">
        <v>1848</v>
      </c>
      <c r="J30" s="5" t="s">
        <v>109</v>
      </c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614</v>
      </c>
      <c r="E31" s="7" t="s">
        <v>105</v>
      </c>
      <c r="F31" s="8" t="s">
        <v>105</v>
      </c>
      <c r="G31" s="4" t="s">
        <v>106</v>
      </c>
      <c r="H31" s="9" t="s">
        <v>196</v>
      </c>
      <c r="I31" s="5" t="s">
        <v>1848</v>
      </c>
      <c r="J31" s="5" t="s">
        <v>109</v>
      </c>
      <c r="K31" s="6">
        <f t="shared" si="0"/>
        <v>1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140</v>
      </c>
      <c r="E32" s="7" t="s">
        <v>105</v>
      </c>
      <c r="F32" s="8" t="s">
        <v>105</v>
      </c>
      <c r="G32" s="4" t="s">
        <v>106</v>
      </c>
      <c r="H32" s="9" t="s">
        <v>196</v>
      </c>
      <c r="I32" s="5" t="s">
        <v>1848</v>
      </c>
      <c r="J32" s="5" t="s">
        <v>109</v>
      </c>
      <c r="K32" s="6">
        <f t="shared" si="0"/>
        <v>1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612</v>
      </c>
      <c r="E33" s="7" t="s">
        <v>105</v>
      </c>
      <c r="F33" s="8" t="s">
        <v>105</v>
      </c>
      <c r="G33" s="4" t="s">
        <v>106</v>
      </c>
      <c r="H33" s="9" t="s">
        <v>196</v>
      </c>
      <c r="I33" s="5" t="s">
        <v>1848</v>
      </c>
      <c r="J33" s="5" t="s">
        <v>109</v>
      </c>
      <c r="K33" s="6">
        <f t="shared" si="0"/>
        <v>1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611</v>
      </c>
      <c r="E34" s="7" t="s">
        <v>105</v>
      </c>
      <c r="F34" s="8" t="s">
        <v>105</v>
      </c>
      <c r="G34" s="4" t="s">
        <v>106</v>
      </c>
      <c r="H34" s="9" t="s">
        <v>196</v>
      </c>
      <c r="I34" s="5" t="s">
        <v>1848</v>
      </c>
      <c r="J34" s="5" t="s">
        <v>109</v>
      </c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141</v>
      </c>
      <c r="E35" s="7" t="s">
        <v>105</v>
      </c>
      <c r="F35" s="8" t="s">
        <v>105</v>
      </c>
      <c r="G35" s="4" t="s">
        <v>106</v>
      </c>
      <c r="H35" s="9" t="s">
        <v>196</v>
      </c>
      <c r="I35" s="5" t="s">
        <v>1848</v>
      </c>
      <c r="J35" s="5" t="s">
        <v>109</v>
      </c>
      <c r="K35" s="6">
        <f t="shared" si="0"/>
        <v>1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955</v>
      </c>
      <c r="E36" s="7" t="s">
        <v>105</v>
      </c>
      <c r="F36" s="8" t="s">
        <v>105</v>
      </c>
      <c r="G36" s="4" t="s">
        <v>106</v>
      </c>
      <c r="H36" s="9" t="s">
        <v>196</v>
      </c>
      <c r="I36" s="5" t="s">
        <v>1848</v>
      </c>
      <c r="J36" s="5" t="s">
        <v>109</v>
      </c>
      <c r="K36" s="6">
        <f t="shared" si="0"/>
        <v>1</v>
      </c>
    </row>
    <row r="37" spans="1:11" ht="15" customHeight="1">
      <c r="A37" s="4">
        <v>29</v>
      </c>
      <c r="B37" s="5" t="s">
        <v>539</v>
      </c>
      <c r="C37" s="5" t="s">
        <v>121</v>
      </c>
      <c r="D37" s="5" t="s">
        <v>615</v>
      </c>
      <c r="E37" s="7" t="s">
        <v>105</v>
      </c>
      <c r="F37" s="8" t="s">
        <v>105</v>
      </c>
      <c r="G37" s="4" t="s">
        <v>106</v>
      </c>
      <c r="H37" s="9" t="s">
        <v>196</v>
      </c>
      <c r="I37" s="5" t="s">
        <v>1848</v>
      </c>
      <c r="J37" s="5" t="s">
        <v>109</v>
      </c>
      <c r="K37" s="6">
        <f t="shared" si="0"/>
        <v>1</v>
      </c>
    </row>
    <row r="38" spans="1:11" ht="15" customHeight="1">
      <c r="A38" s="4">
        <v>30</v>
      </c>
      <c r="B38" s="5" t="s">
        <v>130</v>
      </c>
      <c r="C38" s="5" t="s">
        <v>121</v>
      </c>
      <c r="D38" s="5" t="s">
        <v>131</v>
      </c>
      <c r="E38" s="7" t="s">
        <v>105</v>
      </c>
      <c r="F38" s="8" t="s">
        <v>105</v>
      </c>
      <c r="G38" s="4" t="s">
        <v>106</v>
      </c>
      <c r="H38" s="9" t="s">
        <v>196</v>
      </c>
      <c r="I38" s="5" t="s">
        <v>1848</v>
      </c>
      <c r="J38" s="5" t="s">
        <v>109</v>
      </c>
      <c r="K38" s="6">
        <f t="shared" si="0"/>
        <v>1</v>
      </c>
    </row>
    <row r="39" spans="1:11" ht="15" customHeight="1">
      <c r="A39" s="4">
        <v>31</v>
      </c>
      <c r="B39" s="5" t="s">
        <v>130</v>
      </c>
      <c r="C39" s="5" t="s">
        <v>121</v>
      </c>
      <c r="D39" s="5" t="s">
        <v>132</v>
      </c>
      <c r="E39" s="7" t="s">
        <v>105</v>
      </c>
      <c r="F39" s="8" t="s">
        <v>105</v>
      </c>
      <c r="G39" s="4" t="s">
        <v>106</v>
      </c>
      <c r="H39" s="9" t="s">
        <v>196</v>
      </c>
      <c r="I39" s="5" t="s">
        <v>1848</v>
      </c>
      <c r="J39" s="5" t="s">
        <v>109</v>
      </c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142</v>
      </c>
      <c r="E40" s="7" t="s">
        <v>105</v>
      </c>
      <c r="F40" s="8" t="s">
        <v>105</v>
      </c>
      <c r="G40" s="4" t="s">
        <v>106</v>
      </c>
      <c r="H40" s="9" t="s">
        <v>196</v>
      </c>
      <c r="I40" s="5" t="s">
        <v>1848</v>
      </c>
      <c r="J40" s="5" t="s">
        <v>109</v>
      </c>
      <c r="K40" s="6">
        <f t="shared" si="0"/>
        <v>1</v>
      </c>
    </row>
    <row r="41" spans="1:11" ht="15" customHeight="1">
      <c r="A41" s="4">
        <v>33</v>
      </c>
      <c r="B41" s="5" t="s">
        <v>133</v>
      </c>
      <c r="C41" s="5" t="s">
        <v>121</v>
      </c>
      <c r="D41" s="5" t="s">
        <v>143</v>
      </c>
      <c r="E41" s="7" t="s">
        <v>105</v>
      </c>
      <c r="F41" s="8" t="s">
        <v>105</v>
      </c>
      <c r="G41" s="4" t="s">
        <v>106</v>
      </c>
      <c r="H41" s="9" t="s">
        <v>196</v>
      </c>
      <c r="I41" s="5" t="s">
        <v>1848</v>
      </c>
      <c r="J41" s="5" t="s">
        <v>109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135</v>
      </c>
      <c r="C42" s="5" t="s">
        <v>121</v>
      </c>
      <c r="D42" s="5" t="s">
        <v>144</v>
      </c>
      <c r="E42" s="7" t="s">
        <v>105</v>
      </c>
      <c r="F42" s="8" t="s">
        <v>105</v>
      </c>
      <c r="G42" s="4" t="s">
        <v>106</v>
      </c>
      <c r="H42" s="9" t="s">
        <v>196</v>
      </c>
      <c r="I42" s="5" t="s">
        <v>1848</v>
      </c>
      <c r="J42" s="5" t="s">
        <v>109</v>
      </c>
      <c r="K42" s="6">
        <f t="shared" si="1"/>
        <v>1</v>
      </c>
    </row>
    <row r="43" spans="1:11" ht="15" customHeight="1">
      <c r="A43" s="4">
        <v>35</v>
      </c>
      <c r="B43" s="5" t="s">
        <v>135</v>
      </c>
      <c r="C43" s="5" t="s">
        <v>121</v>
      </c>
      <c r="D43" s="5" t="s">
        <v>617</v>
      </c>
      <c r="E43" s="7" t="s">
        <v>105</v>
      </c>
      <c r="F43" s="8" t="s">
        <v>105</v>
      </c>
      <c r="G43" s="4" t="s">
        <v>106</v>
      </c>
      <c r="H43" s="9" t="s">
        <v>196</v>
      </c>
      <c r="I43" s="5" t="s">
        <v>1848</v>
      </c>
      <c r="J43" s="5" t="s">
        <v>109</v>
      </c>
      <c r="K43" s="6">
        <f t="shared" si="1"/>
        <v>1</v>
      </c>
    </row>
    <row r="44" spans="1:11" ht="15" customHeight="1">
      <c r="A44" s="4">
        <v>36</v>
      </c>
      <c r="B44" s="5" t="s">
        <v>120</v>
      </c>
      <c r="C44" s="5" t="s">
        <v>150</v>
      </c>
      <c r="D44" s="5" t="s">
        <v>122</v>
      </c>
      <c r="E44" s="7" t="s">
        <v>105</v>
      </c>
      <c r="F44" s="8" t="s">
        <v>105</v>
      </c>
      <c r="G44" s="4" t="s">
        <v>106</v>
      </c>
      <c r="H44" s="9" t="s">
        <v>196</v>
      </c>
      <c r="I44" s="5" t="s">
        <v>1848</v>
      </c>
      <c r="J44" s="5" t="s">
        <v>109</v>
      </c>
      <c r="K44" s="6">
        <f t="shared" si="1"/>
        <v>1</v>
      </c>
    </row>
    <row r="45" spans="1:11" ht="15" customHeight="1">
      <c r="A45" s="4">
        <v>37</v>
      </c>
      <c r="B45" s="5" t="s">
        <v>120</v>
      </c>
      <c r="C45" s="5" t="s">
        <v>150</v>
      </c>
      <c r="D45" s="5" t="s">
        <v>123</v>
      </c>
      <c r="E45" s="7" t="s">
        <v>105</v>
      </c>
      <c r="F45" s="8" t="s">
        <v>105</v>
      </c>
      <c r="G45" s="4" t="s">
        <v>106</v>
      </c>
      <c r="H45" s="9" t="s">
        <v>196</v>
      </c>
      <c r="I45" s="5" t="s">
        <v>1848</v>
      </c>
      <c r="J45" s="5" t="s">
        <v>109</v>
      </c>
      <c r="K45" s="6">
        <f t="shared" si="1"/>
        <v>1</v>
      </c>
    </row>
    <row r="46" spans="1:11" ht="30" customHeight="1">
      <c r="A46" s="4">
        <v>38</v>
      </c>
      <c r="B46" s="5" t="s">
        <v>124</v>
      </c>
      <c r="C46" s="5" t="s">
        <v>150</v>
      </c>
      <c r="D46" s="5" t="s">
        <v>125</v>
      </c>
      <c r="E46" s="7" t="s">
        <v>105</v>
      </c>
      <c r="F46" s="8" t="s">
        <v>105</v>
      </c>
      <c r="G46" s="4" t="s">
        <v>106</v>
      </c>
      <c r="H46" s="9" t="s">
        <v>196</v>
      </c>
      <c r="I46" s="5" t="s">
        <v>1848</v>
      </c>
      <c r="J46" s="5" t="s">
        <v>109</v>
      </c>
      <c r="K46" s="6">
        <f t="shared" si="1"/>
        <v>1</v>
      </c>
    </row>
    <row r="47" spans="1:11" ht="45" customHeight="1">
      <c r="A47" s="4">
        <v>39</v>
      </c>
      <c r="B47" s="5" t="s">
        <v>124</v>
      </c>
      <c r="C47" s="5" t="s">
        <v>150</v>
      </c>
      <c r="D47" s="5" t="s">
        <v>126</v>
      </c>
      <c r="E47" s="7" t="s">
        <v>105</v>
      </c>
      <c r="F47" s="8" t="s">
        <v>105</v>
      </c>
      <c r="G47" s="4" t="s">
        <v>106</v>
      </c>
      <c r="H47" s="9" t="s">
        <v>196</v>
      </c>
      <c r="I47" s="5" t="s">
        <v>1848</v>
      </c>
      <c r="J47" s="5" t="s">
        <v>109</v>
      </c>
      <c r="K47" s="6">
        <f t="shared" si="1"/>
        <v>1</v>
      </c>
    </row>
    <row r="48" spans="1:11" ht="15" customHeight="1">
      <c r="A48" s="4">
        <v>40</v>
      </c>
      <c r="B48" s="5" t="s">
        <v>95</v>
      </c>
      <c r="C48" s="5" t="s">
        <v>150</v>
      </c>
      <c r="D48" s="5" t="s">
        <v>127</v>
      </c>
      <c r="E48" s="7" t="s">
        <v>105</v>
      </c>
      <c r="F48" s="8" t="s">
        <v>105</v>
      </c>
      <c r="G48" s="4" t="s">
        <v>106</v>
      </c>
      <c r="H48" s="9" t="s">
        <v>196</v>
      </c>
      <c r="I48" s="5" t="s">
        <v>1848</v>
      </c>
      <c r="J48" s="5" t="s">
        <v>109</v>
      </c>
      <c r="K48" s="6">
        <f t="shared" si="1"/>
        <v>1</v>
      </c>
    </row>
    <row r="49" spans="1:11" ht="15" customHeight="1">
      <c r="A49" s="4">
        <v>41</v>
      </c>
      <c r="B49" s="5" t="s">
        <v>128</v>
      </c>
      <c r="C49" s="5" t="s">
        <v>150</v>
      </c>
      <c r="D49" s="5" t="s">
        <v>129</v>
      </c>
      <c r="E49" s="7" t="s">
        <v>105</v>
      </c>
      <c r="F49" s="8" t="s">
        <v>105</v>
      </c>
      <c r="G49" s="4" t="s">
        <v>106</v>
      </c>
      <c r="H49" s="9" t="s">
        <v>196</v>
      </c>
      <c r="I49" s="5" t="s">
        <v>1855</v>
      </c>
      <c r="J49" s="5" t="s">
        <v>109</v>
      </c>
      <c r="K49" s="6">
        <f t="shared" si="1"/>
        <v>1</v>
      </c>
    </row>
    <row r="50" spans="1:11" ht="15" customHeight="1">
      <c r="A50" s="4">
        <v>42</v>
      </c>
      <c r="B50" s="5" t="s">
        <v>135</v>
      </c>
      <c r="C50" s="5" t="s">
        <v>150</v>
      </c>
      <c r="D50" s="5" t="s">
        <v>136</v>
      </c>
      <c r="E50" s="7" t="s">
        <v>105</v>
      </c>
      <c r="F50" s="8" t="s">
        <v>105</v>
      </c>
      <c r="G50" s="4" t="s">
        <v>106</v>
      </c>
      <c r="H50" s="9" t="s">
        <v>196</v>
      </c>
      <c r="I50" s="5" t="s">
        <v>1848</v>
      </c>
      <c r="J50" s="5" t="s">
        <v>109</v>
      </c>
      <c r="K50" s="6">
        <f t="shared" si="1"/>
        <v>1</v>
      </c>
    </row>
    <row r="51" spans="1:11" ht="15" customHeight="1">
      <c r="A51" s="4">
        <v>43</v>
      </c>
      <c r="B51" s="5" t="s">
        <v>135</v>
      </c>
      <c r="C51" s="5" t="s">
        <v>150</v>
      </c>
      <c r="D51" s="5" t="s">
        <v>140</v>
      </c>
      <c r="E51" s="7" t="s">
        <v>105</v>
      </c>
      <c r="F51" s="8" t="s">
        <v>105</v>
      </c>
      <c r="G51" s="4" t="s">
        <v>106</v>
      </c>
      <c r="H51" s="9" t="s">
        <v>196</v>
      </c>
      <c r="I51" s="5" t="s">
        <v>1848</v>
      </c>
      <c r="J51" s="5" t="s">
        <v>109</v>
      </c>
      <c r="K51" s="6">
        <f t="shared" si="1"/>
        <v>1</v>
      </c>
    </row>
    <row r="52" spans="1:11" ht="15" customHeight="1">
      <c r="A52" s="4">
        <v>44</v>
      </c>
      <c r="B52" s="5" t="s">
        <v>539</v>
      </c>
      <c r="C52" s="5" t="s">
        <v>150</v>
      </c>
      <c r="D52" s="5" t="s">
        <v>615</v>
      </c>
      <c r="E52" s="7" t="s">
        <v>105</v>
      </c>
      <c r="F52" s="8" t="s">
        <v>105</v>
      </c>
      <c r="G52" s="4" t="s">
        <v>106</v>
      </c>
      <c r="H52" s="9" t="s">
        <v>196</v>
      </c>
      <c r="I52" s="5" t="s">
        <v>1848</v>
      </c>
      <c r="J52" s="5" t="s">
        <v>109</v>
      </c>
      <c r="K52" s="6">
        <f t="shared" si="1"/>
        <v>1</v>
      </c>
    </row>
    <row r="53" spans="1:11" ht="15" customHeight="1">
      <c r="A53" s="4">
        <v>45</v>
      </c>
      <c r="B53" s="5" t="s">
        <v>130</v>
      </c>
      <c r="C53" s="5" t="s">
        <v>150</v>
      </c>
      <c r="D53" s="5" t="s">
        <v>131</v>
      </c>
      <c r="E53" s="7" t="s">
        <v>105</v>
      </c>
      <c r="F53" s="8" t="s">
        <v>105</v>
      </c>
      <c r="G53" s="4" t="s">
        <v>106</v>
      </c>
      <c r="H53" s="9" t="s">
        <v>196</v>
      </c>
      <c r="I53" s="5" t="s">
        <v>1848</v>
      </c>
      <c r="J53" s="5" t="s">
        <v>109</v>
      </c>
      <c r="K53" s="6">
        <f t="shared" si="1"/>
        <v>1</v>
      </c>
    </row>
    <row r="54" spans="1:11" ht="15" customHeight="1">
      <c r="A54" s="4">
        <v>46</v>
      </c>
      <c r="B54" s="5" t="s">
        <v>130</v>
      </c>
      <c r="C54" s="5" t="s">
        <v>150</v>
      </c>
      <c r="D54" s="5" t="s">
        <v>132</v>
      </c>
      <c r="E54" s="7" t="s">
        <v>105</v>
      </c>
      <c r="F54" s="8" t="s">
        <v>105</v>
      </c>
      <c r="G54" s="4" t="s">
        <v>106</v>
      </c>
      <c r="H54" s="9" t="s">
        <v>196</v>
      </c>
      <c r="I54" s="5" t="s">
        <v>1848</v>
      </c>
      <c r="J54" s="5" t="s">
        <v>109</v>
      </c>
      <c r="K54" s="6">
        <f t="shared" si="1"/>
        <v>1</v>
      </c>
    </row>
    <row r="55" spans="1:11" ht="15" customHeight="1">
      <c r="A55" s="4">
        <v>47</v>
      </c>
      <c r="B55" s="5" t="s">
        <v>133</v>
      </c>
      <c r="C55" s="5" t="s">
        <v>150</v>
      </c>
      <c r="D55" s="5" t="s">
        <v>142</v>
      </c>
      <c r="E55" s="7" t="s">
        <v>105</v>
      </c>
      <c r="F55" s="8" t="s">
        <v>105</v>
      </c>
      <c r="G55" s="4" t="s">
        <v>106</v>
      </c>
      <c r="H55" s="9" t="s">
        <v>196</v>
      </c>
      <c r="I55" s="5" t="s">
        <v>1848</v>
      </c>
      <c r="J55" s="5" t="s">
        <v>109</v>
      </c>
      <c r="K55" s="6">
        <f t="shared" si="1"/>
        <v>1</v>
      </c>
    </row>
    <row r="56" spans="1:11" ht="15" customHeight="1">
      <c r="A56" s="4">
        <v>48</v>
      </c>
      <c r="B56" s="5" t="s">
        <v>135</v>
      </c>
      <c r="C56" s="5" t="s">
        <v>150</v>
      </c>
      <c r="D56" s="5" t="s">
        <v>544</v>
      </c>
      <c r="E56" s="7" t="s">
        <v>105</v>
      </c>
      <c r="F56" s="8" t="s">
        <v>105</v>
      </c>
      <c r="G56" s="4" t="s">
        <v>106</v>
      </c>
      <c r="H56" s="9" t="s">
        <v>196</v>
      </c>
      <c r="I56" s="5" t="s">
        <v>1848</v>
      </c>
      <c r="J56" s="5" t="s">
        <v>109</v>
      </c>
      <c r="K56" s="6">
        <f t="shared" si="1"/>
        <v>1</v>
      </c>
    </row>
    <row r="57" spans="1:11" ht="15" customHeight="1">
      <c r="A57" s="4">
        <v>49</v>
      </c>
      <c r="B57" s="5" t="s">
        <v>133</v>
      </c>
      <c r="C57" s="5" t="s">
        <v>150</v>
      </c>
      <c r="D57" s="5" t="s">
        <v>146</v>
      </c>
      <c r="E57" s="7" t="s">
        <v>105</v>
      </c>
      <c r="F57" s="8" t="s">
        <v>105</v>
      </c>
      <c r="G57" s="4" t="s">
        <v>106</v>
      </c>
      <c r="H57" s="9" t="s">
        <v>196</v>
      </c>
      <c r="I57" s="5" t="s">
        <v>1848</v>
      </c>
      <c r="J57" s="5" t="s">
        <v>109</v>
      </c>
      <c r="K57" s="6">
        <f t="shared" si="1"/>
        <v>1</v>
      </c>
    </row>
    <row r="58" spans="1:11" ht="15" customHeight="1">
      <c r="A58" s="4">
        <v>50</v>
      </c>
      <c r="B58" s="5" t="s">
        <v>135</v>
      </c>
      <c r="C58" s="5" t="s">
        <v>150</v>
      </c>
      <c r="D58" s="5" t="s">
        <v>144</v>
      </c>
      <c r="E58" s="7" t="s">
        <v>105</v>
      </c>
      <c r="F58" s="8" t="s">
        <v>105</v>
      </c>
      <c r="G58" s="4" t="s">
        <v>106</v>
      </c>
      <c r="H58" s="9" t="s">
        <v>196</v>
      </c>
      <c r="I58" s="5" t="s">
        <v>1848</v>
      </c>
      <c r="J58" s="5" t="s">
        <v>109</v>
      </c>
      <c r="K58" s="6">
        <f t="shared" si="1"/>
        <v>1</v>
      </c>
    </row>
    <row r="59" spans="1:11" ht="15" customHeight="1">
      <c r="A59" s="4">
        <v>51</v>
      </c>
      <c r="B59" s="5" t="s">
        <v>135</v>
      </c>
      <c r="C59" s="5" t="s">
        <v>150</v>
      </c>
      <c r="D59" s="5" t="s">
        <v>617</v>
      </c>
      <c r="E59" s="7" t="s">
        <v>105</v>
      </c>
      <c r="F59" s="8" t="s">
        <v>105</v>
      </c>
      <c r="G59" s="4" t="s">
        <v>106</v>
      </c>
      <c r="H59" s="9" t="s">
        <v>196</v>
      </c>
      <c r="I59" s="5" t="s">
        <v>1848</v>
      </c>
      <c r="J59" s="5" t="s">
        <v>109</v>
      </c>
      <c r="K59" s="6">
        <f t="shared" si="1"/>
        <v>1</v>
      </c>
    </row>
    <row r="60" spans="1:11" ht="15" customHeight="1">
      <c r="A60" s="4">
        <v>52</v>
      </c>
      <c r="B60" s="5" t="s">
        <v>153</v>
      </c>
      <c r="C60" s="5" t="s">
        <v>154</v>
      </c>
      <c r="D60" s="5" t="s">
        <v>620</v>
      </c>
      <c r="E60" s="7" t="s">
        <v>105</v>
      </c>
      <c r="F60" s="8" t="s">
        <v>105</v>
      </c>
      <c r="G60" s="4" t="s">
        <v>106</v>
      </c>
      <c r="H60" s="9" t="s">
        <v>196</v>
      </c>
      <c r="I60" s="5" t="s">
        <v>1848</v>
      </c>
      <c r="J60" s="5" t="s">
        <v>109</v>
      </c>
      <c r="K60" s="6">
        <f t="shared" si="1"/>
        <v>1</v>
      </c>
    </row>
    <row r="61" spans="1:11" ht="15" customHeight="1">
      <c r="A61" s="4">
        <v>53</v>
      </c>
      <c r="B61" s="5" t="s">
        <v>153</v>
      </c>
      <c r="C61" s="5" t="s">
        <v>154</v>
      </c>
      <c r="D61" s="5" t="s">
        <v>156</v>
      </c>
      <c r="E61" s="7" t="s">
        <v>105</v>
      </c>
      <c r="F61" s="8" t="s">
        <v>105</v>
      </c>
      <c r="G61" s="4" t="s">
        <v>106</v>
      </c>
      <c r="H61" s="9" t="s">
        <v>196</v>
      </c>
      <c r="I61" s="5" t="s">
        <v>1848</v>
      </c>
      <c r="J61" s="5" t="s">
        <v>109</v>
      </c>
      <c r="K61" s="6">
        <f t="shared" si="1"/>
        <v>1</v>
      </c>
    </row>
    <row r="62" spans="1:11" ht="15" customHeight="1">
      <c r="A62" s="4">
        <v>54</v>
      </c>
      <c r="B62" s="5" t="s">
        <v>153</v>
      </c>
      <c r="C62" s="5" t="s">
        <v>154</v>
      </c>
      <c r="D62" s="5" t="s">
        <v>562</v>
      </c>
      <c r="E62" s="7" t="s">
        <v>105</v>
      </c>
      <c r="F62" s="8" t="s">
        <v>105</v>
      </c>
      <c r="G62" s="4" t="s">
        <v>106</v>
      </c>
      <c r="H62" s="9" t="s">
        <v>196</v>
      </c>
      <c r="I62" s="5" t="s">
        <v>1848</v>
      </c>
      <c r="J62" s="5" t="s">
        <v>109</v>
      </c>
      <c r="K62" s="6">
        <f t="shared" si="1"/>
        <v>1</v>
      </c>
    </row>
    <row r="63" spans="1:11" ht="15" customHeight="1">
      <c r="A63" s="4">
        <v>55</v>
      </c>
      <c r="B63" s="5" t="s">
        <v>153</v>
      </c>
      <c r="C63" s="5" t="s">
        <v>154</v>
      </c>
      <c r="D63" s="5" t="s">
        <v>621</v>
      </c>
      <c r="E63" s="7" t="s">
        <v>105</v>
      </c>
      <c r="F63" s="8" t="s">
        <v>105</v>
      </c>
      <c r="G63" s="4" t="s">
        <v>106</v>
      </c>
      <c r="H63" s="9" t="s">
        <v>196</v>
      </c>
      <c r="I63" s="5" t="s">
        <v>1848</v>
      </c>
      <c r="J63" s="5" t="s">
        <v>109</v>
      </c>
      <c r="K63" s="6">
        <f t="shared" si="1"/>
        <v>1</v>
      </c>
    </row>
    <row r="64" spans="1:11" ht="15" customHeight="1">
      <c r="A64" s="4">
        <v>56</v>
      </c>
      <c r="B64" s="5" t="s">
        <v>153</v>
      </c>
      <c r="C64" s="5" t="s">
        <v>154</v>
      </c>
      <c r="D64" s="5" t="s">
        <v>438</v>
      </c>
      <c r="E64" s="7" t="s">
        <v>105</v>
      </c>
      <c r="F64" s="8" t="s">
        <v>105</v>
      </c>
      <c r="G64" s="4" t="s">
        <v>106</v>
      </c>
      <c r="H64" s="9" t="s">
        <v>196</v>
      </c>
      <c r="I64" s="5" t="s">
        <v>1848</v>
      </c>
      <c r="J64" s="5" t="s">
        <v>109</v>
      </c>
      <c r="K64" s="6">
        <f t="shared" si="1"/>
        <v>1</v>
      </c>
    </row>
    <row r="65" spans="1:11" ht="15" customHeight="1">
      <c r="A65" s="4">
        <v>57</v>
      </c>
      <c r="B65" s="5" t="s">
        <v>153</v>
      </c>
      <c r="C65" s="5" t="s">
        <v>154</v>
      </c>
      <c r="D65" s="5" t="s">
        <v>1107</v>
      </c>
      <c r="E65" s="7" t="s">
        <v>105</v>
      </c>
      <c r="F65" s="8" t="s">
        <v>105</v>
      </c>
      <c r="G65" s="4" t="s">
        <v>106</v>
      </c>
      <c r="H65" s="9" t="s">
        <v>196</v>
      </c>
      <c r="I65" s="5" t="s">
        <v>1848</v>
      </c>
      <c r="J65" s="5" t="s">
        <v>109</v>
      </c>
      <c r="K65" s="6">
        <f t="shared" si="1"/>
        <v>1</v>
      </c>
    </row>
    <row r="66" spans="1:11" ht="15" customHeight="1">
      <c r="A66" s="4">
        <v>58</v>
      </c>
      <c r="B66" s="5" t="s">
        <v>153</v>
      </c>
      <c r="C66" s="5" t="s">
        <v>154</v>
      </c>
      <c r="D66" s="5" t="s">
        <v>623</v>
      </c>
      <c r="E66" s="7" t="s">
        <v>105</v>
      </c>
      <c r="F66" s="8" t="s">
        <v>105</v>
      </c>
      <c r="G66" s="4" t="s">
        <v>106</v>
      </c>
      <c r="H66" s="9" t="s">
        <v>196</v>
      </c>
      <c r="I66" s="5" t="s">
        <v>1848</v>
      </c>
      <c r="J66" s="5" t="s">
        <v>109</v>
      </c>
      <c r="K66" s="6">
        <f t="shared" si="1"/>
        <v>1</v>
      </c>
    </row>
    <row r="67" spans="1:11" ht="15" customHeight="1">
      <c r="A67" s="4">
        <v>59</v>
      </c>
      <c r="B67" s="5" t="s">
        <v>159</v>
      </c>
      <c r="C67" s="5" t="s">
        <v>154</v>
      </c>
      <c r="D67" s="5" t="s">
        <v>160</v>
      </c>
      <c r="E67" s="7" t="s">
        <v>105</v>
      </c>
      <c r="F67" s="8" t="s">
        <v>105</v>
      </c>
      <c r="G67" s="4" t="s">
        <v>106</v>
      </c>
      <c r="H67" s="9" t="s">
        <v>196</v>
      </c>
      <c r="I67" s="5" t="s">
        <v>1848</v>
      </c>
      <c r="J67" s="5" t="s">
        <v>109</v>
      </c>
      <c r="K67" s="6">
        <f t="shared" si="1"/>
        <v>1</v>
      </c>
    </row>
    <row r="68" spans="1:11" ht="15" customHeight="1">
      <c r="A68" s="4">
        <v>60</v>
      </c>
      <c r="B68" s="5" t="s">
        <v>159</v>
      </c>
      <c r="C68" s="5" t="s">
        <v>154</v>
      </c>
      <c r="D68" s="5" t="s">
        <v>624</v>
      </c>
      <c r="E68" s="7" t="s">
        <v>105</v>
      </c>
      <c r="F68" s="8" t="s">
        <v>105</v>
      </c>
      <c r="G68" s="4" t="s">
        <v>106</v>
      </c>
      <c r="H68" s="9" t="s">
        <v>196</v>
      </c>
      <c r="I68" s="5" t="s">
        <v>1848</v>
      </c>
      <c r="J68" s="5" t="s">
        <v>109</v>
      </c>
      <c r="K68" s="6">
        <f t="shared" si="1"/>
        <v>1</v>
      </c>
    </row>
    <row r="69" spans="1:11" ht="15" customHeight="1">
      <c r="A69" s="4">
        <v>61</v>
      </c>
      <c r="B69" s="5" t="s">
        <v>159</v>
      </c>
      <c r="C69" s="5" t="s">
        <v>154</v>
      </c>
      <c r="D69" s="5" t="s">
        <v>161</v>
      </c>
      <c r="E69" s="7" t="s">
        <v>105</v>
      </c>
      <c r="F69" s="8" t="s">
        <v>105</v>
      </c>
      <c r="G69" s="4" t="s">
        <v>106</v>
      </c>
      <c r="H69" s="9" t="s">
        <v>196</v>
      </c>
      <c r="I69" s="5" t="s">
        <v>1848</v>
      </c>
      <c r="J69" s="5" t="s">
        <v>109</v>
      </c>
      <c r="K69" s="6">
        <f t="shared" si="1"/>
        <v>1</v>
      </c>
    </row>
    <row r="70" spans="1:11" ht="15" customHeight="1">
      <c r="A70" s="4">
        <v>62</v>
      </c>
      <c r="B70" s="5" t="s">
        <v>159</v>
      </c>
      <c r="C70" s="5" t="s">
        <v>154</v>
      </c>
      <c r="D70" s="5" t="s">
        <v>162</v>
      </c>
      <c r="E70" s="7" t="s">
        <v>105</v>
      </c>
      <c r="F70" s="8" t="s">
        <v>105</v>
      </c>
      <c r="G70" s="4" t="s">
        <v>106</v>
      </c>
      <c r="H70" s="9" t="s">
        <v>196</v>
      </c>
      <c r="I70" s="5" t="s">
        <v>1848</v>
      </c>
      <c r="J70" s="5" t="s">
        <v>109</v>
      </c>
      <c r="K70" s="6">
        <f t="shared" si="1"/>
        <v>1</v>
      </c>
    </row>
    <row r="71" spans="1:11" ht="15" customHeight="1">
      <c r="A71" s="4">
        <v>63</v>
      </c>
      <c r="B71" s="5" t="s">
        <v>159</v>
      </c>
      <c r="C71" s="5" t="s">
        <v>154</v>
      </c>
      <c r="D71" s="5" t="s">
        <v>163</v>
      </c>
      <c r="E71" s="7" t="s">
        <v>105</v>
      </c>
      <c r="F71" s="8" t="s">
        <v>105</v>
      </c>
      <c r="G71" s="4" t="s">
        <v>106</v>
      </c>
      <c r="H71" s="9" t="s">
        <v>196</v>
      </c>
      <c r="I71" s="5" t="s">
        <v>1848</v>
      </c>
      <c r="J71" s="5" t="s">
        <v>109</v>
      </c>
      <c r="K71" s="6">
        <f t="shared" si="1"/>
        <v>1</v>
      </c>
    </row>
    <row r="72" spans="1:11" ht="15" customHeight="1">
      <c r="A72" s="4">
        <v>64</v>
      </c>
      <c r="B72" s="5" t="s">
        <v>159</v>
      </c>
      <c r="C72" s="5" t="s">
        <v>154</v>
      </c>
      <c r="D72" s="5" t="s">
        <v>551</v>
      </c>
      <c r="E72" s="7" t="s">
        <v>105</v>
      </c>
      <c r="F72" s="8" t="s">
        <v>105</v>
      </c>
      <c r="G72" s="4" t="s">
        <v>106</v>
      </c>
      <c r="H72" s="9" t="s">
        <v>196</v>
      </c>
      <c r="I72" s="5" t="s">
        <v>1848</v>
      </c>
      <c r="J72" s="5" t="s">
        <v>109</v>
      </c>
      <c r="K72" s="6">
        <f t="shared" si="1"/>
        <v>1</v>
      </c>
    </row>
    <row r="73" spans="1:11" ht="30" customHeight="1">
      <c r="A73" s="4">
        <v>65</v>
      </c>
      <c r="B73" s="5" t="s">
        <v>130</v>
      </c>
      <c r="C73" s="5" t="s">
        <v>58</v>
      </c>
      <c r="D73" s="5" t="s">
        <v>164</v>
      </c>
      <c r="E73" s="7" t="s">
        <v>105</v>
      </c>
      <c r="F73" s="8" t="s">
        <v>105</v>
      </c>
      <c r="G73" s="4" t="s">
        <v>106</v>
      </c>
      <c r="H73" s="9" t="s">
        <v>196</v>
      </c>
      <c r="I73" s="5" t="s">
        <v>1848</v>
      </c>
      <c r="J73" s="5" t="s">
        <v>109</v>
      </c>
      <c r="K73" s="6">
        <f t="shared" ref="K73:K94" si="2">IF(AND(E73="yes",F73="yes",H73="covered"),1,IF(H73="partial",0.5,0))</f>
        <v>1</v>
      </c>
    </row>
    <row r="74" spans="1:11" ht="15" customHeight="1">
      <c r="A74" s="4">
        <v>66</v>
      </c>
      <c r="B74" s="5" t="s">
        <v>130</v>
      </c>
      <c r="C74" s="5" t="s">
        <v>58</v>
      </c>
      <c r="D74" s="5" t="s">
        <v>165</v>
      </c>
      <c r="E74" s="7" t="s">
        <v>105</v>
      </c>
      <c r="F74" s="8" t="s">
        <v>105</v>
      </c>
      <c r="G74" s="4" t="s">
        <v>106</v>
      </c>
      <c r="H74" s="9" t="s">
        <v>196</v>
      </c>
      <c r="I74" s="5" t="s">
        <v>1848</v>
      </c>
      <c r="J74" s="5" t="s">
        <v>109</v>
      </c>
      <c r="K74" s="6">
        <f t="shared" si="2"/>
        <v>1</v>
      </c>
    </row>
    <row r="75" spans="1:11" ht="45" customHeight="1">
      <c r="A75" s="4">
        <v>67</v>
      </c>
      <c r="B75" s="5" t="s">
        <v>130</v>
      </c>
      <c r="C75" s="5" t="s">
        <v>58</v>
      </c>
      <c r="D75" s="5" t="s">
        <v>166</v>
      </c>
      <c r="E75" s="7" t="s">
        <v>105</v>
      </c>
      <c r="F75" s="8" t="s">
        <v>105</v>
      </c>
      <c r="G75" s="4" t="s">
        <v>106</v>
      </c>
      <c r="H75" s="9" t="s">
        <v>196</v>
      </c>
      <c r="I75" s="5" t="s">
        <v>1848</v>
      </c>
      <c r="J75" s="5" t="s">
        <v>109</v>
      </c>
      <c r="K75" s="6">
        <f t="shared" si="2"/>
        <v>1</v>
      </c>
    </row>
    <row r="76" spans="1:11" ht="15" customHeight="1">
      <c r="A76" s="4">
        <v>68</v>
      </c>
      <c r="B76" s="5" t="s">
        <v>130</v>
      </c>
      <c r="C76" s="5" t="s">
        <v>58</v>
      </c>
      <c r="D76" s="5" t="s">
        <v>167</v>
      </c>
      <c r="E76" s="7" t="s">
        <v>105</v>
      </c>
      <c r="F76" s="8" t="s">
        <v>105</v>
      </c>
      <c r="G76" s="4" t="s">
        <v>106</v>
      </c>
      <c r="H76" s="9" t="s">
        <v>196</v>
      </c>
      <c r="I76" s="5" t="s">
        <v>1848</v>
      </c>
      <c r="J76" s="5" t="s">
        <v>109</v>
      </c>
      <c r="K76" s="6">
        <f t="shared" si="2"/>
        <v>1</v>
      </c>
    </row>
    <row r="77" spans="1:11" ht="15" customHeight="1">
      <c r="A77" s="4">
        <v>69</v>
      </c>
      <c r="B77" s="5" t="s">
        <v>130</v>
      </c>
      <c r="C77" s="5" t="s">
        <v>58</v>
      </c>
      <c r="D77" s="5" t="s">
        <v>168</v>
      </c>
      <c r="E77" s="7" t="s">
        <v>105</v>
      </c>
      <c r="F77" s="8" t="s">
        <v>105</v>
      </c>
      <c r="G77" s="4" t="s">
        <v>106</v>
      </c>
      <c r="H77" s="9" t="s">
        <v>196</v>
      </c>
      <c r="I77" s="5" t="s">
        <v>1856</v>
      </c>
      <c r="J77" s="5" t="s">
        <v>109</v>
      </c>
      <c r="K77" s="6">
        <f t="shared" si="2"/>
        <v>1</v>
      </c>
    </row>
    <row r="78" spans="1:11" ht="15" customHeight="1">
      <c r="A78" s="4">
        <v>70</v>
      </c>
      <c r="B78" s="5" t="s">
        <v>135</v>
      </c>
      <c r="C78" s="5" t="s">
        <v>121</v>
      </c>
      <c r="D78" s="5" t="s">
        <v>169</v>
      </c>
      <c r="E78" s="7" t="s">
        <v>105</v>
      </c>
      <c r="F78" s="8" t="s">
        <v>105</v>
      </c>
      <c r="G78" s="4" t="s">
        <v>106</v>
      </c>
      <c r="H78" s="9" t="s">
        <v>196</v>
      </c>
      <c r="I78" s="5" t="s">
        <v>1848</v>
      </c>
      <c r="J78" s="5" t="s">
        <v>109</v>
      </c>
      <c r="K78" s="6">
        <f t="shared" si="2"/>
        <v>1</v>
      </c>
    </row>
    <row r="79" spans="1:11" ht="30" customHeight="1">
      <c r="A79" s="4">
        <v>71</v>
      </c>
      <c r="B79" s="5" t="s">
        <v>135</v>
      </c>
      <c r="C79" s="5" t="s">
        <v>121</v>
      </c>
      <c r="D79" s="5" t="s">
        <v>170</v>
      </c>
      <c r="E79" s="7" t="s">
        <v>105</v>
      </c>
      <c r="F79" s="8" t="s">
        <v>105</v>
      </c>
      <c r="G79" s="4" t="s">
        <v>106</v>
      </c>
      <c r="H79" s="9" t="s">
        <v>196</v>
      </c>
      <c r="I79" s="5" t="s">
        <v>1848</v>
      </c>
      <c r="J79" s="5" t="s">
        <v>109</v>
      </c>
      <c r="K79" s="6">
        <f t="shared" si="2"/>
        <v>1</v>
      </c>
    </row>
    <row r="80" spans="1:11" ht="30" customHeight="1">
      <c r="A80" s="4">
        <v>72</v>
      </c>
      <c r="B80" s="5" t="s">
        <v>135</v>
      </c>
      <c r="C80" s="5" t="s">
        <v>121</v>
      </c>
      <c r="D80" s="5" t="s">
        <v>171</v>
      </c>
      <c r="E80" s="7" t="s">
        <v>105</v>
      </c>
      <c r="F80" s="8" t="s">
        <v>105</v>
      </c>
      <c r="G80" s="4" t="s">
        <v>106</v>
      </c>
      <c r="H80" s="9" t="s">
        <v>196</v>
      </c>
      <c r="I80" s="5" t="s">
        <v>1848</v>
      </c>
      <c r="J80" s="5" t="s">
        <v>109</v>
      </c>
      <c r="K80" s="6">
        <f t="shared" si="2"/>
        <v>1</v>
      </c>
    </row>
    <row r="81" spans="1:11" ht="30" customHeight="1">
      <c r="A81" s="4">
        <v>73</v>
      </c>
      <c r="B81" s="5" t="s">
        <v>135</v>
      </c>
      <c r="C81" s="5" t="s">
        <v>58</v>
      </c>
      <c r="D81" s="5" t="s">
        <v>627</v>
      </c>
      <c r="E81" s="7" t="s">
        <v>105</v>
      </c>
      <c r="F81" s="8" t="s">
        <v>105</v>
      </c>
      <c r="G81" s="4" t="s">
        <v>106</v>
      </c>
      <c r="H81" s="9" t="s">
        <v>196</v>
      </c>
      <c r="I81" s="5" t="s">
        <v>1848</v>
      </c>
      <c r="J81" s="5" t="s">
        <v>109</v>
      </c>
      <c r="K81" s="6">
        <f t="shared" si="2"/>
        <v>1</v>
      </c>
    </row>
    <row r="82" spans="1:11" ht="30" customHeight="1">
      <c r="A82" s="4">
        <v>74</v>
      </c>
      <c r="B82" s="5" t="s">
        <v>135</v>
      </c>
      <c r="C82" s="5" t="s">
        <v>58</v>
      </c>
      <c r="D82" s="5" t="s">
        <v>629</v>
      </c>
      <c r="E82" s="7" t="s">
        <v>105</v>
      </c>
      <c r="F82" s="8" t="s">
        <v>105</v>
      </c>
      <c r="G82" s="4" t="s">
        <v>106</v>
      </c>
      <c r="H82" s="9" t="s">
        <v>196</v>
      </c>
      <c r="I82" s="5" t="s">
        <v>1848</v>
      </c>
      <c r="J82" s="5" t="s">
        <v>109</v>
      </c>
      <c r="K82" s="6">
        <f t="shared" si="2"/>
        <v>1</v>
      </c>
    </row>
    <row r="83" spans="1:11" ht="15" customHeight="1">
      <c r="A83" s="4">
        <v>75</v>
      </c>
      <c r="B83" s="5" t="s">
        <v>135</v>
      </c>
      <c r="C83" s="5" t="s">
        <v>58</v>
      </c>
      <c r="D83" s="5" t="s">
        <v>630</v>
      </c>
      <c r="E83" s="7" t="s">
        <v>105</v>
      </c>
      <c r="F83" s="8" t="s">
        <v>105</v>
      </c>
      <c r="G83" s="4" t="s">
        <v>106</v>
      </c>
      <c r="H83" s="9" t="s">
        <v>196</v>
      </c>
      <c r="I83" s="5" t="s">
        <v>1848</v>
      </c>
      <c r="J83" s="5" t="s">
        <v>109</v>
      </c>
      <c r="K83" s="6">
        <f t="shared" si="2"/>
        <v>1</v>
      </c>
    </row>
    <row r="84" spans="1:11" ht="30" customHeight="1">
      <c r="A84" s="4">
        <v>76</v>
      </c>
      <c r="B84" s="5" t="s">
        <v>591</v>
      </c>
      <c r="C84" s="5" t="s">
        <v>58</v>
      </c>
      <c r="D84" s="5" t="s">
        <v>631</v>
      </c>
      <c r="E84" s="7" t="s">
        <v>105</v>
      </c>
      <c r="F84" s="8" t="s">
        <v>105</v>
      </c>
      <c r="G84" s="4" t="s">
        <v>106</v>
      </c>
      <c r="H84" s="9" t="s">
        <v>196</v>
      </c>
      <c r="I84" s="5" t="s">
        <v>1848</v>
      </c>
      <c r="J84" s="5" t="s">
        <v>109</v>
      </c>
      <c r="K84" s="6">
        <f t="shared" si="2"/>
        <v>1</v>
      </c>
    </row>
    <row r="85" spans="1:11" ht="15" customHeight="1">
      <c r="A85" s="4">
        <v>77</v>
      </c>
      <c r="B85" s="5" t="s">
        <v>591</v>
      </c>
      <c r="C85" s="5" t="s">
        <v>58</v>
      </c>
      <c r="D85" s="5" t="s">
        <v>632</v>
      </c>
      <c r="E85" s="7" t="s">
        <v>105</v>
      </c>
      <c r="F85" s="8" t="s">
        <v>105</v>
      </c>
      <c r="G85" s="4" t="s">
        <v>106</v>
      </c>
      <c r="H85" s="9" t="s">
        <v>196</v>
      </c>
      <c r="I85" s="5" t="s">
        <v>1848</v>
      </c>
      <c r="J85" s="5" t="s">
        <v>109</v>
      </c>
      <c r="K85" s="6">
        <f t="shared" si="2"/>
        <v>1</v>
      </c>
    </row>
    <row r="86" spans="1:11" ht="15" customHeight="1">
      <c r="A86" s="4">
        <v>78</v>
      </c>
      <c r="B86" s="5" t="s">
        <v>179</v>
      </c>
      <c r="C86" s="5" t="s">
        <v>58</v>
      </c>
      <c r="D86" s="5" t="s">
        <v>180</v>
      </c>
      <c r="E86" s="7" t="s">
        <v>105</v>
      </c>
      <c r="F86" s="8" t="s">
        <v>105</v>
      </c>
      <c r="G86" s="4" t="s">
        <v>106</v>
      </c>
      <c r="H86" s="9" t="s">
        <v>196</v>
      </c>
      <c r="I86" s="5" t="s">
        <v>1848</v>
      </c>
      <c r="J86" s="5" t="s">
        <v>109</v>
      </c>
      <c r="K86" s="6">
        <f t="shared" si="2"/>
        <v>1</v>
      </c>
    </row>
    <row r="87" spans="1:11" ht="15" customHeight="1">
      <c r="A87" s="4">
        <v>79</v>
      </c>
      <c r="B87" s="5" t="s">
        <v>179</v>
      </c>
      <c r="C87" s="5" t="s">
        <v>58</v>
      </c>
      <c r="D87" s="5" t="s">
        <v>181</v>
      </c>
      <c r="E87" s="7" t="s">
        <v>105</v>
      </c>
      <c r="F87" s="8" t="s">
        <v>105</v>
      </c>
      <c r="G87" s="4" t="s">
        <v>106</v>
      </c>
      <c r="H87" s="9" t="s">
        <v>196</v>
      </c>
      <c r="I87" s="5" t="s">
        <v>1848</v>
      </c>
      <c r="J87" s="5" t="s">
        <v>109</v>
      </c>
      <c r="K87" s="6">
        <f t="shared" si="2"/>
        <v>1</v>
      </c>
    </row>
    <row r="88" spans="1:11" ht="15" customHeight="1">
      <c r="A88" s="4">
        <v>80</v>
      </c>
      <c r="B88" s="5" t="s">
        <v>179</v>
      </c>
      <c r="C88" s="5" t="s">
        <v>58</v>
      </c>
      <c r="D88" s="5" t="s">
        <v>182</v>
      </c>
      <c r="E88" s="7" t="s">
        <v>105</v>
      </c>
      <c r="F88" s="8" t="s">
        <v>105</v>
      </c>
      <c r="G88" s="4" t="s">
        <v>106</v>
      </c>
      <c r="H88" s="9" t="s">
        <v>196</v>
      </c>
      <c r="I88" s="5" t="s">
        <v>1848</v>
      </c>
      <c r="J88" s="5" t="s">
        <v>109</v>
      </c>
      <c r="K88" s="6">
        <f t="shared" si="2"/>
        <v>1</v>
      </c>
    </row>
    <row r="89" spans="1:11" ht="15" customHeight="1">
      <c r="A89" s="4">
        <v>81</v>
      </c>
      <c r="B89" s="5" t="s">
        <v>179</v>
      </c>
      <c r="C89" s="5" t="s">
        <v>58</v>
      </c>
      <c r="D89" s="5" t="s">
        <v>183</v>
      </c>
      <c r="E89" s="7" t="s">
        <v>105</v>
      </c>
      <c r="F89" s="8" t="s">
        <v>105</v>
      </c>
      <c r="G89" s="4" t="s">
        <v>106</v>
      </c>
      <c r="H89" s="9" t="s">
        <v>196</v>
      </c>
      <c r="I89" s="5" t="s">
        <v>1848</v>
      </c>
      <c r="J89" s="5" t="s">
        <v>109</v>
      </c>
      <c r="K89" s="6">
        <f t="shared" si="2"/>
        <v>1</v>
      </c>
    </row>
    <row r="90" spans="1:11" ht="15" customHeight="1">
      <c r="A90" s="4">
        <v>82</v>
      </c>
      <c r="B90" s="5" t="s">
        <v>179</v>
      </c>
      <c r="C90" s="5" t="s">
        <v>58</v>
      </c>
      <c r="D90" s="5" t="s">
        <v>184</v>
      </c>
      <c r="E90" s="7" t="s">
        <v>105</v>
      </c>
      <c r="F90" s="8" t="s">
        <v>105</v>
      </c>
      <c r="G90" s="4" t="s">
        <v>106</v>
      </c>
      <c r="H90" s="9" t="s">
        <v>196</v>
      </c>
      <c r="I90" s="5" t="s">
        <v>1848</v>
      </c>
      <c r="J90" s="5" t="s">
        <v>109</v>
      </c>
      <c r="K90" s="6">
        <f t="shared" si="2"/>
        <v>1</v>
      </c>
    </row>
    <row r="91" spans="1:11" ht="15" customHeight="1">
      <c r="A91" s="4">
        <v>83</v>
      </c>
      <c r="B91" s="5" t="s">
        <v>177</v>
      </c>
      <c r="C91" s="5" t="s">
        <v>58</v>
      </c>
      <c r="D91" s="5" t="s">
        <v>186</v>
      </c>
      <c r="E91" s="7" t="s">
        <v>105</v>
      </c>
      <c r="F91" s="8" t="s">
        <v>105</v>
      </c>
      <c r="G91" s="4" t="s">
        <v>106</v>
      </c>
      <c r="H91" s="9" t="s">
        <v>196</v>
      </c>
      <c r="I91" s="5" t="s">
        <v>1848</v>
      </c>
      <c r="J91" s="5" t="s">
        <v>109</v>
      </c>
      <c r="K91" s="6">
        <f t="shared" si="2"/>
        <v>1</v>
      </c>
    </row>
    <row r="92" spans="1:11" ht="30" customHeight="1">
      <c r="A92" s="4">
        <v>84</v>
      </c>
      <c r="B92" s="5" t="s">
        <v>31</v>
      </c>
      <c r="C92" s="5" t="s">
        <v>121</v>
      </c>
      <c r="D92" s="5" t="s">
        <v>187</v>
      </c>
      <c r="E92" s="10" t="s">
        <v>105</v>
      </c>
      <c r="F92" s="8" t="s">
        <v>105</v>
      </c>
      <c r="G92" s="4" t="s">
        <v>106</v>
      </c>
      <c r="H92" s="10" t="s">
        <v>196</v>
      </c>
      <c r="I92" s="5" t="s">
        <v>1848</v>
      </c>
      <c r="J92" s="5" t="s">
        <v>109</v>
      </c>
      <c r="K92" s="6">
        <f t="shared" si="2"/>
        <v>1</v>
      </c>
    </row>
    <row r="93" spans="1:11" ht="30" customHeight="1">
      <c r="A93" s="4">
        <v>85</v>
      </c>
      <c r="B93" s="5" t="s">
        <v>31</v>
      </c>
      <c r="C93" s="5" t="s">
        <v>121</v>
      </c>
      <c r="D93" s="5" t="s">
        <v>189</v>
      </c>
      <c r="E93" s="10" t="s">
        <v>105</v>
      </c>
      <c r="F93" s="8" t="s">
        <v>105</v>
      </c>
      <c r="G93" s="4" t="s">
        <v>106</v>
      </c>
      <c r="H93" s="10" t="s">
        <v>196</v>
      </c>
      <c r="I93" s="5" t="s">
        <v>1848</v>
      </c>
      <c r="J93" s="5" t="s">
        <v>109</v>
      </c>
      <c r="K93" s="6">
        <f t="shared" si="2"/>
        <v>1</v>
      </c>
    </row>
    <row r="94" spans="1:11" ht="30" customHeight="1">
      <c r="A94" s="4">
        <v>86</v>
      </c>
      <c r="B94" s="5" t="s">
        <v>94</v>
      </c>
      <c r="C94" s="5" t="s">
        <v>191</v>
      </c>
      <c r="D94" s="5" t="s">
        <v>192</v>
      </c>
      <c r="E94" s="10" t="s">
        <v>105</v>
      </c>
      <c r="F94" s="8" t="s">
        <v>105</v>
      </c>
      <c r="G94" s="4" t="s">
        <v>106</v>
      </c>
      <c r="H94" s="10" t="s">
        <v>196</v>
      </c>
      <c r="I94" s="5" t="s">
        <v>1848</v>
      </c>
      <c r="J94" s="5" t="s">
        <v>109</v>
      </c>
      <c r="K94" s="6">
        <f t="shared" si="2"/>
        <v>1</v>
      </c>
    </row>
    <row r="95" spans="1:11" ht="30" customHeight="1"/>
    <row r="96" spans="1:11" ht="30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K107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1857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v>1</v>
      </c>
      <c r="C4" s="1" t="s">
        <v>8</v>
      </c>
      <c r="D4" s="2">
        <v>99</v>
      </c>
      <c r="E4" s="1" t="s">
        <v>9</v>
      </c>
      <c r="F4" s="2">
        <v>0</v>
      </c>
      <c r="G4" s="1" t="s">
        <v>10</v>
      </c>
      <c r="H4" s="2">
        <v>0</v>
      </c>
      <c r="I4" s="1" t="s">
        <v>11</v>
      </c>
      <c r="J4" s="2"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564</v>
      </c>
      <c r="H9" s="9" t="s">
        <v>196</v>
      </c>
      <c r="I9" s="5" t="s">
        <v>1858</v>
      </c>
      <c r="J9" s="5"/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564</v>
      </c>
      <c r="H10" s="9" t="s">
        <v>196</v>
      </c>
      <c r="I10" s="5" t="s">
        <v>1858</v>
      </c>
      <c r="J10" s="5"/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59</v>
      </c>
      <c r="D11" s="5" t="s">
        <v>104</v>
      </c>
      <c r="E11" s="7" t="s">
        <v>105</v>
      </c>
      <c r="F11" s="8" t="s">
        <v>105</v>
      </c>
      <c r="G11" s="4" t="s">
        <v>564</v>
      </c>
      <c r="H11" s="9" t="s">
        <v>196</v>
      </c>
      <c r="I11" s="5" t="s">
        <v>1858</v>
      </c>
      <c r="J11" s="5"/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59</v>
      </c>
      <c r="D12" s="5" t="s">
        <v>110</v>
      </c>
      <c r="E12" s="7" t="s">
        <v>105</v>
      </c>
      <c r="F12" s="8" t="s">
        <v>105</v>
      </c>
      <c r="G12" s="4" t="s">
        <v>564</v>
      </c>
      <c r="H12" s="9" t="s">
        <v>196</v>
      </c>
      <c r="I12" s="5" t="s">
        <v>1858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59</v>
      </c>
      <c r="D13" s="5" t="s">
        <v>111</v>
      </c>
      <c r="E13" s="7" t="s">
        <v>105</v>
      </c>
      <c r="F13" s="8" t="s">
        <v>105</v>
      </c>
      <c r="G13" s="4" t="s">
        <v>564</v>
      </c>
      <c r="H13" s="9" t="s">
        <v>196</v>
      </c>
      <c r="I13" s="5" t="s">
        <v>1858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59</v>
      </c>
      <c r="D14" s="5" t="s">
        <v>112</v>
      </c>
      <c r="E14" s="7" t="s">
        <v>105</v>
      </c>
      <c r="F14" s="8" t="s">
        <v>105</v>
      </c>
      <c r="G14" s="4" t="s">
        <v>564</v>
      </c>
      <c r="H14" s="9" t="s">
        <v>196</v>
      </c>
      <c r="I14" s="5" t="s">
        <v>1858</v>
      </c>
      <c r="J14" s="5"/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59</v>
      </c>
      <c r="D15" s="5" t="s">
        <v>1859</v>
      </c>
      <c r="E15" s="7" t="s">
        <v>105</v>
      </c>
      <c r="F15" s="8" t="s">
        <v>105</v>
      </c>
      <c r="G15" s="4" t="s">
        <v>564</v>
      </c>
      <c r="H15" s="9" t="s">
        <v>196</v>
      </c>
      <c r="I15" s="5" t="s">
        <v>1858</v>
      </c>
      <c r="J15" s="5"/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59</v>
      </c>
      <c r="D16" s="5" t="s">
        <v>1518</v>
      </c>
      <c r="E16" s="7" t="s">
        <v>105</v>
      </c>
      <c r="F16" s="8" t="s">
        <v>105</v>
      </c>
      <c r="G16" s="4" t="s">
        <v>564</v>
      </c>
      <c r="H16" s="9" t="s">
        <v>196</v>
      </c>
      <c r="I16" s="5" t="s">
        <v>1858</v>
      </c>
      <c r="J16" s="5"/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59</v>
      </c>
      <c r="D17" s="5" t="s">
        <v>1860</v>
      </c>
      <c r="E17" s="7" t="s">
        <v>105</v>
      </c>
      <c r="F17" s="8" t="s">
        <v>105</v>
      </c>
      <c r="G17" s="4" t="s">
        <v>564</v>
      </c>
      <c r="H17" s="9" t="s">
        <v>196</v>
      </c>
      <c r="I17" s="5" t="s">
        <v>1858</v>
      </c>
      <c r="J17" s="5"/>
      <c r="K17" s="6">
        <f t="shared" si="0"/>
        <v>1</v>
      </c>
    </row>
    <row r="18" spans="1:11" ht="15" customHeight="1">
      <c r="A18" s="4">
        <v>10</v>
      </c>
      <c r="B18" s="5" t="s">
        <v>113</v>
      </c>
      <c r="C18" s="5" t="s">
        <v>59</v>
      </c>
      <c r="D18" s="5" t="s">
        <v>1861</v>
      </c>
      <c r="E18" s="7" t="s">
        <v>105</v>
      </c>
      <c r="F18" s="8" t="s">
        <v>105</v>
      </c>
      <c r="G18" s="4" t="s">
        <v>564</v>
      </c>
      <c r="H18" s="9" t="s">
        <v>196</v>
      </c>
      <c r="I18" s="5" t="s">
        <v>1858</v>
      </c>
      <c r="J18" s="5"/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59</v>
      </c>
      <c r="D19" s="5" t="s">
        <v>1862</v>
      </c>
      <c r="E19" s="7" t="s">
        <v>105</v>
      </c>
      <c r="F19" s="8" t="s">
        <v>105</v>
      </c>
      <c r="G19" s="4" t="s">
        <v>564</v>
      </c>
      <c r="H19" s="9" t="s">
        <v>196</v>
      </c>
      <c r="I19" s="5" t="s">
        <v>1858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59</v>
      </c>
      <c r="D20" s="5" t="s">
        <v>1863</v>
      </c>
      <c r="E20" s="7" t="s">
        <v>105</v>
      </c>
      <c r="F20" s="8" t="s">
        <v>105</v>
      </c>
      <c r="G20" s="4" t="s">
        <v>564</v>
      </c>
      <c r="H20" s="9" t="s">
        <v>196</v>
      </c>
      <c r="I20" s="5" t="s">
        <v>1858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564</v>
      </c>
      <c r="H21" s="9" t="s">
        <v>196</v>
      </c>
      <c r="I21" s="5" t="s">
        <v>1858</v>
      </c>
      <c r="J21" s="5"/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564</v>
      </c>
      <c r="H22" s="9" t="s">
        <v>196</v>
      </c>
      <c r="I22" s="5" t="s">
        <v>1858</v>
      </c>
      <c r="J22" s="5"/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564</v>
      </c>
      <c r="H23" s="9" t="s">
        <v>196</v>
      </c>
      <c r="I23" s="5" t="s">
        <v>1858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564</v>
      </c>
      <c r="H24" s="9" t="s">
        <v>196</v>
      </c>
      <c r="I24" s="5" t="s">
        <v>1858</v>
      </c>
      <c r="J24" s="5"/>
      <c r="K24" s="6">
        <f t="shared" si="0"/>
        <v>1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564</v>
      </c>
      <c r="H25" s="9" t="s">
        <v>196</v>
      </c>
      <c r="I25" s="5" t="s">
        <v>1858</v>
      </c>
      <c r="J25" s="5"/>
      <c r="K25" s="6">
        <f t="shared" si="0"/>
        <v>1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564</v>
      </c>
      <c r="H26" s="9" t="s">
        <v>196</v>
      </c>
      <c r="I26" s="5" t="s">
        <v>1858</v>
      </c>
      <c r="J26" s="5"/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105</v>
      </c>
      <c r="G27" s="4" t="s">
        <v>564</v>
      </c>
      <c r="H27" s="9" t="s">
        <v>196</v>
      </c>
      <c r="I27" s="5" t="s">
        <v>1858</v>
      </c>
      <c r="J27" s="5"/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105</v>
      </c>
      <c r="G28" s="4" t="s">
        <v>564</v>
      </c>
      <c r="H28" s="9" t="s">
        <v>196</v>
      </c>
      <c r="I28" s="5" t="s">
        <v>1858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105</v>
      </c>
      <c r="G29" s="4" t="s">
        <v>564</v>
      </c>
      <c r="H29" s="9" t="s">
        <v>196</v>
      </c>
      <c r="I29" s="5" t="s">
        <v>1858</v>
      </c>
      <c r="J29" s="5"/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1676</v>
      </c>
      <c r="E30" s="7" t="s">
        <v>105</v>
      </c>
      <c r="F30" s="8" t="s">
        <v>105</v>
      </c>
      <c r="G30" s="4" t="s">
        <v>564</v>
      </c>
      <c r="H30" s="9" t="s">
        <v>196</v>
      </c>
      <c r="I30" s="5" t="s">
        <v>1858</v>
      </c>
      <c r="J30" s="5"/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1677</v>
      </c>
      <c r="E31" s="7" t="s">
        <v>105</v>
      </c>
      <c r="F31" s="8" t="s">
        <v>105</v>
      </c>
      <c r="G31" s="4" t="s">
        <v>564</v>
      </c>
      <c r="H31" s="9" t="s">
        <v>196</v>
      </c>
      <c r="I31" s="5" t="s">
        <v>1858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1678</v>
      </c>
      <c r="E32" s="7" t="s">
        <v>105</v>
      </c>
      <c r="F32" s="8" t="s">
        <v>105</v>
      </c>
      <c r="G32" s="4" t="s">
        <v>564</v>
      </c>
      <c r="H32" s="9" t="s">
        <v>196</v>
      </c>
      <c r="I32" s="5" t="s">
        <v>1858</v>
      </c>
      <c r="J32" s="5"/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1679</v>
      </c>
      <c r="E33" s="7" t="s">
        <v>105</v>
      </c>
      <c r="F33" s="8" t="s">
        <v>105</v>
      </c>
      <c r="G33" s="4" t="s">
        <v>564</v>
      </c>
      <c r="H33" s="9" t="s">
        <v>196</v>
      </c>
      <c r="I33" s="5" t="s">
        <v>1858</v>
      </c>
      <c r="J33" s="5"/>
      <c r="K33" s="6">
        <f t="shared" si="0"/>
        <v>1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140</v>
      </c>
      <c r="E34" s="7" t="s">
        <v>105</v>
      </c>
      <c r="F34" s="8" t="s">
        <v>105</v>
      </c>
      <c r="G34" s="4" t="s">
        <v>564</v>
      </c>
      <c r="H34" s="9" t="s">
        <v>196</v>
      </c>
      <c r="I34" s="5" t="s">
        <v>1858</v>
      </c>
      <c r="J34" s="5"/>
      <c r="K34" s="6">
        <f t="shared" si="0"/>
        <v>1</v>
      </c>
    </row>
    <row r="35" spans="1:11" ht="15" customHeight="1">
      <c r="A35" s="4">
        <v>27</v>
      </c>
      <c r="B35" s="5" t="s">
        <v>135</v>
      </c>
      <c r="C35" s="5" t="s">
        <v>121</v>
      </c>
      <c r="D35" s="5" t="s">
        <v>610</v>
      </c>
      <c r="E35" s="7" t="s">
        <v>105</v>
      </c>
      <c r="F35" s="8" t="s">
        <v>105</v>
      </c>
      <c r="G35" s="4" t="s">
        <v>564</v>
      </c>
      <c r="H35" s="9" t="s">
        <v>196</v>
      </c>
      <c r="I35" s="5" t="s">
        <v>1858</v>
      </c>
      <c r="J35" s="5"/>
      <c r="K35" s="6">
        <f t="shared" si="0"/>
        <v>1</v>
      </c>
    </row>
    <row r="36" spans="1:11" ht="15" customHeight="1">
      <c r="A36" s="4">
        <v>28</v>
      </c>
      <c r="B36" s="5" t="s">
        <v>135</v>
      </c>
      <c r="C36" s="5" t="s">
        <v>121</v>
      </c>
      <c r="D36" s="5" t="s">
        <v>611</v>
      </c>
      <c r="E36" s="7" t="s">
        <v>105</v>
      </c>
      <c r="F36" s="8" t="s">
        <v>105</v>
      </c>
      <c r="G36" s="4" t="s">
        <v>564</v>
      </c>
      <c r="H36" s="9" t="s">
        <v>196</v>
      </c>
      <c r="I36" s="5" t="s">
        <v>1858</v>
      </c>
      <c r="J36" s="5"/>
      <c r="K36" s="6">
        <f t="shared" si="0"/>
        <v>1</v>
      </c>
    </row>
    <row r="37" spans="1:11" ht="15" customHeight="1">
      <c r="A37" s="4">
        <v>29</v>
      </c>
      <c r="B37" s="5" t="s">
        <v>135</v>
      </c>
      <c r="C37" s="5" t="s">
        <v>121</v>
      </c>
      <c r="D37" s="5" t="s">
        <v>612</v>
      </c>
      <c r="E37" s="7" t="s">
        <v>105</v>
      </c>
      <c r="F37" s="8" t="s">
        <v>105</v>
      </c>
      <c r="G37" s="4" t="s">
        <v>564</v>
      </c>
      <c r="H37" s="9" t="s">
        <v>196</v>
      </c>
      <c r="I37" s="5" t="s">
        <v>1858</v>
      </c>
      <c r="J37" s="5"/>
      <c r="K37" s="6">
        <f t="shared" si="0"/>
        <v>1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613</v>
      </c>
      <c r="E38" s="7" t="s">
        <v>105</v>
      </c>
      <c r="F38" s="8" t="s">
        <v>105</v>
      </c>
      <c r="G38" s="4" t="s">
        <v>564</v>
      </c>
      <c r="H38" s="9" t="s">
        <v>196</v>
      </c>
      <c r="I38" s="5" t="s">
        <v>1858</v>
      </c>
      <c r="J38" s="5"/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1864</v>
      </c>
      <c r="E39" s="7" t="s">
        <v>105</v>
      </c>
      <c r="F39" s="8" t="s">
        <v>105</v>
      </c>
      <c r="G39" s="4" t="s">
        <v>564</v>
      </c>
      <c r="H39" s="9" t="s">
        <v>196</v>
      </c>
      <c r="I39" s="5" t="s">
        <v>1858</v>
      </c>
      <c r="J39" s="5"/>
      <c r="K39" s="6">
        <f t="shared" si="0"/>
        <v>1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614</v>
      </c>
      <c r="E40" s="7" t="s">
        <v>105</v>
      </c>
      <c r="F40" s="8" t="s">
        <v>105</v>
      </c>
      <c r="G40" s="4" t="s">
        <v>564</v>
      </c>
      <c r="H40" s="9" t="s">
        <v>196</v>
      </c>
      <c r="I40" s="5" t="s">
        <v>1858</v>
      </c>
      <c r="J40" s="5"/>
      <c r="K40" s="6">
        <f t="shared" si="0"/>
        <v>1</v>
      </c>
    </row>
    <row r="41" spans="1:11" ht="15" customHeight="1">
      <c r="A41" s="4">
        <v>33</v>
      </c>
      <c r="B41" s="5" t="s">
        <v>539</v>
      </c>
      <c r="C41" s="5" t="s">
        <v>121</v>
      </c>
      <c r="D41" s="5" t="s">
        <v>1839</v>
      </c>
      <c r="E41" s="7" t="s">
        <v>105</v>
      </c>
      <c r="F41" s="8" t="s">
        <v>105</v>
      </c>
      <c r="G41" s="4" t="s">
        <v>564</v>
      </c>
      <c r="H41" s="9" t="s">
        <v>196</v>
      </c>
      <c r="I41" s="5" t="s">
        <v>1858</v>
      </c>
      <c r="J41" s="5"/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133</v>
      </c>
      <c r="C42" s="5" t="s">
        <v>121</v>
      </c>
      <c r="D42" s="5" t="s">
        <v>1840</v>
      </c>
      <c r="E42" s="7" t="s">
        <v>105</v>
      </c>
      <c r="F42" s="8" t="s">
        <v>105</v>
      </c>
      <c r="G42" s="4" t="s">
        <v>564</v>
      </c>
      <c r="H42" s="9" t="s">
        <v>196</v>
      </c>
      <c r="I42" s="5" t="s">
        <v>1858</v>
      </c>
      <c r="J42" s="5"/>
      <c r="K42" s="6">
        <f t="shared" si="1"/>
        <v>1</v>
      </c>
    </row>
    <row r="43" spans="1:11" ht="15" customHeight="1">
      <c r="A43" s="4">
        <v>35</v>
      </c>
      <c r="B43" s="5" t="s">
        <v>133</v>
      </c>
      <c r="C43" s="5" t="s">
        <v>121</v>
      </c>
      <c r="D43" s="5" t="s">
        <v>1865</v>
      </c>
      <c r="E43" s="7" t="s">
        <v>105</v>
      </c>
      <c r="F43" s="8" t="s">
        <v>105</v>
      </c>
      <c r="G43" s="4" t="s">
        <v>564</v>
      </c>
      <c r="H43" s="9" t="s">
        <v>196</v>
      </c>
      <c r="I43" s="5" t="s">
        <v>1858</v>
      </c>
      <c r="J43" s="5"/>
      <c r="K43" s="6">
        <f t="shared" si="1"/>
        <v>1</v>
      </c>
    </row>
    <row r="44" spans="1:11" ht="15" customHeight="1">
      <c r="A44" s="4">
        <v>36</v>
      </c>
      <c r="B44" s="5" t="s">
        <v>130</v>
      </c>
      <c r="C44" s="5" t="s">
        <v>121</v>
      </c>
      <c r="D44" s="5" t="s">
        <v>131</v>
      </c>
      <c r="E44" s="7" t="s">
        <v>105</v>
      </c>
      <c r="F44" s="8" t="s">
        <v>105</v>
      </c>
      <c r="G44" s="4" t="s">
        <v>564</v>
      </c>
      <c r="H44" s="9" t="s">
        <v>196</v>
      </c>
      <c r="I44" s="5" t="s">
        <v>1858</v>
      </c>
      <c r="J44" s="5"/>
      <c r="K44" s="6">
        <f t="shared" si="1"/>
        <v>1</v>
      </c>
    </row>
    <row r="45" spans="1:11" ht="15" customHeight="1">
      <c r="A45" s="4">
        <v>37</v>
      </c>
      <c r="B45" s="5" t="s">
        <v>130</v>
      </c>
      <c r="C45" s="5" t="s">
        <v>121</v>
      </c>
      <c r="D45" s="5" t="s">
        <v>132</v>
      </c>
      <c r="E45" s="7" t="s">
        <v>105</v>
      </c>
      <c r="F45" s="8" t="s">
        <v>105</v>
      </c>
      <c r="G45" s="4" t="s">
        <v>564</v>
      </c>
      <c r="H45" s="9" t="s">
        <v>196</v>
      </c>
      <c r="I45" s="5" t="s">
        <v>1858</v>
      </c>
      <c r="J45" s="5"/>
      <c r="K45" s="6">
        <f t="shared" si="1"/>
        <v>1</v>
      </c>
    </row>
    <row r="46" spans="1:11" ht="15" customHeight="1">
      <c r="A46" s="4">
        <v>38</v>
      </c>
      <c r="B46" s="5" t="s">
        <v>133</v>
      </c>
      <c r="C46" s="5" t="s">
        <v>121</v>
      </c>
      <c r="D46" s="5" t="s">
        <v>142</v>
      </c>
      <c r="E46" s="7" t="s">
        <v>105</v>
      </c>
      <c r="F46" s="8" t="s">
        <v>105</v>
      </c>
      <c r="G46" s="4" t="s">
        <v>564</v>
      </c>
      <c r="H46" s="9" t="s">
        <v>196</v>
      </c>
      <c r="I46" s="5" t="s">
        <v>1858</v>
      </c>
      <c r="J46" s="5"/>
      <c r="K46" s="6">
        <f t="shared" si="1"/>
        <v>1</v>
      </c>
    </row>
    <row r="47" spans="1:11" ht="15" customHeight="1">
      <c r="A47" s="4">
        <v>39</v>
      </c>
      <c r="B47" s="5" t="s">
        <v>135</v>
      </c>
      <c r="C47" s="5" t="s">
        <v>121</v>
      </c>
      <c r="D47" s="5" t="s">
        <v>544</v>
      </c>
      <c r="E47" s="7" t="s">
        <v>105</v>
      </c>
      <c r="F47" s="8" t="s">
        <v>105</v>
      </c>
      <c r="G47" s="4" t="s">
        <v>564</v>
      </c>
      <c r="H47" s="9" t="s">
        <v>196</v>
      </c>
      <c r="I47" s="5" t="s">
        <v>1858</v>
      </c>
      <c r="J47" s="5"/>
      <c r="K47" s="6">
        <f t="shared" si="1"/>
        <v>1</v>
      </c>
    </row>
    <row r="48" spans="1:11" ht="15" customHeight="1">
      <c r="A48" s="4">
        <v>40</v>
      </c>
      <c r="B48" s="5" t="s">
        <v>133</v>
      </c>
      <c r="C48" s="5" t="s">
        <v>121</v>
      </c>
      <c r="D48" s="5" t="s">
        <v>1841</v>
      </c>
      <c r="E48" s="7" t="s">
        <v>105</v>
      </c>
      <c r="F48" s="8" t="s">
        <v>105</v>
      </c>
      <c r="G48" s="4" t="s">
        <v>564</v>
      </c>
      <c r="H48" s="9" t="s">
        <v>196</v>
      </c>
      <c r="I48" s="5" t="s">
        <v>1858</v>
      </c>
      <c r="J48" s="5"/>
      <c r="K48" s="6">
        <f t="shared" si="1"/>
        <v>1</v>
      </c>
    </row>
    <row r="49" spans="1:11" ht="15" customHeight="1">
      <c r="A49" s="4">
        <v>41</v>
      </c>
      <c r="B49" s="5" t="s">
        <v>133</v>
      </c>
      <c r="C49" s="5" t="s">
        <v>121</v>
      </c>
      <c r="D49" s="5" t="s">
        <v>1842</v>
      </c>
      <c r="E49" s="7" t="s">
        <v>105</v>
      </c>
      <c r="F49" s="8" t="s">
        <v>105</v>
      </c>
      <c r="G49" s="4" t="s">
        <v>564</v>
      </c>
      <c r="H49" s="9" t="s">
        <v>196</v>
      </c>
      <c r="I49" s="5" t="s">
        <v>1858</v>
      </c>
      <c r="J49" s="5"/>
      <c r="K49" s="6">
        <f t="shared" si="1"/>
        <v>1</v>
      </c>
    </row>
    <row r="50" spans="1:11" ht="15" customHeight="1">
      <c r="A50" s="4">
        <v>42</v>
      </c>
      <c r="B50" s="5" t="s">
        <v>133</v>
      </c>
      <c r="C50" s="5" t="s">
        <v>121</v>
      </c>
      <c r="D50" s="5" t="s">
        <v>1866</v>
      </c>
      <c r="E50" s="7" t="s">
        <v>105</v>
      </c>
      <c r="F50" s="8" t="s">
        <v>105</v>
      </c>
      <c r="G50" s="4" t="s">
        <v>564</v>
      </c>
      <c r="H50" s="9" t="s">
        <v>196</v>
      </c>
      <c r="I50" s="5" t="s">
        <v>1858</v>
      </c>
      <c r="J50" s="5"/>
      <c r="K50" s="6">
        <f t="shared" si="1"/>
        <v>1</v>
      </c>
    </row>
    <row r="51" spans="1:11" ht="15" customHeight="1">
      <c r="A51" s="4">
        <v>43</v>
      </c>
      <c r="B51" s="5" t="s">
        <v>135</v>
      </c>
      <c r="C51" s="5" t="s">
        <v>121</v>
      </c>
      <c r="D51" s="5" t="s">
        <v>144</v>
      </c>
      <c r="E51" s="7" t="s">
        <v>105</v>
      </c>
      <c r="F51" s="8" t="s">
        <v>105</v>
      </c>
      <c r="G51" s="4" t="s">
        <v>564</v>
      </c>
      <c r="H51" s="9" t="s">
        <v>196</v>
      </c>
      <c r="I51" s="5" t="s">
        <v>1858</v>
      </c>
      <c r="J51" s="5"/>
      <c r="K51" s="6">
        <f t="shared" si="1"/>
        <v>1</v>
      </c>
    </row>
    <row r="52" spans="1:11" ht="15" customHeight="1">
      <c r="A52" s="4">
        <v>44</v>
      </c>
      <c r="B52" s="5" t="s">
        <v>135</v>
      </c>
      <c r="C52" s="5" t="s">
        <v>121</v>
      </c>
      <c r="D52" s="5" t="s">
        <v>616</v>
      </c>
      <c r="E52" s="7" t="s">
        <v>105</v>
      </c>
      <c r="F52" s="8" t="s">
        <v>105</v>
      </c>
      <c r="G52" s="4" t="s">
        <v>564</v>
      </c>
      <c r="H52" s="9" t="s">
        <v>196</v>
      </c>
      <c r="I52" s="5" t="s">
        <v>1858</v>
      </c>
      <c r="J52" s="5"/>
      <c r="K52" s="6">
        <f t="shared" si="1"/>
        <v>1</v>
      </c>
    </row>
    <row r="53" spans="1:11" ht="15" customHeight="1">
      <c r="A53" s="4">
        <v>45</v>
      </c>
      <c r="B53" s="5" t="s">
        <v>135</v>
      </c>
      <c r="C53" s="5" t="s">
        <v>121</v>
      </c>
      <c r="D53" s="5" t="s">
        <v>617</v>
      </c>
      <c r="E53" s="7" t="s">
        <v>105</v>
      </c>
      <c r="F53" s="8" t="s">
        <v>105</v>
      </c>
      <c r="G53" s="4" t="s">
        <v>564</v>
      </c>
      <c r="H53" s="9" t="s">
        <v>196</v>
      </c>
      <c r="I53" s="5" t="s">
        <v>1858</v>
      </c>
      <c r="J53" s="5"/>
      <c r="K53" s="6">
        <f t="shared" si="1"/>
        <v>1</v>
      </c>
    </row>
    <row r="54" spans="1:11" ht="15" customHeight="1">
      <c r="A54" s="4">
        <v>46</v>
      </c>
      <c r="B54" s="5" t="s">
        <v>135</v>
      </c>
      <c r="C54" s="5" t="s">
        <v>121</v>
      </c>
      <c r="D54" s="5" t="s">
        <v>1273</v>
      </c>
      <c r="E54" s="7" t="s">
        <v>105</v>
      </c>
      <c r="F54" s="8" t="s">
        <v>105</v>
      </c>
      <c r="G54" s="4" t="s">
        <v>564</v>
      </c>
      <c r="H54" s="9" t="s">
        <v>196</v>
      </c>
      <c r="I54" s="5" t="s">
        <v>1858</v>
      </c>
      <c r="J54" s="5"/>
      <c r="K54" s="6">
        <f t="shared" si="1"/>
        <v>1</v>
      </c>
    </row>
    <row r="55" spans="1:11" ht="15" customHeight="1">
      <c r="A55" s="4">
        <v>47</v>
      </c>
      <c r="B55" s="5" t="s">
        <v>120</v>
      </c>
      <c r="C55" s="5" t="s">
        <v>150</v>
      </c>
      <c r="D55" s="5" t="s">
        <v>122</v>
      </c>
      <c r="E55" s="7" t="s">
        <v>105</v>
      </c>
      <c r="F55" s="8" t="s">
        <v>105</v>
      </c>
      <c r="G55" s="4" t="s">
        <v>564</v>
      </c>
      <c r="H55" s="9" t="s">
        <v>196</v>
      </c>
      <c r="I55" s="5" t="s">
        <v>1858</v>
      </c>
      <c r="J55" s="5"/>
      <c r="K55" s="6">
        <f t="shared" si="1"/>
        <v>1</v>
      </c>
    </row>
    <row r="56" spans="1:11" ht="15" customHeight="1">
      <c r="A56" s="4">
        <v>48</v>
      </c>
      <c r="B56" s="5" t="s">
        <v>120</v>
      </c>
      <c r="C56" s="5" t="s">
        <v>150</v>
      </c>
      <c r="D56" s="5" t="s">
        <v>123</v>
      </c>
      <c r="E56" s="7" t="s">
        <v>105</v>
      </c>
      <c r="F56" s="8" t="s">
        <v>105</v>
      </c>
      <c r="G56" s="4" t="s">
        <v>564</v>
      </c>
      <c r="H56" s="9" t="s">
        <v>196</v>
      </c>
      <c r="I56" s="5" t="s">
        <v>1858</v>
      </c>
      <c r="J56" s="5"/>
      <c r="K56" s="6">
        <f t="shared" si="1"/>
        <v>1</v>
      </c>
    </row>
    <row r="57" spans="1:11" ht="30" customHeight="1">
      <c r="A57" s="4">
        <v>49</v>
      </c>
      <c r="B57" s="5" t="s">
        <v>124</v>
      </c>
      <c r="C57" s="5" t="s">
        <v>150</v>
      </c>
      <c r="D57" s="5" t="s">
        <v>125</v>
      </c>
      <c r="E57" s="7" t="s">
        <v>105</v>
      </c>
      <c r="F57" s="8" t="s">
        <v>105</v>
      </c>
      <c r="G57" s="4" t="s">
        <v>564</v>
      </c>
      <c r="H57" s="9" t="s">
        <v>196</v>
      </c>
      <c r="I57" s="5" t="s">
        <v>1858</v>
      </c>
      <c r="J57" s="5"/>
      <c r="K57" s="6">
        <f t="shared" si="1"/>
        <v>1</v>
      </c>
    </row>
    <row r="58" spans="1:11" ht="15" customHeight="1">
      <c r="A58" s="4">
        <v>50</v>
      </c>
      <c r="B58" s="5" t="s">
        <v>124</v>
      </c>
      <c r="C58" s="5" t="s">
        <v>150</v>
      </c>
      <c r="D58" s="5" t="s">
        <v>126</v>
      </c>
      <c r="E58" s="7" t="s">
        <v>105</v>
      </c>
      <c r="F58" s="8" t="s">
        <v>105</v>
      </c>
      <c r="G58" s="4" t="s">
        <v>564</v>
      </c>
      <c r="H58" s="9" t="s">
        <v>196</v>
      </c>
      <c r="I58" s="5" t="s">
        <v>1858</v>
      </c>
      <c r="J58" s="5"/>
      <c r="K58" s="6">
        <f t="shared" si="1"/>
        <v>1</v>
      </c>
    </row>
    <row r="59" spans="1:11" ht="15" customHeight="1">
      <c r="A59" s="4">
        <v>51</v>
      </c>
      <c r="B59" s="5" t="s">
        <v>95</v>
      </c>
      <c r="C59" s="5" t="s">
        <v>150</v>
      </c>
      <c r="D59" s="5" t="s">
        <v>127</v>
      </c>
      <c r="E59" s="7" t="s">
        <v>105</v>
      </c>
      <c r="F59" s="8" t="s">
        <v>105</v>
      </c>
      <c r="G59" s="4" t="s">
        <v>564</v>
      </c>
      <c r="H59" s="9" t="s">
        <v>196</v>
      </c>
      <c r="I59" s="5" t="s">
        <v>1858</v>
      </c>
      <c r="J59" s="5"/>
      <c r="K59" s="6">
        <f t="shared" si="1"/>
        <v>1</v>
      </c>
    </row>
    <row r="60" spans="1:11" ht="15" customHeight="1">
      <c r="A60" s="4">
        <v>52</v>
      </c>
      <c r="B60" s="5" t="s">
        <v>128</v>
      </c>
      <c r="C60" s="5" t="s">
        <v>150</v>
      </c>
      <c r="D60" s="5" t="s">
        <v>129</v>
      </c>
      <c r="E60" s="7" t="s">
        <v>105</v>
      </c>
      <c r="F60" s="8" t="s">
        <v>105</v>
      </c>
      <c r="G60" s="4" t="s">
        <v>564</v>
      </c>
      <c r="H60" s="9" t="s">
        <v>196</v>
      </c>
      <c r="I60" s="5" t="s">
        <v>1858</v>
      </c>
      <c r="J60" s="5"/>
      <c r="K60" s="6">
        <f t="shared" si="1"/>
        <v>1</v>
      </c>
    </row>
    <row r="61" spans="1:11" ht="15" customHeight="1">
      <c r="A61" s="4">
        <v>53</v>
      </c>
      <c r="B61" s="5" t="s">
        <v>135</v>
      </c>
      <c r="C61" s="5" t="s">
        <v>150</v>
      </c>
      <c r="D61" s="5" t="s">
        <v>136</v>
      </c>
      <c r="E61" s="7" t="s">
        <v>105</v>
      </c>
      <c r="F61" s="8" t="s">
        <v>105</v>
      </c>
      <c r="G61" s="4" t="s">
        <v>564</v>
      </c>
      <c r="H61" s="9" t="s">
        <v>196</v>
      </c>
      <c r="I61" s="5" t="s">
        <v>1858</v>
      </c>
      <c r="J61" s="5"/>
      <c r="K61" s="6">
        <f t="shared" si="1"/>
        <v>1</v>
      </c>
    </row>
    <row r="62" spans="1:11" ht="15" customHeight="1">
      <c r="A62" s="4">
        <v>54</v>
      </c>
      <c r="B62" s="5" t="s">
        <v>130</v>
      </c>
      <c r="C62" s="5" t="s">
        <v>150</v>
      </c>
      <c r="D62" s="5" t="s">
        <v>131</v>
      </c>
      <c r="E62" s="7" t="s">
        <v>105</v>
      </c>
      <c r="F62" s="8" t="s">
        <v>105</v>
      </c>
      <c r="G62" s="4" t="s">
        <v>564</v>
      </c>
      <c r="H62" s="9" t="s">
        <v>196</v>
      </c>
      <c r="I62" s="5" t="s">
        <v>1858</v>
      </c>
      <c r="J62" s="5"/>
      <c r="K62" s="6">
        <f t="shared" si="1"/>
        <v>1</v>
      </c>
    </row>
    <row r="63" spans="1:11" ht="15" customHeight="1">
      <c r="A63" s="4">
        <v>55</v>
      </c>
      <c r="B63" s="5" t="s">
        <v>130</v>
      </c>
      <c r="C63" s="5" t="s">
        <v>150</v>
      </c>
      <c r="D63" s="5" t="s">
        <v>132</v>
      </c>
      <c r="E63" s="7" t="s">
        <v>105</v>
      </c>
      <c r="F63" s="8" t="s">
        <v>105</v>
      </c>
      <c r="G63" s="4" t="s">
        <v>564</v>
      </c>
      <c r="H63" s="9" t="s">
        <v>196</v>
      </c>
      <c r="I63" s="5" t="s">
        <v>1858</v>
      </c>
      <c r="J63" s="5"/>
      <c r="K63" s="6">
        <f t="shared" si="1"/>
        <v>1</v>
      </c>
    </row>
    <row r="64" spans="1:11" ht="15" customHeight="1">
      <c r="A64" s="4">
        <v>56</v>
      </c>
      <c r="B64" s="5" t="s">
        <v>133</v>
      </c>
      <c r="C64" s="5" t="s">
        <v>150</v>
      </c>
      <c r="D64" s="5" t="s">
        <v>142</v>
      </c>
      <c r="E64" s="7" t="s">
        <v>105</v>
      </c>
      <c r="F64" s="8" t="s">
        <v>105</v>
      </c>
      <c r="G64" s="4" t="s">
        <v>564</v>
      </c>
      <c r="H64" s="9" t="s">
        <v>196</v>
      </c>
      <c r="I64" s="5" t="s">
        <v>1858</v>
      </c>
      <c r="J64" s="5"/>
      <c r="K64" s="6">
        <f t="shared" si="1"/>
        <v>1</v>
      </c>
    </row>
    <row r="65" spans="1:11" ht="15" customHeight="1">
      <c r="A65" s="4">
        <v>57</v>
      </c>
      <c r="B65" s="5" t="s">
        <v>135</v>
      </c>
      <c r="C65" s="5" t="s">
        <v>150</v>
      </c>
      <c r="D65" s="5" t="s">
        <v>544</v>
      </c>
      <c r="E65" s="7" t="s">
        <v>105</v>
      </c>
      <c r="F65" s="8" t="s">
        <v>105</v>
      </c>
      <c r="G65" s="4" t="s">
        <v>564</v>
      </c>
      <c r="H65" s="9" t="s">
        <v>196</v>
      </c>
      <c r="I65" s="5" t="s">
        <v>1858</v>
      </c>
      <c r="J65" s="5"/>
      <c r="K65" s="6">
        <f t="shared" si="1"/>
        <v>1</v>
      </c>
    </row>
    <row r="66" spans="1:11" ht="15" customHeight="1">
      <c r="A66" s="4">
        <v>58</v>
      </c>
      <c r="B66" s="5" t="s">
        <v>133</v>
      </c>
      <c r="C66" s="5" t="s">
        <v>150</v>
      </c>
      <c r="D66" s="5" t="s">
        <v>1867</v>
      </c>
      <c r="E66" s="7" t="s">
        <v>105</v>
      </c>
      <c r="F66" s="8" t="s">
        <v>105</v>
      </c>
      <c r="G66" s="4" t="s">
        <v>564</v>
      </c>
      <c r="H66" s="9" t="s">
        <v>196</v>
      </c>
      <c r="I66" s="5" t="s">
        <v>1858</v>
      </c>
      <c r="J66" s="5"/>
      <c r="K66" s="6">
        <f t="shared" si="1"/>
        <v>1</v>
      </c>
    </row>
    <row r="67" spans="1:11" ht="15" customHeight="1">
      <c r="A67" s="4">
        <v>59</v>
      </c>
      <c r="B67" s="5" t="s">
        <v>133</v>
      </c>
      <c r="C67" s="5" t="s">
        <v>150</v>
      </c>
      <c r="D67" s="5" t="s">
        <v>146</v>
      </c>
      <c r="E67" s="7" t="s">
        <v>105</v>
      </c>
      <c r="F67" s="8" t="s">
        <v>105</v>
      </c>
      <c r="G67" s="4" t="s">
        <v>564</v>
      </c>
      <c r="H67" s="9" t="s">
        <v>196</v>
      </c>
      <c r="I67" s="5" t="s">
        <v>1858</v>
      </c>
      <c r="J67" s="5"/>
      <c r="K67" s="6">
        <f t="shared" si="1"/>
        <v>1</v>
      </c>
    </row>
    <row r="68" spans="1:11" ht="15" customHeight="1">
      <c r="A68" s="4">
        <v>60</v>
      </c>
      <c r="B68" s="5" t="s">
        <v>135</v>
      </c>
      <c r="C68" s="5" t="s">
        <v>150</v>
      </c>
      <c r="D68" s="5" t="s">
        <v>144</v>
      </c>
      <c r="E68" s="7" t="s">
        <v>105</v>
      </c>
      <c r="F68" s="8" t="s">
        <v>105</v>
      </c>
      <c r="G68" s="4" t="s">
        <v>564</v>
      </c>
      <c r="H68" s="9" t="s">
        <v>196</v>
      </c>
      <c r="I68" s="5" t="s">
        <v>1858</v>
      </c>
      <c r="J68" s="5"/>
      <c r="K68" s="6">
        <f t="shared" si="1"/>
        <v>1</v>
      </c>
    </row>
    <row r="69" spans="1:11" ht="15" customHeight="1">
      <c r="A69" s="4">
        <v>61</v>
      </c>
      <c r="B69" s="5" t="s">
        <v>135</v>
      </c>
      <c r="C69" s="5" t="s">
        <v>150</v>
      </c>
      <c r="D69" s="5" t="s">
        <v>616</v>
      </c>
      <c r="E69" s="7" t="s">
        <v>105</v>
      </c>
      <c r="F69" s="8" t="s">
        <v>105</v>
      </c>
      <c r="G69" s="4" t="s">
        <v>564</v>
      </c>
      <c r="H69" s="9" t="s">
        <v>196</v>
      </c>
      <c r="I69" s="5" t="s">
        <v>1858</v>
      </c>
      <c r="J69" s="5"/>
      <c r="K69" s="6">
        <f t="shared" si="1"/>
        <v>1</v>
      </c>
    </row>
    <row r="70" spans="1:11" ht="15" customHeight="1">
      <c r="A70" s="4">
        <v>62</v>
      </c>
      <c r="B70" s="5" t="s">
        <v>135</v>
      </c>
      <c r="C70" s="5" t="s">
        <v>150</v>
      </c>
      <c r="D70" s="5" t="s">
        <v>617</v>
      </c>
      <c r="E70" s="7" t="s">
        <v>105</v>
      </c>
      <c r="F70" s="8" t="s">
        <v>105</v>
      </c>
      <c r="G70" s="4" t="s">
        <v>564</v>
      </c>
      <c r="H70" s="9" t="s">
        <v>196</v>
      </c>
      <c r="I70" s="5" t="s">
        <v>1858</v>
      </c>
      <c r="J70" s="5"/>
      <c r="K70" s="6">
        <f t="shared" si="1"/>
        <v>1</v>
      </c>
    </row>
    <row r="71" spans="1:11" ht="15" customHeight="1">
      <c r="A71" s="4">
        <v>63</v>
      </c>
      <c r="B71" s="5" t="s">
        <v>153</v>
      </c>
      <c r="C71" s="5" t="s">
        <v>154</v>
      </c>
      <c r="D71" s="5" t="s">
        <v>156</v>
      </c>
      <c r="E71" s="7" t="s">
        <v>105</v>
      </c>
      <c r="F71" s="8" t="s">
        <v>105</v>
      </c>
      <c r="G71" s="4" t="s">
        <v>564</v>
      </c>
      <c r="H71" s="9" t="s">
        <v>196</v>
      </c>
      <c r="I71" s="5" t="s">
        <v>1858</v>
      </c>
      <c r="J71" s="5"/>
      <c r="K71" s="6">
        <f t="shared" si="1"/>
        <v>1</v>
      </c>
    </row>
    <row r="72" spans="1:11" ht="15" customHeight="1">
      <c r="A72" s="4">
        <v>64</v>
      </c>
      <c r="B72" s="5" t="s">
        <v>153</v>
      </c>
      <c r="C72" s="5" t="s">
        <v>154</v>
      </c>
      <c r="D72" s="5" t="s">
        <v>562</v>
      </c>
      <c r="E72" s="7" t="s">
        <v>105</v>
      </c>
      <c r="F72" s="8" t="s">
        <v>105</v>
      </c>
      <c r="G72" s="4" t="s">
        <v>564</v>
      </c>
      <c r="H72" s="9" t="s">
        <v>196</v>
      </c>
      <c r="I72" s="5" t="s">
        <v>1858</v>
      </c>
      <c r="J72" s="5"/>
      <c r="K72" s="6">
        <f t="shared" si="1"/>
        <v>1</v>
      </c>
    </row>
    <row r="73" spans="1:11" ht="15" customHeight="1">
      <c r="A73" s="4">
        <v>65</v>
      </c>
      <c r="B73" s="5" t="s">
        <v>153</v>
      </c>
      <c r="C73" s="5" t="s">
        <v>154</v>
      </c>
      <c r="D73" s="5" t="s">
        <v>621</v>
      </c>
      <c r="E73" s="7" t="s">
        <v>105</v>
      </c>
      <c r="F73" s="8" t="s">
        <v>105</v>
      </c>
      <c r="G73" s="4" t="s">
        <v>564</v>
      </c>
      <c r="H73" s="9" t="s">
        <v>196</v>
      </c>
      <c r="I73" s="5" t="s">
        <v>1858</v>
      </c>
      <c r="J73" s="5"/>
      <c r="K73" s="6">
        <f t="shared" ref="K73:K107" si="2">IF(AND(E73="yes",F73="yes",H73="covered"),1,IF(H73="partial",0.5,0))</f>
        <v>1</v>
      </c>
    </row>
    <row r="74" spans="1:11" ht="15" customHeight="1">
      <c r="A74" s="4">
        <v>66</v>
      </c>
      <c r="B74" s="5" t="s">
        <v>153</v>
      </c>
      <c r="C74" s="5" t="s">
        <v>154</v>
      </c>
      <c r="D74" s="5" t="s">
        <v>622</v>
      </c>
      <c r="E74" s="7" t="s">
        <v>105</v>
      </c>
      <c r="F74" s="8" t="s">
        <v>105</v>
      </c>
      <c r="G74" s="4" t="s">
        <v>564</v>
      </c>
      <c r="H74" s="9" t="s">
        <v>196</v>
      </c>
      <c r="I74" s="5" t="s">
        <v>1858</v>
      </c>
      <c r="J74" s="5"/>
      <c r="K74" s="6">
        <f t="shared" si="2"/>
        <v>1</v>
      </c>
    </row>
    <row r="75" spans="1:11" ht="15" customHeight="1">
      <c r="A75" s="4">
        <v>67</v>
      </c>
      <c r="B75" s="5" t="s">
        <v>153</v>
      </c>
      <c r="C75" s="5" t="s">
        <v>154</v>
      </c>
      <c r="D75" s="5" t="s">
        <v>623</v>
      </c>
      <c r="E75" s="7" t="s">
        <v>105</v>
      </c>
      <c r="F75" s="8" t="s">
        <v>105</v>
      </c>
      <c r="G75" s="4" t="s">
        <v>564</v>
      </c>
      <c r="H75" s="9" t="s">
        <v>196</v>
      </c>
      <c r="I75" s="5" t="s">
        <v>1858</v>
      </c>
      <c r="J75" s="5"/>
      <c r="K75" s="6">
        <f t="shared" si="2"/>
        <v>1</v>
      </c>
    </row>
    <row r="76" spans="1:11" ht="15" customHeight="1">
      <c r="A76" s="4">
        <v>68</v>
      </c>
      <c r="B76" s="5" t="s">
        <v>153</v>
      </c>
      <c r="C76" s="5" t="s">
        <v>154</v>
      </c>
      <c r="D76" s="5" t="s">
        <v>1686</v>
      </c>
      <c r="E76" s="7" t="s">
        <v>105</v>
      </c>
      <c r="F76" s="8" t="s">
        <v>105</v>
      </c>
      <c r="G76" s="4" t="s">
        <v>564</v>
      </c>
      <c r="H76" s="9" t="s">
        <v>196</v>
      </c>
      <c r="I76" s="5" t="s">
        <v>1858</v>
      </c>
      <c r="J76" s="5"/>
      <c r="K76" s="6">
        <f t="shared" si="2"/>
        <v>1</v>
      </c>
    </row>
    <row r="77" spans="1:11" ht="15" customHeight="1">
      <c r="A77" s="4">
        <v>69</v>
      </c>
      <c r="B77" s="5" t="s">
        <v>153</v>
      </c>
      <c r="C77" s="5" t="s">
        <v>154</v>
      </c>
      <c r="D77" s="5" t="s">
        <v>1687</v>
      </c>
      <c r="E77" s="7" t="s">
        <v>105</v>
      </c>
      <c r="F77" s="8" t="s">
        <v>105</v>
      </c>
      <c r="G77" s="4" t="s">
        <v>564</v>
      </c>
      <c r="H77" s="9" t="s">
        <v>196</v>
      </c>
      <c r="I77" s="5" t="s">
        <v>1858</v>
      </c>
      <c r="J77" s="5"/>
      <c r="K77" s="6">
        <f t="shared" si="2"/>
        <v>1</v>
      </c>
    </row>
    <row r="78" spans="1:11" ht="15" customHeight="1">
      <c r="A78" s="4">
        <v>70</v>
      </c>
      <c r="B78" s="5" t="s">
        <v>153</v>
      </c>
      <c r="C78" s="5" t="s">
        <v>154</v>
      </c>
      <c r="D78" s="5" t="s">
        <v>1688</v>
      </c>
      <c r="E78" s="7" t="s">
        <v>105</v>
      </c>
      <c r="F78" s="8" t="s">
        <v>105</v>
      </c>
      <c r="G78" s="4" t="s">
        <v>564</v>
      </c>
      <c r="H78" s="9" t="s">
        <v>196</v>
      </c>
      <c r="I78" s="5" t="s">
        <v>1858</v>
      </c>
      <c r="J78" s="5"/>
      <c r="K78" s="6">
        <f t="shared" si="2"/>
        <v>1</v>
      </c>
    </row>
    <row r="79" spans="1:11" ht="15" customHeight="1">
      <c r="A79" s="4">
        <v>71</v>
      </c>
      <c r="B79" s="5" t="s">
        <v>153</v>
      </c>
      <c r="C79" s="5" t="s">
        <v>154</v>
      </c>
      <c r="D79" s="5" t="s">
        <v>1689</v>
      </c>
      <c r="E79" s="7" t="s">
        <v>105</v>
      </c>
      <c r="F79" s="8" t="s">
        <v>105</v>
      </c>
      <c r="G79" s="4" t="s">
        <v>564</v>
      </c>
      <c r="H79" s="9" t="s">
        <v>196</v>
      </c>
      <c r="I79" s="5" t="s">
        <v>1858</v>
      </c>
      <c r="J79" s="5"/>
      <c r="K79" s="6">
        <f t="shared" si="2"/>
        <v>1</v>
      </c>
    </row>
    <row r="80" spans="1:11" ht="15" customHeight="1">
      <c r="A80" s="4">
        <v>72</v>
      </c>
      <c r="B80" s="5" t="s">
        <v>159</v>
      </c>
      <c r="C80" s="5" t="s">
        <v>154</v>
      </c>
      <c r="D80" s="5" t="s">
        <v>160</v>
      </c>
      <c r="E80" s="7" t="s">
        <v>105</v>
      </c>
      <c r="F80" s="8" t="s">
        <v>105</v>
      </c>
      <c r="G80" s="4" t="s">
        <v>564</v>
      </c>
      <c r="H80" s="9" t="s">
        <v>196</v>
      </c>
      <c r="I80" s="5" t="s">
        <v>1858</v>
      </c>
      <c r="J80" s="5"/>
      <c r="K80" s="6">
        <f t="shared" si="2"/>
        <v>1</v>
      </c>
    </row>
    <row r="81" spans="1:11" ht="15" customHeight="1">
      <c r="A81" s="4">
        <v>73</v>
      </c>
      <c r="B81" s="5" t="s">
        <v>159</v>
      </c>
      <c r="C81" s="5" t="s">
        <v>154</v>
      </c>
      <c r="D81" s="5" t="s">
        <v>1868</v>
      </c>
      <c r="E81" s="7" t="s">
        <v>105</v>
      </c>
      <c r="F81" s="8" t="s">
        <v>105</v>
      </c>
      <c r="G81" s="4" t="s">
        <v>564</v>
      </c>
      <c r="H81" s="9" t="s">
        <v>196</v>
      </c>
      <c r="I81" s="5" t="s">
        <v>1858</v>
      </c>
      <c r="J81" s="5"/>
      <c r="K81" s="6">
        <f t="shared" si="2"/>
        <v>1</v>
      </c>
    </row>
    <row r="82" spans="1:11" ht="15" customHeight="1">
      <c r="A82" s="4">
        <v>74</v>
      </c>
      <c r="B82" s="5" t="s">
        <v>159</v>
      </c>
      <c r="C82" s="5" t="s">
        <v>154</v>
      </c>
      <c r="D82" s="5" t="s">
        <v>624</v>
      </c>
      <c r="E82" s="7" t="s">
        <v>105</v>
      </c>
      <c r="F82" s="8" t="s">
        <v>105</v>
      </c>
      <c r="G82" s="4" t="s">
        <v>564</v>
      </c>
      <c r="H82" s="9" t="s">
        <v>196</v>
      </c>
      <c r="I82" s="5" t="s">
        <v>1858</v>
      </c>
      <c r="J82" s="5"/>
      <c r="K82" s="6">
        <f t="shared" si="2"/>
        <v>1</v>
      </c>
    </row>
    <row r="83" spans="1:11" ht="15" customHeight="1">
      <c r="A83" s="4">
        <v>75</v>
      </c>
      <c r="B83" s="5" t="s">
        <v>159</v>
      </c>
      <c r="C83" s="5" t="s">
        <v>154</v>
      </c>
      <c r="D83" s="5" t="s">
        <v>1844</v>
      </c>
      <c r="E83" s="7" t="s">
        <v>105</v>
      </c>
      <c r="F83" s="8" t="s">
        <v>105</v>
      </c>
      <c r="G83" s="4" t="s">
        <v>564</v>
      </c>
      <c r="H83" s="9" t="s">
        <v>196</v>
      </c>
      <c r="I83" s="5" t="s">
        <v>1858</v>
      </c>
      <c r="J83" s="5"/>
      <c r="K83" s="6">
        <f t="shared" si="2"/>
        <v>1</v>
      </c>
    </row>
    <row r="84" spans="1:11" ht="15" customHeight="1">
      <c r="A84" s="4">
        <v>76</v>
      </c>
      <c r="B84" s="5" t="s">
        <v>159</v>
      </c>
      <c r="C84" s="5" t="s">
        <v>154</v>
      </c>
      <c r="D84" s="5" t="s">
        <v>1845</v>
      </c>
      <c r="E84" s="7" t="s">
        <v>105</v>
      </c>
      <c r="F84" s="8" t="s">
        <v>105</v>
      </c>
      <c r="G84" s="4" t="s">
        <v>564</v>
      </c>
      <c r="H84" s="9" t="s">
        <v>196</v>
      </c>
      <c r="I84" s="5" t="s">
        <v>1858</v>
      </c>
      <c r="J84" s="5"/>
      <c r="K84" s="6">
        <f t="shared" si="2"/>
        <v>1</v>
      </c>
    </row>
    <row r="85" spans="1:11" ht="15" customHeight="1">
      <c r="A85" s="4">
        <v>77</v>
      </c>
      <c r="B85" s="5" t="s">
        <v>159</v>
      </c>
      <c r="C85" s="5" t="s">
        <v>154</v>
      </c>
      <c r="D85" s="5" t="s">
        <v>625</v>
      </c>
      <c r="E85" s="7" t="s">
        <v>105</v>
      </c>
      <c r="F85" s="8" t="s">
        <v>105</v>
      </c>
      <c r="G85" s="4" t="s">
        <v>564</v>
      </c>
      <c r="H85" s="9" t="s">
        <v>196</v>
      </c>
      <c r="I85" s="5" t="s">
        <v>1858</v>
      </c>
      <c r="J85" s="5"/>
      <c r="K85" s="6">
        <f t="shared" si="2"/>
        <v>1</v>
      </c>
    </row>
    <row r="86" spans="1:11" ht="15" customHeight="1">
      <c r="A86" s="4">
        <v>78</v>
      </c>
      <c r="B86" s="5" t="s">
        <v>159</v>
      </c>
      <c r="C86" s="5" t="s">
        <v>154</v>
      </c>
      <c r="D86" s="5" t="s">
        <v>1282</v>
      </c>
      <c r="E86" s="7" t="s">
        <v>105</v>
      </c>
      <c r="F86" s="8" t="s">
        <v>105</v>
      </c>
      <c r="G86" s="4" t="s">
        <v>564</v>
      </c>
      <c r="H86" s="9" t="s">
        <v>196</v>
      </c>
      <c r="I86" s="5" t="s">
        <v>1858</v>
      </c>
      <c r="J86" s="5"/>
      <c r="K86" s="6">
        <f t="shared" si="2"/>
        <v>1</v>
      </c>
    </row>
    <row r="87" spans="1:11" ht="15" customHeight="1">
      <c r="A87" s="4">
        <v>79</v>
      </c>
      <c r="B87" s="5" t="s">
        <v>159</v>
      </c>
      <c r="C87" s="5" t="s">
        <v>154</v>
      </c>
      <c r="D87" s="5" t="s">
        <v>162</v>
      </c>
      <c r="E87" s="7" t="s">
        <v>105</v>
      </c>
      <c r="F87" s="8" t="s">
        <v>105</v>
      </c>
      <c r="G87" s="4" t="s">
        <v>564</v>
      </c>
      <c r="H87" s="9" t="s">
        <v>196</v>
      </c>
      <c r="I87" s="5" t="s">
        <v>1858</v>
      </c>
      <c r="J87" s="5"/>
      <c r="K87" s="6">
        <f t="shared" si="2"/>
        <v>1</v>
      </c>
    </row>
    <row r="88" spans="1:11" ht="15" customHeight="1">
      <c r="A88" s="4">
        <v>80</v>
      </c>
      <c r="B88" s="5" t="s">
        <v>159</v>
      </c>
      <c r="C88" s="5" t="s">
        <v>154</v>
      </c>
      <c r="D88" s="5" t="s">
        <v>163</v>
      </c>
      <c r="E88" s="7" t="s">
        <v>105</v>
      </c>
      <c r="F88" s="8" t="s">
        <v>105</v>
      </c>
      <c r="G88" s="4" t="s">
        <v>564</v>
      </c>
      <c r="H88" s="9" t="s">
        <v>196</v>
      </c>
      <c r="I88" s="5" t="s">
        <v>1858</v>
      </c>
      <c r="J88" s="5"/>
      <c r="K88" s="6">
        <f t="shared" si="2"/>
        <v>1</v>
      </c>
    </row>
    <row r="89" spans="1:11" ht="15" customHeight="1">
      <c r="A89" s="4">
        <v>81</v>
      </c>
      <c r="B89" s="5" t="s">
        <v>159</v>
      </c>
      <c r="C89" s="5" t="s">
        <v>154</v>
      </c>
      <c r="D89" s="5" t="s">
        <v>1869</v>
      </c>
      <c r="E89" s="7" t="s">
        <v>105</v>
      </c>
      <c r="F89" s="8" t="s">
        <v>105</v>
      </c>
      <c r="G89" s="4" t="s">
        <v>564</v>
      </c>
      <c r="H89" s="9" t="s">
        <v>196</v>
      </c>
      <c r="I89" s="5" t="s">
        <v>1858</v>
      </c>
      <c r="J89" s="5"/>
      <c r="K89" s="6">
        <f t="shared" si="2"/>
        <v>1</v>
      </c>
    </row>
    <row r="90" spans="1:11" ht="15" customHeight="1">
      <c r="A90" s="4">
        <v>82</v>
      </c>
      <c r="B90" s="5" t="s">
        <v>159</v>
      </c>
      <c r="C90" s="5" t="s">
        <v>154</v>
      </c>
      <c r="D90" s="5" t="s">
        <v>551</v>
      </c>
      <c r="E90" s="7" t="s">
        <v>105</v>
      </c>
      <c r="F90" s="8" t="s">
        <v>105</v>
      </c>
      <c r="G90" s="4" t="s">
        <v>564</v>
      </c>
      <c r="H90" s="9" t="s">
        <v>196</v>
      </c>
      <c r="I90" s="5" t="s">
        <v>1858</v>
      </c>
      <c r="J90" s="5"/>
      <c r="K90" s="6">
        <f t="shared" si="2"/>
        <v>1</v>
      </c>
    </row>
    <row r="91" spans="1:11" ht="30" customHeight="1">
      <c r="A91" s="4">
        <v>83</v>
      </c>
      <c r="B91" s="5" t="s">
        <v>130</v>
      </c>
      <c r="C91" s="5" t="s">
        <v>59</v>
      </c>
      <c r="D91" s="5" t="s">
        <v>164</v>
      </c>
      <c r="E91" s="7" t="s">
        <v>105</v>
      </c>
      <c r="F91" s="8" t="s">
        <v>105</v>
      </c>
      <c r="G91" s="4" t="s">
        <v>564</v>
      </c>
      <c r="H91" s="9" t="s">
        <v>196</v>
      </c>
      <c r="I91" s="5" t="s">
        <v>1858</v>
      </c>
      <c r="J91" s="5"/>
      <c r="K91" s="6">
        <f t="shared" si="2"/>
        <v>1</v>
      </c>
    </row>
    <row r="92" spans="1:11" ht="15" customHeight="1">
      <c r="A92" s="4">
        <v>84</v>
      </c>
      <c r="B92" s="5" t="s">
        <v>130</v>
      </c>
      <c r="C92" s="5" t="s">
        <v>59</v>
      </c>
      <c r="D92" s="5" t="s">
        <v>165</v>
      </c>
      <c r="E92" s="7" t="s">
        <v>105</v>
      </c>
      <c r="F92" s="8" t="s">
        <v>105</v>
      </c>
      <c r="G92" s="4" t="s">
        <v>564</v>
      </c>
      <c r="H92" s="9" t="s">
        <v>196</v>
      </c>
      <c r="I92" s="5" t="s">
        <v>1858</v>
      </c>
      <c r="J92" s="5"/>
      <c r="K92" s="6">
        <f t="shared" si="2"/>
        <v>1</v>
      </c>
    </row>
    <row r="93" spans="1:11" ht="15" customHeight="1">
      <c r="A93" s="4">
        <v>85</v>
      </c>
      <c r="B93" s="5" t="s">
        <v>130</v>
      </c>
      <c r="C93" s="5" t="s">
        <v>59</v>
      </c>
      <c r="D93" s="5" t="s">
        <v>166</v>
      </c>
      <c r="E93" s="7" t="s">
        <v>105</v>
      </c>
      <c r="F93" s="8" t="s">
        <v>105</v>
      </c>
      <c r="G93" s="4" t="s">
        <v>564</v>
      </c>
      <c r="H93" s="9" t="s">
        <v>196</v>
      </c>
      <c r="I93" s="5" t="s">
        <v>1858</v>
      </c>
      <c r="J93" s="5"/>
      <c r="K93" s="6">
        <f t="shared" si="2"/>
        <v>1</v>
      </c>
    </row>
    <row r="94" spans="1:11" ht="15" customHeight="1">
      <c r="A94" s="4">
        <v>86</v>
      </c>
      <c r="B94" s="5" t="s">
        <v>130</v>
      </c>
      <c r="C94" s="5" t="s">
        <v>59</v>
      </c>
      <c r="D94" s="5" t="s">
        <v>167</v>
      </c>
      <c r="E94" s="7" t="s">
        <v>105</v>
      </c>
      <c r="F94" s="8" t="s">
        <v>105</v>
      </c>
      <c r="G94" s="4" t="s">
        <v>564</v>
      </c>
      <c r="H94" s="9" t="s">
        <v>196</v>
      </c>
      <c r="I94" s="5" t="s">
        <v>1858</v>
      </c>
      <c r="J94" s="5"/>
      <c r="K94" s="6">
        <f t="shared" si="2"/>
        <v>1</v>
      </c>
    </row>
    <row r="95" spans="1:11" ht="15" customHeight="1">
      <c r="A95" s="4">
        <v>87</v>
      </c>
      <c r="B95" s="5" t="s">
        <v>130</v>
      </c>
      <c r="C95" s="5" t="s">
        <v>59</v>
      </c>
      <c r="D95" s="5" t="s">
        <v>168</v>
      </c>
      <c r="E95" s="7" t="s">
        <v>105</v>
      </c>
      <c r="F95" s="8" t="s">
        <v>105</v>
      </c>
      <c r="G95" s="4" t="s">
        <v>564</v>
      </c>
      <c r="H95" s="9" t="s">
        <v>196</v>
      </c>
      <c r="I95" s="5" t="s">
        <v>1858</v>
      </c>
      <c r="J95" s="5"/>
      <c r="K95" s="6">
        <f t="shared" si="2"/>
        <v>1</v>
      </c>
    </row>
    <row r="96" spans="1:11" ht="15" customHeight="1">
      <c r="A96" s="4">
        <v>88</v>
      </c>
      <c r="B96" s="5" t="s">
        <v>135</v>
      </c>
      <c r="C96" s="5" t="s">
        <v>121</v>
      </c>
      <c r="D96" s="5" t="s">
        <v>169</v>
      </c>
      <c r="E96" s="7" t="s">
        <v>105</v>
      </c>
      <c r="F96" s="8" t="s">
        <v>105</v>
      </c>
      <c r="G96" s="4" t="s">
        <v>564</v>
      </c>
      <c r="H96" s="9" t="s">
        <v>196</v>
      </c>
      <c r="I96" s="5" t="s">
        <v>1858</v>
      </c>
      <c r="J96" s="5"/>
      <c r="K96" s="6">
        <f t="shared" si="2"/>
        <v>1</v>
      </c>
    </row>
    <row r="97" spans="1:11" ht="30" customHeight="1">
      <c r="A97" s="4">
        <v>89</v>
      </c>
      <c r="B97" s="5" t="s">
        <v>135</v>
      </c>
      <c r="C97" s="5" t="s">
        <v>121</v>
      </c>
      <c r="D97" s="5" t="s">
        <v>170</v>
      </c>
      <c r="E97" s="7" t="s">
        <v>105</v>
      </c>
      <c r="F97" s="8" t="s">
        <v>105</v>
      </c>
      <c r="G97" s="4" t="s">
        <v>564</v>
      </c>
      <c r="H97" s="9" t="s">
        <v>196</v>
      </c>
      <c r="I97" s="5" t="s">
        <v>1858</v>
      </c>
      <c r="J97" s="5"/>
      <c r="K97" s="6">
        <f t="shared" si="2"/>
        <v>1</v>
      </c>
    </row>
    <row r="98" spans="1:11" ht="30" customHeight="1">
      <c r="A98" s="4">
        <v>90</v>
      </c>
      <c r="B98" s="5" t="s">
        <v>135</v>
      </c>
      <c r="C98" s="5" t="s">
        <v>121</v>
      </c>
      <c r="D98" s="5" t="s">
        <v>171</v>
      </c>
      <c r="E98" s="7" t="s">
        <v>105</v>
      </c>
      <c r="F98" s="8" t="s">
        <v>105</v>
      </c>
      <c r="G98" s="4" t="s">
        <v>564</v>
      </c>
      <c r="H98" s="9" t="s">
        <v>196</v>
      </c>
      <c r="I98" s="5" t="s">
        <v>1858</v>
      </c>
      <c r="J98" s="5"/>
      <c r="K98" s="6">
        <f t="shared" si="2"/>
        <v>1</v>
      </c>
    </row>
    <row r="99" spans="1:11" ht="30" customHeight="1">
      <c r="A99" s="4">
        <v>91</v>
      </c>
      <c r="B99" s="5" t="s">
        <v>135</v>
      </c>
      <c r="C99" s="5" t="s">
        <v>59</v>
      </c>
      <c r="D99" s="5" t="s">
        <v>627</v>
      </c>
      <c r="E99" s="7" t="s">
        <v>105</v>
      </c>
      <c r="F99" s="8" t="s">
        <v>105</v>
      </c>
      <c r="G99" s="4" t="s">
        <v>564</v>
      </c>
      <c r="H99" s="9" t="s">
        <v>196</v>
      </c>
      <c r="I99" s="5" t="s">
        <v>1858</v>
      </c>
      <c r="J99" s="5"/>
      <c r="K99" s="6">
        <f t="shared" si="2"/>
        <v>1</v>
      </c>
    </row>
    <row r="100" spans="1:11" ht="30" customHeight="1">
      <c r="A100" s="4">
        <v>92</v>
      </c>
      <c r="B100" s="5" t="s">
        <v>135</v>
      </c>
      <c r="C100" s="5" t="s">
        <v>59</v>
      </c>
      <c r="D100" s="5" t="s">
        <v>628</v>
      </c>
      <c r="E100" s="7" t="s">
        <v>105</v>
      </c>
      <c r="F100" s="8" t="s">
        <v>105</v>
      </c>
      <c r="G100" s="4" t="s">
        <v>564</v>
      </c>
      <c r="H100" s="9" t="s">
        <v>196</v>
      </c>
      <c r="I100" s="5" t="s">
        <v>1858</v>
      </c>
      <c r="J100" s="5"/>
      <c r="K100" s="6">
        <f t="shared" si="2"/>
        <v>1</v>
      </c>
    </row>
    <row r="101" spans="1:11" ht="15" customHeight="1">
      <c r="A101" s="4">
        <v>93</v>
      </c>
      <c r="B101" s="5" t="s">
        <v>135</v>
      </c>
      <c r="C101" s="5" t="s">
        <v>59</v>
      </c>
      <c r="D101" s="5" t="s">
        <v>629</v>
      </c>
      <c r="E101" s="7" t="s">
        <v>105</v>
      </c>
      <c r="F101" s="8" t="s">
        <v>105</v>
      </c>
      <c r="G101" s="4" t="s">
        <v>564</v>
      </c>
      <c r="H101" s="9" t="s">
        <v>196</v>
      </c>
      <c r="I101" s="5" t="s">
        <v>1858</v>
      </c>
      <c r="J101" s="5"/>
      <c r="K101" s="6">
        <f t="shared" si="2"/>
        <v>1</v>
      </c>
    </row>
    <row r="102" spans="1:11" ht="30" customHeight="1">
      <c r="A102" s="4">
        <v>94</v>
      </c>
      <c r="B102" s="5" t="s">
        <v>135</v>
      </c>
      <c r="C102" s="5" t="s">
        <v>59</v>
      </c>
      <c r="D102" s="5" t="s">
        <v>630</v>
      </c>
      <c r="E102" s="7" t="s">
        <v>105</v>
      </c>
      <c r="F102" s="8" t="s">
        <v>105</v>
      </c>
      <c r="G102" s="4" t="s">
        <v>564</v>
      </c>
      <c r="H102" s="9" t="s">
        <v>196</v>
      </c>
      <c r="I102" s="5" t="s">
        <v>1858</v>
      </c>
      <c r="J102" s="5"/>
      <c r="K102" s="6">
        <f t="shared" si="2"/>
        <v>1</v>
      </c>
    </row>
    <row r="103" spans="1:11" ht="30" customHeight="1">
      <c r="A103" s="4">
        <v>95</v>
      </c>
      <c r="B103" s="5" t="s">
        <v>591</v>
      </c>
      <c r="C103" s="5" t="s">
        <v>59</v>
      </c>
      <c r="D103" s="5" t="s">
        <v>631</v>
      </c>
      <c r="E103" s="7" t="s">
        <v>105</v>
      </c>
      <c r="F103" s="8" t="s">
        <v>105</v>
      </c>
      <c r="G103" s="4" t="s">
        <v>564</v>
      </c>
      <c r="H103" s="9" t="s">
        <v>196</v>
      </c>
      <c r="I103" s="5" t="s">
        <v>1858</v>
      </c>
      <c r="J103" s="5"/>
      <c r="K103" s="6">
        <f t="shared" si="2"/>
        <v>1</v>
      </c>
    </row>
    <row r="104" spans="1:11" ht="15" customHeight="1">
      <c r="A104" s="4">
        <v>96</v>
      </c>
      <c r="B104" s="5" t="s">
        <v>591</v>
      </c>
      <c r="C104" s="5" t="s">
        <v>59</v>
      </c>
      <c r="D104" s="5" t="s">
        <v>632</v>
      </c>
      <c r="E104" s="7" t="s">
        <v>105</v>
      </c>
      <c r="F104" s="8" t="s">
        <v>105</v>
      </c>
      <c r="G104" s="4" t="s">
        <v>564</v>
      </c>
      <c r="H104" s="9" t="s">
        <v>196</v>
      </c>
      <c r="I104" s="5" t="s">
        <v>1858</v>
      </c>
      <c r="J104" s="5"/>
      <c r="K104" s="6">
        <f t="shared" si="2"/>
        <v>1</v>
      </c>
    </row>
    <row r="105" spans="1:11" ht="30" customHeight="1">
      <c r="A105" s="4">
        <v>97</v>
      </c>
      <c r="B105" s="5" t="s">
        <v>31</v>
      </c>
      <c r="C105" s="5" t="s">
        <v>121</v>
      </c>
      <c r="D105" s="5" t="s">
        <v>1870</v>
      </c>
      <c r="E105" s="10" t="s">
        <v>105</v>
      </c>
      <c r="F105" s="8" t="s">
        <v>105</v>
      </c>
      <c r="G105" s="4" t="s">
        <v>564</v>
      </c>
      <c r="H105" s="10" t="s">
        <v>196</v>
      </c>
      <c r="I105" s="5" t="s">
        <v>1858</v>
      </c>
      <c r="J105" s="5"/>
      <c r="K105" s="6">
        <f t="shared" si="2"/>
        <v>1</v>
      </c>
    </row>
    <row r="106" spans="1:11" ht="15" customHeight="1">
      <c r="A106" s="4">
        <v>98</v>
      </c>
      <c r="B106" s="5" t="s">
        <v>31</v>
      </c>
      <c r="C106" s="5" t="s">
        <v>121</v>
      </c>
      <c r="D106" s="5" t="s">
        <v>1871</v>
      </c>
      <c r="E106" s="10" t="s">
        <v>105</v>
      </c>
      <c r="F106" s="8" t="s">
        <v>105</v>
      </c>
      <c r="G106" s="4" t="s">
        <v>564</v>
      </c>
      <c r="H106" s="10" t="s">
        <v>196</v>
      </c>
      <c r="I106" s="5" t="s">
        <v>1858</v>
      </c>
      <c r="J106" s="5"/>
      <c r="K106" s="6">
        <f t="shared" si="2"/>
        <v>1</v>
      </c>
    </row>
    <row r="107" spans="1:11" ht="30" customHeight="1">
      <c r="A107" s="4">
        <v>99</v>
      </c>
      <c r="B107" s="5" t="s">
        <v>94</v>
      </c>
      <c r="C107" s="5" t="s">
        <v>191</v>
      </c>
      <c r="D107" s="5" t="s">
        <v>192</v>
      </c>
      <c r="E107" s="10" t="s">
        <v>105</v>
      </c>
      <c r="F107" s="8" t="s">
        <v>105</v>
      </c>
      <c r="G107" s="4" t="s">
        <v>564</v>
      </c>
      <c r="H107" s="10" t="s">
        <v>196</v>
      </c>
      <c r="I107" s="5" t="s">
        <v>1858</v>
      </c>
      <c r="J107" s="5"/>
      <c r="K107" s="6">
        <f t="shared" si="2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54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1872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IFERROR(SUM(K9:K54)/COUNTA(A9:A54),0)</f>
        <v>1</v>
      </c>
      <c r="C4" s="1" t="s">
        <v>8</v>
      </c>
      <c r="D4" s="2">
        <f>COUNTIF(H9:H54,"covered")</f>
        <v>46</v>
      </c>
      <c r="E4" s="1" t="s">
        <v>9</v>
      </c>
      <c r="F4" s="2">
        <f>COUNTIF(H9:H54,"partial")</f>
        <v>0</v>
      </c>
      <c r="G4" s="1" t="s">
        <v>10</v>
      </c>
      <c r="H4" s="2">
        <f>COUNTIF(H9:H54,"missing")</f>
        <v>0</v>
      </c>
      <c r="I4" s="1" t="s">
        <v>11</v>
      </c>
      <c r="J4" s="2">
        <f>COUNTIF(F9:F54,"no")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19">
        <v>1</v>
      </c>
      <c r="B9" s="20" t="s">
        <v>94</v>
      </c>
      <c r="C9" s="20" t="s">
        <v>95</v>
      </c>
      <c r="D9" s="20" t="s">
        <v>96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100</v>
      </c>
      <c r="J9" s="20" t="s">
        <v>109</v>
      </c>
      <c r="K9" s="21">
        <f t="shared" ref="K9:K54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95</v>
      </c>
      <c r="D10" s="20" t="s">
        <v>102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100</v>
      </c>
      <c r="J10" s="20" t="s">
        <v>109</v>
      </c>
      <c r="K10" s="21">
        <f t="shared" si="0"/>
        <v>1</v>
      </c>
    </row>
    <row r="11" spans="1:11" ht="15" customHeight="1">
      <c r="A11" s="19">
        <v>3</v>
      </c>
      <c r="B11" s="20" t="s">
        <v>94</v>
      </c>
      <c r="C11" s="20" t="s">
        <v>60</v>
      </c>
      <c r="D11" s="20" t="s">
        <v>104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1873</v>
      </c>
      <c r="J11" s="20" t="s">
        <v>444</v>
      </c>
      <c r="K11" s="21">
        <f t="shared" si="0"/>
        <v>1</v>
      </c>
    </row>
    <row r="12" spans="1:11" ht="15" customHeight="1">
      <c r="A12" s="19">
        <v>4</v>
      </c>
      <c r="B12" s="20" t="s">
        <v>94</v>
      </c>
      <c r="C12" s="20" t="s">
        <v>60</v>
      </c>
      <c r="D12" s="20" t="s">
        <v>110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1873</v>
      </c>
      <c r="J12" s="20" t="s">
        <v>444</v>
      </c>
      <c r="K12" s="21">
        <f t="shared" si="0"/>
        <v>1</v>
      </c>
    </row>
    <row r="13" spans="1:11" ht="15" customHeight="1">
      <c r="A13" s="19">
        <v>5</v>
      </c>
      <c r="B13" s="20" t="s">
        <v>94</v>
      </c>
      <c r="C13" s="20" t="s">
        <v>60</v>
      </c>
      <c r="D13" s="20" t="s">
        <v>111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1873</v>
      </c>
      <c r="J13" s="20" t="s">
        <v>444</v>
      </c>
      <c r="K13" s="21">
        <f t="shared" si="0"/>
        <v>1</v>
      </c>
    </row>
    <row r="14" spans="1:11" ht="30" customHeight="1">
      <c r="A14" s="19">
        <v>6</v>
      </c>
      <c r="B14" s="20" t="s">
        <v>94</v>
      </c>
      <c r="C14" s="20" t="s">
        <v>60</v>
      </c>
      <c r="D14" s="20" t="s">
        <v>112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1873</v>
      </c>
      <c r="J14" s="20" t="s">
        <v>444</v>
      </c>
      <c r="K14" s="21">
        <f t="shared" si="0"/>
        <v>1</v>
      </c>
    </row>
    <row r="15" spans="1:11" ht="15" customHeight="1">
      <c r="A15" s="19">
        <v>7</v>
      </c>
      <c r="B15" s="20" t="s">
        <v>113</v>
      </c>
      <c r="C15" s="20" t="s">
        <v>60</v>
      </c>
      <c r="D15" s="20" t="s">
        <v>1874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1873</v>
      </c>
      <c r="J15" s="20" t="s">
        <v>444</v>
      </c>
      <c r="K15" s="21">
        <f t="shared" si="0"/>
        <v>1</v>
      </c>
    </row>
    <row r="16" spans="1:11" ht="30" customHeight="1">
      <c r="A16" s="19">
        <v>8</v>
      </c>
      <c r="B16" s="20" t="s">
        <v>113</v>
      </c>
      <c r="C16" s="20" t="s">
        <v>60</v>
      </c>
      <c r="D16" s="20" t="s">
        <v>1875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1873</v>
      </c>
      <c r="J16" s="20" t="s">
        <v>444</v>
      </c>
      <c r="K16" s="21">
        <f t="shared" si="0"/>
        <v>1</v>
      </c>
    </row>
    <row r="17" spans="1:11" ht="15" customHeight="1">
      <c r="A17" s="19">
        <v>9</v>
      </c>
      <c r="B17" s="20" t="s">
        <v>113</v>
      </c>
      <c r="C17" s="20" t="s">
        <v>60</v>
      </c>
      <c r="D17" s="20" t="s">
        <v>1876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1873</v>
      </c>
      <c r="J17" s="20" t="s">
        <v>444</v>
      </c>
      <c r="K17" s="21">
        <f t="shared" si="0"/>
        <v>1</v>
      </c>
    </row>
    <row r="18" spans="1:11" ht="15" customHeight="1">
      <c r="A18" s="19">
        <v>10</v>
      </c>
      <c r="B18" s="20" t="s">
        <v>113</v>
      </c>
      <c r="C18" s="20" t="s">
        <v>60</v>
      </c>
      <c r="D18" s="20" t="s">
        <v>1877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1873</v>
      </c>
      <c r="J18" s="20" t="s">
        <v>444</v>
      </c>
      <c r="K18" s="21">
        <f t="shared" si="0"/>
        <v>1</v>
      </c>
    </row>
    <row r="19" spans="1:11" ht="15" customHeight="1">
      <c r="A19" s="19">
        <v>11</v>
      </c>
      <c r="B19" s="20" t="s">
        <v>113</v>
      </c>
      <c r="C19" s="20" t="s">
        <v>60</v>
      </c>
      <c r="D19" s="20" t="s">
        <v>119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1873</v>
      </c>
      <c r="J19" s="20" t="s">
        <v>444</v>
      </c>
      <c r="K19" s="21">
        <f t="shared" si="0"/>
        <v>1</v>
      </c>
    </row>
    <row r="20" spans="1:11" ht="15" customHeight="1">
      <c r="A20" s="19">
        <v>12</v>
      </c>
      <c r="B20" s="20" t="s">
        <v>120</v>
      </c>
      <c r="C20" s="20" t="s">
        <v>121</v>
      </c>
      <c r="D20" s="20" t="s">
        <v>122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1873</v>
      </c>
      <c r="J20" s="20" t="s">
        <v>444</v>
      </c>
      <c r="K20" s="21">
        <f t="shared" si="0"/>
        <v>1</v>
      </c>
    </row>
    <row r="21" spans="1:11" ht="15" customHeight="1">
      <c r="A21" s="19">
        <v>13</v>
      </c>
      <c r="B21" s="20" t="s">
        <v>120</v>
      </c>
      <c r="C21" s="20" t="s">
        <v>121</v>
      </c>
      <c r="D21" s="20" t="s">
        <v>123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1873</v>
      </c>
      <c r="J21" s="20" t="s">
        <v>444</v>
      </c>
      <c r="K21" s="21">
        <f t="shared" si="0"/>
        <v>1</v>
      </c>
    </row>
    <row r="22" spans="1:11" ht="30" customHeight="1">
      <c r="A22" s="19">
        <v>14</v>
      </c>
      <c r="B22" s="20" t="s">
        <v>124</v>
      </c>
      <c r="C22" s="20" t="s">
        <v>121</v>
      </c>
      <c r="D22" s="20" t="s">
        <v>125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1873</v>
      </c>
      <c r="J22" s="20" t="s">
        <v>444</v>
      </c>
      <c r="K22" s="21">
        <f t="shared" si="0"/>
        <v>1</v>
      </c>
    </row>
    <row r="23" spans="1:11" ht="15" customHeight="1">
      <c r="A23" s="19">
        <v>15</v>
      </c>
      <c r="B23" s="20" t="s">
        <v>124</v>
      </c>
      <c r="C23" s="20" t="s">
        <v>121</v>
      </c>
      <c r="D23" s="20" t="s">
        <v>126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1873</v>
      </c>
      <c r="J23" s="20" t="s">
        <v>444</v>
      </c>
      <c r="K23" s="21">
        <f t="shared" si="0"/>
        <v>1</v>
      </c>
    </row>
    <row r="24" spans="1:11" ht="15" customHeight="1">
      <c r="A24" s="19">
        <v>16</v>
      </c>
      <c r="B24" s="20" t="s">
        <v>95</v>
      </c>
      <c r="C24" s="20" t="s">
        <v>121</v>
      </c>
      <c r="D24" s="20" t="s">
        <v>127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1873</v>
      </c>
      <c r="J24" s="20" t="s">
        <v>444</v>
      </c>
      <c r="K24" s="21">
        <f t="shared" si="0"/>
        <v>1</v>
      </c>
    </row>
    <row r="25" spans="1:11" ht="15" customHeight="1">
      <c r="A25" s="19">
        <v>17</v>
      </c>
      <c r="B25" s="20" t="s">
        <v>128</v>
      </c>
      <c r="C25" s="20" t="s">
        <v>121</v>
      </c>
      <c r="D25" s="20" t="s">
        <v>129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1873</v>
      </c>
      <c r="J25" s="20" t="s">
        <v>444</v>
      </c>
      <c r="K25" s="21">
        <f t="shared" si="0"/>
        <v>1</v>
      </c>
    </row>
    <row r="26" spans="1:11" ht="15" customHeight="1">
      <c r="A26" s="19">
        <v>18</v>
      </c>
      <c r="B26" s="20" t="s">
        <v>130</v>
      </c>
      <c r="C26" s="20" t="s">
        <v>121</v>
      </c>
      <c r="D26" s="20" t="s">
        <v>131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1873</v>
      </c>
      <c r="J26" s="20" t="s">
        <v>444</v>
      </c>
      <c r="K26" s="21">
        <f t="shared" si="0"/>
        <v>1</v>
      </c>
    </row>
    <row r="27" spans="1:11" ht="15" customHeight="1">
      <c r="A27" s="19">
        <v>19</v>
      </c>
      <c r="B27" s="20" t="s">
        <v>130</v>
      </c>
      <c r="C27" s="20" t="s">
        <v>121</v>
      </c>
      <c r="D27" s="20" t="s">
        <v>132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1873</v>
      </c>
      <c r="J27" s="20" t="s">
        <v>444</v>
      </c>
      <c r="K27" s="21">
        <f t="shared" si="0"/>
        <v>1</v>
      </c>
    </row>
    <row r="28" spans="1:11" ht="15" customHeight="1">
      <c r="A28" s="19">
        <v>20</v>
      </c>
      <c r="B28" s="20" t="s">
        <v>133</v>
      </c>
      <c r="C28" s="20" t="s">
        <v>121</v>
      </c>
      <c r="D28" s="20" t="s">
        <v>141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1873</v>
      </c>
      <c r="J28" s="20" t="s">
        <v>444</v>
      </c>
      <c r="K28" s="21">
        <f t="shared" si="0"/>
        <v>1</v>
      </c>
    </row>
    <row r="29" spans="1:11" ht="15" customHeight="1">
      <c r="A29" s="19">
        <v>21</v>
      </c>
      <c r="B29" s="20" t="s">
        <v>133</v>
      </c>
      <c r="C29" s="20" t="s">
        <v>121</v>
      </c>
      <c r="D29" s="20" t="s">
        <v>142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1873</v>
      </c>
      <c r="J29" s="20" t="s">
        <v>444</v>
      </c>
      <c r="K29" s="21">
        <f t="shared" si="0"/>
        <v>1</v>
      </c>
    </row>
    <row r="30" spans="1:11" ht="15" customHeight="1">
      <c r="A30" s="19">
        <v>22</v>
      </c>
      <c r="B30" s="20" t="s">
        <v>133</v>
      </c>
      <c r="C30" s="20" t="s">
        <v>121</v>
      </c>
      <c r="D30" s="20" t="s">
        <v>143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1873</v>
      </c>
      <c r="J30" s="20" t="s">
        <v>444</v>
      </c>
      <c r="K30" s="21">
        <f t="shared" si="0"/>
        <v>1</v>
      </c>
    </row>
    <row r="31" spans="1:11" ht="15" customHeight="1">
      <c r="A31" s="19">
        <v>23</v>
      </c>
      <c r="B31" s="20" t="s">
        <v>120</v>
      </c>
      <c r="C31" s="20" t="s">
        <v>1643</v>
      </c>
      <c r="D31" s="20" t="s">
        <v>122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1873</v>
      </c>
      <c r="J31" s="20" t="s">
        <v>444</v>
      </c>
      <c r="K31" s="21">
        <f t="shared" si="0"/>
        <v>1</v>
      </c>
    </row>
    <row r="32" spans="1:11" ht="15" customHeight="1">
      <c r="A32" s="19">
        <v>24</v>
      </c>
      <c r="B32" s="20" t="s">
        <v>120</v>
      </c>
      <c r="C32" s="20" t="s">
        <v>1643</v>
      </c>
      <c r="D32" s="20" t="s">
        <v>123</v>
      </c>
      <c r="E32" s="19" t="s">
        <v>105</v>
      </c>
      <c r="F32" s="19" t="s">
        <v>105</v>
      </c>
      <c r="G32" s="19" t="s">
        <v>442</v>
      </c>
      <c r="H32" s="19" t="s">
        <v>196</v>
      </c>
      <c r="I32" s="20" t="s">
        <v>1873</v>
      </c>
      <c r="J32" s="20" t="s">
        <v>444</v>
      </c>
      <c r="K32" s="21">
        <f t="shared" si="0"/>
        <v>1</v>
      </c>
    </row>
    <row r="33" spans="1:11" ht="30" customHeight="1">
      <c r="A33" s="19">
        <v>25</v>
      </c>
      <c r="B33" s="20" t="s">
        <v>124</v>
      </c>
      <c r="C33" s="20" t="s">
        <v>1643</v>
      </c>
      <c r="D33" s="20" t="s">
        <v>125</v>
      </c>
      <c r="E33" s="19" t="s">
        <v>105</v>
      </c>
      <c r="F33" s="19" t="s">
        <v>105</v>
      </c>
      <c r="G33" s="19" t="s">
        <v>442</v>
      </c>
      <c r="H33" s="19" t="s">
        <v>196</v>
      </c>
      <c r="I33" s="20" t="s">
        <v>1873</v>
      </c>
      <c r="J33" s="20" t="s">
        <v>444</v>
      </c>
      <c r="K33" s="21">
        <f t="shared" si="0"/>
        <v>1</v>
      </c>
    </row>
    <row r="34" spans="1:11" ht="15" customHeight="1">
      <c r="A34" s="19">
        <v>26</v>
      </c>
      <c r="B34" s="20" t="s">
        <v>124</v>
      </c>
      <c r="C34" s="20" t="s">
        <v>1643</v>
      </c>
      <c r="D34" s="20" t="s">
        <v>126</v>
      </c>
      <c r="E34" s="19" t="s">
        <v>105</v>
      </c>
      <c r="F34" s="19" t="s">
        <v>105</v>
      </c>
      <c r="G34" s="19" t="s">
        <v>442</v>
      </c>
      <c r="H34" s="19" t="s">
        <v>196</v>
      </c>
      <c r="I34" s="20" t="s">
        <v>1873</v>
      </c>
      <c r="J34" s="20" t="s">
        <v>444</v>
      </c>
      <c r="K34" s="21">
        <f t="shared" si="0"/>
        <v>1</v>
      </c>
    </row>
    <row r="35" spans="1:11" ht="15" customHeight="1">
      <c r="A35" s="19">
        <v>27</v>
      </c>
      <c r="B35" s="20" t="s">
        <v>95</v>
      </c>
      <c r="C35" s="20" t="s">
        <v>1643</v>
      </c>
      <c r="D35" s="20" t="s">
        <v>127</v>
      </c>
      <c r="E35" s="19" t="s">
        <v>105</v>
      </c>
      <c r="F35" s="19" t="s">
        <v>105</v>
      </c>
      <c r="G35" s="19" t="s">
        <v>442</v>
      </c>
      <c r="H35" s="19" t="s">
        <v>196</v>
      </c>
      <c r="I35" s="20" t="s">
        <v>1873</v>
      </c>
      <c r="J35" s="20" t="s">
        <v>444</v>
      </c>
      <c r="K35" s="21">
        <f t="shared" si="0"/>
        <v>1</v>
      </c>
    </row>
    <row r="36" spans="1:11" ht="15" customHeight="1">
      <c r="A36" s="19">
        <v>28</v>
      </c>
      <c r="B36" s="20" t="s">
        <v>128</v>
      </c>
      <c r="C36" s="20" t="s">
        <v>1643</v>
      </c>
      <c r="D36" s="20" t="s">
        <v>129</v>
      </c>
      <c r="E36" s="19" t="s">
        <v>105</v>
      </c>
      <c r="F36" s="19" t="s">
        <v>105</v>
      </c>
      <c r="G36" s="19" t="s">
        <v>442</v>
      </c>
      <c r="H36" s="19" t="s">
        <v>196</v>
      </c>
      <c r="I36" s="20" t="s">
        <v>1873</v>
      </c>
      <c r="J36" s="20" t="s">
        <v>444</v>
      </c>
      <c r="K36" s="21">
        <f t="shared" si="0"/>
        <v>1</v>
      </c>
    </row>
    <row r="37" spans="1:11" ht="15" customHeight="1">
      <c r="A37" s="19">
        <v>29</v>
      </c>
      <c r="B37" s="20" t="s">
        <v>130</v>
      </c>
      <c r="C37" s="20" t="s">
        <v>1643</v>
      </c>
      <c r="D37" s="20" t="s">
        <v>131</v>
      </c>
      <c r="E37" s="19" t="s">
        <v>105</v>
      </c>
      <c r="F37" s="19" t="s">
        <v>105</v>
      </c>
      <c r="G37" s="19" t="s">
        <v>442</v>
      </c>
      <c r="H37" s="19" t="s">
        <v>196</v>
      </c>
      <c r="I37" s="20" t="s">
        <v>1873</v>
      </c>
      <c r="J37" s="20" t="s">
        <v>444</v>
      </c>
      <c r="K37" s="21">
        <f t="shared" si="0"/>
        <v>1</v>
      </c>
    </row>
    <row r="38" spans="1:11" ht="15" customHeight="1">
      <c r="A38" s="19">
        <v>30</v>
      </c>
      <c r="B38" s="20" t="s">
        <v>130</v>
      </c>
      <c r="C38" s="20" t="s">
        <v>1643</v>
      </c>
      <c r="D38" s="20" t="s">
        <v>132</v>
      </c>
      <c r="E38" s="19" t="s">
        <v>105</v>
      </c>
      <c r="F38" s="19" t="s">
        <v>105</v>
      </c>
      <c r="G38" s="19" t="s">
        <v>442</v>
      </c>
      <c r="H38" s="19" t="s">
        <v>196</v>
      </c>
      <c r="I38" s="20" t="s">
        <v>1873</v>
      </c>
      <c r="J38" s="20" t="s">
        <v>444</v>
      </c>
      <c r="K38" s="21">
        <f t="shared" si="0"/>
        <v>1</v>
      </c>
    </row>
    <row r="39" spans="1:11" ht="15" customHeight="1">
      <c r="A39" s="19">
        <v>31</v>
      </c>
      <c r="B39" s="20" t="s">
        <v>133</v>
      </c>
      <c r="C39" s="20" t="s">
        <v>1643</v>
      </c>
      <c r="D39" s="20" t="s">
        <v>1878</v>
      </c>
      <c r="E39" s="19" t="s">
        <v>105</v>
      </c>
      <c r="F39" s="19" t="s">
        <v>105</v>
      </c>
      <c r="G39" s="19" t="s">
        <v>442</v>
      </c>
      <c r="H39" s="19" t="s">
        <v>196</v>
      </c>
      <c r="I39" s="20" t="s">
        <v>1873</v>
      </c>
      <c r="J39" s="20" t="s">
        <v>444</v>
      </c>
      <c r="K39" s="21">
        <f t="shared" si="0"/>
        <v>1</v>
      </c>
    </row>
    <row r="40" spans="1:11" ht="15" customHeight="1">
      <c r="A40" s="19">
        <v>32</v>
      </c>
      <c r="B40" s="20" t="s">
        <v>133</v>
      </c>
      <c r="C40" s="20" t="s">
        <v>1643</v>
      </c>
      <c r="D40" s="20" t="s">
        <v>1879</v>
      </c>
      <c r="E40" s="19" t="s">
        <v>105</v>
      </c>
      <c r="F40" s="19" t="s">
        <v>105</v>
      </c>
      <c r="G40" s="19" t="s">
        <v>442</v>
      </c>
      <c r="H40" s="19" t="s">
        <v>196</v>
      </c>
      <c r="I40" s="20" t="s">
        <v>1873</v>
      </c>
      <c r="J40" s="20" t="s">
        <v>444</v>
      </c>
      <c r="K40" s="21">
        <f t="shared" si="0"/>
        <v>1</v>
      </c>
    </row>
    <row r="41" spans="1:11" ht="15" customHeight="1">
      <c r="A41" s="19">
        <v>33</v>
      </c>
      <c r="B41" s="20" t="s">
        <v>539</v>
      </c>
      <c r="C41" s="20" t="s">
        <v>1643</v>
      </c>
      <c r="D41" s="20" t="s">
        <v>540</v>
      </c>
      <c r="E41" s="19" t="s">
        <v>105</v>
      </c>
      <c r="F41" s="19" t="s">
        <v>105</v>
      </c>
      <c r="G41" s="19" t="s">
        <v>442</v>
      </c>
      <c r="H41" s="19" t="s">
        <v>196</v>
      </c>
      <c r="I41" s="20" t="s">
        <v>1873</v>
      </c>
      <c r="J41" s="20" t="s">
        <v>444</v>
      </c>
      <c r="K41" s="21">
        <f t="shared" si="0"/>
        <v>1</v>
      </c>
    </row>
    <row r="42" spans="1:11" ht="15" customHeight="1">
      <c r="A42" s="19">
        <v>34</v>
      </c>
      <c r="B42" s="20" t="s">
        <v>539</v>
      </c>
      <c r="C42" s="20" t="s">
        <v>1643</v>
      </c>
      <c r="D42" s="20" t="s">
        <v>715</v>
      </c>
      <c r="E42" s="19" t="s">
        <v>105</v>
      </c>
      <c r="F42" s="19" t="s">
        <v>105</v>
      </c>
      <c r="G42" s="19" t="s">
        <v>442</v>
      </c>
      <c r="H42" s="19" t="s">
        <v>196</v>
      </c>
      <c r="I42" s="20" t="s">
        <v>1873</v>
      </c>
      <c r="J42" s="20" t="s">
        <v>444</v>
      </c>
      <c r="K42" s="21">
        <f t="shared" si="0"/>
        <v>1</v>
      </c>
    </row>
    <row r="43" spans="1:11" ht="15" customHeight="1">
      <c r="A43" s="19">
        <v>35</v>
      </c>
      <c r="B43" s="20" t="s">
        <v>133</v>
      </c>
      <c r="C43" s="20" t="s">
        <v>1643</v>
      </c>
      <c r="D43" s="20" t="s">
        <v>142</v>
      </c>
      <c r="E43" s="19" t="s">
        <v>105</v>
      </c>
      <c r="F43" s="19" t="s">
        <v>105</v>
      </c>
      <c r="G43" s="19" t="s">
        <v>442</v>
      </c>
      <c r="H43" s="19" t="s">
        <v>196</v>
      </c>
      <c r="I43" s="20" t="s">
        <v>1873</v>
      </c>
      <c r="J43" s="20" t="s">
        <v>444</v>
      </c>
      <c r="K43" s="21">
        <f t="shared" si="0"/>
        <v>1</v>
      </c>
    </row>
    <row r="44" spans="1:11" ht="15" customHeight="1">
      <c r="A44" s="19">
        <v>36</v>
      </c>
      <c r="B44" s="20" t="s">
        <v>133</v>
      </c>
      <c r="C44" s="20" t="s">
        <v>1643</v>
      </c>
      <c r="D44" s="20" t="s">
        <v>143</v>
      </c>
      <c r="E44" s="19" t="s">
        <v>105</v>
      </c>
      <c r="F44" s="19" t="s">
        <v>105</v>
      </c>
      <c r="G44" s="19" t="s">
        <v>442</v>
      </c>
      <c r="H44" s="19" t="s">
        <v>196</v>
      </c>
      <c r="I44" s="20" t="s">
        <v>1873</v>
      </c>
      <c r="J44" s="20" t="s">
        <v>444</v>
      </c>
      <c r="K44" s="21">
        <f t="shared" si="0"/>
        <v>1</v>
      </c>
    </row>
    <row r="45" spans="1:11" ht="15" customHeight="1">
      <c r="A45" s="19">
        <v>37</v>
      </c>
      <c r="B45" s="20" t="s">
        <v>153</v>
      </c>
      <c r="C45" s="20" t="s">
        <v>154</v>
      </c>
      <c r="D45" s="20" t="s">
        <v>438</v>
      </c>
      <c r="E45" s="19" t="s">
        <v>105</v>
      </c>
      <c r="F45" s="19" t="s">
        <v>105</v>
      </c>
      <c r="G45" s="19" t="s">
        <v>442</v>
      </c>
      <c r="H45" s="19" t="s">
        <v>196</v>
      </c>
      <c r="I45" s="20" t="s">
        <v>1873</v>
      </c>
      <c r="J45" s="20" t="s">
        <v>444</v>
      </c>
      <c r="K45" s="21">
        <f t="shared" si="0"/>
        <v>1</v>
      </c>
    </row>
    <row r="46" spans="1:11" ht="15" customHeight="1">
      <c r="A46" s="19">
        <v>38</v>
      </c>
      <c r="B46" s="20" t="s">
        <v>153</v>
      </c>
      <c r="C46" s="20" t="s">
        <v>154</v>
      </c>
      <c r="D46" s="20" t="s">
        <v>158</v>
      </c>
      <c r="E46" s="19" t="s">
        <v>105</v>
      </c>
      <c r="F46" s="19" t="s">
        <v>105</v>
      </c>
      <c r="G46" s="19" t="s">
        <v>442</v>
      </c>
      <c r="H46" s="19" t="s">
        <v>196</v>
      </c>
      <c r="I46" s="20" t="s">
        <v>1873</v>
      </c>
      <c r="J46" s="20" t="s">
        <v>444</v>
      </c>
      <c r="K46" s="21">
        <f t="shared" si="0"/>
        <v>1</v>
      </c>
    </row>
    <row r="47" spans="1:11" ht="15" customHeight="1">
      <c r="A47" s="19">
        <v>39</v>
      </c>
      <c r="B47" s="20" t="s">
        <v>159</v>
      </c>
      <c r="C47" s="20" t="s">
        <v>154</v>
      </c>
      <c r="D47" s="20" t="s">
        <v>161</v>
      </c>
      <c r="E47" s="19" t="s">
        <v>105</v>
      </c>
      <c r="F47" s="19" t="s">
        <v>105</v>
      </c>
      <c r="G47" s="19" t="s">
        <v>442</v>
      </c>
      <c r="H47" s="19" t="s">
        <v>196</v>
      </c>
      <c r="I47" s="20" t="s">
        <v>1873</v>
      </c>
      <c r="J47" s="20" t="s">
        <v>444</v>
      </c>
      <c r="K47" s="21">
        <f t="shared" si="0"/>
        <v>1</v>
      </c>
    </row>
    <row r="48" spans="1:11" ht="15" customHeight="1">
      <c r="A48" s="19">
        <v>40</v>
      </c>
      <c r="B48" s="20" t="s">
        <v>159</v>
      </c>
      <c r="C48" s="20" t="s">
        <v>154</v>
      </c>
      <c r="D48" s="20" t="s">
        <v>162</v>
      </c>
      <c r="E48" s="19" t="s">
        <v>105</v>
      </c>
      <c r="F48" s="19" t="s">
        <v>105</v>
      </c>
      <c r="G48" s="19" t="s">
        <v>442</v>
      </c>
      <c r="H48" s="19" t="s">
        <v>196</v>
      </c>
      <c r="I48" s="20" t="s">
        <v>1873</v>
      </c>
      <c r="J48" s="20" t="s">
        <v>444</v>
      </c>
      <c r="K48" s="21">
        <f t="shared" si="0"/>
        <v>1</v>
      </c>
    </row>
    <row r="49" spans="1:11" ht="15" customHeight="1">
      <c r="A49" s="19">
        <v>41</v>
      </c>
      <c r="B49" s="20" t="s">
        <v>130</v>
      </c>
      <c r="C49" s="20" t="s">
        <v>60</v>
      </c>
      <c r="D49" s="20" t="s">
        <v>164</v>
      </c>
      <c r="E49" s="19" t="s">
        <v>105</v>
      </c>
      <c r="F49" s="19" t="s">
        <v>105</v>
      </c>
      <c r="G49" s="19" t="s">
        <v>442</v>
      </c>
      <c r="H49" s="19" t="s">
        <v>196</v>
      </c>
      <c r="I49" s="20" t="s">
        <v>1873</v>
      </c>
      <c r="J49" s="20" t="s">
        <v>444</v>
      </c>
      <c r="K49" s="21">
        <f t="shared" si="0"/>
        <v>1</v>
      </c>
    </row>
    <row r="50" spans="1:11" ht="15" customHeight="1">
      <c r="A50" s="19">
        <v>42</v>
      </c>
      <c r="B50" s="20" t="s">
        <v>130</v>
      </c>
      <c r="C50" s="20" t="s">
        <v>60</v>
      </c>
      <c r="D50" s="20" t="s">
        <v>165</v>
      </c>
      <c r="E50" s="19" t="s">
        <v>105</v>
      </c>
      <c r="F50" s="19" t="s">
        <v>105</v>
      </c>
      <c r="G50" s="19" t="s">
        <v>442</v>
      </c>
      <c r="H50" s="19" t="s">
        <v>196</v>
      </c>
      <c r="I50" s="20" t="s">
        <v>1873</v>
      </c>
      <c r="J50" s="20" t="s">
        <v>444</v>
      </c>
      <c r="K50" s="21">
        <f t="shared" si="0"/>
        <v>1</v>
      </c>
    </row>
    <row r="51" spans="1:11" ht="15" customHeight="1">
      <c r="A51" s="19">
        <v>43</v>
      </c>
      <c r="B51" s="20" t="s">
        <v>130</v>
      </c>
      <c r="C51" s="20" t="s">
        <v>60</v>
      </c>
      <c r="D51" s="20" t="s">
        <v>167</v>
      </c>
      <c r="E51" s="19" t="s">
        <v>105</v>
      </c>
      <c r="F51" s="19" t="s">
        <v>105</v>
      </c>
      <c r="G51" s="19" t="s">
        <v>442</v>
      </c>
      <c r="H51" s="19" t="s">
        <v>196</v>
      </c>
      <c r="I51" s="20" t="s">
        <v>1873</v>
      </c>
      <c r="J51" s="20" t="s">
        <v>444</v>
      </c>
      <c r="K51" s="21">
        <f t="shared" si="0"/>
        <v>1</v>
      </c>
    </row>
    <row r="52" spans="1:11" ht="15" customHeight="1">
      <c r="A52" s="19">
        <v>44</v>
      </c>
      <c r="B52" s="20" t="s">
        <v>130</v>
      </c>
      <c r="C52" s="20" t="s">
        <v>60</v>
      </c>
      <c r="D52" s="20" t="s">
        <v>168</v>
      </c>
      <c r="E52" s="19" t="s">
        <v>105</v>
      </c>
      <c r="F52" s="19" t="s">
        <v>105</v>
      </c>
      <c r="G52" s="19" t="s">
        <v>442</v>
      </c>
      <c r="H52" s="19" t="s">
        <v>196</v>
      </c>
      <c r="I52" s="20" t="s">
        <v>1873</v>
      </c>
      <c r="J52" s="20" t="s">
        <v>444</v>
      </c>
      <c r="K52" s="21">
        <f t="shared" si="0"/>
        <v>1</v>
      </c>
    </row>
    <row r="53" spans="1:11" ht="15" customHeight="1">
      <c r="A53" s="19">
        <v>45</v>
      </c>
      <c r="B53" s="20" t="s">
        <v>451</v>
      </c>
      <c r="C53" s="20" t="s">
        <v>60</v>
      </c>
      <c r="D53" s="20" t="s">
        <v>1880</v>
      </c>
      <c r="E53" s="19" t="s">
        <v>105</v>
      </c>
      <c r="F53" s="19" t="s">
        <v>105</v>
      </c>
      <c r="G53" s="19" t="s">
        <v>442</v>
      </c>
      <c r="H53" s="19" t="s">
        <v>196</v>
      </c>
      <c r="I53" s="20" t="s">
        <v>1873</v>
      </c>
      <c r="J53" s="20" t="s">
        <v>444</v>
      </c>
      <c r="K53" s="21">
        <f t="shared" si="0"/>
        <v>1</v>
      </c>
    </row>
    <row r="54" spans="1:11" ht="15" customHeight="1">
      <c r="A54" s="19">
        <v>46</v>
      </c>
      <c r="B54" s="20" t="s">
        <v>451</v>
      </c>
      <c r="C54" s="20" t="s">
        <v>60</v>
      </c>
      <c r="D54" s="20" t="s">
        <v>1881</v>
      </c>
      <c r="E54" s="19" t="s">
        <v>105</v>
      </c>
      <c r="F54" s="19" t="s">
        <v>105</v>
      </c>
      <c r="G54" s="19" t="s">
        <v>442</v>
      </c>
      <c r="H54" s="19" t="s">
        <v>196</v>
      </c>
      <c r="I54" s="20" t="s">
        <v>1873</v>
      </c>
      <c r="J54" s="20" t="s">
        <v>444</v>
      </c>
      <c r="K54" s="21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K171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1882</v>
      </c>
      <c r="B1" s="60"/>
      <c r="C1" s="60"/>
      <c r="D1" s="60"/>
      <c r="E1" s="60"/>
      <c r="F1" s="60"/>
      <c r="G1" s="60"/>
      <c r="H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163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37">
        <v>1</v>
      </c>
      <c r="B9" s="38" t="s">
        <v>94</v>
      </c>
      <c r="C9" s="38" t="s">
        <v>95</v>
      </c>
      <c r="D9" s="38" t="s">
        <v>96</v>
      </c>
      <c r="E9" s="37" t="s">
        <v>105</v>
      </c>
      <c r="F9" s="37" t="s">
        <v>105</v>
      </c>
      <c r="G9" s="37" t="s">
        <v>564</v>
      </c>
      <c r="H9" s="37" t="s">
        <v>196</v>
      </c>
      <c r="I9" s="38" t="s">
        <v>1883</v>
      </c>
      <c r="J9" s="38" t="s">
        <v>566</v>
      </c>
      <c r="K9" s="39">
        <f t="shared" ref="K9:K40" si="0">IF(AND(E9="yes",F9="yes",H9="covered"),1,IF(H9="partial",0.5,0))</f>
        <v>1</v>
      </c>
    </row>
    <row r="10" spans="1:11" ht="15" customHeight="1">
      <c r="A10" s="37">
        <v>2</v>
      </c>
      <c r="B10" s="38" t="s">
        <v>94</v>
      </c>
      <c r="C10" s="38" t="s">
        <v>95</v>
      </c>
      <c r="D10" s="38" t="s">
        <v>102</v>
      </c>
      <c r="E10" s="37" t="s">
        <v>105</v>
      </c>
      <c r="F10" s="37" t="s">
        <v>105</v>
      </c>
      <c r="G10" s="37" t="s">
        <v>564</v>
      </c>
      <c r="H10" s="37" t="s">
        <v>196</v>
      </c>
      <c r="I10" s="38" t="s">
        <v>1883</v>
      </c>
      <c r="J10" s="38" t="s">
        <v>566</v>
      </c>
      <c r="K10" s="39">
        <f t="shared" si="0"/>
        <v>1</v>
      </c>
    </row>
    <row r="11" spans="1:11" ht="15" customHeight="1">
      <c r="A11" s="37">
        <v>3</v>
      </c>
      <c r="B11" s="38" t="s">
        <v>133</v>
      </c>
      <c r="C11" s="38" t="s">
        <v>121</v>
      </c>
      <c r="D11" s="38" t="s">
        <v>1884</v>
      </c>
      <c r="E11" s="37" t="s">
        <v>105</v>
      </c>
      <c r="F11" s="37" t="s">
        <v>105</v>
      </c>
      <c r="G11" s="37" t="s">
        <v>564</v>
      </c>
      <c r="H11" s="37" t="s">
        <v>196</v>
      </c>
      <c r="I11" s="38" t="s">
        <v>1883</v>
      </c>
      <c r="J11" s="38" t="s">
        <v>566</v>
      </c>
      <c r="K11" s="39">
        <f t="shared" si="0"/>
        <v>1</v>
      </c>
    </row>
    <row r="12" spans="1:11" ht="15" customHeight="1">
      <c r="A12" s="37">
        <v>4</v>
      </c>
      <c r="B12" s="38" t="s">
        <v>133</v>
      </c>
      <c r="C12" s="38" t="s">
        <v>121</v>
      </c>
      <c r="D12" s="38" t="s">
        <v>1885</v>
      </c>
      <c r="E12" s="37" t="s">
        <v>105</v>
      </c>
      <c r="F12" s="37" t="s">
        <v>105</v>
      </c>
      <c r="G12" s="37" t="s">
        <v>564</v>
      </c>
      <c r="H12" s="37" t="s">
        <v>196</v>
      </c>
      <c r="I12" s="38" t="s">
        <v>1883</v>
      </c>
      <c r="J12" s="38" t="s">
        <v>566</v>
      </c>
      <c r="K12" s="39">
        <f t="shared" si="0"/>
        <v>1</v>
      </c>
    </row>
    <row r="13" spans="1:11" ht="15" customHeight="1">
      <c r="A13" s="37">
        <v>5</v>
      </c>
      <c r="B13" s="38" t="s">
        <v>133</v>
      </c>
      <c r="C13" s="38" t="s">
        <v>121</v>
      </c>
      <c r="D13" s="38" t="s">
        <v>1886</v>
      </c>
      <c r="E13" s="37" t="s">
        <v>105</v>
      </c>
      <c r="F13" s="37" t="s">
        <v>105</v>
      </c>
      <c r="G13" s="37" t="s">
        <v>564</v>
      </c>
      <c r="H13" s="37" t="s">
        <v>196</v>
      </c>
      <c r="I13" s="38" t="s">
        <v>1883</v>
      </c>
      <c r="J13" s="38" t="s">
        <v>566</v>
      </c>
      <c r="K13" s="39">
        <f t="shared" si="0"/>
        <v>1</v>
      </c>
    </row>
    <row r="14" spans="1:11" ht="15" customHeight="1">
      <c r="A14" s="37">
        <v>6</v>
      </c>
      <c r="B14" s="38" t="s">
        <v>133</v>
      </c>
      <c r="C14" s="38" t="s">
        <v>121</v>
      </c>
      <c r="D14" s="38" t="s">
        <v>1012</v>
      </c>
      <c r="E14" s="37" t="s">
        <v>105</v>
      </c>
      <c r="F14" s="37" t="s">
        <v>105</v>
      </c>
      <c r="G14" s="37" t="s">
        <v>564</v>
      </c>
      <c r="H14" s="37" t="s">
        <v>196</v>
      </c>
      <c r="I14" s="38" t="s">
        <v>1883</v>
      </c>
      <c r="J14" s="38" t="s">
        <v>566</v>
      </c>
      <c r="K14" s="39">
        <f t="shared" si="0"/>
        <v>1</v>
      </c>
    </row>
    <row r="15" spans="1:11" ht="15" customHeight="1">
      <c r="A15" s="37">
        <v>7</v>
      </c>
      <c r="B15" s="38" t="s">
        <v>133</v>
      </c>
      <c r="C15" s="38" t="s">
        <v>121</v>
      </c>
      <c r="D15" s="38" t="s">
        <v>1887</v>
      </c>
      <c r="E15" s="37" t="s">
        <v>105</v>
      </c>
      <c r="F15" s="37" t="s">
        <v>105</v>
      </c>
      <c r="G15" s="37" t="s">
        <v>564</v>
      </c>
      <c r="H15" s="37" t="s">
        <v>196</v>
      </c>
      <c r="I15" s="38" t="s">
        <v>1883</v>
      </c>
      <c r="J15" s="38" t="s">
        <v>566</v>
      </c>
      <c r="K15" s="39">
        <f t="shared" si="0"/>
        <v>1</v>
      </c>
    </row>
    <row r="16" spans="1:11" ht="15" customHeight="1">
      <c r="A16" s="37">
        <v>8</v>
      </c>
      <c r="B16" s="38" t="s">
        <v>133</v>
      </c>
      <c r="C16" s="38" t="s">
        <v>121</v>
      </c>
      <c r="D16" s="38" t="s">
        <v>1015</v>
      </c>
      <c r="E16" s="37" t="s">
        <v>105</v>
      </c>
      <c r="F16" s="37" t="s">
        <v>105</v>
      </c>
      <c r="G16" s="37" t="s">
        <v>564</v>
      </c>
      <c r="H16" s="37" t="s">
        <v>196</v>
      </c>
      <c r="I16" s="38" t="s">
        <v>1883</v>
      </c>
      <c r="J16" s="38" t="s">
        <v>566</v>
      </c>
      <c r="K16" s="39">
        <f t="shared" si="0"/>
        <v>1</v>
      </c>
    </row>
    <row r="17" spans="1:11" ht="15" customHeight="1">
      <c r="A17" s="37">
        <v>9</v>
      </c>
      <c r="B17" s="38" t="s">
        <v>133</v>
      </c>
      <c r="C17" s="38" t="s">
        <v>121</v>
      </c>
      <c r="D17" s="38" t="s">
        <v>1017</v>
      </c>
      <c r="E17" s="37" t="s">
        <v>105</v>
      </c>
      <c r="F17" s="37" t="s">
        <v>105</v>
      </c>
      <c r="G17" s="37" t="s">
        <v>564</v>
      </c>
      <c r="H17" s="37" t="s">
        <v>196</v>
      </c>
      <c r="I17" s="38" t="s">
        <v>1883</v>
      </c>
      <c r="J17" s="38" t="s">
        <v>566</v>
      </c>
      <c r="K17" s="39">
        <f t="shared" si="0"/>
        <v>1</v>
      </c>
    </row>
    <row r="18" spans="1:11" ht="15" customHeight="1">
      <c r="A18" s="37">
        <v>10</v>
      </c>
      <c r="B18" s="38" t="s">
        <v>133</v>
      </c>
      <c r="C18" s="38" t="s">
        <v>121</v>
      </c>
      <c r="D18" s="38" t="s">
        <v>1888</v>
      </c>
      <c r="E18" s="37" t="s">
        <v>105</v>
      </c>
      <c r="F18" s="37" t="s">
        <v>105</v>
      </c>
      <c r="G18" s="37" t="s">
        <v>564</v>
      </c>
      <c r="H18" s="37" t="s">
        <v>196</v>
      </c>
      <c r="I18" s="38" t="s">
        <v>1883</v>
      </c>
      <c r="J18" s="38" t="s">
        <v>566</v>
      </c>
      <c r="K18" s="39">
        <f t="shared" si="0"/>
        <v>1</v>
      </c>
    </row>
    <row r="19" spans="1:11" ht="15" customHeight="1">
      <c r="A19" s="37">
        <v>11</v>
      </c>
      <c r="B19" s="38" t="s">
        <v>133</v>
      </c>
      <c r="C19" s="38" t="s">
        <v>121</v>
      </c>
      <c r="D19" s="38" t="s">
        <v>1889</v>
      </c>
      <c r="E19" s="37" t="s">
        <v>105</v>
      </c>
      <c r="F19" s="37" t="s">
        <v>105</v>
      </c>
      <c r="G19" s="37" t="s">
        <v>564</v>
      </c>
      <c r="H19" s="37" t="s">
        <v>196</v>
      </c>
      <c r="I19" s="38" t="s">
        <v>1883</v>
      </c>
      <c r="J19" s="38" t="s">
        <v>566</v>
      </c>
      <c r="K19" s="39">
        <f t="shared" si="0"/>
        <v>1</v>
      </c>
    </row>
    <row r="20" spans="1:11" ht="15" customHeight="1">
      <c r="A20" s="37">
        <v>12</v>
      </c>
      <c r="B20" s="38" t="s">
        <v>133</v>
      </c>
      <c r="C20" s="38" t="s">
        <v>121</v>
      </c>
      <c r="D20" s="38" t="s">
        <v>1890</v>
      </c>
      <c r="E20" s="37" t="s">
        <v>105</v>
      </c>
      <c r="F20" s="37" t="s">
        <v>105</v>
      </c>
      <c r="G20" s="37" t="s">
        <v>564</v>
      </c>
      <c r="H20" s="37" t="s">
        <v>196</v>
      </c>
      <c r="I20" s="38" t="s">
        <v>1883</v>
      </c>
      <c r="J20" s="38" t="s">
        <v>566</v>
      </c>
      <c r="K20" s="39">
        <f t="shared" si="0"/>
        <v>1</v>
      </c>
    </row>
    <row r="21" spans="1:11" ht="15" customHeight="1">
      <c r="A21" s="37">
        <v>13</v>
      </c>
      <c r="B21" s="38" t="s">
        <v>1891</v>
      </c>
      <c r="C21" s="38" t="s">
        <v>121</v>
      </c>
      <c r="D21" s="38" t="s">
        <v>1892</v>
      </c>
      <c r="E21" s="37" t="s">
        <v>105</v>
      </c>
      <c r="F21" s="37" t="s">
        <v>105</v>
      </c>
      <c r="G21" s="37" t="s">
        <v>564</v>
      </c>
      <c r="H21" s="37" t="s">
        <v>196</v>
      </c>
      <c r="I21" s="38" t="s">
        <v>1883</v>
      </c>
      <c r="J21" s="38" t="s">
        <v>566</v>
      </c>
      <c r="K21" s="39">
        <f t="shared" si="0"/>
        <v>1</v>
      </c>
    </row>
    <row r="22" spans="1:11" ht="15" customHeight="1">
      <c r="A22" s="37">
        <v>14</v>
      </c>
      <c r="B22" s="38" t="s">
        <v>1891</v>
      </c>
      <c r="C22" s="38" t="s">
        <v>121</v>
      </c>
      <c r="D22" s="38" t="s">
        <v>1893</v>
      </c>
      <c r="E22" s="37" t="s">
        <v>105</v>
      </c>
      <c r="F22" s="37" t="s">
        <v>105</v>
      </c>
      <c r="G22" s="37" t="s">
        <v>564</v>
      </c>
      <c r="H22" s="37" t="s">
        <v>196</v>
      </c>
      <c r="I22" s="38" t="s">
        <v>1883</v>
      </c>
      <c r="J22" s="38" t="s">
        <v>566</v>
      </c>
      <c r="K22" s="39">
        <f t="shared" si="0"/>
        <v>1</v>
      </c>
    </row>
    <row r="23" spans="1:11" ht="15" customHeight="1">
      <c r="A23" s="37">
        <v>15</v>
      </c>
      <c r="B23" s="38" t="s">
        <v>1891</v>
      </c>
      <c r="C23" s="38" t="s">
        <v>145</v>
      </c>
      <c r="D23" s="38" t="s">
        <v>1894</v>
      </c>
      <c r="E23" s="37" t="s">
        <v>105</v>
      </c>
      <c r="F23" s="37" t="s">
        <v>105</v>
      </c>
      <c r="G23" s="37" t="s">
        <v>564</v>
      </c>
      <c r="H23" s="37" t="s">
        <v>196</v>
      </c>
      <c r="I23" s="38" t="s">
        <v>1883</v>
      </c>
      <c r="J23" s="38" t="s">
        <v>566</v>
      </c>
      <c r="K23" s="39">
        <f t="shared" si="0"/>
        <v>1</v>
      </c>
    </row>
    <row r="24" spans="1:11" ht="15" customHeight="1">
      <c r="A24" s="37">
        <v>16</v>
      </c>
      <c r="B24" s="38" t="s">
        <v>1891</v>
      </c>
      <c r="C24" s="38" t="s">
        <v>145</v>
      </c>
      <c r="D24" s="38" t="s">
        <v>1895</v>
      </c>
      <c r="E24" s="37" t="s">
        <v>105</v>
      </c>
      <c r="F24" s="37" t="s">
        <v>105</v>
      </c>
      <c r="G24" s="37" t="s">
        <v>564</v>
      </c>
      <c r="H24" s="37" t="s">
        <v>196</v>
      </c>
      <c r="I24" s="38" t="s">
        <v>1883</v>
      </c>
      <c r="J24" s="38" t="s">
        <v>566</v>
      </c>
      <c r="K24" s="39">
        <f t="shared" si="0"/>
        <v>1</v>
      </c>
    </row>
    <row r="25" spans="1:11" ht="15" customHeight="1">
      <c r="A25" s="37">
        <v>17</v>
      </c>
      <c r="B25" s="38" t="s">
        <v>1891</v>
      </c>
      <c r="C25" s="38" t="s">
        <v>145</v>
      </c>
      <c r="D25" s="38" t="s">
        <v>1896</v>
      </c>
      <c r="E25" s="37" t="s">
        <v>105</v>
      </c>
      <c r="F25" s="37" t="s">
        <v>105</v>
      </c>
      <c r="G25" s="37" t="s">
        <v>564</v>
      </c>
      <c r="H25" s="37" t="s">
        <v>196</v>
      </c>
      <c r="I25" s="38" t="s">
        <v>1883</v>
      </c>
      <c r="J25" s="38" t="s">
        <v>566</v>
      </c>
      <c r="K25" s="39">
        <f t="shared" si="0"/>
        <v>1</v>
      </c>
    </row>
    <row r="26" spans="1:11" ht="15" customHeight="1">
      <c r="A26" s="37">
        <v>18</v>
      </c>
      <c r="B26" s="38" t="s">
        <v>1891</v>
      </c>
      <c r="C26" s="38" t="s">
        <v>145</v>
      </c>
      <c r="D26" s="38" t="s">
        <v>1897</v>
      </c>
      <c r="E26" s="37" t="s">
        <v>105</v>
      </c>
      <c r="F26" s="37" t="s">
        <v>105</v>
      </c>
      <c r="G26" s="37" t="s">
        <v>564</v>
      </c>
      <c r="H26" s="37" t="s">
        <v>196</v>
      </c>
      <c r="I26" s="38" t="s">
        <v>1883</v>
      </c>
      <c r="J26" s="38" t="s">
        <v>566</v>
      </c>
      <c r="K26" s="39">
        <f t="shared" si="0"/>
        <v>1</v>
      </c>
    </row>
    <row r="27" spans="1:11" ht="15" customHeight="1">
      <c r="A27" s="37">
        <v>19</v>
      </c>
      <c r="B27" s="38" t="s">
        <v>133</v>
      </c>
      <c r="C27" s="38" t="s">
        <v>145</v>
      </c>
      <c r="D27" s="38" t="s">
        <v>1021</v>
      </c>
      <c r="E27" s="37" t="s">
        <v>105</v>
      </c>
      <c r="F27" s="37" t="s">
        <v>105</v>
      </c>
      <c r="G27" s="37" t="s">
        <v>564</v>
      </c>
      <c r="H27" s="37" t="s">
        <v>196</v>
      </c>
      <c r="I27" s="38" t="s">
        <v>1883</v>
      </c>
      <c r="J27" s="38" t="s">
        <v>566</v>
      </c>
      <c r="K27" s="39">
        <f t="shared" si="0"/>
        <v>1</v>
      </c>
    </row>
    <row r="28" spans="1:11" ht="15" customHeight="1">
      <c r="A28" s="37">
        <v>20</v>
      </c>
      <c r="B28" s="38" t="s">
        <v>133</v>
      </c>
      <c r="C28" s="38" t="s">
        <v>145</v>
      </c>
      <c r="D28" s="38" t="s">
        <v>1898</v>
      </c>
      <c r="E28" s="37" t="s">
        <v>105</v>
      </c>
      <c r="F28" s="37" t="s">
        <v>105</v>
      </c>
      <c r="G28" s="37" t="s">
        <v>564</v>
      </c>
      <c r="H28" s="37" t="s">
        <v>196</v>
      </c>
      <c r="I28" s="38" t="s">
        <v>1883</v>
      </c>
      <c r="J28" s="38" t="s">
        <v>566</v>
      </c>
      <c r="K28" s="39">
        <f t="shared" si="0"/>
        <v>1</v>
      </c>
    </row>
    <row r="29" spans="1:11" ht="15" customHeight="1">
      <c r="A29" s="37">
        <v>21</v>
      </c>
      <c r="B29" s="38" t="s">
        <v>133</v>
      </c>
      <c r="C29" s="38" t="s">
        <v>145</v>
      </c>
      <c r="D29" s="38" t="s">
        <v>1024</v>
      </c>
      <c r="E29" s="37" t="s">
        <v>105</v>
      </c>
      <c r="F29" s="37" t="s">
        <v>105</v>
      </c>
      <c r="G29" s="37" t="s">
        <v>564</v>
      </c>
      <c r="H29" s="37" t="s">
        <v>196</v>
      </c>
      <c r="I29" s="38" t="s">
        <v>1883</v>
      </c>
      <c r="J29" s="38" t="s">
        <v>566</v>
      </c>
      <c r="K29" s="39">
        <f t="shared" si="0"/>
        <v>1</v>
      </c>
    </row>
    <row r="30" spans="1:11" ht="15" customHeight="1">
      <c r="A30" s="37">
        <v>22</v>
      </c>
      <c r="B30" s="38" t="s">
        <v>133</v>
      </c>
      <c r="C30" s="38" t="s">
        <v>145</v>
      </c>
      <c r="D30" s="38" t="s">
        <v>1899</v>
      </c>
      <c r="E30" s="37" t="s">
        <v>105</v>
      </c>
      <c r="F30" s="37" t="s">
        <v>105</v>
      </c>
      <c r="G30" s="37" t="s">
        <v>564</v>
      </c>
      <c r="H30" s="37" t="s">
        <v>196</v>
      </c>
      <c r="I30" s="38" t="s">
        <v>1883</v>
      </c>
      <c r="J30" s="38" t="s">
        <v>566</v>
      </c>
      <c r="K30" s="39">
        <f t="shared" si="0"/>
        <v>1</v>
      </c>
    </row>
    <row r="31" spans="1:11" ht="15" customHeight="1">
      <c r="A31" s="37">
        <v>23</v>
      </c>
      <c r="B31" s="38" t="s">
        <v>133</v>
      </c>
      <c r="C31" s="38" t="s">
        <v>145</v>
      </c>
      <c r="D31" s="38" t="s">
        <v>1900</v>
      </c>
      <c r="E31" s="37" t="s">
        <v>105</v>
      </c>
      <c r="F31" s="37" t="s">
        <v>105</v>
      </c>
      <c r="G31" s="37" t="s">
        <v>564</v>
      </c>
      <c r="H31" s="37" t="s">
        <v>196</v>
      </c>
      <c r="I31" s="38" t="s">
        <v>1883</v>
      </c>
      <c r="J31" s="38" t="s">
        <v>566</v>
      </c>
      <c r="K31" s="39">
        <f t="shared" si="0"/>
        <v>1</v>
      </c>
    </row>
    <row r="32" spans="1:11" ht="15" customHeight="1">
      <c r="A32" s="37">
        <v>24</v>
      </c>
      <c r="B32" s="38" t="s">
        <v>133</v>
      </c>
      <c r="C32" s="38" t="s">
        <v>145</v>
      </c>
      <c r="D32" s="38" t="s">
        <v>1901</v>
      </c>
      <c r="E32" s="37" t="s">
        <v>105</v>
      </c>
      <c r="F32" s="37" t="s">
        <v>105</v>
      </c>
      <c r="G32" s="37" t="s">
        <v>564</v>
      </c>
      <c r="H32" s="37" t="s">
        <v>196</v>
      </c>
      <c r="I32" s="38" t="s">
        <v>1883</v>
      </c>
      <c r="J32" s="38" t="s">
        <v>566</v>
      </c>
      <c r="K32" s="39">
        <f t="shared" si="0"/>
        <v>1</v>
      </c>
    </row>
    <row r="33" spans="1:11" ht="15" customHeight="1">
      <c r="A33" s="37">
        <v>25</v>
      </c>
      <c r="B33" s="38" t="s">
        <v>133</v>
      </c>
      <c r="C33" s="38" t="s">
        <v>145</v>
      </c>
      <c r="D33" s="38" t="s">
        <v>1902</v>
      </c>
      <c r="E33" s="37" t="s">
        <v>105</v>
      </c>
      <c r="F33" s="37" t="s">
        <v>105</v>
      </c>
      <c r="G33" s="37" t="s">
        <v>564</v>
      </c>
      <c r="H33" s="37" t="s">
        <v>196</v>
      </c>
      <c r="I33" s="38" t="s">
        <v>1883</v>
      </c>
      <c r="J33" s="38" t="s">
        <v>566</v>
      </c>
      <c r="K33" s="39">
        <f t="shared" si="0"/>
        <v>1</v>
      </c>
    </row>
    <row r="34" spans="1:11" ht="15" customHeight="1">
      <c r="A34" s="37">
        <v>26</v>
      </c>
      <c r="B34" s="38" t="s">
        <v>133</v>
      </c>
      <c r="C34" s="38" t="s">
        <v>145</v>
      </c>
      <c r="D34" s="38" t="s">
        <v>1903</v>
      </c>
      <c r="E34" s="37" t="s">
        <v>105</v>
      </c>
      <c r="F34" s="37" t="s">
        <v>105</v>
      </c>
      <c r="G34" s="37" t="s">
        <v>564</v>
      </c>
      <c r="H34" s="37" t="s">
        <v>196</v>
      </c>
      <c r="I34" s="38" t="s">
        <v>1883</v>
      </c>
      <c r="J34" s="38" t="s">
        <v>566</v>
      </c>
      <c r="K34" s="39">
        <f t="shared" si="0"/>
        <v>1</v>
      </c>
    </row>
    <row r="35" spans="1:11" ht="15" customHeight="1">
      <c r="A35" s="37">
        <v>27</v>
      </c>
      <c r="B35" s="38" t="s">
        <v>133</v>
      </c>
      <c r="C35" s="38" t="s">
        <v>145</v>
      </c>
      <c r="D35" s="38" t="s">
        <v>1904</v>
      </c>
      <c r="E35" s="37" t="s">
        <v>105</v>
      </c>
      <c r="F35" s="37" t="s">
        <v>105</v>
      </c>
      <c r="G35" s="37" t="s">
        <v>564</v>
      </c>
      <c r="H35" s="37" t="s">
        <v>196</v>
      </c>
      <c r="I35" s="38" t="s">
        <v>1883</v>
      </c>
      <c r="J35" s="38" t="s">
        <v>566</v>
      </c>
      <c r="K35" s="39">
        <f t="shared" si="0"/>
        <v>1</v>
      </c>
    </row>
    <row r="36" spans="1:11" ht="15" customHeight="1">
      <c r="A36" s="37">
        <v>28</v>
      </c>
      <c r="B36" s="38" t="s">
        <v>133</v>
      </c>
      <c r="C36" s="38" t="s">
        <v>145</v>
      </c>
      <c r="D36" s="38" t="s">
        <v>1905</v>
      </c>
      <c r="E36" s="37" t="s">
        <v>105</v>
      </c>
      <c r="F36" s="37" t="s">
        <v>105</v>
      </c>
      <c r="G36" s="37" t="s">
        <v>564</v>
      </c>
      <c r="H36" s="37" t="s">
        <v>196</v>
      </c>
      <c r="I36" s="38" t="s">
        <v>1883</v>
      </c>
      <c r="J36" s="38" t="s">
        <v>566</v>
      </c>
      <c r="K36" s="39">
        <f t="shared" si="0"/>
        <v>1</v>
      </c>
    </row>
    <row r="37" spans="1:11" ht="15" customHeight="1">
      <c r="A37" s="37">
        <v>29</v>
      </c>
      <c r="B37" s="38" t="s">
        <v>133</v>
      </c>
      <c r="C37" s="38" t="s">
        <v>145</v>
      </c>
      <c r="D37" s="38" t="s">
        <v>1026</v>
      </c>
      <c r="E37" s="37" t="s">
        <v>105</v>
      </c>
      <c r="F37" s="37" t="s">
        <v>105</v>
      </c>
      <c r="G37" s="37" t="s">
        <v>564</v>
      </c>
      <c r="H37" s="37" t="s">
        <v>196</v>
      </c>
      <c r="I37" s="38" t="s">
        <v>1883</v>
      </c>
      <c r="J37" s="38" t="s">
        <v>566</v>
      </c>
      <c r="K37" s="39">
        <f t="shared" si="0"/>
        <v>1</v>
      </c>
    </row>
    <row r="38" spans="1:11" ht="15" customHeight="1">
      <c r="A38" s="37">
        <v>30</v>
      </c>
      <c r="B38" s="38" t="s">
        <v>133</v>
      </c>
      <c r="C38" s="38" t="s">
        <v>145</v>
      </c>
      <c r="D38" s="38" t="s">
        <v>1906</v>
      </c>
      <c r="E38" s="37" t="s">
        <v>105</v>
      </c>
      <c r="F38" s="37" t="s">
        <v>105</v>
      </c>
      <c r="G38" s="37" t="s">
        <v>564</v>
      </c>
      <c r="H38" s="37" t="s">
        <v>196</v>
      </c>
      <c r="I38" s="38" t="s">
        <v>1883</v>
      </c>
      <c r="J38" s="38" t="s">
        <v>566</v>
      </c>
      <c r="K38" s="39">
        <f t="shared" si="0"/>
        <v>1</v>
      </c>
    </row>
    <row r="39" spans="1:11" ht="15" customHeight="1">
      <c r="A39" s="37">
        <v>31</v>
      </c>
      <c r="B39" s="38" t="s">
        <v>130</v>
      </c>
      <c r="C39" s="38" t="s">
        <v>145</v>
      </c>
      <c r="D39" s="38" t="s">
        <v>1029</v>
      </c>
      <c r="E39" s="37" t="s">
        <v>105</v>
      </c>
      <c r="F39" s="37" t="s">
        <v>105</v>
      </c>
      <c r="G39" s="37" t="s">
        <v>564</v>
      </c>
      <c r="H39" s="37" t="s">
        <v>196</v>
      </c>
      <c r="I39" s="38" t="s">
        <v>1883</v>
      </c>
      <c r="J39" s="38" t="s">
        <v>566</v>
      </c>
      <c r="K39" s="39">
        <f t="shared" si="0"/>
        <v>1</v>
      </c>
    </row>
    <row r="40" spans="1:11" ht="15" customHeight="1">
      <c r="A40" s="37">
        <v>32</v>
      </c>
      <c r="B40" s="38" t="s">
        <v>130</v>
      </c>
      <c r="C40" s="38" t="s">
        <v>145</v>
      </c>
      <c r="D40" s="38" t="s">
        <v>1030</v>
      </c>
      <c r="E40" s="37" t="s">
        <v>105</v>
      </c>
      <c r="F40" s="37" t="s">
        <v>105</v>
      </c>
      <c r="G40" s="37" t="s">
        <v>564</v>
      </c>
      <c r="H40" s="37" t="s">
        <v>196</v>
      </c>
      <c r="I40" s="38" t="s">
        <v>1883</v>
      </c>
      <c r="J40" s="38" t="s">
        <v>566</v>
      </c>
      <c r="K40" s="39">
        <f t="shared" si="0"/>
        <v>1</v>
      </c>
    </row>
    <row r="41" spans="1:11" ht="15" customHeight="1">
      <c r="A41" s="37">
        <v>33</v>
      </c>
      <c r="B41" s="38" t="s">
        <v>130</v>
      </c>
      <c r="C41" s="38" t="s">
        <v>145</v>
      </c>
      <c r="D41" s="38" t="s">
        <v>1031</v>
      </c>
      <c r="E41" s="37" t="s">
        <v>105</v>
      </c>
      <c r="F41" s="37" t="s">
        <v>105</v>
      </c>
      <c r="G41" s="37" t="s">
        <v>564</v>
      </c>
      <c r="H41" s="37" t="s">
        <v>196</v>
      </c>
      <c r="I41" s="38" t="s">
        <v>1883</v>
      </c>
      <c r="J41" s="38" t="s">
        <v>566</v>
      </c>
      <c r="K41" s="39">
        <f t="shared" ref="K41:K72" si="1">IF(AND(E41="yes",F41="yes",H41="covered"),1,IF(H41="partial",0.5,0))</f>
        <v>1</v>
      </c>
    </row>
    <row r="42" spans="1:11" ht="45" customHeight="1">
      <c r="A42" s="37">
        <v>34</v>
      </c>
      <c r="B42" s="38" t="s">
        <v>130</v>
      </c>
      <c r="C42" s="38" t="s">
        <v>145</v>
      </c>
      <c r="D42" s="38" t="s">
        <v>1032</v>
      </c>
      <c r="E42" s="37" t="s">
        <v>105</v>
      </c>
      <c r="F42" s="37" t="s">
        <v>105</v>
      </c>
      <c r="G42" s="37" t="s">
        <v>564</v>
      </c>
      <c r="H42" s="37" t="s">
        <v>196</v>
      </c>
      <c r="I42" s="38" t="s">
        <v>1883</v>
      </c>
      <c r="J42" s="38" t="s">
        <v>566</v>
      </c>
      <c r="K42" s="39">
        <f t="shared" si="1"/>
        <v>1</v>
      </c>
    </row>
    <row r="43" spans="1:11" ht="15" customHeight="1">
      <c r="A43" s="37">
        <v>35</v>
      </c>
      <c r="B43" s="38" t="s">
        <v>128</v>
      </c>
      <c r="C43" s="38" t="s">
        <v>145</v>
      </c>
      <c r="D43" s="38" t="s">
        <v>1033</v>
      </c>
      <c r="E43" s="37" t="s">
        <v>105</v>
      </c>
      <c r="F43" s="37" t="s">
        <v>105</v>
      </c>
      <c r="G43" s="37" t="s">
        <v>564</v>
      </c>
      <c r="H43" s="37" t="s">
        <v>196</v>
      </c>
      <c r="I43" s="38" t="s">
        <v>1883</v>
      </c>
      <c r="J43" s="38" t="s">
        <v>566</v>
      </c>
      <c r="K43" s="39">
        <f t="shared" si="1"/>
        <v>1</v>
      </c>
    </row>
    <row r="44" spans="1:11" ht="15" customHeight="1">
      <c r="A44" s="37">
        <v>36</v>
      </c>
      <c r="B44" s="38" t="s">
        <v>95</v>
      </c>
      <c r="C44" s="38" t="s">
        <v>145</v>
      </c>
      <c r="D44" s="38" t="s">
        <v>1034</v>
      </c>
      <c r="E44" s="37" t="s">
        <v>105</v>
      </c>
      <c r="F44" s="37" t="s">
        <v>105</v>
      </c>
      <c r="G44" s="37" t="s">
        <v>564</v>
      </c>
      <c r="H44" s="37" t="s">
        <v>196</v>
      </c>
      <c r="I44" s="38" t="s">
        <v>1883</v>
      </c>
      <c r="J44" s="38" t="s">
        <v>566</v>
      </c>
      <c r="K44" s="39">
        <f t="shared" si="1"/>
        <v>1</v>
      </c>
    </row>
    <row r="45" spans="1:11" ht="15" customHeight="1">
      <c r="A45" s="37">
        <v>37</v>
      </c>
      <c r="B45" s="38" t="s">
        <v>1036</v>
      </c>
      <c r="C45" s="38" t="s">
        <v>145</v>
      </c>
      <c r="D45" s="38" t="s">
        <v>1037</v>
      </c>
      <c r="E45" s="37" t="s">
        <v>105</v>
      </c>
      <c r="F45" s="37" t="s">
        <v>105</v>
      </c>
      <c r="G45" s="37" t="s">
        <v>564</v>
      </c>
      <c r="H45" s="37" t="s">
        <v>196</v>
      </c>
      <c r="I45" s="38" t="s">
        <v>1883</v>
      </c>
      <c r="J45" s="38" t="s">
        <v>566</v>
      </c>
      <c r="K45" s="39">
        <f t="shared" si="1"/>
        <v>1</v>
      </c>
    </row>
    <row r="46" spans="1:11" ht="15" customHeight="1">
      <c r="A46" s="37">
        <v>38</v>
      </c>
      <c r="B46" s="38" t="s">
        <v>1036</v>
      </c>
      <c r="C46" s="38" t="s">
        <v>145</v>
      </c>
      <c r="D46" s="38" t="s">
        <v>1038</v>
      </c>
      <c r="E46" s="37" t="s">
        <v>105</v>
      </c>
      <c r="F46" s="37" t="s">
        <v>105</v>
      </c>
      <c r="G46" s="37" t="s">
        <v>564</v>
      </c>
      <c r="H46" s="37" t="s">
        <v>196</v>
      </c>
      <c r="I46" s="38" t="s">
        <v>1883</v>
      </c>
      <c r="J46" s="38" t="s">
        <v>566</v>
      </c>
      <c r="K46" s="39">
        <f t="shared" si="1"/>
        <v>1</v>
      </c>
    </row>
    <row r="47" spans="1:11" ht="15" customHeight="1">
      <c r="A47" s="37">
        <v>39</v>
      </c>
      <c r="B47" s="38" t="s">
        <v>179</v>
      </c>
      <c r="C47" s="38" t="s">
        <v>145</v>
      </c>
      <c r="D47" s="38" t="s">
        <v>1907</v>
      </c>
      <c r="E47" s="37" t="s">
        <v>105</v>
      </c>
      <c r="F47" s="37" t="s">
        <v>105</v>
      </c>
      <c r="G47" s="37" t="s">
        <v>564</v>
      </c>
      <c r="H47" s="37" t="s">
        <v>196</v>
      </c>
      <c r="I47" s="38" t="s">
        <v>1883</v>
      </c>
      <c r="J47" s="38" t="s">
        <v>566</v>
      </c>
      <c r="K47" s="39">
        <f t="shared" si="1"/>
        <v>1</v>
      </c>
    </row>
    <row r="48" spans="1:11" ht="15" customHeight="1">
      <c r="A48" s="37">
        <v>40</v>
      </c>
      <c r="B48" s="38" t="s">
        <v>179</v>
      </c>
      <c r="C48" s="38" t="s">
        <v>145</v>
      </c>
      <c r="D48" s="38" t="s">
        <v>1908</v>
      </c>
      <c r="E48" s="37" t="s">
        <v>105</v>
      </c>
      <c r="F48" s="37" t="s">
        <v>105</v>
      </c>
      <c r="G48" s="37" t="s">
        <v>564</v>
      </c>
      <c r="H48" s="37" t="s">
        <v>196</v>
      </c>
      <c r="I48" s="38" t="s">
        <v>1883</v>
      </c>
      <c r="J48" s="38" t="s">
        <v>566</v>
      </c>
      <c r="K48" s="39">
        <f t="shared" si="1"/>
        <v>1</v>
      </c>
    </row>
    <row r="49" spans="1:11" ht="15" customHeight="1">
      <c r="A49" s="37">
        <v>41</v>
      </c>
      <c r="B49" s="38" t="s">
        <v>179</v>
      </c>
      <c r="C49" s="38" t="s">
        <v>145</v>
      </c>
      <c r="D49" s="38" t="s">
        <v>1200</v>
      </c>
      <c r="E49" s="37" t="s">
        <v>105</v>
      </c>
      <c r="F49" s="37" t="s">
        <v>105</v>
      </c>
      <c r="G49" s="37" t="s">
        <v>564</v>
      </c>
      <c r="H49" s="37" t="s">
        <v>196</v>
      </c>
      <c r="I49" s="38" t="s">
        <v>1883</v>
      </c>
      <c r="J49" s="38" t="s">
        <v>566</v>
      </c>
      <c r="K49" s="39">
        <f t="shared" si="1"/>
        <v>1</v>
      </c>
    </row>
    <row r="50" spans="1:11" ht="15" customHeight="1">
      <c r="A50" s="37">
        <v>42</v>
      </c>
      <c r="B50" s="38" t="s">
        <v>179</v>
      </c>
      <c r="C50" s="38" t="s">
        <v>145</v>
      </c>
      <c r="D50" s="38" t="s">
        <v>1201</v>
      </c>
      <c r="E50" s="37" t="s">
        <v>105</v>
      </c>
      <c r="F50" s="37" t="s">
        <v>105</v>
      </c>
      <c r="G50" s="37" t="s">
        <v>564</v>
      </c>
      <c r="H50" s="37" t="s">
        <v>196</v>
      </c>
      <c r="I50" s="38" t="s">
        <v>1883</v>
      </c>
      <c r="J50" s="38" t="s">
        <v>566</v>
      </c>
      <c r="K50" s="39">
        <f t="shared" si="1"/>
        <v>1</v>
      </c>
    </row>
    <row r="51" spans="1:11" ht="15" customHeight="1">
      <c r="A51" s="37">
        <v>43</v>
      </c>
      <c r="B51" s="38" t="s">
        <v>179</v>
      </c>
      <c r="C51" s="38" t="s">
        <v>145</v>
      </c>
      <c r="D51" s="38" t="s">
        <v>1909</v>
      </c>
      <c r="E51" s="37" t="s">
        <v>105</v>
      </c>
      <c r="F51" s="37" t="s">
        <v>105</v>
      </c>
      <c r="G51" s="37" t="s">
        <v>564</v>
      </c>
      <c r="H51" s="37" t="s">
        <v>196</v>
      </c>
      <c r="I51" s="38" t="s">
        <v>1883</v>
      </c>
      <c r="J51" s="38" t="s">
        <v>566</v>
      </c>
      <c r="K51" s="39">
        <f t="shared" si="1"/>
        <v>1</v>
      </c>
    </row>
    <row r="52" spans="1:11" ht="15" customHeight="1">
      <c r="A52" s="37">
        <v>44</v>
      </c>
      <c r="B52" s="38" t="s">
        <v>179</v>
      </c>
      <c r="C52" s="38" t="s">
        <v>145</v>
      </c>
      <c r="D52" s="38" t="s">
        <v>861</v>
      </c>
      <c r="E52" s="37" t="s">
        <v>105</v>
      </c>
      <c r="F52" s="37" t="s">
        <v>105</v>
      </c>
      <c r="G52" s="37" t="s">
        <v>564</v>
      </c>
      <c r="H52" s="37" t="s">
        <v>196</v>
      </c>
      <c r="I52" s="38" t="s">
        <v>1883</v>
      </c>
      <c r="J52" s="38" t="s">
        <v>566</v>
      </c>
      <c r="K52" s="39">
        <f t="shared" si="1"/>
        <v>1</v>
      </c>
    </row>
    <row r="53" spans="1:11" ht="15" customHeight="1">
      <c r="A53" s="37">
        <v>45</v>
      </c>
      <c r="B53" s="38" t="s">
        <v>179</v>
      </c>
      <c r="C53" s="38" t="s">
        <v>145</v>
      </c>
      <c r="D53" s="38" t="s">
        <v>1910</v>
      </c>
      <c r="E53" s="37" t="s">
        <v>105</v>
      </c>
      <c r="F53" s="37" t="s">
        <v>105</v>
      </c>
      <c r="G53" s="37" t="s">
        <v>564</v>
      </c>
      <c r="H53" s="37" t="s">
        <v>196</v>
      </c>
      <c r="I53" s="38" t="s">
        <v>1883</v>
      </c>
      <c r="J53" s="38" t="s">
        <v>566</v>
      </c>
      <c r="K53" s="39">
        <f t="shared" si="1"/>
        <v>1</v>
      </c>
    </row>
    <row r="54" spans="1:11" ht="15" customHeight="1">
      <c r="A54" s="37">
        <v>46</v>
      </c>
      <c r="B54" s="38" t="s">
        <v>179</v>
      </c>
      <c r="C54" s="38" t="s">
        <v>145</v>
      </c>
      <c r="D54" s="38" t="s">
        <v>1911</v>
      </c>
      <c r="E54" s="37" t="s">
        <v>105</v>
      </c>
      <c r="F54" s="37" t="s">
        <v>105</v>
      </c>
      <c r="G54" s="37" t="s">
        <v>564</v>
      </c>
      <c r="H54" s="37" t="s">
        <v>196</v>
      </c>
      <c r="I54" s="38" t="s">
        <v>1883</v>
      </c>
      <c r="J54" s="38" t="s">
        <v>566</v>
      </c>
      <c r="K54" s="39">
        <f t="shared" si="1"/>
        <v>1</v>
      </c>
    </row>
    <row r="55" spans="1:11" ht="15" customHeight="1">
      <c r="A55" s="37">
        <v>47</v>
      </c>
      <c r="B55" s="38" t="s">
        <v>179</v>
      </c>
      <c r="C55" s="38" t="s">
        <v>145</v>
      </c>
      <c r="D55" s="38" t="s">
        <v>1912</v>
      </c>
      <c r="E55" s="37" t="s">
        <v>105</v>
      </c>
      <c r="F55" s="37" t="s">
        <v>105</v>
      </c>
      <c r="G55" s="37" t="s">
        <v>564</v>
      </c>
      <c r="H55" s="37" t="s">
        <v>196</v>
      </c>
      <c r="I55" s="38" t="s">
        <v>1883</v>
      </c>
      <c r="J55" s="38" t="s">
        <v>566</v>
      </c>
      <c r="K55" s="39">
        <f t="shared" si="1"/>
        <v>1</v>
      </c>
    </row>
    <row r="56" spans="1:11" ht="15" customHeight="1">
      <c r="A56" s="37">
        <v>48</v>
      </c>
      <c r="B56" s="38" t="s">
        <v>179</v>
      </c>
      <c r="C56" s="38" t="s">
        <v>145</v>
      </c>
      <c r="D56" s="38" t="s">
        <v>1913</v>
      </c>
      <c r="E56" s="37" t="s">
        <v>105</v>
      </c>
      <c r="F56" s="37" t="s">
        <v>105</v>
      </c>
      <c r="G56" s="37" t="s">
        <v>564</v>
      </c>
      <c r="H56" s="37" t="s">
        <v>196</v>
      </c>
      <c r="I56" s="38" t="s">
        <v>1883</v>
      </c>
      <c r="J56" s="38" t="s">
        <v>566</v>
      </c>
      <c r="K56" s="39">
        <f t="shared" si="1"/>
        <v>1</v>
      </c>
    </row>
    <row r="57" spans="1:11" ht="15" customHeight="1">
      <c r="A57" s="37">
        <v>49</v>
      </c>
      <c r="B57" s="38" t="s">
        <v>179</v>
      </c>
      <c r="C57" s="38" t="s">
        <v>145</v>
      </c>
      <c r="D57" s="38" t="s">
        <v>1202</v>
      </c>
      <c r="E57" s="37" t="s">
        <v>105</v>
      </c>
      <c r="F57" s="37" t="s">
        <v>105</v>
      </c>
      <c r="G57" s="37" t="s">
        <v>564</v>
      </c>
      <c r="H57" s="37" t="s">
        <v>196</v>
      </c>
      <c r="I57" s="38" t="s">
        <v>1883</v>
      </c>
      <c r="J57" s="38" t="s">
        <v>566</v>
      </c>
      <c r="K57" s="39">
        <f t="shared" si="1"/>
        <v>1</v>
      </c>
    </row>
    <row r="58" spans="1:11" ht="15" customHeight="1">
      <c r="A58" s="37">
        <v>50</v>
      </c>
      <c r="B58" s="38" t="s">
        <v>179</v>
      </c>
      <c r="C58" s="38" t="s">
        <v>145</v>
      </c>
      <c r="D58" s="38" t="s">
        <v>1203</v>
      </c>
      <c r="E58" s="37" t="s">
        <v>105</v>
      </c>
      <c r="F58" s="37" t="s">
        <v>105</v>
      </c>
      <c r="G58" s="37" t="s">
        <v>564</v>
      </c>
      <c r="H58" s="37" t="s">
        <v>196</v>
      </c>
      <c r="I58" s="38" t="s">
        <v>1883</v>
      </c>
      <c r="J58" s="38" t="s">
        <v>566</v>
      </c>
      <c r="K58" s="39">
        <f t="shared" si="1"/>
        <v>1</v>
      </c>
    </row>
    <row r="59" spans="1:11" ht="15" customHeight="1">
      <c r="A59" s="37">
        <v>51</v>
      </c>
      <c r="B59" s="38" t="s">
        <v>179</v>
      </c>
      <c r="C59" s="38" t="s">
        <v>145</v>
      </c>
      <c r="D59" s="38" t="s">
        <v>1914</v>
      </c>
      <c r="E59" s="37" t="s">
        <v>105</v>
      </c>
      <c r="F59" s="37" t="s">
        <v>105</v>
      </c>
      <c r="G59" s="37" t="s">
        <v>564</v>
      </c>
      <c r="H59" s="37" t="s">
        <v>196</v>
      </c>
      <c r="I59" s="38" t="s">
        <v>1883</v>
      </c>
      <c r="J59" s="38" t="s">
        <v>566</v>
      </c>
      <c r="K59" s="39">
        <f t="shared" si="1"/>
        <v>1</v>
      </c>
    </row>
    <row r="60" spans="1:11" ht="15" customHeight="1">
      <c r="A60" s="37">
        <v>52</v>
      </c>
      <c r="B60" s="38" t="s">
        <v>179</v>
      </c>
      <c r="C60" s="38" t="s">
        <v>145</v>
      </c>
      <c r="D60" s="38" t="s">
        <v>1915</v>
      </c>
      <c r="E60" s="37" t="s">
        <v>105</v>
      </c>
      <c r="F60" s="37" t="s">
        <v>105</v>
      </c>
      <c r="G60" s="37" t="s">
        <v>564</v>
      </c>
      <c r="H60" s="37" t="s">
        <v>196</v>
      </c>
      <c r="I60" s="38" t="s">
        <v>1883</v>
      </c>
      <c r="J60" s="38" t="s">
        <v>566</v>
      </c>
      <c r="K60" s="39">
        <f t="shared" si="1"/>
        <v>1</v>
      </c>
    </row>
    <row r="61" spans="1:11" ht="15" customHeight="1">
      <c r="A61" s="37">
        <v>53</v>
      </c>
      <c r="B61" s="38" t="s">
        <v>179</v>
      </c>
      <c r="C61" s="38" t="s">
        <v>145</v>
      </c>
      <c r="D61" s="38" t="s">
        <v>1916</v>
      </c>
      <c r="E61" s="37" t="s">
        <v>105</v>
      </c>
      <c r="F61" s="37" t="s">
        <v>105</v>
      </c>
      <c r="G61" s="37" t="s">
        <v>564</v>
      </c>
      <c r="H61" s="37" t="s">
        <v>196</v>
      </c>
      <c r="I61" s="38" t="s">
        <v>1883</v>
      </c>
      <c r="J61" s="38" t="s">
        <v>566</v>
      </c>
      <c r="K61" s="39">
        <f t="shared" si="1"/>
        <v>1</v>
      </c>
    </row>
    <row r="62" spans="1:11" ht="15" customHeight="1">
      <c r="A62" s="37">
        <v>54</v>
      </c>
      <c r="B62" s="38" t="s">
        <v>179</v>
      </c>
      <c r="C62" s="38" t="s">
        <v>145</v>
      </c>
      <c r="D62" s="38" t="s">
        <v>1917</v>
      </c>
      <c r="E62" s="37" t="s">
        <v>105</v>
      </c>
      <c r="F62" s="37" t="s">
        <v>105</v>
      </c>
      <c r="G62" s="37" t="s">
        <v>564</v>
      </c>
      <c r="H62" s="37" t="s">
        <v>196</v>
      </c>
      <c r="I62" s="38" t="s">
        <v>1883</v>
      </c>
      <c r="J62" s="38" t="s">
        <v>566</v>
      </c>
      <c r="K62" s="39">
        <f t="shared" si="1"/>
        <v>1</v>
      </c>
    </row>
    <row r="63" spans="1:11" ht="15" customHeight="1">
      <c r="A63" s="37">
        <v>55</v>
      </c>
      <c r="B63" s="38" t="s">
        <v>133</v>
      </c>
      <c r="C63" s="38" t="s">
        <v>1918</v>
      </c>
      <c r="D63" s="38" t="s">
        <v>1919</v>
      </c>
      <c r="E63" s="37" t="s">
        <v>105</v>
      </c>
      <c r="F63" s="37" t="s">
        <v>105</v>
      </c>
      <c r="G63" s="37" t="s">
        <v>564</v>
      </c>
      <c r="H63" s="37" t="s">
        <v>196</v>
      </c>
      <c r="I63" s="38" t="s">
        <v>1883</v>
      </c>
      <c r="J63" s="38" t="s">
        <v>566</v>
      </c>
      <c r="K63" s="39">
        <f t="shared" si="1"/>
        <v>1</v>
      </c>
    </row>
    <row r="64" spans="1:11" ht="15" customHeight="1">
      <c r="A64" s="37">
        <v>56</v>
      </c>
      <c r="B64" s="38" t="s">
        <v>133</v>
      </c>
      <c r="C64" s="38" t="s">
        <v>1918</v>
      </c>
      <c r="D64" s="38" t="s">
        <v>1920</v>
      </c>
      <c r="E64" s="37" t="s">
        <v>105</v>
      </c>
      <c r="F64" s="37" t="s">
        <v>105</v>
      </c>
      <c r="G64" s="37" t="s">
        <v>564</v>
      </c>
      <c r="H64" s="37" t="s">
        <v>196</v>
      </c>
      <c r="I64" s="38" t="s">
        <v>1883</v>
      </c>
      <c r="J64" s="38" t="s">
        <v>566</v>
      </c>
      <c r="K64" s="39">
        <f t="shared" si="1"/>
        <v>1</v>
      </c>
    </row>
    <row r="65" spans="1:11" ht="15" customHeight="1">
      <c r="A65" s="37">
        <v>57</v>
      </c>
      <c r="B65" s="38" t="s">
        <v>133</v>
      </c>
      <c r="C65" s="38" t="s">
        <v>1918</v>
      </c>
      <c r="D65" s="38" t="s">
        <v>1921</v>
      </c>
      <c r="E65" s="37" t="s">
        <v>105</v>
      </c>
      <c r="F65" s="37" t="s">
        <v>105</v>
      </c>
      <c r="G65" s="37" t="s">
        <v>564</v>
      </c>
      <c r="H65" s="37" t="s">
        <v>196</v>
      </c>
      <c r="I65" s="38" t="s">
        <v>1883</v>
      </c>
      <c r="J65" s="38" t="s">
        <v>566</v>
      </c>
      <c r="K65" s="39">
        <f t="shared" si="1"/>
        <v>1</v>
      </c>
    </row>
    <row r="66" spans="1:11" ht="45" customHeight="1">
      <c r="A66" s="37">
        <v>58</v>
      </c>
      <c r="B66" s="38" t="s">
        <v>133</v>
      </c>
      <c r="C66" s="38" t="s">
        <v>1918</v>
      </c>
      <c r="D66" s="38" t="s">
        <v>1922</v>
      </c>
      <c r="E66" s="37" t="s">
        <v>105</v>
      </c>
      <c r="F66" s="37" t="s">
        <v>105</v>
      </c>
      <c r="G66" s="37" t="s">
        <v>564</v>
      </c>
      <c r="H66" s="37" t="s">
        <v>196</v>
      </c>
      <c r="I66" s="38" t="s">
        <v>1883</v>
      </c>
      <c r="J66" s="38" t="s">
        <v>566</v>
      </c>
      <c r="K66" s="39">
        <f t="shared" si="1"/>
        <v>1</v>
      </c>
    </row>
    <row r="67" spans="1:11" ht="15" customHeight="1">
      <c r="A67" s="37">
        <v>59</v>
      </c>
      <c r="B67" s="38" t="s">
        <v>128</v>
      </c>
      <c r="C67" s="38" t="s">
        <v>1918</v>
      </c>
      <c r="D67" s="38" t="s">
        <v>1923</v>
      </c>
      <c r="E67" s="37" t="s">
        <v>105</v>
      </c>
      <c r="F67" s="37" t="s">
        <v>105</v>
      </c>
      <c r="G67" s="37" t="s">
        <v>564</v>
      </c>
      <c r="H67" s="37" t="s">
        <v>196</v>
      </c>
      <c r="I67" s="38" t="s">
        <v>1883</v>
      </c>
      <c r="J67" s="38" t="s">
        <v>566</v>
      </c>
      <c r="K67" s="39">
        <f t="shared" si="1"/>
        <v>1</v>
      </c>
    </row>
    <row r="68" spans="1:11" ht="15" customHeight="1">
      <c r="A68" s="37">
        <v>60</v>
      </c>
      <c r="B68" s="38" t="s">
        <v>95</v>
      </c>
      <c r="C68" s="38" t="s">
        <v>1918</v>
      </c>
      <c r="D68" s="38" t="s">
        <v>1924</v>
      </c>
      <c r="E68" s="37" t="s">
        <v>105</v>
      </c>
      <c r="F68" s="37" t="s">
        <v>105</v>
      </c>
      <c r="G68" s="37" t="s">
        <v>564</v>
      </c>
      <c r="H68" s="37" t="s">
        <v>196</v>
      </c>
      <c r="I68" s="38" t="s">
        <v>1883</v>
      </c>
      <c r="J68" s="38" t="s">
        <v>566</v>
      </c>
      <c r="K68" s="39">
        <f t="shared" si="1"/>
        <v>1</v>
      </c>
    </row>
    <row r="69" spans="1:11" ht="15" customHeight="1">
      <c r="A69" s="37">
        <v>61</v>
      </c>
      <c r="B69" s="38" t="s">
        <v>1036</v>
      </c>
      <c r="C69" s="38" t="s">
        <v>1918</v>
      </c>
      <c r="D69" s="38" t="s">
        <v>1925</v>
      </c>
      <c r="E69" s="37" t="s">
        <v>105</v>
      </c>
      <c r="F69" s="37" t="s">
        <v>105</v>
      </c>
      <c r="G69" s="37" t="s">
        <v>564</v>
      </c>
      <c r="H69" s="37" t="s">
        <v>196</v>
      </c>
      <c r="I69" s="38" t="s">
        <v>1883</v>
      </c>
      <c r="J69" s="38" t="s">
        <v>566</v>
      </c>
      <c r="K69" s="39">
        <f t="shared" si="1"/>
        <v>1</v>
      </c>
    </row>
    <row r="70" spans="1:11" ht="15" customHeight="1">
      <c r="A70" s="37">
        <v>62</v>
      </c>
      <c r="B70" s="38" t="s">
        <v>133</v>
      </c>
      <c r="C70" s="38" t="s">
        <v>1739</v>
      </c>
      <c r="D70" s="38" t="s">
        <v>1926</v>
      </c>
      <c r="E70" s="37" t="s">
        <v>105</v>
      </c>
      <c r="F70" s="37" t="s">
        <v>105</v>
      </c>
      <c r="G70" s="37" t="s">
        <v>564</v>
      </c>
      <c r="H70" s="37" t="s">
        <v>196</v>
      </c>
      <c r="I70" s="38" t="s">
        <v>1883</v>
      </c>
      <c r="J70" s="38" t="s">
        <v>566</v>
      </c>
      <c r="K70" s="39">
        <f t="shared" si="1"/>
        <v>1</v>
      </c>
    </row>
    <row r="71" spans="1:11" ht="45" customHeight="1">
      <c r="A71" s="37">
        <v>63</v>
      </c>
      <c r="B71" s="38" t="s">
        <v>539</v>
      </c>
      <c r="C71" s="38" t="s">
        <v>1739</v>
      </c>
      <c r="D71" s="38" t="s">
        <v>1927</v>
      </c>
      <c r="E71" s="37" t="s">
        <v>105</v>
      </c>
      <c r="F71" s="37" t="s">
        <v>105</v>
      </c>
      <c r="G71" s="37" t="s">
        <v>564</v>
      </c>
      <c r="H71" s="37" t="s">
        <v>196</v>
      </c>
      <c r="I71" s="38" t="s">
        <v>1883</v>
      </c>
      <c r="J71" s="38" t="s">
        <v>566</v>
      </c>
      <c r="K71" s="39">
        <f t="shared" si="1"/>
        <v>1</v>
      </c>
    </row>
    <row r="72" spans="1:11" ht="15" customHeight="1">
      <c r="A72" s="37">
        <v>64</v>
      </c>
      <c r="B72" s="38" t="s">
        <v>128</v>
      </c>
      <c r="C72" s="38" t="s">
        <v>1739</v>
      </c>
      <c r="D72" s="38" t="s">
        <v>1923</v>
      </c>
      <c r="E72" s="37" t="s">
        <v>105</v>
      </c>
      <c r="F72" s="37" t="s">
        <v>105</v>
      </c>
      <c r="G72" s="37" t="s">
        <v>564</v>
      </c>
      <c r="H72" s="37" t="s">
        <v>196</v>
      </c>
      <c r="I72" s="38" t="s">
        <v>1883</v>
      </c>
      <c r="J72" s="38" t="s">
        <v>566</v>
      </c>
      <c r="K72" s="39">
        <f t="shared" si="1"/>
        <v>1</v>
      </c>
    </row>
    <row r="73" spans="1:11" ht="15" customHeight="1">
      <c r="A73" s="37">
        <v>65</v>
      </c>
      <c r="B73" s="38" t="s">
        <v>95</v>
      </c>
      <c r="C73" s="38" t="s">
        <v>1739</v>
      </c>
      <c r="D73" s="38" t="s">
        <v>1924</v>
      </c>
      <c r="E73" s="37" t="s">
        <v>105</v>
      </c>
      <c r="F73" s="37" t="s">
        <v>105</v>
      </c>
      <c r="G73" s="37" t="s">
        <v>564</v>
      </c>
      <c r="H73" s="37" t="s">
        <v>196</v>
      </c>
      <c r="I73" s="38" t="s">
        <v>1883</v>
      </c>
      <c r="J73" s="38" t="s">
        <v>566</v>
      </c>
      <c r="K73" s="39">
        <f t="shared" ref="K73:K104" si="2">IF(AND(E73="yes",F73="yes",H73="covered"),1,IF(H73="partial",0.5,0))</f>
        <v>1</v>
      </c>
    </row>
    <row r="74" spans="1:11" ht="15" customHeight="1">
      <c r="A74" s="37">
        <v>66</v>
      </c>
      <c r="B74" s="38" t="s">
        <v>1036</v>
      </c>
      <c r="C74" s="38" t="s">
        <v>1739</v>
      </c>
      <c r="D74" s="38" t="s">
        <v>1925</v>
      </c>
      <c r="E74" s="37" t="s">
        <v>105</v>
      </c>
      <c r="F74" s="37" t="s">
        <v>105</v>
      </c>
      <c r="G74" s="37" t="s">
        <v>564</v>
      </c>
      <c r="H74" s="37" t="s">
        <v>196</v>
      </c>
      <c r="I74" s="38" t="s">
        <v>1883</v>
      </c>
      <c r="J74" s="38" t="s">
        <v>566</v>
      </c>
      <c r="K74" s="39">
        <f t="shared" si="2"/>
        <v>1</v>
      </c>
    </row>
    <row r="75" spans="1:11" ht="15" customHeight="1">
      <c r="A75" s="37">
        <v>67</v>
      </c>
      <c r="B75" s="38" t="s">
        <v>133</v>
      </c>
      <c r="C75" s="38" t="s">
        <v>55</v>
      </c>
      <c r="D75" s="38" t="s">
        <v>1928</v>
      </c>
      <c r="E75" s="37" t="s">
        <v>105</v>
      </c>
      <c r="F75" s="37" t="s">
        <v>105</v>
      </c>
      <c r="G75" s="37" t="s">
        <v>564</v>
      </c>
      <c r="H75" s="37" t="s">
        <v>196</v>
      </c>
      <c r="I75" s="38" t="s">
        <v>1883</v>
      </c>
      <c r="J75" s="38" t="s">
        <v>566</v>
      </c>
      <c r="K75" s="39">
        <f t="shared" si="2"/>
        <v>1</v>
      </c>
    </row>
    <row r="76" spans="1:11" ht="15" customHeight="1">
      <c r="A76" s="37">
        <v>68</v>
      </c>
      <c r="B76" s="38" t="s">
        <v>133</v>
      </c>
      <c r="C76" s="38" t="s">
        <v>55</v>
      </c>
      <c r="D76" s="38" t="s">
        <v>1929</v>
      </c>
      <c r="E76" s="37" t="s">
        <v>105</v>
      </c>
      <c r="F76" s="37" t="s">
        <v>105</v>
      </c>
      <c r="G76" s="37" t="s">
        <v>564</v>
      </c>
      <c r="H76" s="37" t="s">
        <v>196</v>
      </c>
      <c r="I76" s="38" t="s">
        <v>1883</v>
      </c>
      <c r="J76" s="38" t="s">
        <v>566</v>
      </c>
      <c r="K76" s="39">
        <f t="shared" si="2"/>
        <v>1</v>
      </c>
    </row>
    <row r="77" spans="1:11" ht="15" customHeight="1">
      <c r="A77" s="37">
        <v>69</v>
      </c>
      <c r="B77" s="38" t="s">
        <v>133</v>
      </c>
      <c r="C77" s="38" t="s">
        <v>55</v>
      </c>
      <c r="D77" s="38" t="s">
        <v>1930</v>
      </c>
      <c r="E77" s="37" t="s">
        <v>105</v>
      </c>
      <c r="F77" s="37" t="s">
        <v>105</v>
      </c>
      <c r="G77" s="37" t="s">
        <v>564</v>
      </c>
      <c r="H77" s="37" t="s">
        <v>196</v>
      </c>
      <c r="I77" s="38" t="s">
        <v>1883</v>
      </c>
      <c r="J77" s="38" t="s">
        <v>566</v>
      </c>
      <c r="K77" s="39">
        <f t="shared" si="2"/>
        <v>1</v>
      </c>
    </row>
    <row r="78" spans="1:11" ht="15" customHeight="1">
      <c r="A78" s="37">
        <v>70</v>
      </c>
      <c r="B78" s="38" t="s">
        <v>1931</v>
      </c>
      <c r="C78" s="38" t="s">
        <v>55</v>
      </c>
      <c r="D78" s="38" t="s">
        <v>1932</v>
      </c>
      <c r="E78" s="37" t="s">
        <v>105</v>
      </c>
      <c r="F78" s="37" t="s">
        <v>105</v>
      </c>
      <c r="G78" s="37" t="s">
        <v>564</v>
      </c>
      <c r="H78" s="37" t="s">
        <v>196</v>
      </c>
      <c r="I78" s="38" t="s">
        <v>1883</v>
      </c>
      <c r="J78" s="38" t="s">
        <v>566</v>
      </c>
      <c r="K78" s="39">
        <f t="shared" si="2"/>
        <v>1</v>
      </c>
    </row>
    <row r="79" spans="1:11" ht="15" customHeight="1">
      <c r="A79" s="37">
        <v>71</v>
      </c>
      <c r="B79" s="38" t="s">
        <v>133</v>
      </c>
      <c r="C79" s="38" t="s">
        <v>1933</v>
      </c>
      <c r="D79" s="38" t="s">
        <v>1934</v>
      </c>
      <c r="E79" s="37" t="s">
        <v>105</v>
      </c>
      <c r="F79" s="37" t="s">
        <v>105</v>
      </c>
      <c r="G79" s="37" t="s">
        <v>564</v>
      </c>
      <c r="H79" s="37" t="s">
        <v>196</v>
      </c>
      <c r="I79" s="38" t="s">
        <v>1883</v>
      </c>
      <c r="J79" s="38" t="s">
        <v>566</v>
      </c>
      <c r="K79" s="39">
        <f t="shared" si="2"/>
        <v>1</v>
      </c>
    </row>
    <row r="80" spans="1:11" ht="15" customHeight="1">
      <c r="A80" s="37">
        <v>72</v>
      </c>
      <c r="B80" s="38" t="s">
        <v>133</v>
      </c>
      <c r="C80" s="38" t="s">
        <v>1933</v>
      </c>
      <c r="D80" s="38" t="s">
        <v>1935</v>
      </c>
      <c r="E80" s="37" t="s">
        <v>105</v>
      </c>
      <c r="F80" s="37" t="s">
        <v>105</v>
      </c>
      <c r="G80" s="37" t="s">
        <v>564</v>
      </c>
      <c r="H80" s="37" t="s">
        <v>196</v>
      </c>
      <c r="I80" s="38" t="s">
        <v>1883</v>
      </c>
      <c r="J80" s="38" t="s">
        <v>566</v>
      </c>
      <c r="K80" s="39">
        <f t="shared" si="2"/>
        <v>1</v>
      </c>
    </row>
    <row r="81" spans="1:11" ht="15" customHeight="1">
      <c r="A81" s="37">
        <v>73</v>
      </c>
      <c r="B81" s="38" t="s">
        <v>133</v>
      </c>
      <c r="C81" s="38" t="s">
        <v>1933</v>
      </c>
      <c r="D81" s="38" t="s">
        <v>1936</v>
      </c>
      <c r="E81" s="37" t="s">
        <v>105</v>
      </c>
      <c r="F81" s="37" t="s">
        <v>105</v>
      </c>
      <c r="G81" s="37" t="s">
        <v>564</v>
      </c>
      <c r="H81" s="37" t="s">
        <v>196</v>
      </c>
      <c r="I81" s="38" t="s">
        <v>1883</v>
      </c>
      <c r="J81" s="38" t="s">
        <v>566</v>
      </c>
      <c r="K81" s="39">
        <f t="shared" si="2"/>
        <v>1</v>
      </c>
    </row>
    <row r="82" spans="1:11" ht="15" customHeight="1">
      <c r="A82" s="37">
        <v>74</v>
      </c>
      <c r="B82" s="38" t="s">
        <v>133</v>
      </c>
      <c r="C82" s="38" t="s">
        <v>1933</v>
      </c>
      <c r="D82" s="38" t="s">
        <v>1937</v>
      </c>
      <c r="E82" s="37" t="s">
        <v>105</v>
      </c>
      <c r="F82" s="37" t="s">
        <v>105</v>
      </c>
      <c r="G82" s="37" t="s">
        <v>564</v>
      </c>
      <c r="H82" s="37" t="s">
        <v>196</v>
      </c>
      <c r="I82" s="38" t="s">
        <v>1883</v>
      </c>
      <c r="J82" s="38" t="s">
        <v>566</v>
      </c>
      <c r="K82" s="39">
        <f t="shared" si="2"/>
        <v>1</v>
      </c>
    </row>
    <row r="83" spans="1:11" ht="15" customHeight="1">
      <c r="A83" s="37">
        <v>75</v>
      </c>
      <c r="B83" s="38" t="s">
        <v>133</v>
      </c>
      <c r="C83" s="38" t="s">
        <v>1933</v>
      </c>
      <c r="D83" s="38" t="s">
        <v>1930</v>
      </c>
      <c r="E83" s="37" t="s">
        <v>105</v>
      </c>
      <c r="F83" s="37" t="s">
        <v>105</v>
      </c>
      <c r="G83" s="37" t="s">
        <v>564</v>
      </c>
      <c r="H83" s="37" t="s">
        <v>196</v>
      </c>
      <c r="I83" s="38" t="s">
        <v>1883</v>
      </c>
      <c r="J83" s="38" t="s">
        <v>566</v>
      </c>
      <c r="K83" s="39">
        <f t="shared" si="2"/>
        <v>1</v>
      </c>
    </row>
    <row r="84" spans="1:11" ht="15" customHeight="1">
      <c r="A84" s="37">
        <v>76</v>
      </c>
      <c r="B84" s="38" t="s">
        <v>133</v>
      </c>
      <c r="C84" s="38" t="s">
        <v>1933</v>
      </c>
      <c r="D84" s="38" t="s">
        <v>1938</v>
      </c>
      <c r="E84" s="37" t="s">
        <v>105</v>
      </c>
      <c r="F84" s="37" t="s">
        <v>105</v>
      </c>
      <c r="G84" s="37" t="s">
        <v>564</v>
      </c>
      <c r="H84" s="37" t="s">
        <v>196</v>
      </c>
      <c r="I84" s="38" t="s">
        <v>1883</v>
      </c>
      <c r="J84" s="38" t="s">
        <v>566</v>
      </c>
      <c r="K84" s="39">
        <f t="shared" si="2"/>
        <v>1</v>
      </c>
    </row>
    <row r="85" spans="1:11" ht="15" customHeight="1">
      <c r="A85" s="37">
        <v>77</v>
      </c>
      <c r="B85" s="38" t="s">
        <v>133</v>
      </c>
      <c r="C85" s="38" t="s">
        <v>1933</v>
      </c>
      <c r="D85" s="38" t="s">
        <v>1939</v>
      </c>
      <c r="E85" s="37" t="s">
        <v>105</v>
      </c>
      <c r="F85" s="37" t="s">
        <v>105</v>
      </c>
      <c r="G85" s="37" t="s">
        <v>564</v>
      </c>
      <c r="H85" s="37" t="s">
        <v>196</v>
      </c>
      <c r="I85" s="38" t="s">
        <v>1883</v>
      </c>
      <c r="J85" s="38" t="s">
        <v>566</v>
      </c>
      <c r="K85" s="39">
        <f t="shared" si="2"/>
        <v>1</v>
      </c>
    </row>
    <row r="86" spans="1:11" ht="15" customHeight="1">
      <c r="A86" s="37">
        <v>78</v>
      </c>
      <c r="B86" s="38" t="s">
        <v>133</v>
      </c>
      <c r="C86" s="38" t="s">
        <v>1933</v>
      </c>
      <c r="D86" s="38" t="s">
        <v>1052</v>
      </c>
      <c r="E86" s="37" t="s">
        <v>105</v>
      </c>
      <c r="F86" s="37" t="s">
        <v>105</v>
      </c>
      <c r="G86" s="37" t="s">
        <v>564</v>
      </c>
      <c r="H86" s="37" t="s">
        <v>196</v>
      </c>
      <c r="I86" s="38" t="s">
        <v>1883</v>
      </c>
      <c r="J86" s="38" t="s">
        <v>566</v>
      </c>
      <c r="K86" s="39">
        <f t="shared" si="2"/>
        <v>1</v>
      </c>
    </row>
    <row r="87" spans="1:11" ht="15" customHeight="1">
      <c r="A87" s="37">
        <v>79</v>
      </c>
      <c r="B87" s="38" t="s">
        <v>133</v>
      </c>
      <c r="C87" s="38" t="s">
        <v>1933</v>
      </c>
      <c r="D87" s="38" t="s">
        <v>1940</v>
      </c>
      <c r="E87" s="37" t="s">
        <v>105</v>
      </c>
      <c r="F87" s="37" t="s">
        <v>105</v>
      </c>
      <c r="G87" s="37" t="s">
        <v>564</v>
      </c>
      <c r="H87" s="37" t="s">
        <v>196</v>
      </c>
      <c r="I87" s="38" t="s">
        <v>1883</v>
      </c>
      <c r="J87" s="38" t="s">
        <v>566</v>
      </c>
      <c r="K87" s="39">
        <f t="shared" si="2"/>
        <v>1</v>
      </c>
    </row>
    <row r="88" spans="1:11" ht="15" customHeight="1">
      <c r="A88" s="37">
        <v>80</v>
      </c>
      <c r="B88" s="38" t="s">
        <v>133</v>
      </c>
      <c r="C88" s="38" t="s">
        <v>1933</v>
      </c>
      <c r="D88" s="38" t="s">
        <v>1053</v>
      </c>
      <c r="E88" s="37" t="s">
        <v>105</v>
      </c>
      <c r="F88" s="37" t="s">
        <v>105</v>
      </c>
      <c r="G88" s="37" t="s">
        <v>564</v>
      </c>
      <c r="H88" s="37" t="s">
        <v>196</v>
      </c>
      <c r="I88" s="38" t="s">
        <v>1883</v>
      </c>
      <c r="J88" s="38" t="s">
        <v>566</v>
      </c>
      <c r="K88" s="39">
        <f t="shared" si="2"/>
        <v>1</v>
      </c>
    </row>
    <row r="89" spans="1:11" ht="15" customHeight="1">
      <c r="A89" s="37">
        <v>81</v>
      </c>
      <c r="B89" s="38" t="s">
        <v>713</v>
      </c>
      <c r="C89" s="38" t="s">
        <v>1933</v>
      </c>
      <c r="D89" s="38" t="s">
        <v>1941</v>
      </c>
      <c r="E89" s="37" t="s">
        <v>105</v>
      </c>
      <c r="F89" s="37" t="s">
        <v>105</v>
      </c>
      <c r="G89" s="37" t="s">
        <v>564</v>
      </c>
      <c r="H89" s="37" t="s">
        <v>196</v>
      </c>
      <c r="I89" s="38" t="s">
        <v>1883</v>
      </c>
      <c r="J89" s="38" t="s">
        <v>566</v>
      </c>
      <c r="K89" s="39">
        <f t="shared" si="2"/>
        <v>1</v>
      </c>
    </row>
    <row r="90" spans="1:11" ht="15" customHeight="1">
      <c r="A90" s="37">
        <v>82</v>
      </c>
      <c r="B90" s="38" t="s">
        <v>713</v>
      </c>
      <c r="C90" s="38" t="s">
        <v>1933</v>
      </c>
      <c r="D90" s="38" t="s">
        <v>1942</v>
      </c>
      <c r="E90" s="37" t="s">
        <v>105</v>
      </c>
      <c r="F90" s="37" t="s">
        <v>105</v>
      </c>
      <c r="G90" s="37" t="s">
        <v>564</v>
      </c>
      <c r="H90" s="37" t="s">
        <v>196</v>
      </c>
      <c r="I90" s="38" t="s">
        <v>1883</v>
      </c>
      <c r="J90" s="38" t="s">
        <v>566</v>
      </c>
      <c r="K90" s="39">
        <f t="shared" si="2"/>
        <v>1</v>
      </c>
    </row>
    <row r="91" spans="1:11" ht="15" customHeight="1">
      <c r="A91" s="37">
        <v>83</v>
      </c>
      <c r="B91" s="38" t="s">
        <v>172</v>
      </c>
      <c r="C91" s="38" t="s">
        <v>1933</v>
      </c>
      <c r="D91" s="38" t="s">
        <v>1943</v>
      </c>
      <c r="E91" s="37" t="s">
        <v>105</v>
      </c>
      <c r="F91" s="37" t="s">
        <v>105</v>
      </c>
      <c r="G91" s="37" t="s">
        <v>564</v>
      </c>
      <c r="H91" s="37" t="s">
        <v>196</v>
      </c>
      <c r="I91" s="38" t="s">
        <v>1883</v>
      </c>
      <c r="J91" s="38" t="s">
        <v>566</v>
      </c>
      <c r="K91" s="39">
        <f t="shared" si="2"/>
        <v>1</v>
      </c>
    </row>
    <row r="92" spans="1:11" ht="15" customHeight="1">
      <c r="A92" s="37">
        <v>84</v>
      </c>
      <c r="B92" s="38" t="s">
        <v>172</v>
      </c>
      <c r="C92" s="38" t="s">
        <v>1933</v>
      </c>
      <c r="D92" s="38" t="s">
        <v>1944</v>
      </c>
      <c r="E92" s="37" t="s">
        <v>105</v>
      </c>
      <c r="F92" s="37" t="s">
        <v>105</v>
      </c>
      <c r="G92" s="37" t="s">
        <v>564</v>
      </c>
      <c r="H92" s="37" t="s">
        <v>196</v>
      </c>
      <c r="I92" s="38" t="s">
        <v>1883</v>
      </c>
      <c r="J92" s="38" t="s">
        <v>566</v>
      </c>
      <c r="K92" s="39">
        <f t="shared" si="2"/>
        <v>1</v>
      </c>
    </row>
    <row r="93" spans="1:11" ht="15" customHeight="1">
      <c r="A93" s="37">
        <v>85</v>
      </c>
      <c r="B93" s="38" t="s">
        <v>172</v>
      </c>
      <c r="C93" s="38" t="s">
        <v>1933</v>
      </c>
      <c r="D93" s="38" t="s">
        <v>1945</v>
      </c>
      <c r="E93" s="37" t="s">
        <v>105</v>
      </c>
      <c r="F93" s="37" t="s">
        <v>105</v>
      </c>
      <c r="G93" s="37" t="s">
        <v>564</v>
      </c>
      <c r="H93" s="37" t="s">
        <v>196</v>
      </c>
      <c r="I93" s="38" t="s">
        <v>1883</v>
      </c>
      <c r="J93" s="38" t="s">
        <v>566</v>
      </c>
      <c r="K93" s="39">
        <f t="shared" si="2"/>
        <v>1</v>
      </c>
    </row>
    <row r="94" spans="1:11" ht="45" customHeight="1">
      <c r="A94" s="37">
        <v>86</v>
      </c>
      <c r="B94" s="38" t="s">
        <v>172</v>
      </c>
      <c r="C94" s="38" t="s">
        <v>1933</v>
      </c>
      <c r="D94" s="38" t="s">
        <v>1946</v>
      </c>
      <c r="E94" s="37" t="s">
        <v>105</v>
      </c>
      <c r="F94" s="37" t="s">
        <v>105</v>
      </c>
      <c r="G94" s="37" t="s">
        <v>564</v>
      </c>
      <c r="H94" s="37" t="s">
        <v>196</v>
      </c>
      <c r="I94" s="38" t="s">
        <v>1883</v>
      </c>
      <c r="J94" s="38" t="s">
        <v>566</v>
      </c>
      <c r="K94" s="39">
        <f t="shared" si="2"/>
        <v>1</v>
      </c>
    </row>
    <row r="95" spans="1:11" ht="15" customHeight="1">
      <c r="A95" s="37">
        <v>87</v>
      </c>
      <c r="B95" s="38" t="s">
        <v>128</v>
      </c>
      <c r="C95" s="38" t="s">
        <v>1933</v>
      </c>
      <c r="D95" s="38" t="s">
        <v>1947</v>
      </c>
      <c r="E95" s="37" t="s">
        <v>105</v>
      </c>
      <c r="F95" s="37" t="s">
        <v>105</v>
      </c>
      <c r="G95" s="37" t="s">
        <v>564</v>
      </c>
      <c r="H95" s="37" t="s">
        <v>196</v>
      </c>
      <c r="I95" s="38" t="s">
        <v>1883</v>
      </c>
      <c r="J95" s="38" t="s">
        <v>566</v>
      </c>
      <c r="K95" s="39">
        <f t="shared" si="2"/>
        <v>1</v>
      </c>
    </row>
    <row r="96" spans="1:11" ht="15" customHeight="1">
      <c r="A96" s="37">
        <v>88</v>
      </c>
      <c r="B96" s="38" t="s">
        <v>95</v>
      </c>
      <c r="C96" s="38" t="s">
        <v>1933</v>
      </c>
      <c r="D96" s="38" t="s">
        <v>1047</v>
      </c>
      <c r="E96" s="37" t="s">
        <v>105</v>
      </c>
      <c r="F96" s="37" t="s">
        <v>105</v>
      </c>
      <c r="G96" s="37" t="s">
        <v>564</v>
      </c>
      <c r="H96" s="37" t="s">
        <v>196</v>
      </c>
      <c r="I96" s="38" t="s">
        <v>1883</v>
      </c>
      <c r="J96" s="38" t="s">
        <v>566</v>
      </c>
      <c r="K96" s="39">
        <f t="shared" si="2"/>
        <v>1</v>
      </c>
    </row>
    <row r="97" spans="1:11" ht="15" customHeight="1">
      <c r="A97" s="37">
        <v>89</v>
      </c>
      <c r="B97" s="38" t="s">
        <v>1036</v>
      </c>
      <c r="C97" s="38" t="s">
        <v>1933</v>
      </c>
      <c r="D97" s="38" t="s">
        <v>1037</v>
      </c>
      <c r="E97" s="37" t="s">
        <v>105</v>
      </c>
      <c r="F97" s="37" t="s">
        <v>105</v>
      </c>
      <c r="G97" s="37" t="s">
        <v>564</v>
      </c>
      <c r="H97" s="37" t="s">
        <v>196</v>
      </c>
      <c r="I97" s="38" t="s">
        <v>1883</v>
      </c>
      <c r="J97" s="38" t="s">
        <v>566</v>
      </c>
      <c r="K97" s="39">
        <f t="shared" si="2"/>
        <v>1</v>
      </c>
    </row>
    <row r="98" spans="1:11" ht="15" customHeight="1">
      <c r="A98" s="37">
        <v>90</v>
      </c>
      <c r="B98" s="38" t="s">
        <v>1036</v>
      </c>
      <c r="C98" s="38" t="s">
        <v>1933</v>
      </c>
      <c r="D98" s="38" t="s">
        <v>1925</v>
      </c>
      <c r="E98" s="37" t="s">
        <v>105</v>
      </c>
      <c r="F98" s="37" t="s">
        <v>105</v>
      </c>
      <c r="G98" s="37" t="s">
        <v>564</v>
      </c>
      <c r="H98" s="37" t="s">
        <v>196</v>
      </c>
      <c r="I98" s="38" t="s">
        <v>1883</v>
      </c>
      <c r="J98" s="38" t="s">
        <v>566</v>
      </c>
      <c r="K98" s="39">
        <f t="shared" si="2"/>
        <v>1</v>
      </c>
    </row>
    <row r="99" spans="1:11" ht="45" customHeight="1">
      <c r="A99" s="37">
        <v>91</v>
      </c>
      <c r="B99" s="38" t="s">
        <v>133</v>
      </c>
      <c r="C99" s="38" t="s">
        <v>1643</v>
      </c>
      <c r="D99" s="38" t="s">
        <v>1948</v>
      </c>
      <c r="E99" s="37" t="s">
        <v>105</v>
      </c>
      <c r="F99" s="37" t="s">
        <v>105</v>
      </c>
      <c r="G99" s="37" t="s">
        <v>564</v>
      </c>
      <c r="H99" s="37" t="s">
        <v>196</v>
      </c>
      <c r="I99" s="38" t="s">
        <v>1883</v>
      </c>
      <c r="J99" s="38" t="s">
        <v>566</v>
      </c>
      <c r="K99" s="39">
        <f t="shared" si="2"/>
        <v>1</v>
      </c>
    </row>
    <row r="100" spans="1:11" ht="15" customHeight="1">
      <c r="A100" s="37">
        <v>92</v>
      </c>
      <c r="B100" s="38" t="s">
        <v>128</v>
      </c>
      <c r="C100" s="38" t="s">
        <v>1643</v>
      </c>
      <c r="D100" s="38" t="s">
        <v>1947</v>
      </c>
      <c r="E100" s="37" t="s">
        <v>105</v>
      </c>
      <c r="F100" s="37" t="s">
        <v>105</v>
      </c>
      <c r="G100" s="37" t="s">
        <v>564</v>
      </c>
      <c r="H100" s="37" t="s">
        <v>196</v>
      </c>
      <c r="I100" s="38" t="s">
        <v>1883</v>
      </c>
      <c r="J100" s="38" t="s">
        <v>566</v>
      </c>
      <c r="K100" s="39">
        <f t="shared" si="2"/>
        <v>1</v>
      </c>
    </row>
    <row r="101" spans="1:11" ht="15" customHeight="1">
      <c r="A101" s="37">
        <v>93</v>
      </c>
      <c r="B101" s="38" t="s">
        <v>95</v>
      </c>
      <c r="C101" s="38" t="s">
        <v>1643</v>
      </c>
      <c r="D101" s="38" t="s">
        <v>1047</v>
      </c>
      <c r="E101" s="37" t="s">
        <v>105</v>
      </c>
      <c r="F101" s="37" t="s">
        <v>105</v>
      </c>
      <c r="G101" s="37" t="s">
        <v>564</v>
      </c>
      <c r="H101" s="37" t="s">
        <v>196</v>
      </c>
      <c r="I101" s="38" t="s">
        <v>1883</v>
      </c>
      <c r="J101" s="38" t="s">
        <v>566</v>
      </c>
      <c r="K101" s="39">
        <f t="shared" si="2"/>
        <v>1</v>
      </c>
    </row>
    <row r="102" spans="1:11" ht="15" customHeight="1">
      <c r="A102" s="37">
        <v>94</v>
      </c>
      <c r="B102" s="38" t="s">
        <v>1036</v>
      </c>
      <c r="C102" s="38" t="s">
        <v>1643</v>
      </c>
      <c r="D102" s="38" t="s">
        <v>1925</v>
      </c>
      <c r="E102" s="37" t="s">
        <v>105</v>
      </c>
      <c r="F102" s="37" t="s">
        <v>105</v>
      </c>
      <c r="G102" s="37" t="s">
        <v>564</v>
      </c>
      <c r="H102" s="37" t="s">
        <v>196</v>
      </c>
      <c r="I102" s="38" t="s">
        <v>1883</v>
      </c>
      <c r="J102" s="38" t="s">
        <v>566</v>
      </c>
      <c r="K102" s="39">
        <f t="shared" si="2"/>
        <v>1</v>
      </c>
    </row>
    <row r="103" spans="1:11" ht="15" customHeight="1">
      <c r="A103" s="37">
        <v>95</v>
      </c>
      <c r="B103" s="38" t="s">
        <v>133</v>
      </c>
      <c r="C103" s="38" t="s">
        <v>482</v>
      </c>
      <c r="D103" s="38" t="s">
        <v>1949</v>
      </c>
      <c r="E103" s="37" t="s">
        <v>105</v>
      </c>
      <c r="F103" s="37" t="s">
        <v>105</v>
      </c>
      <c r="G103" s="37" t="s">
        <v>564</v>
      </c>
      <c r="H103" s="37" t="s">
        <v>196</v>
      </c>
      <c r="I103" s="38" t="s">
        <v>1883</v>
      </c>
      <c r="J103" s="38" t="s">
        <v>566</v>
      </c>
      <c r="K103" s="39">
        <f t="shared" si="2"/>
        <v>1</v>
      </c>
    </row>
    <row r="104" spans="1:11" ht="45" customHeight="1">
      <c r="A104" s="37">
        <v>96</v>
      </c>
      <c r="B104" s="38" t="s">
        <v>133</v>
      </c>
      <c r="C104" s="38" t="s">
        <v>482</v>
      </c>
      <c r="D104" s="38" t="s">
        <v>1950</v>
      </c>
      <c r="E104" s="37" t="s">
        <v>105</v>
      </c>
      <c r="F104" s="37" t="s">
        <v>105</v>
      </c>
      <c r="G104" s="37" t="s">
        <v>564</v>
      </c>
      <c r="H104" s="37" t="s">
        <v>196</v>
      </c>
      <c r="I104" s="38" t="s">
        <v>1883</v>
      </c>
      <c r="J104" s="38" t="s">
        <v>566</v>
      </c>
      <c r="K104" s="39">
        <f t="shared" si="2"/>
        <v>1</v>
      </c>
    </row>
    <row r="105" spans="1:11" ht="15" customHeight="1">
      <c r="A105" s="37">
        <v>97</v>
      </c>
      <c r="B105" s="38" t="s">
        <v>128</v>
      </c>
      <c r="C105" s="38" t="s">
        <v>482</v>
      </c>
      <c r="D105" s="38" t="s">
        <v>1947</v>
      </c>
      <c r="E105" s="37" t="s">
        <v>105</v>
      </c>
      <c r="F105" s="37" t="s">
        <v>105</v>
      </c>
      <c r="G105" s="37" t="s">
        <v>564</v>
      </c>
      <c r="H105" s="37" t="s">
        <v>196</v>
      </c>
      <c r="I105" s="38" t="s">
        <v>1883</v>
      </c>
      <c r="J105" s="38" t="s">
        <v>566</v>
      </c>
      <c r="K105" s="39">
        <f t="shared" ref="K105:K136" si="3">IF(AND(E105="yes",F105="yes",H105="covered"),1,IF(H105="partial",0.5,0))</f>
        <v>1</v>
      </c>
    </row>
    <row r="106" spans="1:11" ht="15" customHeight="1">
      <c r="A106" s="37">
        <v>98</v>
      </c>
      <c r="B106" s="38" t="s">
        <v>95</v>
      </c>
      <c r="C106" s="38" t="s">
        <v>482</v>
      </c>
      <c r="D106" s="38" t="s">
        <v>1047</v>
      </c>
      <c r="E106" s="37" t="s">
        <v>105</v>
      </c>
      <c r="F106" s="37" t="s">
        <v>105</v>
      </c>
      <c r="G106" s="37" t="s">
        <v>564</v>
      </c>
      <c r="H106" s="37" t="s">
        <v>196</v>
      </c>
      <c r="I106" s="38" t="s">
        <v>1883</v>
      </c>
      <c r="J106" s="38" t="s">
        <v>566</v>
      </c>
      <c r="K106" s="39">
        <f t="shared" si="3"/>
        <v>1</v>
      </c>
    </row>
    <row r="107" spans="1:11" ht="15" customHeight="1">
      <c r="A107" s="37">
        <v>99</v>
      </c>
      <c r="B107" s="38" t="s">
        <v>1036</v>
      </c>
      <c r="C107" s="38" t="s">
        <v>482</v>
      </c>
      <c r="D107" s="38" t="s">
        <v>1925</v>
      </c>
      <c r="E107" s="37" t="s">
        <v>105</v>
      </c>
      <c r="F107" s="37" t="s">
        <v>105</v>
      </c>
      <c r="G107" s="37" t="s">
        <v>564</v>
      </c>
      <c r="H107" s="37" t="s">
        <v>196</v>
      </c>
      <c r="I107" s="38" t="s">
        <v>1883</v>
      </c>
      <c r="J107" s="38" t="s">
        <v>566</v>
      </c>
      <c r="K107" s="39">
        <f t="shared" si="3"/>
        <v>1</v>
      </c>
    </row>
    <row r="108" spans="1:11" ht="15" customHeight="1">
      <c r="A108" s="37">
        <v>100</v>
      </c>
      <c r="B108" s="38" t="s">
        <v>133</v>
      </c>
      <c r="C108" s="38" t="s">
        <v>42</v>
      </c>
      <c r="D108" s="38" t="s">
        <v>1951</v>
      </c>
      <c r="E108" s="37" t="s">
        <v>105</v>
      </c>
      <c r="F108" s="37" t="s">
        <v>105</v>
      </c>
      <c r="G108" s="37" t="s">
        <v>564</v>
      </c>
      <c r="H108" s="37" t="s">
        <v>196</v>
      </c>
      <c r="I108" s="38" t="s">
        <v>1883</v>
      </c>
      <c r="J108" s="38" t="s">
        <v>566</v>
      </c>
      <c r="K108" s="39">
        <f t="shared" si="3"/>
        <v>1</v>
      </c>
    </row>
    <row r="109" spans="1:11" ht="45" customHeight="1">
      <c r="A109" s="37">
        <v>101</v>
      </c>
      <c r="B109" s="38" t="s">
        <v>133</v>
      </c>
      <c r="C109" s="38" t="s">
        <v>42</v>
      </c>
      <c r="D109" s="38" t="s">
        <v>1952</v>
      </c>
      <c r="E109" s="37" t="s">
        <v>105</v>
      </c>
      <c r="F109" s="37" t="s">
        <v>105</v>
      </c>
      <c r="G109" s="37" t="s">
        <v>564</v>
      </c>
      <c r="H109" s="37" t="s">
        <v>196</v>
      </c>
      <c r="I109" s="38" t="s">
        <v>1883</v>
      </c>
      <c r="J109" s="38" t="s">
        <v>566</v>
      </c>
      <c r="K109" s="39">
        <f t="shared" si="3"/>
        <v>1</v>
      </c>
    </row>
    <row r="110" spans="1:11" ht="15" customHeight="1">
      <c r="A110" s="37">
        <v>102</v>
      </c>
      <c r="B110" s="38" t="s">
        <v>128</v>
      </c>
      <c r="C110" s="38" t="s">
        <v>42</v>
      </c>
      <c r="D110" s="38" t="s">
        <v>1947</v>
      </c>
      <c r="E110" s="37" t="s">
        <v>105</v>
      </c>
      <c r="F110" s="37" t="s">
        <v>105</v>
      </c>
      <c r="G110" s="37" t="s">
        <v>564</v>
      </c>
      <c r="H110" s="37" t="s">
        <v>196</v>
      </c>
      <c r="I110" s="38" t="s">
        <v>1883</v>
      </c>
      <c r="J110" s="38" t="s">
        <v>566</v>
      </c>
      <c r="K110" s="39">
        <f t="shared" si="3"/>
        <v>1</v>
      </c>
    </row>
    <row r="111" spans="1:11" ht="15" customHeight="1">
      <c r="A111" s="37">
        <v>103</v>
      </c>
      <c r="B111" s="38" t="s">
        <v>95</v>
      </c>
      <c r="C111" s="38" t="s">
        <v>42</v>
      </c>
      <c r="D111" s="38" t="s">
        <v>1047</v>
      </c>
      <c r="E111" s="37" t="s">
        <v>105</v>
      </c>
      <c r="F111" s="37" t="s">
        <v>105</v>
      </c>
      <c r="G111" s="37" t="s">
        <v>564</v>
      </c>
      <c r="H111" s="37" t="s">
        <v>196</v>
      </c>
      <c r="I111" s="38" t="s">
        <v>1883</v>
      </c>
      <c r="J111" s="38" t="s">
        <v>566</v>
      </c>
      <c r="K111" s="39">
        <f t="shared" si="3"/>
        <v>1</v>
      </c>
    </row>
    <row r="112" spans="1:11" ht="15" customHeight="1">
      <c r="A112" s="37">
        <v>104</v>
      </c>
      <c r="B112" s="38" t="s">
        <v>1036</v>
      </c>
      <c r="C112" s="38" t="s">
        <v>42</v>
      </c>
      <c r="D112" s="38" t="s">
        <v>1925</v>
      </c>
      <c r="E112" s="37" t="s">
        <v>105</v>
      </c>
      <c r="F112" s="37" t="s">
        <v>105</v>
      </c>
      <c r="G112" s="37" t="s">
        <v>564</v>
      </c>
      <c r="H112" s="37" t="s">
        <v>196</v>
      </c>
      <c r="I112" s="38" t="s">
        <v>1883</v>
      </c>
      <c r="J112" s="38" t="s">
        <v>566</v>
      </c>
      <c r="K112" s="39">
        <f t="shared" si="3"/>
        <v>1</v>
      </c>
    </row>
    <row r="113" spans="1:11" ht="15" customHeight="1">
      <c r="A113" s="37">
        <v>105</v>
      </c>
      <c r="B113" s="38" t="s">
        <v>133</v>
      </c>
      <c r="C113" s="38" t="s">
        <v>150</v>
      </c>
      <c r="D113" s="38" t="s">
        <v>1953</v>
      </c>
      <c r="E113" s="37" t="s">
        <v>105</v>
      </c>
      <c r="F113" s="37" t="s">
        <v>105</v>
      </c>
      <c r="G113" s="37" t="s">
        <v>564</v>
      </c>
      <c r="H113" s="37" t="s">
        <v>196</v>
      </c>
      <c r="I113" s="38" t="s">
        <v>1883</v>
      </c>
      <c r="J113" s="38" t="s">
        <v>566</v>
      </c>
      <c r="K113" s="39">
        <f t="shared" si="3"/>
        <v>1</v>
      </c>
    </row>
    <row r="114" spans="1:11" ht="15" customHeight="1">
      <c r="A114" s="37">
        <v>106</v>
      </c>
      <c r="B114" s="38" t="s">
        <v>133</v>
      </c>
      <c r="C114" s="38" t="s">
        <v>150</v>
      </c>
      <c r="D114" s="38" t="s">
        <v>1954</v>
      </c>
      <c r="E114" s="37" t="s">
        <v>105</v>
      </c>
      <c r="F114" s="37" t="s">
        <v>105</v>
      </c>
      <c r="G114" s="37" t="s">
        <v>564</v>
      </c>
      <c r="H114" s="37" t="s">
        <v>196</v>
      </c>
      <c r="I114" s="38" t="s">
        <v>1883</v>
      </c>
      <c r="J114" s="38" t="s">
        <v>566</v>
      </c>
      <c r="K114" s="39">
        <f t="shared" si="3"/>
        <v>1</v>
      </c>
    </row>
    <row r="115" spans="1:11" ht="15" customHeight="1">
      <c r="A115" s="37">
        <v>107</v>
      </c>
      <c r="B115" s="38" t="s">
        <v>133</v>
      </c>
      <c r="C115" s="38" t="s">
        <v>150</v>
      </c>
      <c r="D115" s="38" t="s">
        <v>1955</v>
      </c>
      <c r="E115" s="37" t="s">
        <v>105</v>
      </c>
      <c r="F115" s="37" t="s">
        <v>105</v>
      </c>
      <c r="G115" s="37" t="s">
        <v>564</v>
      </c>
      <c r="H115" s="37" t="s">
        <v>196</v>
      </c>
      <c r="I115" s="38" t="s">
        <v>1883</v>
      </c>
      <c r="J115" s="38" t="s">
        <v>566</v>
      </c>
      <c r="K115" s="39">
        <f t="shared" si="3"/>
        <v>1</v>
      </c>
    </row>
    <row r="116" spans="1:11" ht="15" customHeight="1">
      <c r="A116" s="37">
        <v>108</v>
      </c>
      <c r="B116" s="38" t="s">
        <v>133</v>
      </c>
      <c r="C116" s="38" t="s">
        <v>150</v>
      </c>
      <c r="D116" s="38" t="s">
        <v>1956</v>
      </c>
      <c r="E116" s="37" t="s">
        <v>105</v>
      </c>
      <c r="F116" s="37" t="s">
        <v>105</v>
      </c>
      <c r="G116" s="37" t="s">
        <v>564</v>
      </c>
      <c r="H116" s="37" t="s">
        <v>196</v>
      </c>
      <c r="I116" s="38" t="s">
        <v>1883</v>
      </c>
      <c r="J116" s="38" t="s">
        <v>566</v>
      </c>
      <c r="K116" s="39">
        <f t="shared" si="3"/>
        <v>1</v>
      </c>
    </row>
    <row r="117" spans="1:11" ht="15" customHeight="1">
      <c r="A117" s="37">
        <v>109</v>
      </c>
      <c r="B117" s="38" t="s">
        <v>133</v>
      </c>
      <c r="C117" s="38" t="s">
        <v>150</v>
      </c>
      <c r="D117" s="38" t="s">
        <v>1957</v>
      </c>
      <c r="E117" s="37" t="s">
        <v>105</v>
      </c>
      <c r="F117" s="37" t="s">
        <v>105</v>
      </c>
      <c r="G117" s="37" t="s">
        <v>564</v>
      </c>
      <c r="H117" s="37" t="s">
        <v>196</v>
      </c>
      <c r="I117" s="38" t="s">
        <v>1883</v>
      </c>
      <c r="J117" s="38" t="s">
        <v>566</v>
      </c>
      <c r="K117" s="39">
        <f t="shared" si="3"/>
        <v>1</v>
      </c>
    </row>
    <row r="118" spans="1:11" ht="15" customHeight="1">
      <c r="A118" s="37">
        <v>110</v>
      </c>
      <c r="B118" s="38" t="s">
        <v>133</v>
      </c>
      <c r="C118" s="38" t="s">
        <v>150</v>
      </c>
      <c r="D118" s="38" t="s">
        <v>1958</v>
      </c>
      <c r="E118" s="37" t="s">
        <v>105</v>
      </c>
      <c r="F118" s="37" t="s">
        <v>105</v>
      </c>
      <c r="G118" s="37" t="s">
        <v>564</v>
      </c>
      <c r="H118" s="37" t="s">
        <v>196</v>
      </c>
      <c r="I118" s="38" t="s">
        <v>1883</v>
      </c>
      <c r="J118" s="38" t="s">
        <v>566</v>
      </c>
      <c r="K118" s="39">
        <f t="shared" si="3"/>
        <v>1</v>
      </c>
    </row>
    <row r="119" spans="1:11" ht="15" customHeight="1">
      <c r="A119" s="37">
        <v>111</v>
      </c>
      <c r="B119" s="38" t="s">
        <v>539</v>
      </c>
      <c r="C119" s="38" t="s">
        <v>150</v>
      </c>
      <c r="D119" s="38" t="s">
        <v>1959</v>
      </c>
      <c r="E119" s="37" t="s">
        <v>105</v>
      </c>
      <c r="F119" s="37" t="s">
        <v>105</v>
      </c>
      <c r="G119" s="37" t="s">
        <v>564</v>
      </c>
      <c r="H119" s="37" t="s">
        <v>196</v>
      </c>
      <c r="I119" s="38" t="s">
        <v>1883</v>
      </c>
      <c r="J119" s="38" t="s">
        <v>566</v>
      </c>
      <c r="K119" s="39">
        <f t="shared" si="3"/>
        <v>1</v>
      </c>
    </row>
    <row r="120" spans="1:11" ht="15" customHeight="1">
      <c r="A120" s="37">
        <v>112</v>
      </c>
      <c r="B120" s="38" t="s">
        <v>539</v>
      </c>
      <c r="C120" s="38" t="s">
        <v>150</v>
      </c>
      <c r="D120" s="38" t="s">
        <v>1960</v>
      </c>
      <c r="E120" s="37" t="s">
        <v>105</v>
      </c>
      <c r="F120" s="37" t="s">
        <v>105</v>
      </c>
      <c r="G120" s="37" t="s">
        <v>564</v>
      </c>
      <c r="H120" s="37" t="s">
        <v>196</v>
      </c>
      <c r="I120" s="38" t="s">
        <v>1883</v>
      </c>
      <c r="J120" s="38" t="s">
        <v>566</v>
      </c>
      <c r="K120" s="39">
        <f t="shared" si="3"/>
        <v>1</v>
      </c>
    </row>
    <row r="121" spans="1:11" ht="15" customHeight="1">
      <c r="A121" s="37">
        <v>113</v>
      </c>
      <c r="B121" s="38" t="s">
        <v>172</v>
      </c>
      <c r="C121" s="38" t="s">
        <v>150</v>
      </c>
      <c r="D121" s="38" t="s">
        <v>1961</v>
      </c>
      <c r="E121" s="37" t="s">
        <v>105</v>
      </c>
      <c r="F121" s="37" t="s">
        <v>105</v>
      </c>
      <c r="G121" s="37" t="s">
        <v>564</v>
      </c>
      <c r="H121" s="37" t="s">
        <v>196</v>
      </c>
      <c r="I121" s="38" t="s">
        <v>1883</v>
      </c>
      <c r="J121" s="38" t="s">
        <v>566</v>
      </c>
      <c r="K121" s="39">
        <f t="shared" si="3"/>
        <v>1</v>
      </c>
    </row>
    <row r="122" spans="1:11" ht="15" customHeight="1">
      <c r="A122" s="37">
        <v>114</v>
      </c>
      <c r="B122" s="38" t="s">
        <v>172</v>
      </c>
      <c r="C122" s="38" t="s">
        <v>150</v>
      </c>
      <c r="D122" s="38" t="s">
        <v>1962</v>
      </c>
      <c r="E122" s="37" t="s">
        <v>105</v>
      </c>
      <c r="F122" s="37" t="s">
        <v>105</v>
      </c>
      <c r="G122" s="37" t="s">
        <v>564</v>
      </c>
      <c r="H122" s="37" t="s">
        <v>196</v>
      </c>
      <c r="I122" s="38" t="s">
        <v>1883</v>
      </c>
      <c r="J122" s="38" t="s">
        <v>566</v>
      </c>
      <c r="K122" s="39">
        <f t="shared" si="3"/>
        <v>1</v>
      </c>
    </row>
    <row r="123" spans="1:11" ht="15" customHeight="1">
      <c r="A123" s="37">
        <v>115</v>
      </c>
      <c r="B123" s="38" t="s">
        <v>172</v>
      </c>
      <c r="C123" s="38" t="s">
        <v>150</v>
      </c>
      <c r="D123" s="38" t="s">
        <v>1963</v>
      </c>
      <c r="E123" s="37" t="s">
        <v>105</v>
      </c>
      <c r="F123" s="37" t="s">
        <v>105</v>
      </c>
      <c r="G123" s="37" t="s">
        <v>564</v>
      </c>
      <c r="H123" s="37" t="s">
        <v>196</v>
      </c>
      <c r="I123" s="38" t="s">
        <v>1883</v>
      </c>
      <c r="J123" s="38" t="s">
        <v>566</v>
      </c>
      <c r="K123" s="39">
        <f t="shared" si="3"/>
        <v>1</v>
      </c>
    </row>
    <row r="124" spans="1:11" ht="15" customHeight="1">
      <c r="A124" s="37">
        <v>116</v>
      </c>
      <c r="B124" s="38" t="s">
        <v>172</v>
      </c>
      <c r="C124" s="38" t="s">
        <v>150</v>
      </c>
      <c r="D124" s="38" t="s">
        <v>1964</v>
      </c>
      <c r="E124" s="37" t="s">
        <v>105</v>
      </c>
      <c r="F124" s="37" t="s">
        <v>105</v>
      </c>
      <c r="G124" s="37" t="s">
        <v>564</v>
      </c>
      <c r="H124" s="37" t="s">
        <v>196</v>
      </c>
      <c r="I124" s="38" t="s">
        <v>1883</v>
      </c>
      <c r="J124" s="38" t="s">
        <v>566</v>
      </c>
      <c r="K124" s="39">
        <f t="shared" si="3"/>
        <v>1</v>
      </c>
    </row>
    <row r="125" spans="1:11" ht="15" customHeight="1">
      <c r="A125" s="37">
        <v>117</v>
      </c>
      <c r="B125" s="38" t="s">
        <v>172</v>
      </c>
      <c r="C125" s="38" t="s">
        <v>150</v>
      </c>
      <c r="D125" s="38" t="s">
        <v>1965</v>
      </c>
      <c r="E125" s="37" t="s">
        <v>105</v>
      </c>
      <c r="F125" s="37" t="s">
        <v>105</v>
      </c>
      <c r="G125" s="37" t="s">
        <v>564</v>
      </c>
      <c r="H125" s="37" t="s">
        <v>196</v>
      </c>
      <c r="I125" s="38" t="s">
        <v>1883</v>
      </c>
      <c r="J125" s="38" t="s">
        <v>566</v>
      </c>
      <c r="K125" s="39">
        <f t="shared" si="3"/>
        <v>1</v>
      </c>
    </row>
    <row r="126" spans="1:11" ht="15" customHeight="1">
      <c r="A126" s="37">
        <v>118</v>
      </c>
      <c r="B126" s="38" t="s">
        <v>172</v>
      </c>
      <c r="C126" s="38" t="s">
        <v>150</v>
      </c>
      <c r="D126" s="38" t="s">
        <v>1209</v>
      </c>
      <c r="E126" s="37" t="s">
        <v>105</v>
      </c>
      <c r="F126" s="37" t="s">
        <v>105</v>
      </c>
      <c r="G126" s="37" t="s">
        <v>564</v>
      </c>
      <c r="H126" s="37" t="s">
        <v>196</v>
      </c>
      <c r="I126" s="38" t="s">
        <v>1883</v>
      </c>
      <c r="J126" s="38" t="s">
        <v>566</v>
      </c>
      <c r="K126" s="39">
        <f t="shared" si="3"/>
        <v>1</v>
      </c>
    </row>
    <row r="127" spans="1:11" ht="15" customHeight="1">
      <c r="A127" s="37">
        <v>119</v>
      </c>
      <c r="B127" s="38" t="s">
        <v>130</v>
      </c>
      <c r="C127" s="38" t="s">
        <v>150</v>
      </c>
      <c r="D127" s="38" t="s">
        <v>1031</v>
      </c>
      <c r="E127" s="37" t="s">
        <v>105</v>
      </c>
      <c r="F127" s="37" t="s">
        <v>105</v>
      </c>
      <c r="G127" s="37" t="s">
        <v>564</v>
      </c>
      <c r="H127" s="37" t="s">
        <v>196</v>
      </c>
      <c r="I127" s="38" t="s">
        <v>1883</v>
      </c>
      <c r="J127" s="38" t="s">
        <v>566</v>
      </c>
      <c r="K127" s="39">
        <f t="shared" si="3"/>
        <v>1</v>
      </c>
    </row>
    <row r="128" spans="1:11" ht="15" customHeight="1">
      <c r="A128" s="37">
        <v>120</v>
      </c>
      <c r="B128" s="38" t="s">
        <v>130</v>
      </c>
      <c r="C128" s="38" t="s">
        <v>150</v>
      </c>
      <c r="D128" s="38" t="s">
        <v>1966</v>
      </c>
      <c r="E128" s="37" t="s">
        <v>105</v>
      </c>
      <c r="F128" s="37" t="s">
        <v>105</v>
      </c>
      <c r="G128" s="37" t="s">
        <v>564</v>
      </c>
      <c r="H128" s="37" t="s">
        <v>196</v>
      </c>
      <c r="I128" s="38" t="s">
        <v>1883</v>
      </c>
      <c r="J128" s="38" t="s">
        <v>566</v>
      </c>
      <c r="K128" s="39">
        <f t="shared" si="3"/>
        <v>1</v>
      </c>
    </row>
    <row r="129" spans="1:11" ht="45" customHeight="1">
      <c r="A129" s="37">
        <v>121</v>
      </c>
      <c r="B129" s="38" t="s">
        <v>130</v>
      </c>
      <c r="C129" s="38" t="s">
        <v>150</v>
      </c>
      <c r="D129" s="38" t="s">
        <v>1967</v>
      </c>
      <c r="E129" s="37" t="s">
        <v>105</v>
      </c>
      <c r="F129" s="37" t="s">
        <v>105</v>
      </c>
      <c r="G129" s="37" t="s">
        <v>564</v>
      </c>
      <c r="H129" s="37" t="s">
        <v>196</v>
      </c>
      <c r="I129" s="38" t="s">
        <v>1883</v>
      </c>
      <c r="J129" s="38" t="s">
        <v>566</v>
      </c>
      <c r="K129" s="39">
        <f t="shared" si="3"/>
        <v>1</v>
      </c>
    </row>
    <row r="130" spans="1:11" ht="15" customHeight="1">
      <c r="A130" s="37">
        <v>122</v>
      </c>
      <c r="B130" s="38" t="s">
        <v>128</v>
      </c>
      <c r="C130" s="38" t="s">
        <v>150</v>
      </c>
      <c r="D130" s="38" t="s">
        <v>1947</v>
      </c>
      <c r="E130" s="37" t="s">
        <v>105</v>
      </c>
      <c r="F130" s="37" t="s">
        <v>105</v>
      </c>
      <c r="G130" s="37" t="s">
        <v>564</v>
      </c>
      <c r="H130" s="37" t="s">
        <v>196</v>
      </c>
      <c r="I130" s="38" t="s">
        <v>1883</v>
      </c>
      <c r="J130" s="38" t="s">
        <v>566</v>
      </c>
      <c r="K130" s="39">
        <f t="shared" si="3"/>
        <v>1</v>
      </c>
    </row>
    <row r="131" spans="1:11" ht="15" customHeight="1">
      <c r="A131" s="37">
        <v>123</v>
      </c>
      <c r="B131" s="38" t="s">
        <v>95</v>
      </c>
      <c r="C131" s="38" t="s">
        <v>150</v>
      </c>
      <c r="D131" s="38" t="s">
        <v>1047</v>
      </c>
      <c r="E131" s="37" t="s">
        <v>105</v>
      </c>
      <c r="F131" s="37" t="s">
        <v>105</v>
      </c>
      <c r="G131" s="37" t="s">
        <v>564</v>
      </c>
      <c r="H131" s="37" t="s">
        <v>196</v>
      </c>
      <c r="I131" s="38" t="s">
        <v>1883</v>
      </c>
      <c r="J131" s="38" t="s">
        <v>566</v>
      </c>
      <c r="K131" s="39">
        <f t="shared" si="3"/>
        <v>1</v>
      </c>
    </row>
    <row r="132" spans="1:11" ht="15" customHeight="1">
      <c r="A132" s="37">
        <v>124</v>
      </c>
      <c r="B132" s="38" t="s">
        <v>1036</v>
      </c>
      <c r="C132" s="38" t="s">
        <v>150</v>
      </c>
      <c r="D132" s="38" t="s">
        <v>1037</v>
      </c>
      <c r="E132" s="37" t="s">
        <v>105</v>
      </c>
      <c r="F132" s="37" t="s">
        <v>105</v>
      </c>
      <c r="G132" s="37" t="s">
        <v>564</v>
      </c>
      <c r="H132" s="37" t="s">
        <v>196</v>
      </c>
      <c r="I132" s="38" t="s">
        <v>1883</v>
      </c>
      <c r="J132" s="38" t="s">
        <v>566</v>
      </c>
      <c r="K132" s="39">
        <f t="shared" si="3"/>
        <v>1</v>
      </c>
    </row>
    <row r="133" spans="1:11" ht="15" customHeight="1">
      <c r="A133" s="37">
        <v>125</v>
      </c>
      <c r="B133" s="38" t="s">
        <v>1036</v>
      </c>
      <c r="C133" s="38" t="s">
        <v>150</v>
      </c>
      <c r="D133" s="38" t="s">
        <v>1968</v>
      </c>
      <c r="E133" s="37" t="s">
        <v>105</v>
      </c>
      <c r="F133" s="37" t="s">
        <v>105</v>
      </c>
      <c r="G133" s="37" t="s">
        <v>564</v>
      </c>
      <c r="H133" s="37" t="s">
        <v>196</v>
      </c>
      <c r="I133" s="38" t="s">
        <v>1883</v>
      </c>
      <c r="J133" s="38" t="s">
        <v>566</v>
      </c>
      <c r="K133" s="39">
        <f t="shared" si="3"/>
        <v>1</v>
      </c>
    </row>
    <row r="134" spans="1:11" ht="15" customHeight="1">
      <c r="A134" s="37">
        <v>126</v>
      </c>
      <c r="B134" s="38" t="s">
        <v>1036</v>
      </c>
      <c r="C134" s="38" t="s">
        <v>150</v>
      </c>
      <c r="D134" s="38" t="s">
        <v>1969</v>
      </c>
      <c r="E134" s="37" t="s">
        <v>105</v>
      </c>
      <c r="F134" s="37" t="s">
        <v>105</v>
      </c>
      <c r="G134" s="37" t="s">
        <v>564</v>
      </c>
      <c r="H134" s="37" t="s">
        <v>196</v>
      </c>
      <c r="I134" s="38" t="s">
        <v>1883</v>
      </c>
      <c r="J134" s="38" t="s">
        <v>566</v>
      </c>
      <c r="K134" s="39">
        <f t="shared" si="3"/>
        <v>1</v>
      </c>
    </row>
    <row r="135" spans="1:11" ht="15" customHeight="1">
      <c r="A135" s="37">
        <v>127</v>
      </c>
      <c r="B135" s="38" t="s">
        <v>1036</v>
      </c>
      <c r="C135" s="38" t="s">
        <v>150</v>
      </c>
      <c r="D135" s="38" t="s">
        <v>1925</v>
      </c>
      <c r="E135" s="37" t="s">
        <v>105</v>
      </c>
      <c r="F135" s="37" t="s">
        <v>105</v>
      </c>
      <c r="G135" s="37" t="s">
        <v>564</v>
      </c>
      <c r="H135" s="37" t="s">
        <v>196</v>
      </c>
      <c r="I135" s="38" t="s">
        <v>1883</v>
      </c>
      <c r="J135" s="38" t="s">
        <v>566</v>
      </c>
      <c r="K135" s="39">
        <f t="shared" si="3"/>
        <v>1</v>
      </c>
    </row>
    <row r="136" spans="1:11" ht="15" customHeight="1">
      <c r="A136" s="37">
        <v>128</v>
      </c>
      <c r="B136" s="38" t="s">
        <v>133</v>
      </c>
      <c r="C136" s="38" t="s">
        <v>1970</v>
      </c>
      <c r="D136" s="38" t="s">
        <v>1971</v>
      </c>
      <c r="E136" s="37" t="s">
        <v>105</v>
      </c>
      <c r="F136" s="37" t="s">
        <v>105</v>
      </c>
      <c r="G136" s="37" t="s">
        <v>564</v>
      </c>
      <c r="H136" s="37" t="s">
        <v>196</v>
      </c>
      <c r="I136" s="38" t="s">
        <v>1883</v>
      </c>
      <c r="J136" s="38" t="s">
        <v>566</v>
      </c>
      <c r="K136" s="39">
        <f t="shared" si="3"/>
        <v>1</v>
      </c>
    </row>
    <row r="137" spans="1:11" ht="45" customHeight="1">
      <c r="A137" s="37">
        <v>129</v>
      </c>
      <c r="B137" s="38" t="s">
        <v>133</v>
      </c>
      <c r="C137" s="38" t="s">
        <v>1970</v>
      </c>
      <c r="D137" s="38" t="s">
        <v>1972</v>
      </c>
      <c r="E137" s="37" t="s">
        <v>105</v>
      </c>
      <c r="F137" s="37" t="s">
        <v>105</v>
      </c>
      <c r="G137" s="37" t="s">
        <v>564</v>
      </c>
      <c r="H137" s="37" t="s">
        <v>196</v>
      </c>
      <c r="I137" s="38" t="s">
        <v>1883</v>
      </c>
      <c r="J137" s="38" t="s">
        <v>566</v>
      </c>
      <c r="K137" s="39">
        <f t="shared" ref="K137:K171" si="4">IF(AND(E137="yes",F137="yes",H137="covered"),1,IF(H137="partial",0.5,0))</f>
        <v>1</v>
      </c>
    </row>
    <row r="138" spans="1:11" ht="15" customHeight="1">
      <c r="A138" s="37">
        <v>130</v>
      </c>
      <c r="B138" s="38" t="s">
        <v>128</v>
      </c>
      <c r="C138" s="38" t="s">
        <v>1970</v>
      </c>
      <c r="D138" s="38" t="s">
        <v>1923</v>
      </c>
      <c r="E138" s="37" t="s">
        <v>105</v>
      </c>
      <c r="F138" s="37" t="s">
        <v>105</v>
      </c>
      <c r="G138" s="37" t="s">
        <v>564</v>
      </c>
      <c r="H138" s="37" t="s">
        <v>196</v>
      </c>
      <c r="I138" s="38" t="s">
        <v>1883</v>
      </c>
      <c r="J138" s="38" t="s">
        <v>566</v>
      </c>
      <c r="K138" s="39">
        <f t="shared" si="4"/>
        <v>1</v>
      </c>
    </row>
    <row r="139" spans="1:11" ht="15" customHeight="1">
      <c r="A139" s="37">
        <v>131</v>
      </c>
      <c r="B139" s="38" t="s">
        <v>95</v>
      </c>
      <c r="C139" s="38" t="s">
        <v>1970</v>
      </c>
      <c r="D139" s="38" t="s">
        <v>1924</v>
      </c>
      <c r="E139" s="37" t="s">
        <v>105</v>
      </c>
      <c r="F139" s="37" t="s">
        <v>105</v>
      </c>
      <c r="G139" s="37" t="s">
        <v>564</v>
      </c>
      <c r="H139" s="37" t="s">
        <v>196</v>
      </c>
      <c r="I139" s="38" t="s">
        <v>1883</v>
      </c>
      <c r="J139" s="38" t="s">
        <v>566</v>
      </c>
      <c r="K139" s="39">
        <f t="shared" si="4"/>
        <v>1</v>
      </c>
    </row>
    <row r="140" spans="1:11" ht="15" customHeight="1">
      <c r="A140" s="37">
        <v>132</v>
      </c>
      <c r="B140" s="38" t="s">
        <v>1036</v>
      </c>
      <c r="C140" s="38" t="s">
        <v>1970</v>
      </c>
      <c r="D140" s="38" t="s">
        <v>1925</v>
      </c>
      <c r="E140" s="37" t="s">
        <v>105</v>
      </c>
      <c r="F140" s="37" t="s">
        <v>105</v>
      </c>
      <c r="G140" s="37" t="s">
        <v>564</v>
      </c>
      <c r="H140" s="37" t="s">
        <v>196</v>
      </c>
      <c r="I140" s="38" t="s">
        <v>1883</v>
      </c>
      <c r="J140" s="38" t="s">
        <v>566</v>
      </c>
      <c r="K140" s="39">
        <f t="shared" si="4"/>
        <v>1</v>
      </c>
    </row>
    <row r="141" spans="1:11" ht="15" customHeight="1">
      <c r="A141" s="37">
        <v>133</v>
      </c>
      <c r="B141" s="38" t="s">
        <v>133</v>
      </c>
      <c r="C141" s="38" t="s">
        <v>1973</v>
      </c>
      <c r="D141" s="38" t="s">
        <v>1974</v>
      </c>
      <c r="E141" s="37" t="s">
        <v>105</v>
      </c>
      <c r="F141" s="37" t="s">
        <v>105</v>
      </c>
      <c r="G141" s="37" t="s">
        <v>564</v>
      </c>
      <c r="H141" s="37" t="s">
        <v>196</v>
      </c>
      <c r="I141" s="38" t="s">
        <v>1883</v>
      </c>
      <c r="J141" s="38" t="s">
        <v>566</v>
      </c>
      <c r="K141" s="39">
        <f t="shared" si="4"/>
        <v>1</v>
      </c>
    </row>
    <row r="142" spans="1:11" ht="15" customHeight="1">
      <c r="A142" s="37">
        <v>134</v>
      </c>
      <c r="B142" s="38" t="s">
        <v>133</v>
      </c>
      <c r="C142" s="38" t="s">
        <v>1973</v>
      </c>
      <c r="D142" s="38" t="s">
        <v>1975</v>
      </c>
      <c r="E142" s="37" t="s">
        <v>105</v>
      </c>
      <c r="F142" s="37" t="s">
        <v>105</v>
      </c>
      <c r="G142" s="37" t="s">
        <v>564</v>
      </c>
      <c r="H142" s="37" t="s">
        <v>196</v>
      </c>
      <c r="I142" s="38" t="s">
        <v>1883</v>
      </c>
      <c r="J142" s="38" t="s">
        <v>566</v>
      </c>
      <c r="K142" s="39">
        <f t="shared" si="4"/>
        <v>1</v>
      </c>
    </row>
    <row r="143" spans="1:11" ht="15" customHeight="1">
      <c r="A143" s="37">
        <v>135</v>
      </c>
      <c r="B143" s="38" t="s">
        <v>133</v>
      </c>
      <c r="C143" s="38" t="s">
        <v>1973</v>
      </c>
      <c r="D143" s="38" t="s">
        <v>1957</v>
      </c>
      <c r="E143" s="37" t="s">
        <v>105</v>
      </c>
      <c r="F143" s="37" t="s">
        <v>105</v>
      </c>
      <c r="G143" s="37" t="s">
        <v>564</v>
      </c>
      <c r="H143" s="37" t="s">
        <v>196</v>
      </c>
      <c r="I143" s="38" t="s">
        <v>1883</v>
      </c>
      <c r="J143" s="38" t="s">
        <v>566</v>
      </c>
      <c r="K143" s="39">
        <f t="shared" si="4"/>
        <v>1</v>
      </c>
    </row>
    <row r="144" spans="1:11" ht="45" customHeight="1">
      <c r="A144" s="37">
        <v>136</v>
      </c>
      <c r="B144" s="38" t="s">
        <v>539</v>
      </c>
      <c r="C144" s="38" t="s">
        <v>1973</v>
      </c>
      <c r="D144" s="38" t="s">
        <v>1927</v>
      </c>
      <c r="E144" s="37" t="s">
        <v>105</v>
      </c>
      <c r="F144" s="37" t="s">
        <v>105</v>
      </c>
      <c r="G144" s="37" t="s">
        <v>564</v>
      </c>
      <c r="H144" s="37" t="s">
        <v>196</v>
      </c>
      <c r="I144" s="38" t="s">
        <v>1883</v>
      </c>
      <c r="J144" s="38" t="s">
        <v>566</v>
      </c>
      <c r="K144" s="39">
        <f t="shared" si="4"/>
        <v>1</v>
      </c>
    </row>
    <row r="145" spans="1:11" ht="15" customHeight="1">
      <c r="A145" s="37">
        <v>137</v>
      </c>
      <c r="B145" s="38" t="s">
        <v>128</v>
      </c>
      <c r="C145" s="38" t="s">
        <v>1973</v>
      </c>
      <c r="D145" s="38" t="s">
        <v>1923</v>
      </c>
      <c r="E145" s="37" t="s">
        <v>105</v>
      </c>
      <c r="F145" s="37" t="s">
        <v>105</v>
      </c>
      <c r="G145" s="37" t="s">
        <v>564</v>
      </c>
      <c r="H145" s="37" t="s">
        <v>196</v>
      </c>
      <c r="I145" s="38" t="s">
        <v>1883</v>
      </c>
      <c r="J145" s="38" t="s">
        <v>566</v>
      </c>
      <c r="K145" s="39">
        <f t="shared" si="4"/>
        <v>1</v>
      </c>
    </row>
    <row r="146" spans="1:11" ht="15" customHeight="1">
      <c r="A146" s="37">
        <v>138</v>
      </c>
      <c r="B146" s="38" t="s">
        <v>95</v>
      </c>
      <c r="C146" s="38" t="s">
        <v>1973</v>
      </c>
      <c r="D146" s="38" t="s">
        <v>1924</v>
      </c>
      <c r="E146" s="37" t="s">
        <v>105</v>
      </c>
      <c r="F146" s="37" t="s">
        <v>105</v>
      </c>
      <c r="G146" s="37" t="s">
        <v>564</v>
      </c>
      <c r="H146" s="37" t="s">
        <v>196</v>
      </c>
      <c r="I146" s="38" t="s">
        <v>1883</v>
      </c>
      <c r="J146" s="38" t="s">
        <v>566</v>
      </c>
      <c r="K146" s="39">
        <f t="shared" si="4"/>
        <v>1</v>
      </c>
    </row>
    <row r="147" spans="1:11" ht="15" customHeight="1">
      <c r="A147" s="37">
        <v>139</v>
      </c>
      <c r="B147" s="38" t="s">
        <v>1036</v>
      </c>
      <c r="C147" s="38" t="s">
        <v>1973</v>
      </c>
      <c r="D147" s="38" t="s">
        <v>1925</v>
      </c>
      <c r="E147" s="37" t="s">
        <v>105</v>
      </c>
      <c r="F147" s="37" t="s">
        <v>105</v>
      </c>
      <c r="G147" s="37" t="s">
        <v>564</v>
      </c>
      <c r="H147" s="37" t="s">
        <v>196</v>
      </c>
      <c r="I147" s="38" t="s">
        <v>1883</v>
      </c>
      <c r="J147" s="38" t="s">
        <v>566</v>
      </c>
      <c r="K147" s="39">
        <f t="shared" si="4"/>
        <v>1</v>
      </c>
    </row>
    <row r="148" spans="1:11" ht="15" customHeight="1">
      <c r="A148" s="37">
        <v>140</v>
      </c>
      <c r="B148" s="38" t="s">
        <v>133</v>
      </c>
      <c r="C148" s="38" t="s">
        <v>561</v>
      </c>
      <c r="D148" s="38" t="s">
        <v>1976</v>
      </c>
      <c r="E148" s="37" t="s">
        <v>105</v>
      </c>
      <c r="F148" s="37" t="s">
        <v>105</v>
      </c>
      <c r="G148" s="37" t="s">
        <v>564</v>
      </c>
      <c r="H148" s="37" t="s">
        <v>196</v>
      </c>
      <c r="I148" s="38" t="s">
        <v>1883</v>
      </c>
      <c r="J148" s="38" t="s">
        <v>566</v>
      </c>
      <c r="K148" s="39">
        <f t="shared" si="4"/>
        <v>1</v>
      </c>
    </row>
    <row r="149" spans="1:11" ht="45" customHeight="1">
      <c r="A149" s="37">
        <v>141</v>
      </c>
      <c r="B149" s="38" t="s">
        <v>133</v>
      </c>
      <c r="C149" s="38" t="s">
        <v>561</v>
      </c>
      <c r="D149" s="38" t="s">
        <v>1977</v>
      </c>
      <c r="E149" s="37" t="s">
        <v>105</v>
      </c>
      <c r="F149" s="37" t="s">
        <v>105</v>
      </c>
      <c r="G149" s="37" t="s">
        <v>564</v>
      </c>
      <c r="H149" s="37" t="s">
        <v>196</v>
      </c>
      <c r="I149" s="38" t="s">
        <v>1883</v>
      </c>
      <c r="J149" s="38" t="s">
        <v>566</v>
      </c>
      <c r="K149" s="39">
        <f t="shared" si="4"/>
        <v>1</v>
      </c>
    </row>
    <row r="150" spans="1:11" ht="15" customHeight="1">
      <c r="A150" s="37">
        <v>142</v>
      </c>
      <c r="B150" s="38" t="s">
        <v>128</v>
      </c>
      <c r="C150" s="38" t="s">
        <v>561</v>
      </c>
      <c r="D150" s="38" t="s">
        <v>1947</v>
      </c>
      <c r="E150" s="37" t="s">
        <v>105</v>
      </c>
      <c r="F150" s="37" t="s">
        <v>105</v>
      </c>
      <c r="G150" s="37" t="s">
        <v>564</v>
      </c>
      <c r="H150" s="37" t="s">
        <v>196</v>
      </c>
      <c r="I150" s="38" t="s">
        <v>1883</v>
      </c>
      <c r="J150" s="38" t="s">
        <v>566</v>
      </c>
      <c r="K150" s="39">
        <f t="shared" si="4"/>
        <v>1</v>
      </c>
    </row>
    <row r="151" spans="1:11" ht="15" customHeight="1">
      <c r="A151" s="37">
        <v>143</v>
      </c>
      <c r="B151" s="38" t="s">
        <v>95</v>
      </c>
      <c r="C151" s="38" t="s">
        <v>561</v>
      </c>
      <c r="D151" s="38" t="s">
        <v>1047</v>
      </c>
      <c r="E151" s="37" t="s">
        <v>105</v>
      </c>
      <c r="F151" s="37" t="s">
        <v>105</v>
      </c>
      <c r="G151" s="37" t="s">
        <v>564</v>
      </c>
      <c r="H151" s="37" t="s">
        <v>196</v>
      </c>
      <c r="I151" s="38" t="s">
        <v>1883</v>
      </c>
      <c r="J151" s="38" t="s">
        <v>566</v>
      </c>
      <c r="K151" s="39">
        <f t="shared" si="4"/>
        <v>1</v>
      </c>
    </row>
    <row r="152" spans="1:11" ht="15" customHeight="1">
      <c r="A152" s="37">
        <v>144</v>
      </c>
      <c r="B152" s="38" t="s">
        <v>1036</v>
      </c>
      <c r="C152" s="38" t="s">
        <v>561</v>
      </c>
      <c r="D152" s="38" t="s">
        <v>1925</v>
      </c>
      <c r="E152" s="37" t="s">
        <v>105</v>
      </c>
      <c r="F152" s="37" t="s">
        <v>105</v>
      </c>
      <c r="G152" s="37" t="s">
        <v>564</v>
      </c>
      <c r="H152" s="37" t="s">
        <v>196</v>
      </c>
      <c r="I152" s="38" t="s">
        <v>1883</v>
      </c>
      <c r="J152" s="38" t="s">
        <v>566</v>
      </c>
      <c r="K152" s="39">
        <f t="shared" si="4"/>
        <v>1</v>
      </c>
    </row>
    <row r="153" spans="1:11" ht="15" customHeight="1">
      <c r="A153" s="37">
        <v>145</v>
      </c>
      <c r="B153" s="38" t="s">
        <v>133</v>
      </c>
      <c r="C153" s="38" t="s">
        <v>1978</v>
      </c>
      <c r="D153" s="38" t="s">
        <v>1979</v>
      </c>
      <c r="E153" s="37" t="s">
        <v>105</v>
      </c>
      <c r="F153" s="37" t="s">
        <v>105</v>
      </c>
      <c r="G153" s="37" t="s">
        <v>564</v>
      </c>
      <c r="H153" s="37" t="s">
        <v>196</v>
      </c>
      <c r="I153" s="38" t="s">
        <v>1883</v>
      </c>
      <c r="J153" s="38" t="s">
        <v>566</v>
      </c>
      <c r="K153" s="39">
        <f t="shared" si="4"/>
        <v>1</v>
      </c>
    </row>
    <row r="154" spans="1:11" ht="15" customHeight="1">
      <c r="A154" s="37">
        <v>146</v>
      </c>
      <c r="B154" s="38" t="s">
        <v>133</v>
      </c>
      <c r="C154" s="38" t="s">
        <v>1980</v>
      </c>
      <c r="D154" s="38" t="s">
        <v>1981</v>
      </c>
      <c r="E154" s="37" t="s">
        <v>105</v>
      </c>
      <c r="F154" s="37" t="s">
        <v>105</v>
      </c>
      <c r="G154" s="37" t="s">
        <v>564</v>
      </c>
      <c r="H154" s="37" t="s">
        <v>196</v>
      </c>
      <c r="I154" s="38" t="s">
        <v>1883</v>
      </c>
      <c r="J154" s="38" t="s">
        <v>566</v>
      </c>
      <c r="K154" s="39">
        <f t="shared" si="4"/>
        <v>1</v>
      </c>
    </row>
    <row r="155" spans="1:11" ht="15" customHeight="1">
      <c r="A155" s="37">
        <v>147</v>
      </c>
      <c r="B155" s="38" t="s">
        <v>172</v>
      </c>
      <c r="C155" s="38" t="s">
        <v>1982</v>
      </c>
      <c r="D155" s="38" t="s">
        <v>1983</v>
      </c>
      <c r="E155" s="37" t="s">
        <v>105</v>
      </c>
      <c r="F155" s="37" t="s">
        <v>105</v>
      </c>
      <c r="G155" s="37" t="s">
        <v>564</v>
      </c>
      <c r="H155" s="37" t="s">
        <v>196</v>
      </c>
      <c r="I155" s="38" t="s">
        <v>1883</v>
      </c>
      <c r="J155" s="38" t="s">
        <v>566</v>
      </c>
      <c r="K155" s="39">
        <f t="shared" si="4"/>
        <v>1</v>
      </c>
    </row>
    <row r="156" spans="1:11" ht="15" customHeight="1">
      <c r="A156" s="37">
        <v>148</v>
      </c>
      <c r="B156" s="38" t="s">
        <v>539</v>
      </c>
      <c r="C156" s="38" t="s">
        <v>1982</v>
      </c>
      <c r="D156" s="38" t="s">
        <v>1984</v>
      </c>
      <c r="E156" s="37" t="s">
        <v>105</v>
      </c>
      <c r="F156" s="37" t="s">
        <v>105</v>
      </c>
      <c r="G156" s="37" t="s">
        <v>564</v>
      </c>
      <c r="H156" s="37" t="s">
        <v>196</v>
      </c>
      <c r="I156" s="38" t="s">
        <v>1883</v>
      </c>
      <c r="J156" s="38" t="s">
        <v>566</v>
      </c>
      <c r="K156" s="39">
        <f t="shared" si="4"/>
        <v>1</v>
      </c>
    </row>
    <row r="157" spans="1:11" ht="45" customHeight="1">
      <c r="A157" s="37">
        <v>149</v>
      </c>
      <c r="B157" s="38" t="s">
        <v>130</v>
      </c>
      <c r="C157" s="38" t="s">
        <v>1982</v>
      </c>
      <c r="D157" s="38" t="s">
        <v>1031</v>
      </c>
      <c r="E157" s="37" t="s">
        <v>105</v>
      </c>
      <c r="F157" s="37" t="s">
        <v>105</v>
      </c>
      <c r="G157" s="37" t="s">
        <v>564</v>
      </c>
      <c r="H157" s="37" t="s">
        <v>196</v>
      </c>
      <c r="I157" s="38" t="s">
        <v>1883</v>
      </c>
      <c r="J157" s="38" t="s">
        <v>566</v>
      </c>
      <c r="K157" s="39">
        <f t="shared" si="4"/>
        <v>1</v>
      </c>
    </row>
    <row r="158" spans="1:11" ht="15" customHeight="1">
      <c r="A158" s="37">
        <v>150</v>
      </c>
      <c r="B158" s="38" t="s">
        <v>128</v>
      </c>
      <c r="C158" s="38" t="s">
        <v>1982</v>
      </c>
      <c r="D158" s="38" t="s">
        <v>1985</v>
      </c>
      <c r="E158" s="37" t="s">
        <v>105</v>
      </c>
      <c r="F158" s="37" t="s">
        <v>105</v>
      </c>
      <c r="G158" s="37" t="s">
        <v>564</v>
      </c>
      <c r="H158" s="37" t="s">
        <v>196</v>
      </c>
      <c r="I158" s="38" t="s">
        <v>1883</v>
      </c>
      <c r="J158" s="38" t="s">
        <v>566</v>
      </c>
      <c r="K158" s="39">
        <f t="shared" si="4"/>
        <v>1</v>
      </c>
    </row>
    <row r="159" spans="1:11" ht="15" customHeight="1">
      <c r="A159" s="37">
        <v>151</v>
      </c>
      <c r="B159" s="38" t="s">
        <v>95</v>
      </c>
      <c r="C159" s="38" t="s">
        <v>1982</v>
      </c>
      <c r="D159" s="38" t="s">
        <v>1034</v>
      </c>
      <c r="E159" s="37" t="s">
        <v>105</v>
      </c>
      <c r="F159" s="37" t="s">
        <v>105</v>
      </c>
      <c r="G159" s="37" t="s">
        <v>564</v>
      </c>
      <c r="H159" s="37" t="s">
        <v>196</v>
      </c>
      <c r="I159" s="38" t="s">
        <v>1883</v>
      </c>
      <c r="J159" s="38" t="s">
        <v>566</v>
      </c>
      <c r="K159" s="39">
        <f t="shared" si="4"/>
        <v>1</v>
      </c>
    </row>
    <row r="160" spans="1:11" ht="15" customHeight="1">
      <c r="A160" s="37">
        <v>152</v>
      </c>
      <c r="B160" s="38" t="s">
        <v>1036</v>
      </c>
      <c r="C160" s="38" t="s">
        <v>1982</v>
      </c>
      <c r="D160" s="38" t="s">
        <v>1986</v>
      </c>
      <c r="E160" s="37" t="s">
        <v>105</v>
      </c>
      <c r="F160" s="37" t="s">
        <v>105</v>
      </c>
      <c r="G160" s="37" t="s">
        <v>564</v>
      </c>
      <c r="H160" s="37" t="s">
        <v>196</v>
      </c>
      <c r="I160" s="38" t="s">
        <v>1883</v>
      </c>
      <c r="J160" s="38" t="s">
        <v>566</v>
      </c>
      <c r="K160" s="39">
        <f t="shared" si="4"/>
        <v>1</v>
      </c>
    </row>
    <row r="161" spans="1:11" ht="15" customHeight="1">
      <c r="A161" s="37">
        <v>153</v>
      </c>
      <c r="B161" s="38" t="s">
        <v>133</v>
      </c>
      <c r="C161" s="38" t="s">
        <v>1419</v>
      </c>
      <c r="D161" s="38" t="s">
        <v>1987</v>
      </c>
      <c r="E161" s="37" t="s">
        <v>105</v>
      </c>
      <c r="F161" s="37" t="s">
        <v>105</v>
      </c>
      <c r="G161" s="37" t="s">
        <v>564</v>
      </c>
      <c r="H161" s="37" t="s">
        <v>196</v>
      </c>
      <c r="I161" s="38" t="s">
        <v>1883</v>
      </c>
      <c r="J161" s="38" t="s">
        <v>566</v>
      </c>
      <c r="K161" s="39">
        <f t="shared" si="4"/>
        <v>1</v>
      </c>
    </row>
    <row r="162" spans="1:11" ht="45" customHeight="1">
      <c r="A162" s="37">
        <v>154</v>
      </c>
      <c r="B162" s="38" t="s">
        <v>539</v>
      </c>
      <c r="C162" s="38" t="s">
        <v>1419</v>
      </c>
      <c r="D162" s="38" t="s">
        <v>1927</v>
      </c>
      <c r="E162" s="37" t="s">
        <v>105</v>
      </c>
      <c r="F162" s="37" t="s">
        <v>105</v>
      </c>
      <c r="G162" s="37" t="s">
        <v>564</v>
      </c>
      <c r="H162" s="37" t="s">
        <v>196</v>
      </c>
      <c r="I162" s="38" t="s">
        <v>1883</v>
      </c>
      <c r="J162" s="38" t="s">
        <v>566</v>
      </c>
      <c r="K162" s="39">
        <f t="shared" si="4"/>
        <v>1</v>
      </c>
    </row>
    <row r="163" spans="1:11" ht="15" customHeight="1">
      <c r="A163" s="37">
        <v>155</v>
      </c>
      <c r="B163" s="38" t="s">
        <v>128</v>
      </c>
      <c r="C163" s="38" t="s">
        <v>1419</v>
      </c>
      <c r="D163" s="38" t="s">
        <v>1923</v>
      </c>
      <c r="E163" s="37" t="s">
        <v>105</v>
      </c>
      <c r="F163" s="37" t="s">
        <v>105</v>
      </c>
      <c r="G163" s="37" t="s">
        <v>564</v>
      </c>
      <c r="H163" s="37" t="s">
        <v>196</v>
      </c>
      <c r="I163" s="38" t="s">
        <v>1883</v>
      </c>
      <c r="J163" s="38" t="s">
        <v>566</v>
      </c>
      <c r="K163" s="39">
        <f t="shared" si="4"/>
        <v>1</v>
      </c>
    </row>
    <row r="164" spans="1:11" ht="15" customHeight="1">
      <c r="A164" s="37">
        <v>156</v>
      </c>
      <c r="B164" s="38" t="s">
        <v>95</v>
      </c>
      <c r="C164" s="38" t="s">
        <v>1419</v>
      </c>
      <c r="D164" s="38" t="s">
        <v>1924</v>
      </c>
      <c r="E164" s="37" t="s">
        <v>105</v>
      </c>
      <c r="F164" s="37" t="s">
        <v>105</v>
      </c>
      <c r="G164" s="37" t="s">
        <v>564</v>
      </c>
      <c r="H164" s="37" t="s">
        <v>196</v>
      </c>
      <c r="I164" s="38" t="s">
        <v>1883</v>
      </c>
      <c r="J164" s="38" t="s">
        <v>566</v>
      </c>
      <c r="K164" s="39">
        <f t="shared" si="4"/>
        <v>1</v>
      </c>
    </row>
    <row r="165" spans="1:11" ht="15" customHeight="1">
      <c r="A165" s="37">
        <v>157</v>
      </c>
      <c r="B165" s="38" t="s">
        <v>1036</v>
      </c>
      <c r="C165" s="38" t="s">
        <v>1419</v>
      </c>
      <c r="D165" s="38" t="s">
        <v>1925</v>
      </c>
      <c r="E165" s="37" t="s">
        <v>105</v>
      </c>
      <c r="F165" s="37" t="s">
        <v>105</v>
      </c>
      <c r="G165" s="37" t="s">
        <v>564</v>
      </c>
      <c r="H165" s="37" t="s">
        <v>196</v>
      </c>
      <c r="I165" s="38" t="s">
        <v>1883</v>
      </c>
      <c r="J165" s="38" t="s">
        <v>566</v>
      </c>
      <c r="K165" s="39">
        <f t="shared" si="4"/>
        <v>1</v>
      </c>
    </row>
    <row r="166" spans="1:11" ht="15" customHeight="1">
      <c r="A166" s="37">
        <v>158</v>
      </c>
      <c r="B166" s="38" t="s">
        <v>172</v>
      </c>
      <c r="C166" s="38" t="s">
        <v>1083</v>
      </c>
      <c r="D166" s="38" t="s">
        <v>1084</v>
      </c>
      <c r="E166" s="37" t="s">
        <v>105</v>
      </c>
      <c r="F166" s="37" t="s">
        <v>105</v>
      </c>
      <c r="G166" s="37" t="s">
        <v>564</v>
      </c>
      <c r="H166" s="37" t="s">
        <v>196</v>
      </c>
      <c r="I166" s="38" t="s">
        <v>1883</v>
      </c>
      <c r="J166" s="38" t="s">
        <v>566</v>
      </c>
      <c r="K166" s="39">
        <f t="shared" si="4"/>
        <v>1</v>
      </c>
    </row>
    <row r="167" spans="1:11" ht="15" customHeight="1">
      <c r="A167" s="37">
        <v>159</v>
      </c>
      <c r="B167" s="38" t="s">
        <v>172</v>
      </c>
      <c r="C167" s="38" t="s">
        <v>927</v>
      </c>
      <c r="D167" s="38" t="s">
        <v>1988</v>
      </c>
      <c r="E167" s="37" t="s">
        <v>105</v>
      </c>
      <c r="F167" s="37" t="s">
        <v>105</v>
      </c>
      <c r="G167" s="37" t="s">
        <v>564</v>
      </c>
      <c r="H167" s="37" t="s">
        <v>196</v>
      </c>
      <c r="I167" s="38" t="s">
        <v>1883</v>
      </c>
      <c r="J167" s="38" t="s">
        <v>566</v>
      </c>
      <c r="K167" s="39">
        <f t="shared" si="4"/>
        <v>1</v>
      </c>
    </row>
    <row r="168" spans="1:11" ht="15" customHeight="1">
      <c r="A168" s="37">
        <v>160</v>
      </c>
      <c r="B168" s="38" t="s">
        <v>172</v>
      </c>
      <c r="C168" s="38" t="s">
        <v>927</v>
      </c>
      <c r="D168" s="38" t="s">
        <v>1989</v>
      </c>
      <c r="E168" s="37" t="s">
        <v>105</v>
      </c>
      <c r="F168" s="37" t="s">
        <v>105</v>
      </c>
      <c r="G168" s="37" t="s">
        <v>564</v>
      </c>
      <c r="H168" s="37" t="s">
        <v>196</v>
      </c>
      <c r="I168" s="38" t="s">
        <v>1883</v>
      </c>
      <c r="J168" s="38" t="s">
        <v>566</v>
      </c>
      <c r="K168" s="39">
        <f t="shared" si="4"/>
        <v>1</v>
      </c>
    </row>
    <row r="169" spans="1:11" ht="30" customHeight="1">
      <c r="A169" s="37">
        <v>161</v>
      </c>
      <c r="B169" s="38" t="s">
        <v>172</v>
      </c>
      <c r="C169" s="38" t="s">
        <v>927</v>
      </c>
      <c r="D169" s="38" t="s">
        <v>1990</v>
      </c>
      <c r="E169" s="37" t="s">
        <v>105</v>
      </c>
      <c r="F169" s="37" t="s">
        <v>105</v>
      </c>
      <c r="G169" s="37" t="s">
        <v>564</v>
      </c>
      <c r="H169" s="37" t="s">
        <v>196</v>
      </c>
      <c r="I169" s="38" t="s">
        <v>1883</v>
      </c>
      <c r="J169" s="38" t="s">
        <v>566</v>
      </c>
      <c r="K169" s="39">
        <f t="shared" si="4"/>
        <v>1</v>
      </c>
    </row>
    <row r="170" spans="1:11" ht="15" customHeight="1">
      <c r="A170" s="37">
        <v>162</v>
      </c>
      <c r="B170" s="38" t="s">
        <v>172</v>
      </c>
      <c r="C170" s="38" t="s">
        <v>927</v>
      </c>
      <c r="D170" s="38" t="s">
        <v>1991</v>
      </c>
      <c r="E170" s="37" t="s">
        <v>105</v>
      </c>
      <c r="F170" s="37" t="s">
        <v>105</v>
      </c>
      <c r="G170" s="37" t="s">
        <v>564</v>
      </c>
      <c r="H170" s="37" t="s">
        <v>196</v>
      </c>
      <c r="I170" s="38" t="s">
        <v>1883</v>
      </c>
      <c r="J170" s="38" t="s">
        <v>566</v>
      </c>
      <c r="K170" s="39">
        <f t="shared" si="4"/>
        <v>1</v>
      </c>
    </row>
    <row r="171" spans="1:11" ht="30" customHeight="1">
      <c r="A171" s="37">
        <v>163</v>
      </c>
      <c r="B171" s="38" t="s">
        <v>179</v>
      </c>
      <c r="C171" s="38" t="s">
        <v>1235</v>
      </c>
      <c r="D171" s="38" t="s">
        <v>1992</v>
      </c>
      <c r="E171" s="37" t="s">
        <v>105</v>
      </c>
      <c r="F171" s="37" t="s">
        <v>105</v>
      </c>
      <c r="G171" s="37" t="s">
        <v>564</v>
      </c>
      <c r="H171" s="37" t="s">
        <v>196</v>
      </c>
      <c r="I171" s="38" t="s">
        <v>1883</v>
      </c>
      <c r="J171" s="38" t="s">
        <v>566</v>
      </c>
      <c r="K171" s="39">
        <f t="shared" si="4"/>
        <v>1</v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K98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1993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88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62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1994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62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1994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62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1994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62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1994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62</v>
      </c>
      <c r="D15" s="5" t="s">
        <v>1995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1994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62</v>
      </c>
      <c r="D16" s="5" t="s">
        <v>1996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1994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62</v>
      </c>
      <c r="D17" s="5" t="s">
        <v>1997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1994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62</v>
      </c>
      <c r="D18" s="5" t="s">
        <v>1998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1994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62</v>
      </c>
      <c r="D19" s="5" t="s">
        <v>1999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1994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62</v>
      </c>
      <c r="D20" s="5" t="s">
        <v>2000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1994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1994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1994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1994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1994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1994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1994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133</v>
      </c>
      <c r="C27" s="5" t="s">
        <v>121</v>
      </c>
      <c r="D27" s="5" t="s">
        <v>2001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1994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2002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1994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2003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1994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2004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1994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713</v>
      </c>
      <c r="C31" s="5" t="s">
        <v>121</v>
      </c>
      <c r="D31" s="5" t="s">
        <v>1415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1994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140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1994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142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1994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146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1994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713</v>
      </c>
      <c r="C35" s="5" t="s">
        <v>121</v>
      </c>
      <c r="D35" s="5" t="s">
        <v>1418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1994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2005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1994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120</v>
      </c>
      <c r="C37" s="5" t="s">
        <v>145</v>
      </c>
      <c r="D37" s="5" t="s">
        <v>122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1994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120</v>
      </c>
      <c r="C38" s="5" t="s">
        <v>145</v>
      </c>
      <c r="D38" s="5" t="s">
        <v>123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1994</v>
      </c>
      <c r="J38" s="5" t="s">
        <v>109</v>
      </c>
      <c r="K38" s="6">
        <f t="shared" si="0"/>
        <v>0</v>
      </c>
    </row>
    <row r="39" spans="1:11" ht="30" customHeight="1">
      <c r="A39" s="4">
        <v>31</v>
      </c>
      <c r="B39" s="5" t="s">
        <v>124</v>
      </c>
      <c r="C39" s="5" t="s">
        <v>145</v>
      </c>
      <c r="D39" s="5" t="s">
        <v>125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1994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124</v>
      </c>
      <c r="C40" s="5" t="s">
        <v>145</v>
      </c>
      <c r="D40" s="5" t="s">
        <v>126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1994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95</v>
      </c>
      <c r="C41" s="5" t="s">
        <v>145</v>
      </c>
      <c r="D41" s="5" t="s">
        <v>127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1994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128</v>
      </c>
      <c r="C42" s="5" t="s">
        <v>145</v>
      </c>
      <c r="D42" s="5" t="s">
        <v>129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1994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135</v>
      </c>
      <c r="C43" s="5" t="s">
        <v>145</v>
      </c>
      <c r="D43" s="5" t="s">
        <v>140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1994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130</v>
      </c>
      <c r="C44" s="5" t="s">
        <v>145</v>
      </c>
      <c r="D44" s="5" t="s">
        <v>131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1994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130</v>
      </c>
      <c r="C45" s="5" t="s">
        <v>145</v>
      </c>
      <c r="D45" s="5" t="s">
        <v>132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1994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133</v>
      </c>
      <c r="C46" s="5" t="s">
        <v>145</v>
      </c>
      <c r="D46" s="5" t="s">
        <v>142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1994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133</v>
      </c>
      <c r="C47" s="5" t="s">
        <v>145</v>
      </c>
      <c r="D47" s="5" t="s">
        <v>146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1994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713</v>
      </c>
      <c r="C48" s="5" t="s">
        <v>145</v>
      </c>
      <c r="D48" s="5" t="s">
        <v>1418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1994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135</v>
      </c>
      <c r="C49" s="5" t="s">
        <v>145</v>
      </c>
      <c r="D49" s="5" t="s">
        <v>144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1994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120</v>
      </c>
      <c r="C50" s="5" t="s">
        <v>2006</v>
      </c>
      <c r="D50" s="5" t="s">
        <v>122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1994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120</v>
      </c>
      <c r="C51" s="5" t="s">
        <v>2006</v>
      </c>
      <c r="D51" s="5" t="s">
        <v>123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1994</v>
      </c>
      <c r="J51" s="5" t="s">
        <v>109</v>
      </c>
      <c r="K51" s="6">
        <f t="shared" si="1"/>
        <v>0</v>
      </c>
    </row>
    <row r="52" spans="1:11" ht="30" customHeight="1">
      <c r="A52" s="4">
        <v>44</v>
      </c>
      <c r="B52" s="5" t="s">
        <v>124</v>
      </c>
      <c r="C52" s="5" t="s">
        <v>2006</v>
      </c>
      <c r="D52" s="5" t="s">
        <v>125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1994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124</v>
      </c>
      <c r="C53" s="5" t="s">
        <v>2006</v>
      </c>
      <c r="D53" s="5" t="s">
        <v>126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1994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95</v>
      </c>
      <c r="C54" s="5" t="s">
        <v>2006</v>
      </c>
      <c r="D54" s="5" t="s">
        <v>127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1994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128</v>
      </c>
      <c r="C55" s="5" t="s">
        <v>2006</v>
      </c>
      <c r="D55" s="5" t="s">
        <v>129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1994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133</v>
      </c>
      <c r="C56" s="5" t="s">
        <v>2006</v>
      </c>
      <c r="D56" s="5" t="s">
        <v>142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1994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133</v>
      </c>
      <c r="C57" s="5" t="s">
        <v>2006</v>
      </c>
      <c r="D57" s="5" t="s">
        <v>146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1994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713</v>
      </c>
      <c r="C58" s="5" t="s">
        <v>2006</v>
      </c>
      <c r="D58" s="5" t="s">
        <v>1418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1994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120</v>
      </c>
      <c r="C59" s="5" t="s">
        <v>2007</v>
      </c>
      <c r="D59" s="5" t="s">
        <v>122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1994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120</v>
      </c>
      <c r="C60" s="5" t="s">
        <v>2007</v>
      </c>
      <c r="D60" s="5" t="s">
        <v>123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1994</v>
      </c>
      <c r="J60" s="5" t="s">
        <v>109</v>
      </c>
      <c r="K60" s="6">
        <f t="shared" si="1"/>
        <v>0</v>
      </c>
    </row>
    <row r="61" spans="1:11" ht="30" customHeight="1">
      <c r="A61" s="4">
        <v>53</v>
      </c>
      <c r="B61" s="5" t="s">
        <v>124</v>
      </c>
      <c r="C61" s="5" t="s">
        <v>2007</v>
      </c>
      <c r="D61" s="5" t="s">
        <v>125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1994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124</v>
      </c>
      <c r="C62" s="5" t="s">
        <v>2007</v>
      </c>
      <c r="D62" s="5" t="s">
        <v>126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1994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95</v>
      </c>
      <c r="C63" s="5" t="s">
        <v>2007</v>
      </c>
      <c r="D63" s="5" t="s">
        <v>127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1994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128</v>
      </c>
      <c r="C64" s="5" t="s">
        <v>2007</v>
      </c>
      <c r="D64" s="5" t="s">
        <v>129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1994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130</v>
      </c>
      <c r="C65" s="5" t="s">
        <v>2007</v>
      </c>
      <c r="D65" s="5" t="s">
        <v>131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1994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130</v>
      </c>
      <c r="C66" s="5" t="s">
        <v>2007</v>
      </c>
      <c r="D66" s="5" t="s">
        <v>132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1994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133</v>
      </c>
      <c r="C67" s="5" t="s">
        <v>2007</v>
      </c>
      <c r="D67" s="5" t="s">
        <v>142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1994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133</v>
      </c>
      <c r="C68" s="5" t="s">
        <v>2007</v>
      </c>
      <c r="D68" s="5" t="s">
        <v>146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1994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713</v>
      </c>
      <c r="C69" s="5" t="s">
        <v>2007</v>
      </c>
      <c r="D69" s="5" t="s">
        <v>1418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1994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153</v>
      </c>
      <c r="C70" s="5" t="s">
        <v>154</v>
      </c>
      <c r="D70" s="5" t="s">
        <v>155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1994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153</v>
      </c>
      <c r="C71" s="5" t="s">
        <v>154</v>
      </c>
      <c r="D71" s="5" t="s">
        <v>156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1994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153</v>
      </c>
      <c r="C72" s="5" t="s">
        <v>154</v>
      </c>
      <c r="D72" s="5" t="s">
        <v>157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1994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153</v>
      </c>
      <c r="C73" s="5" t="s">
        <v>154</v>
      </c>
      <c r="D73" s="5" t="s">
        <v>562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1994</v>
      </c>
      <c r="J73" s="5" t="s">
        <v>109</v>
      </c>
      <c r="K73" s="6">
        <f t="shared" ref="K73:K98" si="2">IF(AND(E73="yes",F73="yes",H73="covered"),1,IF(H73="partial",0.5,0))</f>
        <v>0</v>
      </c>
    </row>
    <row r="74" spans="1:11" ht="15" customHeight="1">
      <c r="A74" s="4">
        <v>66</v>
      </c>
      <c r="B74" s="5" t="s">
        <v>153</v>
      </c>
      <c r="C74" s="5" t="s">
        <v>154</v>
      </c>
      <c r="D74" s="5" t="s">
        <v>438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1994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153</v>
      </c>
      <c r="C75" s="5" t="s">
        <v>154</v>
      </c>
      <c r="D75" s="5" t="s">
        <v>158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1994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159</v>
      </c>
      <c r="C76" s="5" t="s">
        <v>154</v>
      </c>
      <c r="D76" s="5" t="s">
        <v>2008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1994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159</v>
      </c>
      <c r="C77" s="5" t="s">
        <v>154</v>
      </c>
      <c r="D77" s="5" t="s">
        <v>160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1994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159</v>
      </c>
      <c r="C78" s="5" t="s">
        <v>154</v>
      </c>
      <c r="D78" s="5" t="s">
        <v>1425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1994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159</v>
      </c>
      <c r="C79" s="5" t="s">
        <v>154</v>
      </c>
      <c r="D79" s="5" t="s">
        <v>162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1994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159</v>
      </c>
      <c r="C80" s="5" t="s">
        <v>154</v>
      </c>
      <c r="D80" s="5" t="s">
        <v>163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1994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159</v>
      </c>
      <c r="C81" s="5" t="s">
        <v>154</v>
      </c>
      <c r="D81" s="5" t="s">
        <v>2009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1994</v>
      </c>
      <c r="J81" s="5" t="s">
        <v>109</v>
      </c>
      <c r="K81" s="6">
        <f t="shared" si="2"/>
        <v>0</v>
      </c>
    </row>
    <row r="82" spans="1:11" ht="30" customHeight="1">
      <c r="A82" s="4">
        <v>74</v>
      </c>
      <c r="B82" s="5" t="s">
        <v>130</v>
      </c>
      <c r="C82" s="5" t="s">
        <v>62</v>
      </c>
      <c r="D82" s="5" t="s">
        <v>164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1994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130</v>
      </c>
      <c r="C83" s="5" t="s">
        <v>62</v>
      </c>
      <c r="D83" s="5" t="s">
        <v>165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1994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130</v>
      </c>
      <c r="C84" s="5" t="s">
        <v>62</v>
      </c>
      <c r="D84" s="5" t="s">
        <v>166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1994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130</v>
      </c>
      <c r="C85" s="5" t="s">
        <v>62</v>
      </c>
      <c r="D85" s="5" t="s">
        <v>167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1994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130</v>
      </c>
      <c r="C86" s="5" t="s">
        <v>62</v>
      </c>
      <c r="D86" s="5" t="s">
        <v>168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1994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135</v>
      </c>
      <c r="C87" s="5" t="s">
        <v>121</v>
      </c>
      <c r="D87" s="5" t="s">
        <v>169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1994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135</v>
      </c>
      <c r="C88" s="5" t="s">
        <v>121</v>
      </c>
      <c r="D88" s="5" t="s">
        <v>170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1994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135</v>
      </c>
      <c r="C89" s="5" t="s">
        <v>121</v>
      </c>
      <c r="D89" s="5" t="s">
        <v>171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1994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172</v>
      </c>
      <c r="C90" s="5" t="s">
        <v>145</v>
      </c>
      <c r="D90" s="5" t="s">
        <v>173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1994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172</v>
      </c>
      <c r="C91" s="5" t="s">
        <v>145</v>
      </c>
      <c r="D91" s="5" t="s">
        <v>174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1994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172</v>
      </c>
      <c r="C92" s="5" t="s">
        <v>145</v>
      </c>
      <c r="D92" s="5" t="s">
        <v>175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1994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172</v>
      </c>
      <c r="C93" s="5" t="s">
        <v>145</v>
      </c>
      <c r="D93" s="5" t="s">
        <v>176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1994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177</v>
      </c>
      <c r="C94" s="5" t="s">
        <v>145</v>
      </c>
      <c r="D94" s="5" t="s">
        <v>178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1994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713</v>
      </c>
      <c r="C95" s="5" t="s">
        <v>62</v>
      </c>
      <c r="D95" s="5" t="s">
        <v>733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1994</v>
      </c>
      <c r="J95" s="5" t="s">
        <v>109</v>
      </c>
      <c r="K95" s="6">
        <f t="shared" si="2"/>
        <v>0</v>
      </c>
    </row>
    <row r="96" spans="1:11" ht="30" customHeight="1">
      <c r="A96" s="4">
        <v>88</v>
      </c>
      <c r="B96" s="5" t="s">
        <v>713</v>
      </c>
      <c r="C96" s="5" t="s">
        <v>62</v>
      </c>
      <c r="D96" s="5" t="s">
        <v>734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1994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713</v>
      </c>
      <c r="C97" s="5" t="s">
        <v>62</v>
      </c>
      <c r="D97" s="5" t="s">
        <v>735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1994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713</v>
      </c>
      <c r="C98" s="5" t="s">
        <v>62</v>
      </c>
      <c r="D98" s="5" t="s">
        <v>736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1994</v>
      </c>
      <c r="J98" s="5" t="s">
        <v>109</v>
      </c>
      <c r="K98" s="6">
        <f t="shared" si="2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K50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2010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IFERROR(SUM(K9:K50)/COUNTA(A9:A50),0)</f>
        <v>1</v>
      </c>
      <c r="C4" s="1" t="s">
        <v>8</v>
      </c>
      <c r="D4" s="2">
        <f>COUNTIF(H9:H50,"covered")</f>
        <v>42</v>
      </c>
      <c r="E4" s="1" t="s">
        <v>9</v>
      </c>
      <c r="F4" s="2">
        <f>COUNTIF(H9:H50,"partial")</f>
        <v>0</v>
      </c>
      <c r="G4" s="1" t="s">
        <v>10</v>
      </c>
      <c r="H4" s="2">
        <f>COUNTIF(H9:H50,"missing")</f>
        <v>0</v>
      </c>
      <c r="I4" s="1" t="s">
        <v>11</v>
      </c>
      <c r="J4" s="2">
        <f>COUNTIF(F9:F50,"no")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19">
        <v>1</v>
      </c>
      <c r="B9" s="20" t="s">
        <v>94</v>
      </c>
      <c r="C9" s="20" t="s">
        <v>95</v>
      </c>
      <c r="D9" s="20" t="s">
        <v>96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100</v>
      </c>
      <c r="J9" s="20" t="s">
        <v>109</v>
      </c>
      <c r="K9" s="21">
        <f t="shared" ref="K9:K50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95</v>
      </c>
      <c r="D10" s="20" t="s">
        <v>102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100</v>
      </c>
      <c r="J10" s="20" t="s">
        <v>109</v>
      </c>
      <c r="K10" s="21">
        <f t="shared" si="0"/>
        <v>1</v>
      </c>
    </row>
    <row r="11" spans="1:11" ht="15" customHeight="1">
      <c r="A11" s="19">
        <v>3</v>
      </c>
      <c r="B11" s="20" t="s">
        <v>94</v>
      </c>
      <c r="C11" s="20" t="s">
        <v>63</v>
      </c>
      <c r="D11" s="20" t="s">
        <v>104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2011</v>
      </c>
      <c r="J11" s="20" t="s">
        <v>444</v>
      </c>
      <c r="K11" s="21">
        <f t="shared" si="0"/>
        <v>1</v>
      </c>
    </row>
    <row r="12" spans="1:11" ht="15" customHeight="1">
      <c r="A12" s="19">
        <v>4</v>
      </c>
      <c r="B12" s="20" t="s">
        <v>94</v>
      </c>
      <c r="C12" s="20" t="s">
        <v>63</v>
      </c>
      <c r="D12" s="20" t="s">
        <v>110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2011</v>
      </c>
      <c r="J12" s="20" t="s">
        <v>444</v>
      </c>
      <c r="K12" s="21">
        <f t="shared" si="0"/>
        <v>1</v>
      </c>
    </row>
    <row r="13" spans="1:11" ht="15" customHeight="1">
      <c r="A13" s="19">
        <v>5</v>
      </c>
      <c r="B13" s="20" t="s">
        <v>94</v>
      </c>
      <c r="C13" s="20" t="s">
        <v>63</v>
      </c>
      <c r="D13" s="20" t="s">
        <v>111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2011</v>
      </c>
      <c r="J13" s="20" t="s">
        <v>444</v>
      </c>
      <c r="K13" s="21">
        <f t="shared" si="0"/>
        <v>1</v>
      </c>
    </row>
    <row r="14" spans="1:11" ht="15" customHeight="1">
      <c r="A14" s="19">
        <v>6</v>
      </c>
      <c r="B14" s="20" t="s">
        <v>94</v>
      </c>
      <c r="C14" s="20" t="s">
        <v>63</v>
      </c>
      <c r="D14" s="20" t="s">
        <v>112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2011</v>
      </c>
      <c r="J14" s="20" t="s">
        <v>444</v>
      </c>
      <c r="K14" s="21">
        <f t="shared" si="0"/>
        <v>1</v>
      </c>
    </row>
    <row r="15" spans="1:11" ht="15" customHeight="1">
      <c r="A15" s="19">
        <v>7</v>
      </c>
      <c r="B15" s="20" t="s">
        <v>113</v>
      </c>
      <c r="C15" s="20" t="s">
        <v>63</v>
      </c>
      <c r="D15" s="20" t="s">
        <v>2012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2011</v>
      </c>
      <c r="J15" s="20" t="s">
        <v>444</v>
      </c>
      <c r="K15" s="21">
        <f t="shared" si="0"/>
        <v>1</v>
      </c>
    </row>
    <row r="16" spans="1:11" ht="15" customHeight="1">
      <c r="A16" s="19">
        <v>8</v>
      </c>
      <c r="B16" s="20" t="s">
        <v>113</v>
      </c>
      <c r="C16" s="20" t="s">
        <v>63</v>
      </c>
      <c r="D16" s="20" t="s">
        <v>2013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2011</v>
      </c>
      <c r="J16" s="20" t="s">
        <v>444</v>
      </c>
      <c r="K16" s="21">
        <f t="shared" si="0"/>
        <v>1</v>
      </c>
    </row>
    <row r="17" spans="1:11" ht="15" customHeight="1">
      <c r="A17" s="19">
        <v>9</v>
      </c>
      <c r="B17" s="20" t="s">
        <v>113</v>
      </c>
      <c r="C17" s="20" t="s">
        <v>63</v>
      </c>
      <c r="D17" s="20" t="s">
        <v>2014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2011</v>
      </c>
      <c r="J17" s="20" t="s">
        <v>444</v>
      </c>
      <c r="K17" s="21">
        <f t="shared" si="0"/>
        <v>1</v>
      </c>
    </row>
    <row r="18" spans="1:11" ht="15" customHeight="1">
      <c r="A18" s="19">
        <v>10</v>
      </c>
      <c r="B18" s="20" t="s">
        <v>113</v>
      </c>
      <c r="C18" s="20" t="s">
        <v>63</v>
      </c>
      <c r="D18" s="20" t="s">
        <v>2015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2011</v>
      </c>
      <c r="J18" s="20" t="s">
        <v>444</v>
      </c>
      <c r="K18" s="21">
        <f t="shared" si="0"/>
        <v>1</v>
      </c>
    </row>
    <row r="19" spans="1:11" ht="15" customHeight="1">
      <c r="A19" s="19">
        <v>11</v>
      </c>
      <c r="B19" s="20" t="s">
        <v>113</v>
      </c>
      <c r="C19" s="20" t="s">
        <v>63</v>
      </c>
      <c r="D19" s="20" t="s">
        <v>2016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2011</v>
      </c>
      <c r="J19" s="20" t="s">
        <v>444</v>
      </c>
      <c r="K19" s="21">
        <f t="shared" si="0"/>
        <v>1</v>
      </c>
    </row>
    <row r="20" spans="1:11" ht="15" customHeight="1">
      <c r="A20" s="19">
        <v>12</v>
      </c>
      <c r="B20" s="20" t="s">
        <v>120</v>
      </c>
      <c r="C20" s="20" t="s">
        <v>121</v>
      </c>
      <c r="D20" s="20" t="s">
        <v>122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2011</v>
      </c>
      <c r="J20" s="20" t="s">
        <v>444</v>
      </c>
      <c r="K20" s="21">
        <f t="shared" si="0"/>
        <v>1</v>
      </c>
    </row>
    <row r="21" spans="1:11" ht="15" customHeight="1">
      <c r="A21" s="19">
        <v>13</v>
      </c>
      <c r="B21" s="20" t="s">
        <v>120</v>
      </c>
      <c r="C21" s="20" t="s">
        <v>121</v>
      </c>
      <c r="D21" s="20" t="s">
        <v>123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2011</v>
      </c>
      <c r="J21" s="20" t="s">
        <v>444</v>
      </c>
      <c r="K21" s="21">
        <f t="shared" si="0"/>
        <v>1</v>
      </c>
    </row>
    <row r="22" spans="1:11" ht="30" customHeight="1">
      <c r="A22" s="19">
        <v>14</v>
      </c>
      <c r="B22" s="20" t="s">
        <v>124</v>
      </c>
      <c r="C22" s="20" t="s">
        <v>121</v>
      </c>
      <c r="D22" s="20" t="s">
        <v>125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2011</v>
      </c>
      <c r="J22" s="20" t="s">
        <v>444</v>
      </c>
      <c r="K22" s="21">
        <f t="shared" si="0"/>
        <v>1</v>
      </c>
    </row>
    <row r="23" spans="1:11" ht="15" customHeight="1">
      <c r="A23" s="19">
        <v>15</v>
      </c>
      <c r="B23" s="20" t="s">
        <v>124</v>
      </c>
      <c r="C23" s="20" t="s">
        <v>121</v>
      </c>
      <c r="D23" s="20" t="s">
        <v>126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2011</v>
      </c>
      <c r="J23" s="20" t="s">
        <v>444</v>
      </c>
      <c r="K23" s="21">
        <f t="shared" si="0"/>
        <v>1</v>
      </c>
    </row>
    <row r="24" spans="1:11" ht="15" customHeight="1">
      <c r="A24" s="19">
        <v>16</v>
      </c>
      <c r="B24" s="20" t="s">
        <v>95</v>
      </c>
      <c r="C24" s="20" t="s">
        <v>121</v>
      </c>
      <c r="D24" s="20" t="s">
        <v>127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2011</v>
      </c>
      <c r="J24" s="20" t="s">
        <v>444</v>
      </c>
      <c r="K24" s="21">
        <f t="shared" si="0"/>
        <v>1</v>
      </c>
    </row>
    <row r="25" spans="1:11" ht="15" customHeight="1">
      <c r="A25" s="19">
        <v>17</v>
      </c>
      <c r="B25" s="20" t="s">
        <v>128</v>
      </c>
      <c r="C25" s="20" t="s">
        <v>121</v>
      </c>
      <c r="D25" s="20" t="s">
        <v>129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2011</v>
      </c>
      <c r="J25" s="20" t="s">
        <v>444</v>
      </c>
      <c r="K25" s="21">
        <f t="shared" si="0"/>
        <v>1</v>
      </c>
    </row>
    <row r="26" spans="1:11" ht="15" customHeight="1">
      <c r="A26" s="19">
        <v>18</v>
      </c>
      <c r="B26" s="20" t="s">
        <v>130</v>
      </c>
      <c r="C26" s="20" t="s">
        <v>121</v>
      </c>
      <c r="D26" s="20" t="s">
        <v>131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2011</v>
      </c>
      <c r="J26" s="20" t="s">
        <v>444</v>
      </c>
      <c r="K26" s="21">
        <f t="shared" si="0"/>
        <v>1</v>
      </c>
    </row>
    <row r="27" spans="1:11" ht="15" customHeight="1">
      <c r="A27" s="19">
        <v>19</v>
      </c>
      <c r="B27" s="20" t="s">
        <v>130</v>
      </c>
      <c r="C27" s="20" t="s">
        <v>121</v>
      </c>
      <c r="D27" s="20" t="s">
        <v>132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2011</v>
      </c>
      <c r="J27" s="20" t="s">
        <v>444</v>
      </c>
      <c r="K27" s="21">
        <f t="shared" si="0"/>
        <v>1</v>
      </c>
    </row>
    <row r="28" spans="1:11" ht="15" customHeight="1">
      <c r="A28" s="19">
        <v>20</v>
      </c>
      <c r="B28" s="20" t="s">
        <v>133</v>
      </c>
      <c r="C28" s="20" t="s">
        <v>121</v>
      </c>
      <c r="D28" s="20" t="s">
        <v>541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2011</v>
      </c>
      <c r="J28" s="20" t="s">
        <v>444</v>
      </c>
      <c r="K28" s="21">
        <f t="shared" si="0"/>
        <v>1</v>
      </c>
    </row>
    <row r="29" spans="1:11" ht="15" customHeight="1">
      <c r="A29" s="19">
        <v>21</v>
      </c>
      <c r="B29" s="20" t="s">
        <v>133</v>
      </c>
      <c r="C29" s="20" t="s">
        <v>121</v>
      </c>
      <c r="D29" s="20" t="s">
        <v>2017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2011</v>
      </c>
      <c r="J29" s="20" t="s">
        <v>444</v>
      </c>
      <c r="K29" s="21">
        <f t="shared" si="0"/>
        <v>1</v>
      </c>
    </row>
    <row r="30" spans="1:11" ht="15" customHeight="1">
      <c r="A30" s="19">
        <v>22</v>
      </c>
      <c r="B30" s="20" t="s">
        <v>135</v>
      </c>
      <c r="C30" s="20" t="s">
        <v>121</v>
      </c>
      <c r="D30" s="20" t="s">
        <v>582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2011</v>
      </c>
      <c r="J30" s="20" t="s">
        <v>444</v>
      </c>
      <c r="K30" s="21">
        <f t="shared" si="0"/>
        <v>1</v>
      </c>
    </row>
    <row r="31" spans="1:11" ht="15" customHeight="1">
      <c r="A31" s="19">
        <v>23</v>
      </c>
      <c r="B31" s="20" t="s">
        <v>133</v>
      </c>
      <c r="C31" s="20" t="s">
        <v>121</v>
      </c>
      <c r="D31" s="20" t="s">
        <v>142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2011</v>
      </c>
      <c r="J31" s="20" t="s">
        <v>444</v>
      </c>
      <c r="K31" s="21">
        <f t="shared" si="0"/>
        <v>1</v>
      </c>
    </row>
    <row r="32" spans="1:11" ht="15" customHeight="1">
      <c r="A32" s="19">
        <v>24</v>
      </c>
      <c r="B32" s="20" t="s">
        <v>120</v>
      </c>
      <c r="C32" s="20" t="s">
        <v>2018</v>
      </c>
      <c r="D32" s="20" t="s">
        <v>122</v>
      </c>
      <c r="E32" s="19" t="s">
        <v>105</v>
      </c>
      <c r="F32" s="19" t="s">
        <v>105</v>
      </c>
      <c r="G32" s="19" t="s">
        <v>442</v>
      </c>
      <c r="H32" s="19" t="s">
        <v>196</v>
      </c>
      <c r="I32" s="20" t="s">
        <v>2011</v>
      </c>
      <c r="J32" s="20" t="s">
        <v>444</v>
      </c>
      <c r="K32" s="21">
        <f t="shared" si="0"/>
        <v>1</v>
      </c>
    </row>
    <row r="33" spans="1:11" ht="15" customHeight="1">
      <c r="A33" s="19">
        <v>25</v>
      </c>
      <c r="B33" s="20" t="s">
        <v>120</v>
      </c>
      <c r="C33" s="20" t="s">
        <v>2018</v>
      </c>
      <c r="D33" s="20" t="s">
        <v>123</v>
      </c>
      <c r="E33" s="19" t="s">
        <v>105</v>
      </c>
      <c r="F33" s="19" t="s">
        <v>105</v>
      </c>
      <c r="G33" s="19" t="s">
        <v>442</v>
      </c>
      <c r="H33" s="19" t="s">
        <v>196</v>
      </c>
      <c r="I33" s="20" t="s">
        <v>2011</v>
      </c>
      <c r="J33" s="20" t="s">
        <v>444</v>
      </c>
      <c r="K33" s="21">
        <f t="shared" si="0"/>
        <v>1</v>
      </c>
    </row>
    <row r="34" spans="1:11" ht="30" customHeight="1">
      <c r="A34" s="19">
        <v>26</v>
      </c>
      <c r="B34" s="20" t="s">
        <v>124</v>
      </c>
      <c r="C34" s="20" t="s">
        <v>2018</v>
      </c>
      <c r="D34" s="20" t="s">
        <v>125</v>
      </c>
      <c r="E34" s="19" t="s">
        <v>105</v>
      </c>
      <c r="F34" s="19" t="s">
        <v>105</v>
      </c>
      <c r="G34" s="19" t="s">
        <v>442</v>
      </c>
      <c r="H34" s="19" t="s">
        <v>196</v>
      </c>
      <c r="I34" s="20" t="s">
        <v>2011</v>
      </c>
      <c r="J34" s="20" t="s">
        <v>444</v>
      </c>
      <c r="K34" s="21">
        <f t="shared" si="0"/>
        <v>1</v>
      </c>
    </row>
    <row r="35" spans="1:11" ht="15" customHeight="1">
      <c r="A35" s="19">
        <v>27</v>
      </c>
      <c r="B35" s="20" t="s">
        <v>124</v>
      </c>
      <c r="C35" s="20" t="s">
        <v>2018</v>
      </c>
      <c r="D35" s="20" t="s">
        <v>126</v>
      </c>
      <c r="E35" s="19" t="s">
        <v>105</v>
      </c>
      <c r="F35" s="19" t="s">
        <v>105</v>
      </c>
      <c r="G35" s="19" t="s">
        <v>442</v>
      </c>
      <c r="H35" s="19" t="s">
        <v>196</v>
      </c>
      <c r="I35" s="20" t="s">
        <v>2011</v>
      </c>
      <c r="J35" s="20" t="s">
        <v>444</v>
      </c>
      <c r="K35" s="21">
        <f t="shared" si="0"/>
        <v>1</v>
      </c>
    </row>
    <row r="36" spans="1:11" ht="15" customHeight="1">
      <c r="A36" s="19">
        <v>28</v>
      </c>
      <c r="B36" s="20" t="s">
        <v>95</v>
      </c>
      <c r="C36" s="20" t="s">
        <v>2018</v>
      </c>
      <c r="D36" s="20" t="s">
        <v>127</v>
      </c>
      <c r="E36" s="19" t="s">
        <v>105</v>
      </c>
      <c r="F36" s="19" t="s">
        <v>105</v>
      </c>
      <c r="G36" s="19" t="s">
        <v>442</v>
      </c>
      <c r="H36" s="19" t="s">
        <v>196</v>
      </c>
      <c r="I36" s="20" t="s">
        <v>2011</v>
      </c>
      <c r="J36" s="20" t="s">
        <v>444</v>
      </c>
      <c r="K36" s="21">
        <f t="shared" si="0"/>
        <v>1</v>
      </c>
    </row>
    <row r="37" spans="1:11" ht="15" customHeight="1">
      <c r="A37" s="19">
        <v>29</v>
      </c>
      <c r="B37" s="20" t="s">
        <v>128</v>
      </c>
      <c r="C37" s="20" t="s">
        <v>2018</v>
      </c>
      <c r="D37" s="20" t="s">
        <v>129</v>
      </c>
      <c r="E37" s="19" t="s">
        <v>105</v>
      </c>
      <c r="F37" s="19" t="s">
        <v>105</v>
      </c>
      <c r="G37" s="19" t="s">
        <v>442</v>
      </c>
      <c r="H37" s="19" t="s">
        <v>196</v>
      </c>
      <c r="I37" s="20" t="s">
        <v>2011</v>
      </c>
      <c r="J37" s="20" t="s">
        <v>444</v>
      </c>
      <c r="K37" s="21">
        <f t="shared" si="0"/>
        <v>1</v>
      </c>
    </row>
    <row r="38" spans="1:11" ht="15" customHeight="1">
      <c r="A38" s="19">
        <v>30</v>
      </c>
      <c r="B38" s="20" t="s">
        <v>130</v>
      </c>
      <c r="C38" s="20" t="s">
        <v>2018</v>
      </c>
      <c r="D38" s="20" t="s">
        <v>131</v>
      </c>
      <c r="E38" s="19" t="s">
        <v>105</v>
      </c>
      <c r="F38" s="19" t="s">
        <v>105</v>
      </c>
      <c r="G38" s="19" t="s">
        <v>442</v>
      </c>
      <c r="H38" s="19" t="s">
        <v>196</v>
      </c>
      <c r="I38" s="20" t="s">
        <v>2011</v>
      </c>
      <c r="J38" s="20" t="s">
        <v>444</v>
      </c>
      <c r="K38" s="21">
        <f t="shared" si="0"/>
        <v>1</v>
      </c>
    </row>
    <row r="39" spans="1:11" ht="15" customHeight="1">
      <c r="A39" s="19">
        <v>31</v>
      </c>
      <c r="B39" s="20" t="s">
        <v>130</v>
      </c>
      <c r="C39" s="20" t="s">
        <v>2018</v>
      </c>
      <c r="D39" s="20" t="s">
        <v>132</v>
      </c>
      <c r="E39" s="19" t="s">
        <v>105</v>
      </c>
      <c r="F39" s="19" t="s">
        <v>105</v>
      </c>
      <c r="G39" s="19" t="s">
        <v>442</v>
      </c>
      <c r="H39" s="19" t="s">
        <v>196</v>
      </c>
      <c r="I39" s="20" t="s">
        <v>2011</v>
      </c>
      <c r="J39" s="20" t="s">
        <v>444</v>
      </c>
      <c r="K39" s="21">
        <f t="shared" si="0"/>
        <v>1</v>
      </c>
    </row>
    <row r="40" spans="1:11" ht="15" customHeight="1">
      <c r="A40" s="19">
        <v>32</v>
      </c>
      <c r="B40" s="20" t="s">
        <v>133</v>
      </c>
      <c r="C40" s="20" t="s">
        <v>2018</v>
      </c>
      <c r="D40" s="20" t="s">
        <v>1272</v>
      </c>
      <c r="E40" s="19" t="s">
        <v>105</v>
      </c>
      <c r="F40" s="19" t="s">
        <v>105</v>
      </c>
      <c r="G40" s="19" t="s">
        <v>442</v>
      </c>
      <c r="H40" s="19" t="s">
        <v>196</v>
      </c>
      <c r="I40" s="20" t="s">
        <v>2011</v>
      </c>
      <c r="J40" s="20" t="s">
        <v>444</v>
      </c>
      <c r="K40" s="21">
        <f t="shared" si="0"/>
        <v>1</v>
      </c>
    </row>
    <row r="41" spans="1:11" ht="15" customHeight="1">
      <c r="A41" s="19">
        <v>33</v>
      </c>
      <c r="B41" s="20" t="s">
        <v>133</v>
      </c>
      <c r="C41" s="20" t="s">
        <v>2018</v>
      </c>
      <c r="D41" s="20" t="s">
        <v>1865</v>
      </c>
      <c r="E41" s="19" t="s">
        <v>105</v>
      </c>
      <c r="F41" s="19" t="s">
        <v>105</v>
      </c>
      <c r="G41" s="19" t="s">
        <v>442</v>
      </c>
      <c r="H41" s="19" t="s">
        <v>196</v>
      </c>
      <c r="I41" s="20" t="s">
        <v>2011</v>
      </c>
      <c r="J41" s="20" t="s">
        <v>444</v>
      </c>
      <c r="K41" s="21">
        <f t="shared" si="0"/>
        <v>1</v>
      </c>
    </row>
    <row r="42" spans="1:11" ht="15" customHeight="1">
      <c r="A42" s="19">
        <v>34</v>
      </c>
      <c r="B42" s="20" t="s">
        <v>133</v>
      </c>
      <c r="C42" s="20" t="s">
        <v>2018</v>
      </c>
      <c r="D42" s="20" t="s">
        <v>142</v>
      </c>
      <c r="E42" s="19" t="s">
        <v>105</v>
      </c>
      <c r="F42" s="19" t="s">
        <v>105</v>
      </c>
      <c r="G42" s="19" t="s">
        <v>442</v>
      </c>
      <c r="H42" s="19" t="s">
        <v>196</v>
      </c>
      <c r="I42" s="20" t="s">
        <v>2011</v>
      </c>
      <c r="J42" s="20" t="s">
        <v>444</v>
      </c>
      <c r="K42" s="21">
        <f t="shared" si="0"/>
        <v>1</v>
      </c>
    </row>
    <row r="43" spans="1:11" ht="15" customHeight="1">
      <c r="A43" s="19">
        <v>35</v>
      </c>
      <c r="B43" s="20" t="s">
        <v>159</v>
      </c>
      <c r="C43" s="20" t="s">
        <v>154</v>
      </c>
      <c r="D43" s="20" t="s">
        <v>162</v>
      </c>
      <c r="E43" s="19" t="s">
        <v>105</v>
      </c>
      <c r="F43" s="19" t="s">
        <v>105</v>
      </c>
      <c r="G43" s="19" t="s">
        <v>442</v>
      </c>
      <c r="H43" s="19" t="s">
        <v>196</v>
      </c>
      <c r="I43" s="20" t="s">
        <v>2011</v>
      </c>
      <c r="J43" s="20" t="s">
        <v>444</v>
      </c>
      <c r="K43" s="21">
        <f t="shared" si="0"/>
        <v>1</v>
      </c>
    </row>
    <row r="44" spans="1:11" ht="30" customHeight="1">
      <c r="A44" s="19">
        <v>36</v>
      </c>
      <c r="B44" s="20" t="s">
        <v>130</v>
      </c>
      <c r="C44" s="20" t="s">
        <v>63</v>
      </c>
      <c r="D44" s="20" t="s">
        <v>164</v>
      </c>
      <c r="E44" s="19" t="s">
        <v>105</v>
      </c>
      <c r="F44" s="19" t="s">
        <v>105</v>
      </c>
      <c r="G44" s="19" t="s">
        <v>442</v>
      </c>
      <c r="H44" s="19" t="s">
        <v>196</v>
      </c>
      <c r="I44" s="20" t="s">
        <v>2011</v>
      </c>
      <c r="J44" s="20" t="s">
        <v>444</v>
      </c>
      <c r="K44" s="21">
        <f t="shared" si="0"/>
        <v>1</v>
      </c>
    </row>
    <row r="45" spans="1:11" ht="15" customHeight="1">
      <c r="A45" s="19">
        <v>37</v>
      </c>
      <c r="B45" s="20" t="s">
        <v>130</v>
      </c>
      <c r="C45" s="20" t="s">
        <v>63</v>
      </c>
      <c r="D45" s="20" t="s">
        <v>165</v>
      </c>
      <c r="E45" s="19" t="s">
        <v>105</v>
      </c>
      <c r="F45" s="19" t="s">
        <v>105</v>
      </c>
      <c r="G45" s="19" t="s">
        <v>442</v>
      </c>
      <c r="H45" s="19" t="s">
        <v>196</v>
      </c>
      <c r="I45" s="20" t="s">
        <v>2011</v>
      </c>
      <c r="J45" s="20" t="s">
        <v>444</v>
      </c>
      <c r="K45" s="21">
        <f t="shared" si="0"/>
        <v>1</v>
      </c>
    </row>
    <row r="46" spans="1:11" ht="15" customHeight="1">
      <c r="A46" s="19">
        <v>38</v>
      </c>
      <c r="B46" s="20" t="s">
        <v>130</v>
      </c>
      <c r="C46" s="20" t="s">
        <v>63</v>
      </c>
      <c r="D46" s="20" t="s">
        <v>166</v>
      </c>
      <c r="E46" s="19" t="s">
        <v>105</v>
      </c>
      <c r="F46" s="19" t="s">
        <v>105</v>
      </c>
      <c r="G46" s="19" t="s">
        <v>442</v>
      </c>
      <c r="H46" s="19" t="s">
        <v>196</v>
      </c>
      <c r="I46" s="20" t="s">
        <v>2011</v>
      </c>
      <c r="J46" s="20" t="s">
        <v>444</v>
      </c>
      <c r="K46" s="21">
        <f t="shared" si="0"/>
        <v>1</v>
      </c>
    </row>
    <row r="47" spans="1:11" ht="15" customHeight="1">
      <c r="A47" s="19">
        <v>39</v>
      </c>
      <c r="B47" s="20" t="s">
        <v>130</v>
      </c>
      <c r="C47" s="20" t="s">
        <v>63</v>
      </c>
      <c r="D47" s="20" t="s">
        <v>167</v>
      </c>
      <c r="E47" s="19" t="s">
        <v>105</v>
      </c>
      <c r="F47" s="19" t="s">
        <v>105</v>
      </c>
      <c r="G47" s="19" t="s">
        <v>442</v>
      </c>
      <c r="H47" s="19" t="s">
        <v>196</v>
      </c>
      <c r="I47" s="20" t="s">
        <v>2011</v>
      </c>
      <c r="J47" s="20" t="s">
        <v>444</v>
      </c>
      <c r="K47" s="21">
        <f t="shared" si="0"/>
        <v>1</v>
      </c>
    </row>
    <row r="48" spans="1:11" ht="15" customHeight="1">
      <c r="A48" s="19">
        <v>40</v>
      </c>
      <c r="B48" s="20" t="s">
        <v>130</v>
      </c>
      <c r="C48" s="20" t="s">
        <v>63</v>
      </c>
      <c r="D48" s="20" t="s">
        <v>168</v>
      </c>
      <c r="E48" s="19" t="s">
        <v>105</v>
      </c>
      <c r="F48" s="19" t="s">
        <v>105</v>
      </c>
      <c r="G48" s="19" t="s">
        <v>442</v>
      </c>
      <c r="H48" s="19" t="s">
        <v>196</v>
      </c>
      <c r="I48" s="20" t="s">
        <v>2011</v>
      </c>
      <c r="J48" s="20" t="s">
        <v>444</v>
      </c>
      <c r="K48" s="21">
        <f t="shared" si="0"/>
        <v>1</v>
      </c>
    </row>
    <row r="49" spans="1:11" ht="15" customHeight="1">
      <c r="A49" s="19">
        <v>41</v>
      </c>
      <c r="B49" s="20" t="s">
        <v>451</v>
      </c>
      <c r="C49" s="20" t="s">
        <v>63</v>
      </c>
      <c r="D49" s="20" t="s">
        <v>2019</v>
      </c>
      <c r="E49" s="19" t="s">
        <v>105</v>
      </c>
      <c r="F49" s="19" t="s">
        <v>105</v>
      </c>
      <c r="G49" s="19" t="s">
        <v>442</v>
      </c>
      <c r="H49" s="19" t="s">
        <v>196</v>
      </c>
      <c r="I49" s="20" t="s">
        <v>2011</v>
      </c>
      <c r="J49" s="20" t="s">
        <v>444</v>
      </c>
      <c r="K49" s="21">
        <f t="shared" si="0"/>
        <v>1</v>
      </c>
    </row>
    <row r="50" spans="1:11" ht="15" customHeight="1">
      <c r="A50" s="19">
        <v>42</v>
      </c>
      <c r="B50" s="20" t="s">
        <v>451</v>
      </c>
      <c r="C50" s="20" t="s">
        <v>63</v>
      </c>
      <c r="D50" s="20" t="s">
        <v>2020</v>
      </c>
      <c r="E50" s="19" t="s">
        <v>105</v>
      </c>
      <c r="F50" s="19" t="s">
        <v>105</v>
      </c>
      <c r="G50" s="19" t="s">
        <v>442</v>
      </c>
      <c r="H50" s="19" t="s">
        <v>196</v>
      </c>
      <c r="I50" s="20" t="s">
        <v>2011</v>
      </c>
      <c r="J50" s="20" t="s">
        <v>444</v>
      </c>
      <c r="K50" s="21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K112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2021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104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1286</v>
      </c>
      <c r="H9" s="9" t="s">
        <v>196</v>
      </c>
      <c r="I9" s="5" t="s">
        <v>2022</v>
      </c>
      <c r="J9" s="5"/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1286</v>
      </c>
      <c r="H10" s="9" t="s">
        <v>196</v>
      </c>
      <c r="I10" s="5" t="s">
        <v>2022</v>
      </c>
      <c r="J10" s="5"/>
      <c r="K10" s="6">
        <f t="shared" si="0"/>
        <v>1</v>
      </c>
    </row>
    <row r="11" spans="1:11" ht="15" customHeight="1">
      <c r="A11" s="4">
        <v>3</v>
      </c>
      <c r="B11" s="5" t="s">
        <v>94</v>
      </c>
      <c r="C11" s="5" t="s">
        <v>64</v>
      </c>
      <c r="D11" s="5" t="s">
        <v>104</v>
      </c>
      <c r="E11" s="7" t="s">
        <v>105</v>
      </c>
      <c r="F11" s="8" t="s">
        <v>105</v>
      </c>
      <c r="G11" s="4" t="s">
        <v>1286</v>
      </c>
      <c r="H11" s="9" t="s">
        <v>196</v>
      </c>
      <c r="I11" s="5" t="s">
        <v>2022</v>
      </c>
      <c r="J11" s="5"/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64</v>
      </c>
      <c r="D12" s="5" t="s">
        <v>110</v>
      </c>
      <c r="E12" s="7" t="s">
        <v>105</v>
      </c>
      <c r="F12" s="8" t="s">
        <v>105</v>
      </c>
      <c r="G12" s="4" t="s">
        <v>1286</v>
      </c>
      <c r="H12" s="9" t="s">
        <v>196</v>
      </c>
      <c r="I12" s="5" t="s">
        <v>2022</v>
      </c>
      <c r="J12" s="5"/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64</v>
      </c>
      <c r="D13" s="5" t="s">
        <v>111</v>
      </c>
      <c r="E13" s="7" t="s">
        <v>105</v>
      </c>
      <c r="F13" s="8" t="s">
        <v>105</v>
      </c>
      <c r="G13" s="4" t="s">
        <v>1286</v>
      </c>
      <c r="H13" s="9" t="s">
        <v>196</v>
      </c>
      <c r="I13" s="5" t="s">
        <v>2022</v>
      </c>
      <c r="J13" s="5"/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64</v>
      </c>
      <c r="D14" s="5" t="s">
        <v>112</v>
      </c>
      <c r="E14" s="7" t="s">
        <v>105</v>
      </c>
      <c r="F14" s="8" t="s">
        <v>105</v>
      </c>
      <c r="G14" s="4" t="s">
        <v>1286</v>
      </c>
      <c r="H14" s="9" t="s">
        <v>196</v>
      </c>
      <c r="I14" s="5" t="s">
        <v>2022</v>
      </c>
      <c r="J14" s="5"/>
      <c r="K14" s="6">
        <f t="shared" si="0"/>
        <v>1</v>
      </c>
    </row>
    <row r="15" spans="1:11" ht="15" customHeight="1">
      <c r="A15" s="4">
        <v>7</v>
      </c>
      <c r="B15" s="5" t="s">
        <v>113</v>
      </c>
      <c r="C15" s="5" t="s">
        <v>64</v>
      </c>
      <c r="D15" s="5" t="s">
        <v>2023</v>
      </c>
      <c r="E15" s="7" t="s">
        <v>105</v>
      </c>
      <c r="F15" s="8" t="s">
        <v>105</v>
      </c>
      <c r="G15" s="4" t="s">
        <v>1286</v>
      </c>
      <c r="H15" s="9" t="s">
        <v>196</v>
      </c>
      <c r="I15" s="5" t="s">
        <v>2022</v>
      </c>
      <c r="J15" s="5"/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64</v>
      </c>
      <c r="D16" s="5" t="s">
        <v>1518</v>
      </c>
      <c r="E16" s="7" t="s">
        <v>105</v>
      </c>
      <c r="F16" s="8" t="s">
        <v>105</v>
      </c>
      <c r="G16" s="4" t="s">
        <v>1286</v>
      </c>
      <c r="H16" s="9" t="s">
        <v>196</v>
      </c>
      <c r="I16" s="5" t="s">
        <v>2022</v>
      </c>
      <c r="J16" s="5"/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64</v>
      </c>
      <c r="D17" s="5" t="s">
        <v>1639</v>
      </c>
      <c r="E17" s="7" t="s">
        <v>105</v>
      </c>
      <c r="F17" s="8" t="s">
        <v>105</v>
      </c>
      <c r="G17" s="4" t="s">
        <v>1286</v>
      </c>
      <c r="H17" s="9" t="s">
        <v>196</v>
      </c>
      <c r="I17" s="5" t="s">
        <v>2022</v>
      </c>
      <c r="J17" s="5"/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64</v>
      </c>
      <c r="D18" s="5" t="s">
        <v>2024</v>
      </c>
      <c r="E18" s="7" t="s">
        <v>105</v>
      </c>
      <c r="F18" s="8" t="s">
        <v>105</v>
      </c>
      <c r="G18" s="4" t="s">
        <v>1286</v>
      </c>
      <c r="H18" s="9" t="s">
        <v>196</v>
      </c>
      <c r="I18" s="5" t="s">
        <v>2022</v>
      </c>
      <c r="J18" s="5"/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64</v>
      </c>
      <c r="D19" s="5" t="s">
        <v>2025</v>
      </c>
      <c r="E19" s="7" t="s">
        <v>105</v>
      </c>
      <c r="F19" s="8" t="s">
        <v>105</v>
      </c>
      <c r="G19" s="4" t="s">
        <v>1286</v>
      </c>
      <c r="H19" s="9" t="s">
        <v>196</v>
      </c>
      <c r="I19" s="5" t="s">
        <v>2022</v>
      </c>
      <c r="J19" s="5"/>
      <c r="K19" s="6">
        <f t="shared" si="0"/>
        <v>1</v>
      </c>
    </row>
    <row r="20" spans="1:11" ht="15" customHeight="1">
      <c r="A20" s="4">
        <v>12</v>
      </c>
      <c r="B20" s="5" t="s">
        <v>113</v>
      </c>
      <c r="C20" s="5" t="s">
        <v>64</v>
      </c>
      <c r="D20" s="5" t="s">
        <v>2026</v>
      </c>
      <c r="E20" s="7" t="s">
        <v>105</v>
      </c>
      <c r="F20" s="8" t="s">
        <v>105</v>
      </c>
      <c r="G20" s="4" t="s">
        <v>1286</v>
      </c>
      <c r="H20" s="9" t="s">
        <v>196</v>
      </c>
      <c r="I20" s="5" t="s">
        <v>2022</v>
      </c>
      <c r="J20" s="5"/>
      <c r="K20" s="6">
        <f t="shared" si="0"/>
        <v>1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1286</v>
      </c>
      <c r="H21" s="9" t="s">
        <v>196</v>
      </c>
      <c r="I21" s="5" t="s">
        <v>2022</v>
      </c>
      <c r="J21" s="5"/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1286</v>
      </c>
      <c r="H22" s="9" t="s">
        <v>196</v>
      </c>
      <c r="I22" s="5" t="s">
        <v>2022</v>
      </c>
      <c r="J22" s="5"/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1286</v>
      </c>
      <c r="H23" s="9" t="s">
        <v>196</v>
      </c>
      <c r="I23" s="5" t="s">
        <v>2022</v>
      </c>
      <c r="J23" s="5"/>
      <c r="K23" s="6">
        <f t="shared" si="0"/>
        <v>1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1286</v>
      </c>
      <c r="H24" s="9" t="s">
        <v>196</v>
      </c>
      <c r="I24" s="5" t="s">
        <v>2022</v>
      </c>
      <c r="J24" s="5"/>
      <c r="K24" s="6">
        <f t="shared" si="0"/>
        <v>1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1286</v>
      </c>
      <c r="H25" s="9" t="s">
        <v>196</v>
      </c>
      <c r="I25" s="5" t="s">
        <v>2022</v>
      </c>
      <c r="J25" s="5"/>
      <c r="K25" s="6">
        <f t="shared" si="0"/>
        <v>1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1286</v>
      </c>
      <c r="H26" s="9" t="s">
        <v>196</v>
      </c>
      <c r="I26" s="5" t="s">
        <v>2022</v>
      </c>
      <c r="J26" s="5"/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105</v>
      </c>
      <c r="G27" s="4" t="s">
        <v>1286</v>
      </c>
      <c r="H27" s="9" t="s">
        <v>196</v>
      </c>
      <c r="I27" s="5" t="s">
        <v>2022</v>
      </c>
      <c r="J27" s="5"/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105</v>
      </c>
      <c r="G28" s="4" t="s">
        <v>1286</v>
      </c>
      <c r="H28" s="9" t="s">
        <v>196</v>
      </c>
      <c r="I28" s="5" t="s">
        <v>2022</v>
      </c>
      <c r="J28" s="5"/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105</v>
      </c>
      <c r="G29" s="4" t="s">
        <v>1286</v>
      </c>
      <c r="H29" s="9" t="s">
        <v>196</v>
      </c>
      <c r="I29" s="5" t="s">
        <v>2022</v>
      </c>
      <c r="J29" s="5"/>
      <c r="K29" s="6">
        <f t="shared" si="0"/>
        <v>1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2027</v>
      </c>
      <c r="E30" s="7" t="s">
        <v>105</v>
      </c>
      <c r="F30" s="8" t="s">
        <v>105</v>
      </c>
      <c r="G30" s="4" t="s">
        <v>1286</v>
      </c>
      <c r="H30" s="9" t="s">
        <v>196</v>
      </c>
      <c r="I30" s="5" t="s">
        <v>2022</v>
      </c>
      <c r="J30" s="5"/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1676</v>
      </c>
      <c r="E31" s="7" t="s">
        <v>105</v>
      </c>
      <c r="F31" s="8" t="s">
        <v>105</v>
      </c>
      <c r="G31" s="4" t="s">
        <v>1286</v>
      </c>
      <c r="H31" s="9" t="s">
        <v>196</v>
      </c>
      <c r="I31" s="5" t="s">
        <v>2022</v>
      </c>
      <c r="J31" s="5"/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1677</v>
      </c>
      <c r="E32" s="7" t="s">
        <v>105</v>
      </c>
      <c r="F32" s="8" t="s">
        <v>105</v>
      </c>
      <c r="G32" s="4" t="s">
        <v>1286</v>
      </c>
      <c r="H32" s="9" t="s">
        <v>196</v>
      </c>
      <c r="I32" s="5" t="s">
        <v>2022</v>
      </c>
      <c r="J32" s="5"/>
      <c r="K32" s="6">
        <f t="shared" si="0"/>
        <v>1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1678</v>
      </c>
      <c r="E33" s="7" t="s">
        <v>105</v>
      </c>
      <c r="F33" s="8" t="s">
        <v>105</v>
      </c>
      <c r="G33" s="4" t="s">
        <v>1286</v>
      </c>
      <c r="H33" s="9" t="s">
        <v>196</v>
      </c>
      <c r="I33" s="5" t="s">
        <v>2022</v>
      </c>
      <c r="J33" s="5"/>
      <c r="K33" s="6">
        <f t="shared" si="0"/>
        <v>1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1679</v>
      </c>
      <c r="E34" s="7" t="s">
        <v>105</v>
      </c>
      <c r="F34" s="8" t="s">
        <v>105</v>
      </c>
      <c r="G34" s="4" t="s">
        <v>1286</v>
      </c>
      <c r="H34" s="9" t="s">
        <v>196</v>
      </c>
      <c r="I34" s="5" t="s">
        <v>2022</v>
      </c>
      <c r="J34" s="5"/>
      <c r="K34" s="6">
        <f t="shared" si="0"/>
        <v>1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2028</v>
      </c>
      <c r="E35" s="7" t="s">
        <v>105</v>
      </c>
      <c r="F35" s="8" t="s">
        <v>105</v>
      </c>
      <c r="G35" s="4" t="s">
        <v>1286</v>
      </c>
      <c r="H35" s="9" t="s">
        <v>196</v>
      </c>
      <c r="I35" s="5" t="s">
        <v>2022</v>
      </c>
      <c r="J35" s="5"/>
      <c r="K35" s="6">
        <f t="shared" si="0"/>
        <v>1</v>
      </c>
    </row>
    <row r="36" spans="1:11" ht="15" customHeight="1">
      <c r="A36" s="4">
        <v>28</v>
      </c>
      <c r="B36" s="5" t="s">
        <v>135</v>
      </c>
      <c r="C36" s="5" t="s">
        <v>121</v>
      </c>
      <c r="D36" s="5" t="s">
        <v>140</v>
      </c>
      <c r="E36" s="7" t="s">
        <v>105</v>
      </c>
      <c r="F36" s="8" t="s">
        <v>105</v>
      </c>
      <c r="G36" s="4" t="s">
        <v>1286</v>
      </c>
      <c r="H36" s="9" t="s">
        <v>196</v>
      </c>
      <c r="I36" s="5" t="s">
        <v>2022</v>
      </c>
      <c r="J36" s="5"/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141</v>
      </c>
      <c r="E37" s="7" t="s">
        <v>105</v>
      </c>
      <c r="F37" s="8" t="s">
        <v>105</v>
      </c>
      <c r="G37" s="4" t="s">
        <v>1286</v>
      </c>
      <c r="H37" s="9" t="s">
        <v>196</v>
      </c>
      <c r="I37" s="5" t="s">
        <v>2022</v>
      </c>
      <c r="J37" s="5"/>
      <c r="K37" s="6">
        <f t="shared" si="0"/>
        <v>1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613</v>
      </c>
      <c r="E38" s="7" t="s">
        <v>105</v>
      </c>
      <c r="F38" s="8" t="s">
        <v>105</v>
      </c>
      <c r="G38" s="4" t="s">
        <v>1286</v>
      </c>
      <c r="H38" s="9" t="s">
        <v>196</v>
      </c>
      <c r="I38" s="5" t="s">
        <v>2022</v>
      </c>
      <c r="J38" s="5"/>
      <c r="K38" s="6">
        <f t="shared" si="0"/>
        <v>1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614</v>
      </c>
      <c r="E39" s="7" t="s">
        <v>105</v>
      </c>
      <c r="F39" s="8" t="s">
        <v>105</v>
      </c>
      <c r="G39" s="4" t="s">
        <v>1286</v>
      </c>
      <c r="H39" s="9" t="s">
        <v>196</v>
      </c>
      <c r="I39" s="5" t="s">
        <v>2022</v>
      </c>
      <c r="J39" s="5"/>
      <c r="K39" s="6">
        <f t="shared" si="0"/>
        <v>1</v>
      </c>
    </row>
    <row r="40" spans="1:11" ht="15" customHeight="1">
      <c r="A40" s="4">
        <v>32</v>
      </c>
      <c r="B40" s="5" t="s">
        <v>539</v>
      </c>
      <c r="C40" s="5" t="s">
        <v>121</v>
      </c>
      <c r="D40" s="5" t="s">
        <v>615</v>
      </c>
      <c r="E40" s="7" t="s">
        <v>105</v>
      </c>
      <c r="F40" s="8" t="s">
        <v>105</v>
      </c>
      <c r="G40" s="4" t="s">
        <v>1286</v>
      </c>
      <c r="H40" s="9" t="s">
        <v>196</v>
      </c>
      <c r="I40" s="5" t="s">
        <v>2022</v>
      </c>
      <c r="J40" s="5"/>
      <c r="K40" s="6">
        <f t="shared" si="0"/>
        <v>1</v>
      </c>
    </row>
    <row r="41" spans="1:11" ht="15" customHeight="1">
      <c r="A41" s="4">
        <v>33</v>
      </c>
      <c r="B41" s="5" t="s">
        <v>539</v>
      </c>
      <c r="C41" s="5" t="s">
        <v>121</v>
      </c>
      <c r="D41" s="5" t="s">
        <v>1684</v>
      </c>
      <c r="E41" s="7" t="s">
        <v>105</v>
      </c>
      <c r="F41" s="8" t="s">
        <v>105</v>
      </c>
      <c r="G41" s="4" t="s">
        <v>1286</v>
      </c>
      <c r="H41" s="9" t="s">
        <v>196</v>
      </c>
      <c r="I41" s="5" t="s">
        <v>2022</v>
      </c>
      <c r="J41" s="5"/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133</v>
      </c>
      <c r="C42" s="5" t="s">
        <v>121</v>
      </c>
      <c r="D42" s="5" t="s">
        <v>142</v>
      </c>
      <c r="E42" s="7" t="s">
        <v>105</v>
      </c>
      <c r="F42" s="8" t="s">
        <v>105</v>
      </c>
      <c r="G42" s="4" t="s">
        <v>1286</v>
      </c>
      <c r="H42" s="9" t="s">
        <v>196</v>
      </c>
      <c r="I42" s="5" t="s">
        <v>2022</v>
      </c>
      <c r="J42" s="5"/>
      <c r="K42" s="6">
        <f t="shared" si="1"/>
        <v>1</v>
      </c>
    </row>
    <row r="43" spans="1:11" ht="15" customHeight="1">
      <c r="A43" s="4">
        <v>35</v>
      </c>
      <c r="B43" s="5" t="s">
        <v>133</v>
      </c>
      <c r="C43" s="5" t="s">
        <v>121</v>
      </c>
      <c r="D43" s="5" t="s">
        <v>143</v>
      </c>
      <c r="E43" s="7" t="s">
        <v>105</v>
      </c>
      <c r="F43" s="8" t="s">
        <v>105</v>
      </c>
      <c r="G43" s="4" t="s">
        <v>1286</v>
      </c>
      <c r="H43" s="9" t="s">
        <v>196</v>
      </c>
      <c r="I43" s="5" t="s">
        <v>2022</v>
      </c>
      <c r="J43" s="5"/>
      <c r="K43" s="6">
        <f t="shared" si="1"/>
        <v>1</v>
      </c>
    </row>
    <row r="44" spans="1:11" ht="15" customHeight="1">
      <c r="A44" s="4">
        <v>36</v>
      </c>
      <c r="B44" s="5" t="s">
        <v>135</v>
      </c>
      <c r="C44" s="5" t="s">
        <v>121</v>
      </c>
      <c r="D44" s="5" t="s">
        <v>144</v>
      </c>
      <c r="E44" s="7" t="s">
        <v>105</v>
      </c>
      <c r="F44" s="8" t="s">
        <v>105</v>
      </c>
      <c r="G44" s="4" t="s">
        <v>1286</v>
      </c>
      <c r="H44" s="9" t="s">
        <v>196</v>
      </c>
      <c r="I44" s="5" t="s">
        <v>2022</v>
      </c>
      <c r="J44" s="5"/>
      <c r="K44" s="6">
        <f t="shared" si="1"/>
        <v>1</v>
      </c>
    </row>
    <row r="45" spans="1:11" ht="15" customHeight="1">
      <c r="A45" s="4">
        <v>37</v>
      </c>
      <c r="B45" s="5" t="s">
        <v>120</v>
      </c>
      <c r="C45" s="5" t="s">
        <v>2029</v>
      </c>
      <c r="D45" s="5" t="s">
        <v>122</v>
      </c>
      <c r="E45" s="7" t="s">
        <v>105</v>
      </c>
      <c r="F45" s="8" t="s">
        <v>105</v>
      </c>
      <c r="G45" s="4" t="s">
        <v>1286</v>
      </c>
      <c r="H45" s="9" t="s">
        <v>196</v>
      </c>
      <c r="I45" s="5" t="s">
        <v>2022</v>
      </c>
      <c r="J45" s="5"/>
      <c r="K45" s="6">
        <f t="shared" si="1"/>
        <v>1</v>
      </c>
    </row>
    <row r="46" spans="1:11" ht="15" customHeight="1">
      <c r="A46" s="4">
        <v>38</v>
      </c>
      <c r="B46" s="5" t="s">
        <v>120</v>
      </c>
      <c r="C46" s="5" t="s">
        <v>2029</v>
      </c>
      <c r="D46" s="5" t="s">
        <v>123</v>
      </c>
      <c r="E46" s="7" t="s">
        <v>105</v>
      </c>
      <c r="F46" s="8" t="s">
        <v>105</v>
      </c>
      <c r="G46" s="4" t="s">
        <v>1286</v>
      </c>
      <c r="H46" s="9" t="s">
        <v>196</v>
      </c>
      <c r="I46" s="5" t="s">
        <v>2022</v>
      </c>
      <c r="J46" s="5"/>
      <c r="K46" s="6">
        <f t="shared" si="1"/>
        <v>1</v>
      </c>
    </row>
    <row r="47" spans="1:11" ht="30" customHeight="1">
      <c r="A47" s="4">
        <v>39</v>
      </c>
      <c r="B47" s="5" t="s">
        <v>124</v>
      </c>
      <c r="C47" s="5" t="s">
        <v>2029</v>
      </c>
      <c r="D47" s="5" t="s">
        <v>125</v>
      </c>
      <c r="E47" s="7" t="s">
        <v>105</v>
      </c>
      <c r="F47" s="8" t="s">
        <v>105</v>
      </c>
      <c r="G47" s="4" t="s">
        <v>1286</v>
      </c>
      <c r="H47" s="9" t="s">
        <v>196</v>
      </c>
      <c r="I47" s="5" t="s">
        <v>2022</v>
      </c>
      <c r="J47" s="5"/>
      <c r="K47" s="6">
        <f t="shared" si="1"/>
        <v>1</v>
      </c>
    </row>
    <row r="48" spans="1:11" ht="15" customHeight="1">
      <c r="A48" s="4">
        <v>40</v>
      </c>
      <c r="B48" s="5" t="s">
        <v>124</v>
      </c>
      <c r="C48" s="5" t="s">
        <v>2029</v>
      </c>
      <c r="D48" s="5" t="s">
        <v>126</v>
      </c>
      <c r="E48" s="7" t="s">
        <v>105</v>
      </c>
      <c r="F48" s="8" t="s">
        <v>105</v>
      </c>
      <c r="G48" s="4" t="s">
        <v>1286</v>
      </c>
      <c r="H48" s="9" t="s">
        <v>196</v>
      </c>
      <c r="I48" s="5" t="s">
        <v>2022</v>
      </c>
      <c r="J48" s="5"/>
      <c r="K48" s="6">
        <f t="shared" si="1"/>
        <v>1</v>
      </c>
    </row>
    <row r="49" spans="1:11" ht="15" customHeight="1">
      <c r="A49" s="4">
        <v>41</v>
      </c>
      <c r="B49" s="5" t="s">
        <v>95</v>
      </c>
      <c r="C49" s="5" t="s">
        <v>2029</v>
      </c>
      <c r="D49" s="5" t="s">
        <v>127</v>
      </c>
      <c r="E49" s="7" t="s">
        <v>105</v>
      </c>
      <c r="F49" s="8" t="s">
        <v>105</v>
      </c>
      <c r="G49" s="4" t="s">
        <v>1286</v>
      </c>
      <c r="H49" s="9" t="s">
        <v>196</v>
      </c>
      <c r="I49" s="5" t="s">
        <v>2022</v>
      </c>
      <c r="J49" s="5"/>
      <c r="K49" s="6">
        <f t="shared" si="1"/>
        <v>1</v>
      </c>
    </row>
    <row r="50" spans="1:11" ht="15" customHeight="1">
      <c r="A50" s="4">
        <v>42</v>
      </c>
      <c r="B50" s="5" t="s">
        <v>128</v>
      </c>
      <c r="C50" s="5" t="s">
        <v>2029</v>
      </c>
      <c r="D50" s="5" t="s">
        <v>129</v>
      </c>
      <c r="E50" s="7" t="s">
        <v>105</v>
      </c>
      <c r="F50" s="8" t="s">
        <v>105</v>
      </c>
      <c r="G50" s="4" t="s">
        <v>1286</v>
      </c>
      <c r="H50" s="9" t="s">
        <v>196</v>
      </c>
      <c r="I50" s="5" t="s">
        <v>2022</v>
      </c>
      <c r="J50" s="5"/>
      <c r="K50" s="6">
        <f t="shared" si="1"/>
        <v>1</v>
      </c>
    </row>
    <row r="51" spans="1:11" ht="15" customHeight="1">
      <c r="A51" s="4">
        <v>43</v>
      </c>
      <c r="B51" s="5" t="s">
        <v>133</v>
      </c>
      <c r="C51" s="5" t="s">
        <v>2029</v>
      </c>
      <c r="D51" s="5" t="s">
        <v>2030</v>
      </c>
      <c r="E51" s="7" t="s">
        <v>105</v>
      </c>
      <c r="F51" s="8" t="s">
        <v>105</v>
      </c>
      <c r="G51" s="4" t="s">
        <v>1286</v>
      </c>
      <c r="H51" s="9" t="s">
        <v>196</v>
      </c>
      <c r="I51" s="5" t="s">
        <v>2022</v>
      </c>
      <c r="J51" s="5"/>
      <c r="K51" s="6">
        <f t="shared" si="1"/>
        <v>1</v>
      </c>
    </row>
    <row r="52" spans="1:11" ht="15" customHeight="1">
      <c r="A52" s="4">
        <v>44</v>
      </c>
      <c r="B52" s="5" t="s">
        <v>133</v>
      </c>
      <c r="C52" s="5" t="s">
        <v>2029</v>
      </c>
      <c r="D52" s="5" t="s">
        <v>2031</v>
      </c>
      <c r="E52" s="7" t="s">
        <v>105</v>
      </c>
      <c r="F52" s="8" t="s">
        <v>105</v>
      </c>
      <c r="G52" s="4" t="s">
        <v>1286</v>
      </c>
      <c r="H52" s="9" t="s">
        <v>196</v>
      </c>
      <c r="I52" s="5" t="s">
        <v>2022</v>
      </c>
      <c r="J52" s="5"/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2029</v>
      </c>
      <c r="D53" s="5" t="s">
        <v>2032</v>
      </c>
      <c r="E53" s="7" t="s">
        <v>105</v>
      </c>
      <c r="F53" s="8" t="s">
        <v>105</v>
      </c>
      <c r="G53" s="4" t="s">
        <v>1286</v>
      </c>
      <c r="H53" s="9" t="s">
        <v>196</v>
      </c>
      <c r="I53" s="5" t="s">
        <v>2022</v>
      </c>
      <c r="J53" s="5"/>
      <c r="K53" s="6">
        <f t="shared" si="1"/>
        <v>1</v>
      </c>
    </row>
    <row r="54" spans="1:11" ht="15" customHeight="1">
      <c r="A54" s="4">
        <v>46</v>
      </c>
      <c r="B54" s="5" t="s">
        <v>133</v>
      </c>
      <c r="C54" s="5" t="s">
        <v>2029</v>
      </c>
      <c r="D54" s="5" t="s">
        <v>2033</v>
      </c>
      <c r="E54" s="7" t="s">
        <v>105</v>
      </c>
      <c r="F54" s="8" t="s">
        <v>105</v>
      </c>
      <c r="G54" s="4" t="s">
        <v>1286</v>
      </c>
      <c r="H54" s="9" t="s">
        <v>196</v>
      </c>
      <c r="I54" s="5" t="s">
        <v>2022</v>
      </c>
      <c r="J54" s="5"/>
      <c r="K54" s="6">
        <f t="shared" si="1"/>
        <v>1</v>
      </c>
    </row>
    <row r="55" spans="1:11" ht="15" customHeight="1">
      <c r="A55" s="4">
        <v>47</v>
      </c>
      <c r="B55" s="5" t="s">
        <v>120</v>
      </c>
      <c r="C55" s="5" t="s">
        <v>2034</v>
      </c>
      <c r="D55" s="5" t="s">
        <v>122</v>
      </c>
      <c r="E55" s="7" t="s">
        <v>105</v>
      </c>
      <c r="F55" s="8" t="s">
        <v>105</v>
      </c>
      <c r="G55" s="4" t="s">
        <v>1286</v>
      </c>
      <c r="H55" s="9" t="s">
        <v>196</v>
      </c>
      <c r="I55" s="5" t="s">
        <v>2022</v>
      </c>
      <c r="J55" s="5"/>
      <c r="K55" s="6">
        <f t="shared" si="1"/>
        <v>1</v>
      </c>
    </row>
    <row r="56" spans="1:11" ht="15" customHeight="1">
      <c r="A56" s="4">
        <v>48</v>
      </c>
      <c r="B56" s="5" t="s">
        <v>120</v>
      </c>
      <c r="C56" s="5" t="s">
        <v>2034</v>
      </c>
      <c r="D56" s="5" t="s">
        <v>123</v>
      </c>
      <c r="E56" s="7" t="s">
        <v>105</v>
      </c>
      <c r="F56" s="8" t="s">
        <v>105</v>
      </c>
      <c r="G56" s="4" t="s">
        <v>1286</v>
      </c>
      <c r="H56" s="9" t="s">
        <v>196</v>
      </c>
      <c r="I56" s="5" t="s">
        <v>2022</v>
      </c>
      <c r="J56" s="5"/>
      <c r="K56" s="6">
        <f t="shared" si="1"/>
        <v>1</v>
      </c>
    </row>
    <row r="57" spans="1:11" ht="30" customHeight="1">
      <c r="A57" s="4">
        <v>49</v>
      </c>
      <c r="B57" s="5" t="s">
        <v>124</v>
      </c>
      <c r="C57" s="5" t="s">
        <v>2034</v>
      </c>
      <c r="D57" s="5" t="s">
        <v>125</v>
      </c>
      <c r="E57" s="7" t="s">
        <v>105</v>
      </c>
      <c r="F57" s="8" t="s">
        <v>105</v>
      </c>
      <c r="G57" s="4" t="s">
        <v>1286</v>
      </c>
      <c r="H57" s="9" t="s">
        <v>196</v>
      </c>
      <c r="I57" s="5" t="s">
        <v>2022</v>
      </c>
      <c r="J57" s="5"/>
      <c r="K57" s="6">
        <f t="shared" si="1"/>
        <v>1</v>
      </c>
    </row>
    <row r="58" spans="1:11" ht="15" customHeight="1">
      <c r="A58" s="4">
        <v>50</v>
      </c>
      <c r="B58" s="5" t="s">
        <v>124</v>
      </c>
      <c r="C58" s="5" t="s">
        <v>2034</v>
      </c>
      <c r="D58" s="5" t="s">
        <v>126</v>
      </c>
      <c r="E58" s="7" t="s">
        <v>105</v>
      </c>
      <c r="F58" s="8" t="s">
        <v>105</v>
      </c>
      <c r="G58" s="4" t="s">
        <v>1286</v>
      </c>
      <c r="H58" s="9" t="s">
        <v>196</v>
      </c>
      <c r="I58" s="5" t="s">
        <v>2022</v>
      </c>
      <c r="J58" s="5"/>
      <c r="K58" s="6">
        <f t="shared" si="1"/>
        <v>1</v>
      </c>
    </row>
    <row r="59" spans="1:11" ht="15" customHeight="1">
      <c r="A59" s="4">
        <v>51</v>
      </c>
      <c r="B59" s="5" t="s">
        <v>95</v>
      </c>
      <c r="C59" s="5" t="s">
        <v>2034</v>
      </c>
      <c r="D59" s="5" t="s">
        <v>127</v>
      </c>
      <c r="E59" s="7" t="s">
        <v>105</v>
      </c>
      <c r="F59" s="8" t="s">
        <v>105</v>
      </c>
      <c r="G59" s="4" t="s">
        <v>1286</v>
      </c>
      <c r="H59" s="9" t="s">
        <v>196</v>
      </c>
      <c r="I59" s="5" t="s">
        <v>2022</v>
      </c>
      <c r="J59" s="5"/>
      <c r="K59" s="6">
        <f t="shared" si="1"/>
        <v>1</v>
      </c>
    </row>
    <row r="60" spans="1:11" ht="15" customHeight="1">
      <c r="A60" s="4">
        <v>52</v>
      </c>
      <c r="B60" s="5" t="s">
        <v>128</v>
      </c>
      <c r="C60" s="5" t="s">
        <v>2034</v>
      </c>
      <c r="D60" s="5" t="s">
        <v>129</v>
      </c>
      <c r="E60" s="7" t="s">
        <v>105</v>
      </c>
      <c r="F60" s="8" t="s">
        <v>105</v>
      </c>
      <c r="G60" s="4" t="s">
        <v>1286</v>
      </c>
      <c r="H60" s="9" t="s">
        <v>196</v>
      </c>
      <c r="I60" s="5" t="s">
        <v>2022</v>
      </c>
      <c r="J60" s="5"/>
      <c r="K60" s="6">
        <f t="shared" si="1"/>
        <v>1</v>
      </c>
    </row>
    <row r="61" spans="1:11" ht="15" customHeight="1">
      <c r="A61" s="4">
        <v>53</v>
      </c>
      <c r="B61" s="5" t="s">
        <v>133</v>
      </c>
      <c r="C61" s="5" t="s">
        <v>2034</v>
      </c>
      <c r="D61" s="5" t="s">
        <v>966</v>
      </c>
      <c r="E61" s="7" t="s">
        <v>105</v>
      </c>
      <c r="F61" s="8" t="s">
        <v>105</v>
      </c>
      <c r="G61" s="4" t="s">
        <v>1286</v>
      </c>
      <c r="H61" s="9" t="s">
        <v>196</v>
      </c>
      <c r="I61" s="5" t="s">
        <v>2022</v>
      </c>
      <c r="J61" s="5"/>
      <c r="K61" s="6">
        <f t="shared" si="1"/>
        <v>1</v>
      </c>
    </row>
    <row r="62" spans="1:11" ht="15" customHeight="1">
      <c r="A62" s="4">
        <v>54</v>
      </c>
      <c r="B62" s="5" t="s">
        <v>130</v>
      </c>
      <c r="C62" s="5" t="s">
        <v>2034</v>
      </c>
      <c r="D62" s="5" t="s">
        <v>131</v>
      </c>
      <c r="E62" s="7" t="s">
        <v>105</v>
      </c>
      <c r="F62" s="8" t="s">
        <v>105</v>
      </c>
      <c r="G62" s="4" t="s">
        <v>1286</v>
      </c>
      <c r="H62" s="9" t="s">
        <v>196</v>
      </c>
      <c r="I62" s="5" t="s">
        <v>2022</v>
      </c>
      <c r="J62" s="5"/>
      <c r="K62" s="6">
        <f t="shared" si="1"/>
        <v>1</v>
      </c>
    </row>
    <row r="63" spans="1:11" ht="15" customHeight="1">
      <c r="A63" s="4">
        <v>55</v>
      </c>
      <c r="B63" s="5" t="s">
        <v>130</v>
      </c>
      <c r="C63" s="5" t="s">
        <v>2034</v>
      </c>
      <c r="D63" s="5" t="s">
        <v>132</v>
      </c>
      <c r="E63" s="7" t="s">
        <v>105</v>
      </c>
      <c r="F63" s="8" t="s">
        <v>105</v>
      </c>
      <c r="G63" s="4" t="s">
        <v>1286</v>
      </c>
      <c r="H63" s="9" t="s">
        <v>196</v>
      </c>
      <c r="I63" s="5" t="s">
        <v>2022</v>
      </c>
      <c r="J63" s="5"/>
      <c r="K63" s="6">
        <f t="shared" si="1"/>
        <v>1</v>
      </c>
    </row>
    <row r="64" spans="1:11" ht="15" customHeight="1">
      <c r="A64" s="4">
        <v>56</v>
      </c>
      <c r="B64" s="5" t="s">
        <v>133</v>
      </c>
      <c r="C64" s="5" t="s">
        <v>2034</v>
      </c>
      <c r="D64" s="5" t="s">
        <v>142</v>
      </c>
      <c r="E64" s="7" t="s">
        <v>105</v>
      </c>
      <c r="F64" s="8" t="s">
        <v>105</v>
      </c>
      <c r="G64" s="4" t="s">
        <v>1286</v>
      </c>
      <c r="H64" s="9" t="s">
        <v>196</v>
      </c>
      <c r="I64" s="5" t="s">
        <v>2022</v>
      </c>
      <c r="J64" s="5"/>
      <c r="K64" s="6">
        <f t="shared" si="1"/>
        <v>1</v>
      </c>
    </row>
    <row r="65" spans="1:11" ht="15" customHeight="1">
      <c r="A65" s="4">
        <v>57</v>
      </c>
      <c r="B65" s="5" t="s">
        <v>135</v>
      </c>
      <c r="C65" s="5" t="s">
        <v>2034</v>
      </c>
      <c r="D65" s="5" t="s">
        <v>544</v>
      </c>
      <c r="E65" s="7" t="s">
        <v>105</v>
      </c>
      <c r="F65" s="8" t="s">
        <v>105</v>
      </c>
      <c r="G65" s="4" t="s">
        <v>1286</v>
      </c>
      <c r="H65" s="9" t="s">
        <v>196</v>
      </c>
      <c r="I65" s="5" t="s">
        <v>2022</v>
      </c>
      <c r="J65" s="5"/>
      <c r="K65" s="6">
        <f t="shared" si="1"/>
        <v>1</v>
      </c>
    </row>
    <row r="66" spans="1:11" ht="15" customHeight="1">
      <c r="A66" s="4">
        <v>58</v>
      </c>
      <c r="B66" s="5" t="s">
        <v>133</v>
      </c>
      <c r="C66" s="5" t="s">
        <v>2034</v>
      </c>
      <c r="D66" s="5" t="s">
        <v>1843</v>
      </c>
      <c r="E66" s="7" t="s">
        <v>105</v>
      </c>
      <c r="F66" s="8" t="s">
        <v>105</v>
      </c>
      <c r="G66" s="4" t="s">
        <v>1286</v>
      </c>
      <c r="H66" s="9" t="s">
        <v>196</v>
      </c>
      <c r="I66" s="5" t="s">
        <v>2022</v>
      </c>
      <c r="J66" s="5"/>
      <c r="K66" s="6">
        <f t="shared" si="1"/>
        <v>1</v>
      </c>
    </row>
    <row r="67" spans="1:11" ht="15" customHeight="1">
      <c r="A67" s="4">
        <v>59</v>
      </c>
      <c r="B67" s="5" t="s">
        <v>120</v>
      </c>
      <c r="C67" s="5" t="s">
        <v>2035</v>
      </c>
      <c r="D67" s="5" t="s">
        <v>122</v>
      </c>
      <c r="E67" s="7" t="s">
        <v>105</v>
      </c>
      <c r="F67" s="8" t="s">
        <v>105</v>
      </c>
      <c r="G67" s="4" t="s">
        <v>1286</v>
      </c>
      <c r="H67" s="9" t="s">
        <v>196</v>
      </c>
      <c r="I67" s="5" t="s">
        <v>2022</v>
      </c>
      <c r="J67" s="5"/>
      <c r="K67" s="6">
        <f t="shared" si="1"/>
        <v>1</v>
      </c>
    </row>
    <row r="68" spans="1:11" ht="15" customHeight="1">
      <c r="A68" s="4">
        <v>60</v>
      </c>
      <c r="B68" s="5" t="s">
        <v>120</v>
      </c>
      <c r="C68" s="5" t="s">
        <v>2035</v>
      </c>
      <c r="D68" s="5" t="s">
        <v>123</v>
      </c>
      <c r="E68" s="7" t="s">
        <v>105</v>
      </c>
      <c r="F68" s="8" t="s">
        <v>105</v>
      </c>
      <c r="G68" s="4" t="s">
        <v>1286</v>
      </c>
      <c r="H68" s="9" t="s">
        <v>196</v>
      </c>
      <c r="I68" s="5" t="s">
        <v>2022</v>
      </c>
      <c r="J68" s="5"/>
      <c r="K68" s="6">
        <f t="shared" si="1"/>
        <v>1</v>
      </c>
    </row>
    <row r="69" spans="1:11" ht="30" customHeight="1">
      <c r="A69" s="4">
        <v>61</v>
      </c>
      <c r="B69" s="5" t="s">
        <v>124</v>
      </c>
      <c r="C69" s="5" t="s">
        <v>2035</v>
      </c>
      <c r="D69" s="5" t="s">
        <v>125</v>
      </c>
      <c r="E69" s="7" t="s">
        <v>105</v>
      </c>
      <c r="F69" s="8" t="s">
        <v>105</v>
      </c>
      <c r="G69" s="4" t="s">
        <v>1286</v>
      </c>
      <c r="H69" s="9" t="s">
        <v>196</v>
      </c>
      <c r="I69" s="5" t="s">
        <v>2022</v>
      </c>
      <c r="J69" s="5"/>
      <c r="K69" s="6">
        <f t="shared" si="1"/>
        <v>1</v>
      </c>
    </row>
    <row r="70" spans="1:11" ht="15" customHeight="1">
      <c r="A70" s="4">
        <v>62</v>
      </c>
      <c r="B70" s="5" t="s">
        <v>124</v>
      </c>
      <c r="C70" s="5" t="s">
        <v>2035</v>
      </c>
      <c r="D70" s="5" t="s">
        <v>126</v>
      </c>
      <c r="E70" s="7" t="s">
        <v>105</v>
      </c>
      <c r="F70" s="8" t="s">
        <v>105</v>
      </c>
      <c r="G70" s="4" t="s">
        <v>1286</v>
      </c>
      <c r="H70" s="9" t="s">
        <v>196</v>
      </c>
      <c r="I70" s="5" t="s">
        <v>2022</v>
      </c>
      <c r="J70" s="5"/>
      <c r="K70" s="6">
        <f t="shared" si="1"/>
        <v>1</v>
      </c>
    </row>
    <row r="71" spans="1:11" ht="15" customHeight="1">
      <c r="A71" s="4">
        <v>63</v>
      </c>
      <c r="B71" s="5" t="s">
        <v>95</v>
      </c>
      <c r="C71" s="5" t="s">
        <v>2035</v>
      </c>
      <c r="D71" s="5" t="s">
        <v>127</v>
      </c>
      <c r="E71" s="7" t="s">
        <v>105</v>
      </c>
      <c r="F71" s="8" t="s">
        <v>105</v>
      </c>
      <c r="G71" s="4" t="s">
        <v>1286</v>
      </c>
      <c r="H71" s="9" t="s">
        <v>196</v>
      </c>
      <c r="I71" s="5" t="s">
        <v>2022</v>
      </c>
      <c r="J71" s="5"/>
      <c r="K71" s="6">
        <f t="shared" si="1"/>
        <v>1</v>
      </c>
    </row>
    <row r="72" spans="1:11" ht="15" customHeight="1">
      <c r="A72" s="4">
        <v>64</v>
      </c>
      <c r="B72" s="5" t="s">
        <v>128</v>
      </c>
      <c r="C72" s="5" t="s">
        <v>2035</v>
      </c>
      <c r="D72" s="5" t="s">
        <v>129</v>
      </c>
      <c r="E72" s="7" t="s">
        <v>105</v>
      </c>
      <c r="F72" s="8" t="s">
        <v>105</v>
      </c>
      <c r="G72" s="4" t="s">
        <v>1286</v>
      </c>
      <c r="H72" s="9" t="s">
        <v>196</v>
      </c>
      <c r="I72" s="5" t="s">
        <v>2022</v>
      </c>
      <c r="J72" s="5"/>
      <c r="K72" s="6">
        <f t="shared" si="1"/>
        <v>1</v>
      </c>
    </row>
    <row r="73" spans="1:11" ht="15" customHeight="1">
      <c r="A73" s="4">
        <v>65</v>
      </c>
      <c r="B73" s="5" t="s">
        <v>130</v>
      </c>
      <c r="C73" s="5" t="s">
        <v>2035</v>
      </c>
      <c r="D73" s="5" t="s">
        <v>131</v>
      </c>
      <c r="E73" s="7" t="s">
        <v>105</v>
      </c>
      <c r="F73" s="8" t="s">
        <v>105</v>
      </c>
      <c r="G73" s="4" t="s">
        <v>1286</v>
      </c>
      <c r="H73" s="9" t="s">
        <v>196</v>
      </c>
      <c r="I73" s="5" t="s">
        <v>2022</v>
      </c>
      <c r="J73" s="5"/>
      <c r="K73" s="6">
        <f t="shared" ref="K73:K104" si="2">IF(AND(E73="yes",F73="yes",H73="covered"),1,IF(H73="partial",0.5,0))</f>
        <v>1</v>
      </c>
    </row>
    <row r="74" spans="1:11" ht="15" customHeight="1">
      <c r="A74" s="4">
        <v>66</v>
      </c>
      <c r="B74" s="5" t="s">
        <v>130</v>
      </c>
      <c r="C74" s="5" t="s">
        <v>2035</v>
      </c>
      <c r="D74" s="5" t="s">
        <v>132</v>
      </c>
      <c r="E74" s="7" t="s">
        <v>105</v>
      </c>
      <c r="F74" s="8" t="s">
        <v>105</v>
      </c>
      <c r="G74" s="4" t="s">
        <v>1286</v>
      </c>
      <c r="H74" s="9" t="s">
        <v>196</v>
      </c>
      <c r="I74" s="5" t="s">
        <v>2022</v>
      </c>
      <c r="J74" s="5"/>
      <c r="K74" s="6">
        <f t="shared" si="2"/>
        <v>1</v>
      </c>
    </row>
    <row r="75" spans="1:11" ht="15" customHeight="1">
      <c r="A75" s="4">
        <v>67</v>
      </c>
      <c r="B75" s="5" t="s">
        <v>133</v>
      </c>
      <c r="C75" s="5" t="s">
        <v>2035</v>
      </c>
      <c r="D75" s="5" t="s">
        <v>142</v>
      </c>
      <c r="E75" s="7" t="s">
        <v>105</v>
      </c>
      <c r="F75" s="8" t="s">
        <v>105</v>
      </c>
      <c r="G75" s="4" t="s">
        <v>1286</v>
      </c>
      <c r="H75" s="9" t="s">
        <v>196</v>
      </c>
      <c r="I75" s="5" t="s">
        <v>2022</v>
      </c>
      <c r="J75" s="5"/>
      <c r="K75" s="6">
        <f t="shared" si="2"/>
        <v>1</v>
      </c>
    </row>
    <row r="76" spans="1:11" ht="15" customHeight="1">
      <c r="A76" s="4">
        <v>68</v>
      </c>
      <c r="B76" s="5" t="s">
        <v>133</v>
      </c>
      <c r="C76" s="5" t="s">
        <v>2035</v>
      </c>
      <c r="D76" s="5" t="s">
        <v>143</v>
      </c>
      <c r="E76" s="7" t="s">
        <v>105</v>
      </c>
      <c r="F76" s="8" t="s">
        <v>105</v>
      </c>
      <c r="G76" s="4" t="s">
        <v>1286</v>
      </c>
      <c r="H76" s="9" t="s">
        <v>196</v>
      </c>
      <c r="I76" s="5" t="s">
        <v>2022</v>
      </c>
      <c r="J76" s="5"/>
      <c r="K76" s="6">
        <f t="shared" si="2"/>
        <v>1</v>
      </c>
    </row>
    <row r="77" spans="1:11" ht="15" customHeight="1">
      <c r="A77" s="4">
        <v>69</v>
      </c>
      <c r="B77" s="5" t="s">
        <v>135</v>
      </c>
      <c r="C77" s="5" t="s">
        <v>2035</v>
      </c>
      <c r="D77" s="5" t="s">
        <v>144</v>
      </c>
      <c r="E77" s="7" t="s">
        <v>105</v>
      </c>
      <c r="F77" s="8" t="s">
        <v>105</v>
      </c>
      <c r="G77" s="4" t="s">
        <v>1286</v>
      </c>
      <c r="H77" s="9" t="s">
        <v>196</v>
      </c>
      <c r="I77" s="5" t="s">
        <v>2022</v>
      </c>
      <c r="J77" s="5"/>
      <c r="K77" s="6">
        <f t="shared" si="2"/>
        <v>1</v>
      </c>
    </row>
    <row r="78" spans="1:11" ht="15" customHeight="1">
      <c r="A78" s="4">
        <v>70</v>
      </c>
      <c r="B78" s="5" t="s">
        <v>153</v>
      </c>
      <c r="C78" s="5" t="s">
        <v>154</v>
      </c>
      <c r="D78" s="5" t="s">
        <v>156</v>
      </c>
      <c r="E78" s="7" t="s">
        <v>105</v>
      </c>
      <c r="F78" s="8" t="s">
        <v>105</v>
      </c>
      <c r="G78" s="4" t="s">
        <v>1286</v>
      </c>
      <c r="H78" s="9" t="s">
        <v>196</v>
      </c>
      <c r="I78" s="5" t="s">
        <v>2022</v>
      </c>
      <c r="J78" s="5"/>
      <c r="K78" s="6">
        <f t="shared" si="2"/>
        <v>1</v>
      </c>
    </row>
    <row r="79" spans="1:11" ht="15" customHeight="1">
      <c r="A79" s="4">
        <v>71</v>
      </c>
      <c r="B79" s="5" t="s">
        <v>153</v>
      </c>
      <c r="C79" s="5" t="s">
        <v>154</v>
      </c>
      <c r="D79" s="5" t="s">
        <v>562</v>
      </c>
      <c r="E79" s="7" t="s">
        <v>105</v>
      </c>
      <c r="F79" s="8" t="s">
        <v>105</v>
      </c>
      <c r="G79" s="4" t="s">
        <v>1286</v>
      </c>
      <c r="H79" s="9" t="s">
        <v>196</v>
      </c>
      <c r="I79" s="5" t="s">
        <v>2022</v>
      </c>
      <c r="J79" s="5"/>
      <c r="K79" s="6">
        <f t="shared" si="2"/>
        <v>1</v>
      </c>
    </row>
    <row r="80" spans="1:11" ht="15" customHeight="1">
      <c r="A80" s="4">
        <v>72</v>
      </c>
      <c r="B80" s="5" t="s">
        <v>153</v>
      </c>
      <c r="C80" s="5" t="s">
        <v>154</v>
      </c>
      <c r="D80" s="5" t="s">
        <v>438</v>
      </c>
      <c r="E80" s="7" t="s">
        <v>105</v>
      </c>
      <c r="F80" s="8" t="s">
        <v>105</v>
      </c>
      <c r="G80" s="4" t="s">
        <v>1286</v>
      </c>
      <c r="H80" s="9" t="s">
        <v>196</v>
      </c>
      <c r="I80" s="5" t="s">
        <v>2022</v>
      </c>
      <c r="J80" s="5"/>
      <c r="K80" s="6">
        <f t="shared" si="2"/>
        <v>1</v>
      </c>
    </row>
    <row r="81" spans="1:11" ht="15" customHeight="1">
      <c r="A81" s="4">
        <v>73</v>
      </c>
      <c r="B81" s="5" t="s">
        <v>153</v>
      </c>
      <c r="C81" s="5" t="s">
        <v>154</v>
      </c>
      <c r="D81" s="5" t="s">
        <v>1107</v>
      </c>
      <c r="E81" s="7" t="s">
        <v>105</v>
      </c>
      <c r="F81" s="8" t="s">
        <v>105</v>
      </c>
      <c r="G81" s="4" t="s">
        <v>1286</v>
      </c>
      <c r="H81" s="9" t="s">
        <v>196</v>
      </c>
      <c r="I81" s="5" t="s">
        <v>2022</v>
      </c>
      <c r="J81" s="5"/>
      <c r="K81" s="6">
        <f t="shared" si="2"/>
        <v>1</v>
      </c>
    </row>
    <row r="82" spans="1:11" ht="15" customHeight="1">
      <c r="A82" s="4">
        <v>74</v>
      </c>
      <c r="B82" s="5" t="s">
        <v>153</v>
      </c>
      <c r="C82" s="5" t="s">
        <v>154</v>
      </c>
      <c r="D82" s="5" t="s">
        <v>1686</v>
      </c>
      <c r="E82" s="7" t="s">
        <v>105</v>
      </c>
      <c r="F82" s="8" t="s">
        <v>105</v>
      </c>
      <c r="G82" s="4" t="s">
        <v>1286</v>
      </c>
      <c r="H82" s="9" t="s">
        <v>196</v>
      </c>
      <c r="I82" s="5" t="s">
        <v>2022</v>
      </c>
      <c r="J82" s="5"/>
      <c r="K82" s="6">
        <f t="shared" si="2"/>
        <v>1</v>
      </c>
    </row>
    <row r="83" spans="1:11" ht="15" customHeight="1">
      <c r="A83" s="4">
        <v>75</v>
      </c>
      <c r="B83" s="5" t="s">
        <v>153</v>
      </c>
      <c r="C83" s="5" t="s">
        <v>154</v>
      </c>
      <c r="D83" s="5" t="s">
        <v>1687</v>
      </c>
      <c r="E83" s="7" t="s">
        <v>105</v>
      </c>
      <c r="F83" s="8" t="s">
        <v>105</v>
      </c>
      <c r="G83" s="4" t="s">
        <v>1286</v>
      </c>
      <c r="H83" s="9" t="s">
        <v>196</v>
      </c>
      <c r="I83" s="5" t="s">
        <v>2022</v>
      </c>
      <c r="J83" s="5"/>
      <c r="K83" s="6">
        <f t="shared" si="2"/>
        <v>1</v>
      </c>
    </row>
    <row r="84" spans="1:11" ht="15" customHeight="1">
      <c r="A84" s="4">
        <v>76</v>
      </c>
      <c r="B84" s="5" t="s">
        <v>153</v>
      </c>
      <c r="C84" s="5" t="s">
        <v>154</v>
      </c>
      <c r="D84" s="5" t="s">
        <v>1688</v>
      </c>
      <c r="E84" s="7" t="s">
        <v>105</v>
      </c>
      <c r="F84" s="8" t="s">
        <v>105</v>
      </c>
      <c r="G84" s="4" t="s">
        <v>1286</v>
      </c>
      <c r="H84" s="9" t="s">
        <v>196</v>
      </c>
      <c r="I84" s="5" t="s">
        <v>2022</v>
      </c>
      <c r="J84" s="5"/>
      <c r="K84" s="6">
        <f t="shared" si="2"/>
        <v>1</v>
      </c>
    </row>
    <row r="85" spans="1:11" ht="15" customHeight="1">
      <c r="A85" s="4">
        <v>77</v>
      </c>
      <c r="B85" s="5" t="s">
        <v>153</v>
      </c>
      <c r="C85" s="5" t="s">
        <v>154</v>
      </c>
      <c r="D85" s="5" t="s">
        <v>1689</v>
      </c>
      <c r="E85" s="7" t="s">
        <v>105</v>
      </c>
      <c r="F85" s="8" t="s">
        <v>105</v>
      </c>
      <c r="G85" s="4" t="s">
        <v>1286</v>
      </c>
      <c r="H85" s="9" t="s">
        <v>196</v>
      </c>
      <c r="I85" s="5" t="s">
        <v>2022</v>
      </c>
      <c r="J85" s="5"/>
      <c r="K85" s="6">
        <f t="shared" si="2"/>
        <v>1</v>
      </c>
    </row>
    <row r="86" spans="1:11" ht="15" customHeight="1">
      <c r="A86" s="4">
        <v>78</v>
      </c>
      <c r="B86" s="5" t="s">
        <v>159</v>
      </c>
      <c r="C86" s="5" t="s">
        <v>154</v>
      </c>
      <c r="D86" s="5" t="s">
        <v>160</v>
      </c>
      <c r="E86" s="7" t="s">
        <v>105</v>
      </c>
      <c r="F86" s="8" t="s">
        <v>105</v>
      </c>
      <c r="G86" s="4" t="s">
        <v>1286</v>
      </c>
      <c r="H86" s="9" t="s">
        <v>196</v>
      </c>
      <c r="I86" s="5" t="s">
        <v>2022</v>
      </c>
      <c r="J86" s="5"/>
      <c r="K86" s="6">
        <f t="shared" si="2"/>
        <v>1</v>
      </c>
    </row>
    <row r="87" spans="1:11" ht="15" customHeight="1">
      <c r="A87" s="4">
        <v>79</v>
      </c>
      <c r="B87" s="5" t="s">
        <v>159</v>
      </c>
      <c r="C87" s="5" t="s">
        <v>154</v>
      </c>
      <c r="D87" s="5" t="s">
        <v>2036</v>
      </c>
      <c r="E87" s="7" t="s">
        <v>105</v>
      </c>
      <c r="F87" s="8" t="s">
        <v>105</v>
      </c>
      <c r="G87" s="4" t="s">
        <v>1286</v>
      </c>
      <c r="H87" s="9" t="s">
        <v>196</v>
      </c>
      <c r="I87" s="5" t="s">
        <v>2022</v>
      </c>
      <c r="J87" s="5"/>
      <c r="K87" s="6">
        <f t="shared" si="2"/>
        <v>1</v>
      </c>
    </row>
    <row r="88" spans="1:11" ht="15" customHeight="1">
      <c r="A88" s="4">
        <v>80</v>
      </c>
      <c r="B88" s="5" t="s">
        <v>159</v>
      </c>
      <c r="C88" s="5" t="s">
        <v>154</v>
      </c>
      <c r="D88" s="5" t="s">
        <v>161</v>
      </c>
      <c r="E88" s="7" t="s">
        <v>105</v>
      </c>
      <c r="F88" s="8" t="s">
        <v>105</v>
      </c>
      <c r="G88" s="4" t="s">
        <v>1286</v>
      </c>
      <c r="H88" s="9" t="s">
        <v>196</v>
      </c>
      <c r="I88" s="5" t="s">
        <v>2022</v>
      </c>
      <c r="J88" s="5"/>
      <c r="K88" s="6">
        <f t="shared" si="2"/>
        <v>1</v>
      </c>
    </row>
    <row r="89" spans="1:11" ht="15" customHeight="1">
      <c r="A89" s="4">
        <v>81</v>
      </c>
      <c r="B89" s="5" t="s">
        <v>159</v>
      </c>
      <c r="C89" s="5" t="s">
        <v>154</v>
      </c>
      <c r="D89" s="5" t="s">
        <v>1846</v>
      </c>
      <c r="E89" s="7" t="s">
        <v>105</v>
      </c>
      <c r="F89" s="8" t="s">
        <v>105</v>
      </c>
      <c r="G89" s="4" t="s">
        <v>1286</v>
      </c>
      <c r="H89" s="9" t="s">
        <v>196</v>
      </c>
      <c r="I89" s="5" t="s">
        <v>2022</v>
      </c>
      <c r="J89" s="5"/>
      <c r="K89" s="6">
        <f t="shared" si="2"/>
        <v>1</v>
      </c>
    </row>
    <row r="90" spans="1:11" ht="15" customHeight="1">
      <c r="A90" s="4">
        <v>82</v>
      </c>
      <c r="B90" s="5" t="s">
        <v>159</v>
      </c>
      <c r="C90" s="5" t="s">
        <v>154</v>
      </c>
      <c r="D90" s="5" t="s">
        <v>162</v>
      </c>
      <c r="E90" s="7" t="s">
        <v>105</v>
      </c>
      <c r="F90" s="8" t="s">
        <v>105</v>
      </c>
      <c r="G90" s="4" t="s">
        <v>1286</v>
      </c>
      <c r="H90" s="9" t="s">
        <v>196</v>
      </c>
      <c r="I90" s="5" t="s">
        <v>2022</v>
      </c>
      <c r="J90" s="5"/>
      <c r="K90" s="6">
        <f t="shared" si="2"/>
        <v>1</v>
      </c>
    </row>
    <row r="91" spans="1:11" ht="15" customHeight="1">
      <c r="A91" s="4">
        <v>83</v>
      </c>
      <c r="B91" s="5" t="s">
        <v>159</v>
      </c>
      <c r="C91" s="5" t="s">
        <v>154</v>
      </c>
      <c r="D91" s="5" t="s">
        <v>2037</v>
      </c>
      <c r="E91" s="7" t="s">
        <v>105</v>
      </c>
      <c r="F91" s="8" t="s">
        <v>105</v>
      </c>
      <c r="G91" s="4" t="s">
        <v>1286</v>
      </c>
      <c r="H91" s="9" t="s">
        <v>196</v>
      </c>
      <c r="I91" s="5" t="s">
        <v>2022</v>
      </c>
      <c r="J91" s="5"/>
      <c r="K91" s="6">
        <f t="shared" si="2"/>
        <v>1</v>
      </c>
    </row>
    <row r="92" spans="1:11" ht="15" customHeight="1">
      <c r="A92" s="4">
        <v>84</v>
      </c>
      <c r="B92" s="5" t="s">
        <v>159</v>
      </c>
      <c r="C92" s="5" t="s">
        <v>154</v>
      </c>
      <c r="D92" s="5" t="s">
        <v>551</v>
      </c>
      <c r="E92" s="7" t="s">
        <v>105</v>
      </c>
      <c r="F92" s="8" t="s">
        <v>105</v>
      </c>
      <c r="G92" s="4" t="s">
        <v>1286</v>
      </c>
      <c r="H92" s="9" t="s">
        <v>196</v>
      </c>
      <c r="I92" s="5" t="s">
        <v>2022</v>
      </c>
      <c r="J92" s="5"/>
      <c r="K92" s="6">
        <f t="shared" si="2"/>
        <v>1</v>
      </c>
    </row>
    <row r="93" spans="1:11" ht="30" customHeight="1">
      <c r="A93" s="4">
        <v>85</v>
      </c>
      <c r="B93" s="5" t="s">
        <v>130</v>
      </c>
      <c r="C93" s="5" t="s">
        <v>64</v>
      </c>
      <c r="D93" s="5" t="s">
        <v>164</v>
      </c>
      <c r="E93" s="7" t="s">
        <v>105</v>
      </c>
      <c r="F93" s="8" t="s">
        <v>105</v>
      </c>
      <c r="G93" s="4" t="s">
        <v>1286</v>
      </c>
      <c r="H93" s="9" t="s">
        <v>196</v>
      </c>
      <c r="I93" s="5" t="s">
        <v>2022</v>
      </c>
      <c r="J93" s="5"/>
      <c r="K93" s="6">
        <f t="shared" si="2"/>
        <v>1</v>
      </c>
    </row>
    <row r="94" spans="1:11" ht="15" customHeight="1">
      <c r="A94" s="4">
        <v>86</v>
      </c>
      <c r="B94" s="5" t="s">
        <v>130</v>
      </c>
      <c r="C94" s="5" t="s">
        <v>64</v>
      </c>
      <c r="D94" s="5" t="s">
        <v>165</v>
      </c>
      <c r="E94" s="7" t="s">
        <v>105</v>
      </c>
      <c r="F94" s="8" t="s">
        <v>105</v>
      </c>
      <c r="G94" s="4" t="s">
        <v>1286</v>
      </c>
      <c r="H94" s="9" t="s">
        <v>196</v>
      </c>
      <c r="I94" s="5" t="s">
        <v>2022</v>
      </c>
      <c r="J94" s="5"/>
      <c r="K94" s="6">
        <f t="shared" si="2"/>
        <v>1</v>
      </c>
    </row>
    <row r="95" spans="1:11" ht="15" customHeight="1">
      <c r="A95" s="4">
        <v>87</v>
      </c>
      <c r="B95" s="5" t="s">
        <v>130</v>
      </c>
      <c r="C95" s="5" t="s">
        <v>64</v>
      </c>
      <c r="D95" s="5" t="s">
        <v>166</v>
      </c>
      <c r="E95" s="7" t="s">
        <v>105</v>
      </c>
      <c r="F95" s="8" t="s">
        <v>105</v>
      </c>
      <c r="G95" s="4" t="s">
        <v>1286</v>
      </c>
      <c r="H95" s="9" t="s">
        <v>196</v>
      </c>
      <c r="I95" s="5" t="s">
        <v>2022</v>
      </c>
      <c r="J95" s="5"/>
      <c r="K95" s="6">
        <f t="shared" si="2"/>
        <v>1</v>
      </c>
    </row>
    <row r="96" spans="1:11" ht="15" customHeight="1">
      <c r="A96" s="4">
        <v>88</v>
      </c>
      <c r="B96" s="5" t="s">
        <v>130</v>
      </c>
      <c r="C96" s="5" t="s">
        <v>64</v>
      </c>
      <c r="D96" s="5" t="s">
        <v>167</v>
      </c>
      <c r="E96" s="7" t="s">
        <v>105</v>
      </c>
      <c r="F96" s="8" t="s">
        <v>105</v>
      </c>
      <c r="G96" s="4" t="s">
        <v>1286</v>
      </c>
      <c r="H96" s="9" t="s">
        <v>196</v>
      </c>
      <c r="I96" s="5" t="s">
        <v>2022</v>
      </c>
      <c r="J96" s="5"/>
      <c r="K96" s="6">
        <f t="shared" si="2"/>
        <v>1</v>
      </c>
    </row>
    <row r="97" spans="1:11" ht="15" customHeight="1">
      <c r="A97" s="4">
        <v>89</v>
      </c>
      <c r="B97" s="5" t="s">
        <v>130</v>
      </c>
      <c r="C97" s="5" t="s">
        <v>64</v>
      </c>
      <c r="D97" s="5" t="s">
        <v>168</v>
      </c>
      <c r="E97" s="7" t="s">
        <v>105</v>
      </c>
      <c r="F97" s="8" t="s">
        <v>105</v>
      </c>
      <c r="G97" s="4" t="s">
        <v>1286</v>
      </c>
      <c r="H97" s="9" t="s">
        <v>196</v>
      </c>
      <c r="I97" s="5" t="s">
        <v>2022</v>
      </c>
      <c r="J97" s="5"/>
      <c r="K97" s="6">
        <f t="shared" si="2"/>
        <v>1</v>
      </c>
    </row>
    <row r="98" spans="1:11" ht="15" customHeight="1">
      <c r="A98" s="4">
        <v>90</v>
      </c>
      <c r="B98" s="5" t="s">
        <v>135</v>
      </c>
      <c r="C98" s="5" t="s">
        <v>121</v>
      </c>
      <c r="D98" s="5" t="s">
        <v>169</v>
      </c>
      <c r="E98" s="7" t="s">
        <v>105</v>
      </c>
      <c r="F98" s="8" t="s">
        <v>105</v>
      </c>
      <c r="G98" s="4" t="s">
        <v>1286</v>
      </c>
      <c r="H98" s="9" t="s">
        <v>196</v>
      </c>
      <c r="I98" s="5" t="s">
        <v>2022</v>
      </c>
      <c r="J98" s="5"/>
      <c r="K98" s="6">
        <f t="shared" si="2"/>
        <v>1</v>
      </c>
    </row>
    <row r="99" spans="1:11" ht="30" customHeight="1">
      <c r="A99" s="4">
        <v>91</v>
      </c>
      <c r="B99" s="5" t="s">
        <v>135</v>
      </c>
      <c r="C99" s="5" t="s">
        <v>121</v>
      </c>
      <c r="D99" s="5" t="s">
        <v>170</v>
      </c>
      <c r="E99" s="7" t="s">
        <v>105</v>
      </c>
      <c r="F99" s="8" t="s">
        <v>105</v>
      </c>
      <c r="G99" s="4" t="s">
        <v>1286</v>
      </c>
      <c r="H99" s="9" t="s">
        <v>196</v>
      </c>
      <c r="I99" s="5" t="s">
        <v>2022</v>
      </c>
      <c r="J99" s="5"/>
      <c r="K99" s="6">
        <f t="shared" si="2"/>
        <v>1</v>
      </c>
    </row>
    <row r="100" spans="1:11" ht="30" customHeight="1">
      <c r="A100" s="4">
        <v>92</v>
      </c>
      <c r="B100" s="5" t="s">
        <v>135</v>
      </c>
      <c r="C100" s="5" t="s">
        <v>121</v>
      </c>
      <c r="D100" s="5" t="s">
        <v>171</v>
      </c>
      <c r="E100" s="7" t="s">
        <v>105</v>
      </c>
      <c r="F100" s="8" t="s">
        <v>105</v>
      </c>
      <c r="G100" s="4" t="s">
        <v>1286</v>
      </c>
      <c r="H100" s="9" t="s">
        <v>196</v>
      </c>
      <c r="I100" s="5" t="s">
        <v>2022</v>
      </c>
      <c r="J100" s="5"/>
      <c r="K100" s="6">
        <f t="shared" si="2"/>
        <v>1</v>
      </c>
    </row>
    <row r="101" spans="1:11" ht="30" customHeight="1">
      <c r="A101" s="4">
        <v>93</v>
      </c>
      <c r="B101" s="5" t="s">
        <v>135</v>
      </c>
      <c r="C101" s="5" t="s">
        <v>64</v>
      </c>
      <c r="D101" s="5" t="s">
        <v>627</v>
      </c>
      <c r="E101" s="7" t="s">
        <v>105</v>
      </c>
      <c r="F101" s="8" t="s">
        <v>105</v>
      </c>
      <c r="G101" s="4" t="s">
        <v>1286</v>
      </c>
      <c r="H101" s="9" t="s">
        <v>196</v>
      </c>
      <c r="I101" s="5" t="s">
        <v>2022</v>
      </c>
      <c r="J101" s="5"/>
      <c r="K101" s="6">
        <f t="shared" si="2"/>
        <v>1</v>
      </c>
    </row>
    <row r="102" spans="1:11" ht="30" customHeight="1">
      <c r="A102" s="4">
        <v>94</v>
      </c>
      <c r="B102" s="5" t="s">
        <v>135</v>
      </c>
      <c r="C102" s="5" t="s">
        <v>64</v>
      </c>
      <c r="D102" s="5" t="s">
        <v>628</v>
      </c>
      <c r="E102" s="7" t="s">
        <v>105</v>
      </c>
      <c r="F102" s="8" t="s">
        <v>105</v>
      </c>
      <c r="G102" s="4" t="s">
        <v>1286</v>
      </c>
      <c r="H102" s="9" t="s">
        <v>196</v>
      </c>
      <c r="I102" s="5" t="s">
        <v>2022</v>
      </c>
      <c r="J102" s="5"/>
      <c r="K102" s="6">
        <f t="shared" si="2"/>
        <v>1</v>
      </c>
    </row>
    <row r="103" spans="1:11" ht="15" customHeight="1">
      <c r="A103" s="4">
        <v>95</v>
      </c>
      <c r="B103" s="5" t="s">
        <v>135</v>
      </c>
      <c r="C103" s="5" t="s">
        <v>64</v>
      </c>
      <c r="D103" s="5" t="s">
        <v>629</v>
      </c>
      <c r="E103" s="7" t="s">
        <v>105</v>
      </c>
      <c r="F103" s="8" t="s">
        <v>105</v>
      </c>
      <c r="G103" s="4" t="s">
        <v>1286</v>
      </c>
      <c r="H103" s="9" t="s">
        <v>196</v>
      </c>
      <c r="I103" s="5" t="s">
        <v>2022</v>
      </c>
      <c r="J103" s="5"/>
      <c r="K103" s="6">
        <f t="shared" si="2"/>
        <v>1</v>
      </c>
    </row>
    <row r="104" spans="1:11" ht="30" customHeight="1">
      <c r="A104" s="4">
        <v>96</v>
      </c>
      <c r="B104" s="5" t="s">
        <v>135</v>
      </c>
      <c r="C104" s="5" t="s">
        <v>64</v>
      </c>
      <c r="D104" s="5" t="s">
        <v>630</v>
      </c>
      <c r="E104" s="7" t="s">
        <v>105</v>
      </c>
      <c r="F104" s="8" t="s">
        <v>105</v>
      </c>
      <c r="G104" s="4" t="s">
        <v>1286</v>
      </c>
      <c r="H104" s="9" t="s">
        <v>196</v>
      </c>
      <c r="I104" s="5" t="s">
        <v>2022</v>
      </c>
      <c r="J104" s="5"/>
      <c r="K104" s="6">
        <f t="shared" si="2"/>
        <v>1</v>
      </c>
    </row>
    <row r="105" spans="1:11" ht="15" customHeight="1">
      <c r="A105" s="4">
        <v>97</v>
      </c>
      <c r="B105" s="5" t="s">
        <v>591</v>
      </c>
      <c r="C105" s="5" t="s">
        <v>64</v>
      </c>
      <c r="D105" s="5" t="s">
        <v>631</v>
      </c>
      <c r="E105" s="7" t="s">
        <v>105</v>
      </c>
      <c r="F105" s="8" t="s">
        <v>105</v>
      </c>
      <c r="G105" s="4" t="s">
        <v>1286</v>
      </c>
      <c r="H105" s="9" t="s">
        <v>196</v>
      </c>
      <c r="I105" s="5" t="s">
        <v>2022</v>
      </c>
      <c r="J105" s="5"/>
      <c r="K105" s="6">
        <f t="shared" ref="K105:K112" si="3">IF(AND(E105="yes",F105="yes",H105="covered"),1,IF(H105="partial",0.5,0))</f>
        <v>1</v>
      </c>
    </row>
    <row r="106" spans="1:11" ht="15" customHeight="1">
      <c r="A106" s="4">
        <v>98</v>
      </c>
      <c r="B106" s="5" t="s">
        <v>591</v>
      </c>
      <c r="C106" s="5" t="s">
        <v>64</v>
      </c>
      <c r="D106" s="5" t="s">
        <v>632</v>
      </c>
      <c r="E106" s="7" t="s">
        <v>105</v>
      </c>
      <c r="F106" s="8" t="s">
        <v>105</v>
      </c>
      <c r="G106" s="4" t="s">
        <v>1286</v>
      </c>
      <c r="H106" s="9" t="s">
        <v>196</v>
      </c>
      <c r="I106" s="5" t="s">
        <v>2022</v>
      </c>
      <c r="J106" s="5"/>
      <c r="K106" s="6">
        <f t="shared" si="3"/>
        <v>1</v>
      </c>
    </row>
    <row r="107" spans="1:11" ht="30" customHeight="1">
      <c r="A107" s="4">
        <v>99</v>
      </c>
      <c r="B107" s="5" t="s">
        <v>55</v>
      </c>
      <c r="C107" s="5" t="s">
        <v>64</v>
      </c>
      <c r="D107" s="5" t="s">
        <v>731</v>
      </c>
      <c r="E107" s="7" t="s">
        <v>105</v>
      </c>
      <c r="F107" s="8" t="s">
        <v>105</v>
      </c>
      <c r="G107" s="4" t="s">
        <v>1286</v>
      </c>
      <c r="H107" s="9" t="s">
        <v>196</v>
      </c>
      <c r="I107" s="5" t="s">
        <v>2022</v>
      </c>
      <c r="J107" s="5"/>
      <c r="K107" s="6">
        <f t="shared" si="3"/>
        <v>1</v>
      </c>
    </row>
    <row r="108" spans="1:11" ht="15" customHeight="1">
      <c r="A108" s="4">
        <v>100</v>
      </c>
      <c r="B108" s="5" t="s">
        <v>55</v>
      </c>
      <c r="C108" s="5" t="s">
        <v>64</v>
      </c>
      <c r="D108" s="5" t="s">
        <v>732</v>
      </c>
      <c r="E108" s="7" t="s">
        <v>105</v>
      </c>
      <c r="F108" s="8" t="s">
        <v>105</v>
      </c>
      <c r="G108" s="4" t="s">
        <v>1286</v>
      </c>
      <c r="H108" s="9" t="s">
        <v>196</v>
      </c>
      <c r="I108" s="5" t="s">
        <v>2022</v>
      </c>
      <c r="J108" s="5"/>
      <c r="K108" s="6">
        <f t="shared" si="3"/>
        <v>1</v>
      </c>
    </row>
    <row r="109" spans="1:11" ht="15" customHeight="1">
      <c r="A109" s="4">
        <v>101</v>
      </c>
      <c r="B109" s="5" t="s">
        <v>31</v>
      </c>
      <c r="C109" s="5" t="s">
        <v>121</v>
      </c>
      <c r="D109" s="5" t="s">
        <v>2038</v>
      </c>
      <c r="E109" s="10" t="s">
        <v>105</v>
      </c>
      <c r="F109" s="8" t="s">
        <v>105</v>
      </c>
      <c r="G109" s="4" t="s">
        <v>1286</v>
      </c>
      <c r="H109" s="10" t="s">
        <v>196</v>
      </c>
      <c r="I109" s="5" t="s">
        <v>2022</v>
      </c>
      <c r="J109" s="5"/>
      <c r="K109" s="6">
        <f t="shared" si="3"/>
        <v>1</v>
      </c>
    </row>
    <row r="110" spans="1:11" ht="30" customHeight="1">
      <c r="A110" s="4">
        <v>102</v>
      </c>
      <c r="B110" s="5" t="s">
        <v>31</v>
      </c>
      <c r="C110" s="5" t="s">
        <v>121</v>
      </c>
      <c r="D110" s="5" t="s">
        <v>2039</v>
      </c>
      <c r="E110" s="10" t="s">
        <v>105</v>
      </c>
      <c r="F110" s="8" t="s">
        <v>105</v>
      </c>
      <c r="G110" s="4" t="s">
        <v>1286</v>
      </c>
      <c r="H110" s="10" t="s">
        <v>196</v>
      </c>
      <c r="I110" s="5" t="s">
        <v>2022</v>
      </c>
      <c r="J110" s="5"/>
      <c r="K110" s="6">
        <f t="shared" si="3"/>
        <v>1</v>
      </c>
    </row>
    <row r="111" spans="1:11" ht="15" customHeight="1">
      <c r="A111" s="4">
        <v>103</v>
      </c>
      <c r="B111" s="5" t="s">
        <v>31</v>
      </c>
      <c r="C111" s="5" t="s">
        <v>121</v>
      </c>
      <c r="D111" s="5" t="s">
        <v>2040</v>
      </c>
      <c r="E111" s="10" t="s">
        <v>105</v>
      </c>
      <c r="F111" s="8" t="s">
        <v>105</v>
      </c>
      <c r="G111" s="4" t="s">
        <v>1286</v>
      </c>
      <c r="H111" s="10" t="s">
        <v>196</v>
      </c>
      <c r="I111" s="5" t="s">
        <v>2022</v>
      </c>
      <c r="J111" s="5"/>
      <c r="K111" s="6">
        <f t="shared" si="3"/>
        <v>1</v>
      </c>
    </row>
    <row r="112" spans="1:11" ht="30" customHeight="1">
      <c r="A112" s="4">
        <v>104</v>
      </c>
      <c r="B112" s="5" t="s">
        <v>94</v>
      </c>
      <c r="C112" s="5" t="s">
        <v>191</v>
      </c>
      <c r="D112" s="5" t="s">
        <v>192</v>
      </c>
      <c r="E112" s="10" t="s">
        <v>105</v>
      </c>
      <c r="F112" s="8" t="s">
        <v>105</v>
      </c>
      <c r="G112" s="4" t="s">
        <v>1286</v>
      </c>
      <c r="H112" s="10" t="s">
        <v>196</v>
      </c>
      <c r="I112" s="5" t="s">
        <v>2022</v>
      </c>
      <c r="J112" s="5"/>
      <c r="K112" s="6">
        <f t="shared" si="3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K113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2041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90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52">
        <v>1</v>
      </c>
      <c r="B9" s="53" t="s">
        <v>94</v>
      </c>
      <c r="C9" s="53" t="s">
        <v>95</v>
      </c>
      <c r="D9" s="53" t="s">
        <v>96</v>
      </c>
      <c r="E9" s="52" t="s">
        <v>105</v>
      </c>
      <c r="F9" s="52" t="s">
        <v>105</v>
      </c>
      <c r="G9" s="52" t="s">
        <v>195</v>
      </c>
      <c r="H9" s="54" t="s">
        <v>196</v>
      </c>
      <c r="I9" s="53" t="s">
        <v>2042</v>
      </c>
      <c r="J9" s="53"/>
      <c r="K9" s="55">
        <f t="shared" ref="K9:K40" si="0">IF(AND(E9="yes",F9="yes",H9="covered"),1,IF(H9="partial",0.5,0))</f>
        <v>1</v>
      </c>
    </row>
    <row r="10" spans="1:11" ht="15" customHeight="1">
      <c r="A10" s="52">
        <v>2</v>
      </c>
      <c r="B10" s="53" t="s">
        <v>94</v>
      </c>
      <c r="C10" s="53" t="s">
        <v>95</v>
      </c>
      <c r="D10" s="53" t="s">
        <v>102</v>
      </c>
      <c r="E10" s="52" t="s">
        <v>105</v>
      </c>
      <c r="F10" s="52" t="s">
        <v>105</v>
      </c>
      <c r="G10" s="52" t="s">
        <v>195</v>
      </c>
      <c r="H10" s="54" t="s">
        <v>196</v>
      </c>
      <c r="I10" s="53" t="s">
        <v>2042</v>
      </c>
      <c r="J10" s="53"/>
      <c r="K10" s="55">
        <f t="shared" si="0"/>
        <v>1</v>
      </c>
    </row>
    <row r="11" spans="1:11" ht="15" customHeight="1">
      <c r="A11" s="52">
        <v>3</v>
      </c>
      <c r="B11" s="53" t="s">
        <v>94</v>
      </c>
      <c r="C11" s="53" t="s">
        <v>65</v>
      </c>
      <c r="D11" s="53" t="s">
        <v>104</v>
      </c>
      <c r="E11" s="52" t="s">
        <v>105</v>
      </c>
      <c r="F11" s="52" t="s">
        <v>105</v>
      </c>
      <c r="G11" s="52" t="s">
        <v>195</v>
      </c>
      <c r="H11" s="54" t="s">
        <v>196</v>
      </c>
      <c r="I11" s="53" t="s">
        <v>2042</v>
      </c>
      <c r="J11" s="53"/>
      <c r="K11" s="55">
        <f t="shared" si="0"/>
        <v>1</v>
      </c>
    </row>
    <row r="12" spans="1:11" ht="15" customHeight="1">
      <c r="A12" s="52">
        <v>4</v>
      </c>
      <c r="B12" s="53" t="s">
        <v>94</v>
      </c>
      <c r="C12" s="53" t="s">
        <v>65</v>
      </c>
      <c r="D12" s="53" t="s">
        <v>110</v>
      </c>
      <c r="E12" s="52" t="s">
        <v>105</v>
      </c>
      <c r="F12" s="52" t="s">
        <v>105</v>
      </c>
      <c r="G12" s="52" t="s">
        <v>195</v>
      </c>
      <c r="H12" s="54" t="s">
        <v>196</v>
      </c>
      <c r="I12" s="53" t="s">
        <v>2042</v>
      </c>
      <c r="J12" s="53"/>
      <c r="K12" s="55">
        <f t="shared" si="0"/>
        <v>1</v>
      </c>
    </row>
    <row r="13" spans="1:11" ht="15" customHeight="1">
      <c r="A13" s="52">
        <v>5</v>
      </c>
      <c r="B13" s="53" t="s">
        <v>94</v>
      </c>
      <c r="C13" s="53" t="s">
        <v>65</v>
      </c>
      <c r="D13" s="53" t="s">
        <v>111</v>
      </c>
      <c r="E13" s="52" t="s">
        <v>105</v>
      </c>
      <c r="F13" s="52" t="s">
        <v>105</v>
      </c>
      <c r="G13" s="52" t="s">
        <v>195</v>
      </c>
      <c r="H13" s="54" t="s">
        <v>196</v>
      </c>
      <c r="I13" s="53" t="s">
        <v>2042</v>
      </c>
      <c r="J13" s="53"/>
      <c r="K13" s="55">
        <f t="shared" si="0"/>
        <v>1</v>
      </c>
    </row>
    <row r="14" spans="1:11" ht="15" customHeight="1">
      <c r="A14" s="52">
        <v>6</v>
      </c>
      <c r="B14" s="53" t="s">
        <v>94</v>
      </c>
      <c r="C14" s="53" t="s">
        <v>65</v>
      </c>
      <c r="D14" s="53" t="s">
        <v>112</v>
      </c>
      <c r="E14" s="52" t="s">
        <v>105</v>
      </c>
      <c r="F14" s="52" t="s">
        <v>105</v>
      </c>
      <c r="G14" s="52" t="s">
        <v>195</v>
      </c>
      <c r="H14" s="54" t="s">
        <v>196</v>
      </c>
      <c r="I14" s="53" t="s">
        <v>2042</v>
      </c>
      <c r="J14" s="53"/>
      <c r="K14" s="55">
        <f t="shared" si="0"/>
        <v>1</v>
      </c>
    </row>
    <row r="15" spans="1:11" ht="15" customHeight="1">
      <c r="A15" s="52">
        <v>7</v>
      </c>
      <c r="B15" s="53" t="s">
        <v>113</v>
      </c>
      <c r="C15" s="53" t="s">
        <v>65</v>
      </c>
      <c r="D15" s="53" t="s">
        <v>2043</v>
      </c>
      <c r="E15" s="52" t="s">
        <v>105</v>
      </c>
      <c r="F15" s="52" t="s">
        <v>105</v>
      </c>
      <c r="G15" s="52" t="s">
        <v>195</v>
      </c>
      <c r="H15" s="54" t="s">
        <v>196</v>
      </c>
      <c r="I15" s="53" t="s">
        <v>2042</v>
      </c>
      <c r="J15" s="53"/>
      <c r="K15" s="55">
        <f t="shared" si="0"/>
        <v>1</v>
      </c>
    </row>
    <row r="16" spans="1:11" ht="15" customHeight="1">
      <c r="A16" s="52">
        <v>8</v>
      </c>
      <c r="B16" s="53" t="s">
        <v>113</v>
      </c>
      <c r="C16" s="53" t="s">
        <v>65</v>
      </c>
      <c r="D16" s="53" t="s">
        <v>2044</v>
      </c>
      <c r="E16" s="52" t="s">
        <v>105</v>
      </c>
      <c r="F16" s="52" t="s">
        <v>105</v>
      </c>
      <c r="G16" s="52" t="s">
        <v>195</v>
      </c>
      <c r="H16" s="54" t="s">
        <v>196</v>
      </c>
      <c r="I16" s="53" t="s">
        <v>2042</v>
      </c>
      <c r="J16" s="53"/>
      <c r="K16" s="55">
        <f t="shared" si="0"/>
        <v>1</v>
      </c>
    </row>
    <row r="17" spans="1:11" ht="15" customHeight="1">
      <c r="A17" s="52">
        <v>9</v>
      </c>
      <c r="B17" s="53" t="s">
        <v>113</v>
      </c>
      <c r="C17" s="53" t="s">
        <v>65</v>
      </c>
      <c r="D17" s="53" t="s">
        <v>2045</v>
      </c>
      <c r="E17" s="52" t="s">
        <v>105</v>
      </c>
      <c r="F17" s="52" t="s">
        <v>105</v>
      </c>
      <c r="G17" s="52" t="s">
        <v>195</v>
      </c>
      <c r="H17" s="54" t="s">
        <v>196</v>
      </c>
      <c r="I17" s="53" t="s">
        <v>2042</v>
      </c>
      <c r="J17" s="53"/>
      <c r="K17" s="55">
        <f t="shared" si="0"/>
        <v>1</v>
      </c>
    </row>
    <row r="18" spans="1:11" ht="15" customHeight="1">
      <c r="A18" s="52">
        <v>10</v>
      </c>
      <c r="B18" s="53" t="s">
        <v>113</v>
      </c>
      <c r="C18" s="53" t="s">
        <v>65</v>
      </c>
      <c r="D18" s="53" t="s">
        <v>2046</v>
      </c>
      <c r="E18" s="52" t="s">
        <v>105</v>
      </c>
      <c r="F18" s="52" t="s">
        <v>105</v>
      </c>
      <c r="G18" s="52" t="s">
        <v>195</v>
      </c>
      <c r="H18" s="54" t="s">
        <v>196</v>
      </c>
      <c r="I18" s="53" t="s">
        <v>2042</v>
      </c>
      <c r="J18" s="53"/>
      <c r="K18" s="55">
        <f t="shared" si="0"/>
        <v>1</v>
      </c>
    </row>
    <row r="19" spans="1:11" ht="15" customHeight="1">
      <c r="A19" s="52">
        <v>11</v>
      </c>
      <c r="B19" s="53" t="s">
        <v>113</v>
      </c>
      <c r="C19" s="53" t="s">
        <v>65</v>
      </c>
      <c r="D19" s="53" t="s">
        <v>2047</v>
      </c>
      <c r="E19" s="52" t="s">
        <v>105</v>
      </c>
      <c r="F19" s="52" t="s">
        <v>105</v>
      </c>
      <c r="G19" s="52" t="s">
        <v>195</v>
      </c>
      <c r="H19" s="54" t="s">
        <v>196</v>
      </c>
      <c r="I19" s="53" t="s">
        <v>2042</v>
      </c>
      <c r="J19" s="53"/>
      <c r="K19" s="55">
        <f t="shared" si="0"/>
        <v>1</v>
      </c>
    </row>
    <row r="20" spans="1:11" ht="15" customHeight="1">
      <c r="A20" s="52">
        <v>12</v>
      </c>
      <c r="B20" s="53" t="s">
        <v>113</v>
      </c>
      <c r="C20" s="53" t="s">
        <v>65</v>
      </c>
      <c r="D20" s="53" t="s">
        <v>119</v>
      </c>
      <c r="E20" s="52" t="s">
        <v>105</v>
      </c>
      <c r="F20" s="52" t="s">
        <v>105</v>
      </c>
      <c r="G20" s="52" t="s">
        <v>195</v>
      </c>
      <c r="H20" s="54" t="s">
        <v>196</v>
      </c>
      <c r="I20" s="53" t="s">
        <v>2042</v>
      </c>
      <c r="J20" s="53"/>
      <c r="K20" s="55">
        <f t="shared" si="0"/>
        <v>1</v>
      </c>
    </row>
    <row r="21" spans="1:11" ht="15" customHeight="1">
      <c r="A21" s="52">
        <v>13</v>
      </c>
      <c r="B21" s="53" t="s">
        <v>120</v>
      </c>
      <c r="C21" s="53" t="s">
        <v>121</v>
      </c>
      <c r="D21" s="53" t="s">
        <v>122</v>
      </c>
      <c r="E21" s="52" t="s">
        <v>105</v>
      </c>
      <c r="F21" s="52" t="s">
        <v>105</v>
      </c>
      <c r="G21" s="52" t="s">
        <v>195</v>
      </c>
      <c r="H21" s="54" t="s">
        <v>196</v>
      </c>
      <c r="I21" s="53" t="s">
        <v>2042</v>
      </c>
      <c r="J21" s="53"/>
      <c r="K21" s="55">
        <f t="shared" si="0"/>
        <v>1</v>
      </c>
    </row>
    <row r="22" spans="1:11" ht="15" customHeight="1">
      <c r="A22" s="52">
        <v>14</v>
      </c>
      <c r="B22" s="53" t="s">
        <v>120</v>
      </c>
      <c r="C22" s="53" t="s">
        <v>121</v>
      </c>
      <c r="D22" s="53" t="s">
        <v>123</v>
      </c>
      <c r="E22" s="52" t="s">
        <v>105</v>
      </c>
      <c r="F22" s="52" t="s">
        <v>105</v>
      </c>
      <c r="G22" s="52" t="s">
        <v>195</v>
      </c>
      <c r="H22" s="54" t="s">
        <v>196</v>
      </c>
      <c r="I22" s="53" t="s">
        <v>2042</v>
      </c>
      <c r="J22" s="53"/>
      <c r="K22" s="55">
        <f t="shared" si="0"/>
        <v>1</v>
      </c>
    </row>
    <row r="23" spans="1:11" ht="30" customHeight="1">
      <c r="A23" s="52">
        <v>15</v>
      </c>
      <c r="B23" s="53" t="s">
        <v>124</v>
      </c>
      <c r="C23" s="53" t="s">
        <v>121</v>
      </c>
      <c r="D23" s="53" t="s">
        <v>125</v>
      </c>
      <c r="E23" s="52" t="s">
        <v>105</v>
      </c>
      <c r="F23" s="52" t="s">
        <v>105</v>
      </c>
      <c r="G23" s="52" t="s">
        <v>195</v>
      </c>
      <c r="H23" s="54" t="s">
        <v>196</v>
      </c>
      <c r="I23" s="53" t="s">
        <v>2042</v>
      </c>
      <c r="J23" s="53"/>
      <c r="K23" s="55">
        <f t="shared" si="0"/>
        <v>1</v>
      </c>
    </row>
    <row r="24" spans="1:11" ht="15" customHeight="1">
      <c r="A24" s="52">
        <v>16</v>
      </c>
      <c r="B24" s="53" t="s">
        <v>124</v>
      </c>
      <c r="C24" s="53" t="s">
        <v>121</v>
      </c>
      <c r="D24" s="53" t="s">
        <v>126</v>
      </c>
      <c r="E24" s="52" t="s">
        <v>105</v>
      </c>
      <c r="F24" s="52" t="s">
        <v>105</v>
      </c>
      <c r="G24" s="52" t="s">
        <v>195</v>
      </c>
      <c r="H24" s="54" t="s">
        <v>196</v>
      </c>
      <c r="I24" s="53" t="s">
        <v>2042</v>
      </c>
      <c r="J24" s="53"/>
      <c r="K24" s="55">
        <f t="shared" si="0"/>
        <v>1</v>
      </c>
    </row>
    <row r="25" spans="1:11" ht="15" customHeight="1">
      <c r="A25" s="52">
        <v>17</v>
      </c>
      <c r="B25" s="53" t="s">
        <v>95</v>
      </c>
      <c r="C25" s="53" t="s">
        <v>121</v>
      </c>
      <c r="D25" s="53" t="s">
        <v>127</v>
      </c>
      <c r="E25" s="52" t="s">
        <v>105</v>
      </c>
      <c r="F25" s="52" t="s">
        <v>105</v>
      </c>
      <c r="G25" s="52" t="s">
        <v>195</v>
      </c>
      <c r="H25" s="54" t="s">
        <v>196</v>
      </c>
      <c r="I25" s="53" t="s">
        <v>2042</v>
      </c>
      <c r="J25" s="53"/>
      <c r="K25" s="55">
        <f t="shared" si="0"/>
        <v>1</v>
      </c>
    </row>
    <row r="26" spans="1:11" ht="15" customHeight="1">
      <c r="A26" s="52">
        <v>18</v>
      </c>
      <c r="B26" s="53" t="s">
        <v>128</v>
      </c>
      <c r="C26" s="53" t="s">
        <v>121</v>
      </c>
      <c r="D26" s="53" t="s">
        <v>129</v>
      </c>
      <c r="E26" s="52" t="s">
        <v>105</v>
      </c>
      <c r="F26" s="52" t="s">
        <v>105</v>
      </c>
      <c r="G26" s="52" t="s">
        <v>195</v>
      </c>
      <c r="H26" s="54" t="s">
        <v>196</v>
      </c>
      <c r="I26" s="53" t="s">
        <v>2042</v>
      </c>
      <c r="J26" s="53"/>
      <c r="K26" s="55">
        <f t="shared" si="0"/>
        <v>1</v>
      </c>
    </row>
    <row r="27" spans="1:11" ht="15" customHeight="1">
      <c r="A27" s="52">
        <v>19</v>
      </c>
      <c r="B27" s="53" t="s">
        <v>130</v>
      </c>
      <c r="C27" s="53" t="s">
        <v>121</v>
      </c>
      <c r="D27" s="53" t="s">
        <v>131</v>
      </c>
      <c r="E27" s="52" t="s">
        <v>105</v>
      </c>
      <c r="F27" s="52" t="s">
        <v>105</v>
      </c>
      <c r="G27" s="52" t="s">
        <v>195</v>
      </c>
      <c r="H27" s="54" t="s">
        <v>196</v>
      </c>
      <c r="I27" s="53" t="s">
        <v>2042</v>
      </c>
      <c r="J27" s="53"/>
      <c r="K27" s="55">
        <f t="shared" si="0"/>
        <v>1</v>
      </c>
    </row>
    <row r="28" spans="1:11" ht="15" customHeight="1">
      <c r="A28" s="52">
        <v>20</v>
      </c>
      <c r="B28" s="53" t="s">
        <v>130</v>
      </c>
      <c r="C28" s="53" t="s">
        <v>121</v>
      </c>
      <c r="D28" s="53" t="s">
        <v>132</v>
      </c>
      <c r="E28" s="52" t="s">
        <v>105</v>
      </c>
      <c r="F28" s="52" t="s">
        <v>105</v>
      </c>
      <c r="G28" s="52" t="s">
        <v>195</v>
      </c>
      <c r="H28" s="54" t="s">
        <v>196</v>
      </c>
      <c r="I28" s="53" t="s">
        <v>2042</v>
      </c>
      <c r="J28" s="53"/>
      <c r="K28" s="55">
        <f t="shared" si="0"/>
        <v>1</v>
      </c>
    </row>
    <row r="29" spans="1:11" ht="15" customHeight="1">
      <c r="A29" s="52">
        <v>21</v>
      </c>
      <c r="B29" s="53" t="s">
        <v>135</v>
      </c>
      <c r="C29" s="53" t="s">
        <v>121</v>
      </c>
      <c r="D29" s="53" t="s">
        <v>2048</v>
      </c>
      <c r="E29" s="52" t="s">
        <v>105</v>
      </c>
      <c r="F29" s="52" t="s">
        <v>105</v>
      </c>
      <c r="G29" s="52" t="s">
        <v>195</v>
      </c>
      <c r="H29" s="54" t="s">
        <v>196</v>
      </c>
      <c r="I29" s="53" t="s">
        <v>2042</v>
      </c>
      <c r="J29" s="53"/>
      <c r="K29" s="55">
        <f t="shared" si="0"/>
        <v>1</v>
      </c>
    </row>
    <row r="30" spans="1:11" ht="15" customHeight="1">
      <c r="A30" s="52">
        <v>22</v>
      </c>
      <c r="B30" s="53" t="s">
        <v>135</v>
      </c>
      <c r="C30" s="53" t="s">
        <v>121</v>
      </c>
      <c r="D30" s="53" t="s">
        <v>2049</v>
      </c>
      <c r="E30" s="52" t="s">
        <v>105</v>
      </c>
      <c r="F30" s="52" t="s">
        <v>105</v>
      </c>
      <c r="G30" s="52" t="s">
        <v>195</v>
      </c>
      <c r="H30" s="54" t="s">
        <v>196</v>
      </c>
      <c r="I30" s="53" t="s">
        <v>2042</v>
      </c>
      <c r="J30" s="53"/>
      <c r="K30" s="55">
        <f t="shared" si="0"/>
        <v>1</v>
      </c>
    </row>
    <row r="31" spans="1:11" ht="15" customHeight="1">
      <c r="A31" s="52">
        <v>23</v>
      </c>
      <c r="B31" s="53" t="s">
        <v>135</v>
      </c>
      <c r="C31" s="53" t="s">
        <v>121</v>
      </c>
      <c r="D31" s="53" t="s">
        <v>2050</v>
      </c>
      <c r="E31" s="52" t="s">
        <v>105</v>
      </c>
      <c r="F31" s="52" t="s">
        <v>105</v>
      </c>
      <c r="G31" s="52" t="s">
        <v>195</v>
      </c>
      <c r="H31" s="54" t="s">
        <v>196</v>
      </c>
      <c r="I31" s="53" t="s">
        <v>2042</v>
      </c>
      <c r="J31" s="53"/>
      <c r="K31" s="55">
        <f t="shared" si="0"/>
        <v>1</v>
      </c>
    </row>
    <row r="32" spans="1:11" ht="15" customHeight="1">
      <c r="A32" s="52">
        <v>24</v>
      </c>
      <c r="B32" s="53" t="s">
        <v>135</v>
      </c>
      <c r="C32" s="53" t="s">
        <v>121</v>
      </c>
      <c r="D32" s="53" t="s">
        <v>2051</v>
      </c>
      <c r="E32" s="52" t="s">
        <v>105</v>
      </c>
      <c r="F32" s="52" t="s">
        <v>105</v>
      </c>
      <c r="G32" s="52" t="s">
        <v>195</v>
      </c>
      <c r="H32" s="54" t="s">
        <v>196</v>
      </c>
      <c r="I32" s="53" t="s">
        <v>2042</v>
      </c>
      <c r="J32" s="53"/>
      <c r="K32" s="55">
        <f t="shared" si="0"/>
        <v>1</v>
      </c>
    </row>
    <row r="33" spans="1:11" ht="15" customHeight="1">
      <c r="A33" s="52">
        <v>25</v>
      </c>
      <c r="B33" s="53" t="s">
        <v>135</v>
      </c>
      <c r="C33" s="53" t="s">
        <v>121</v>
      </c>
      <c r="D33" s="53" t="s">
        <v>140</v>
      </c>
      <c r="E33" s="52" t="s">
        <v>105</v>
      </c>
      <c r="F33" s="52" t="s">
        <v>105</v>
      </c>
      <c r="G33" s="52" t="s">
        <v>195</v>
      </c>
      <c r="H33" s="54" t="s">
        <v>196</v>
      </c>
      <c r="I33" s="53" t="s">
        <v>2042</v>
      </c>
      <c r="J33" s="53"/>
      <c r="K33" s="55">
        <f t="shared" si="0"/>
        <v>1</v>
      </c>
    </row>
    <row r="34" spans="1:11" ht="15" customHeight="1">
      <c r="A34" s="52">
        <v>26</v>
      </c>
      <c r="B34" s="53" t="s">
        <v>135</v>
      </c>
      <c r="C34" s="53" t="s">
        <v>121</v>
      </c>
      <c r="D34" s="53" t="s">
        <v>610</v>
      </c>
      <c r="E34" s="52" t="s">
        <v>105</v>
      </c>
      <c r="F34" s="52" t="s">
        <v>105</v>
      </c>
      <c r="G34" s="52" t="s">
        <v>195</v>
      </c>
      <c r="H34" s="54" t="s">
        <v>196</v>
      </c>
      <c r="I34" s="53" t="s">
        <v>2042</v>
      </c>
      <c r="J34" s="53"/>
      <c r="K34" s="55">
        <f t="shared" si="0"/>
        <v>1</v>
      </c>
    </row>
    <row r="35" spans="1:11" ht="15" customHeight="1">
      <c r="A35" s="52">
        <v>27</v>
      </c>
      <c r="B35" s="53" t="s">
        <v>133</v>
      </c>
      <c r="C35" s="53" t="s">
        <v>121</v>
      </c>
      <c r="D35" s="53" t="s">
        <v>2052</v>
      </c>
      <c r="E35" s="52" t="s">
        <v>105</v>
      </c>
      <c r="F35" s="52" t="s">
        <v>105</v>
      </c>
      <c r="G35" s="52" t="s">
        <v>195</v>
      </c>
      <c r="H35" s="54" t="s">
        <v>196</v>
      </c>
      <c r="I35" s="53" t="s">
        <v>2042</v>
      </c>
      <c r="J35" s="53"/>
      <c r="K35" s="55">
        <f t="shared" si="0"/>
        <v>1</v>
      </c>
    </row>
    <row r="36" spans="1:11" ht="15" customHeight="1">
      <c r="A36" s="52">
        <v>28</v>
      </c>
      <c r="B36" s="53" t="s">
        <v>133</v>
      </c>
      <c r="C36" s="53" t="s">
        <v>121</v>
      </c>
      <c r="D36" s="53" t="s">
        <v>2053</v>
      </c>
      <c r="E36" s="52" t="s">
        <v>105</v>
      </c>
      <c r="F36" s="52" t="s">
        <v>105</v>
      </c>
      <c r="G36" s="52" t="s">
        <v>195</v>
      </c>
      <c r="H36" s="54" t="s">
        <v>196</v>
      </c>
      <c r="I36" s="53" t="s">
        <v>2042</v>
      </c>
      <c r="J36" s="53"/>
      <c r="K36" s="55">
        <f t="shared" si="0"/>
        <v>1</v>
      </c>
    </row>
    <row r="37" spans="1:11" ht="15" customHeight="1">
      <c r="A37" s="52">
        <v>29</v>
      </c>
      <c r="B37" s="53" t="s">
        <v>133</v>
      </c>
      <c r="C37" s="53" t="s">
        <v>121</v>
      </c>
      <c r="D37" s="53" t="s">
        <v>1097</v>
      </c>
      <c r="E37" s="52" t="s">
        <v>105</v>
      </c>
      <c r="F37" s="52" t="s">
        <v>105</v>
      </c>
      <c r="G37" s="52" t="s">
        <v>195</v>
      </c>
      <c r="H37" s="54" t="s">
        <v>196</v>
      </c>
      <c r="I37" s="53" t="s">
        <v>2042</v>
      </c>
      <c r="J37" s="53"/>
      <c r="K37" s="55">
        <f t="shared" si="0"/>
        <v>1</v>
      </c>
    </row>
    <row r="38" spans="1:11" ht="15" customHeight="1">
      <c r="A38" s="52">
        <v>30</v>
      </c>
      <c r="B38" s="53" t="s">
        <v>133</v>
      </c>
      <c r="C38" s="53" t="s">
        <v>121</v>
      </c>
      <c r="D38" s="53" t="s">
        <v>142</v>
      </c>
      <c r="E38" s="52" t="s">
        <v>105</v>
      </c>
      <c r="F38" s="52" t="s">
        <v>105</v>
      </c>
      <c r="G38" s="52" t="s">
        <v>195</v>
      </c>
      <c r="H38" s="54" t="s">
        <v>196</v>
      </c>
      <c r="I38" s="53" t="s">
        <v>2042</v>
      </c>
      <c r="J38" s="53"/>
      <c r="K38" s="55">
        <f t="shared" si="0"/>
        <v>1</v>
      </c>
    </row>
    <row r="39" spans="1:11" ht="15" customHeight="1">
      <c r="A39" s="52">
        <v>31</v>
      </c>
      <c r="B39" s="53" t="s">
        <v>133</v>
      </c>
      <c r="C39" s="53" t="s">
        <v>121</v>
      </c>
      <c r="D39" s="53" t="s">
        <v>146</v>
      </c>
      <c r="E39" s="52" t="s">
        <v>105</v>
      </c>
      <c r="F39" s="52" t="s">
        <v>105</v>
      </c>
      <c r="G39" s="52" t="s">
        <v>195</v>
      </c>
      <c r="H39" s="54" t="s">
        <v>196</v>
      </c>
      <c r="I39" s="53" t="s">
        <v>2042</v>
      </c>
      <c r="J39" s="53"/>
      <c r="K39" s="55">
        <f t="shared" si="0"/>
        <v>1</v>
      </c>
    </row>
    <row r="40" spans="1:11" ht="15" customHeight="1">
      <c r="A40" s="52">
        <v>32</v>
      </c>
      <c r="B40" s="53" t="s">
        <v>713</v>
      </c>
      <c r="C40" s="53" t="s">
        <v>121</v>
      </c>
      <c r="D40" s="53" t="s">
        <v>1418</v>
      </c>
      <c r="E40" s="52" t="s">
        <v>105</v>
      </c>
      <c r="F40" s="52" t="s">
        <v>105</v>
      </c>
      <c r="G40" s="52" t="s">
        <v>195</v>
      </c>
      <c r="H40" s="54" t="s">
        <v>196</v>
      </c>
      <c r="I40" s="53" t="s">
        <v>2042</v>
      </c>
      <c r="J40" s="53"/>
      <c r="K40" s="55">
        <f t="shared" si="0"/>
        <v>1</v>
      </c>
    </row>
    <row r="41" spans="1:11" ht="15" customHeight="1">
      <c r="A41" s="52">
        <v>33</v>
      </c>
      <c r="B41" s="53" t="s">
        <v>133</v>
      </c>
      <c r="C41" s="53" t="s">
        <v>121</v>
      </c>
      <c r="D41" s="53" t="s">
        <v>2054</v>
      </c>
      <c r="E41" s="52" t="s">
        <v>105</v>
      </c>
      <c r="F41" s="52" t="s">
        <v>105</v>
      </c>
      <c r="G41" s="52" t="s">
        <v>195</v>
      </c>
      <c r="H41" s="54" t="s">
        <v>196</v>
      </c>
      <c r="I41" s="53" t="s">
        <v>2042</v>
      </c>
      <c r="J41" s="53"/>
      <c r="K41" s="55">
        <f t="shared" ref="K41:K72" si="1">IF(AND(E41="yes",F41="yes",H41="covered"),1,IF(H41="partial",0.5,0))</f>
        <v>1</v>
      </c>
    </row>
    <row r="42" spans="1:11" ht="15" customHeight="1">
      <c r="A42" s="52">
        <v>34</v>
      </c>
      <c r="B42" s="53" t="s">
        <v>135</v>
      </c>
      <c r="C42" s="53" t="s">
        <v>121</v>
      </c>
      <c r="D42" s="53" t="s">
        <v>144</v>
      </c>
      <c r="E42" s="52" t="s">
        <v>105</v>
      </c>
      <c r="F42" s="52" t="s">
        <v>105</v>
      </c>
      <c r="G42" s="52" t="s">
        <v>195</v>
      </c>
      <c r="H42" s="54" t="s">
        <v>196</v>
      </c>
      <c r="I42" s="53" t="s">
        <v>2042</v>
      </c>
      <c r="J42" s="53"/>
      <c r="K42" s="55">
        <f t="shared" si="1"/>
        <v>1</v>
      </c>
    </row>
    <row r="43" spans="1:11" ht="15" customHeight="1">
      <c r="A43" s="52">
        <v>35</v>
      </c>
      <c r="B43" s="53" t="s">
        <v>135</v>
      </c>
      <c r="C43" s="53" t="s">
        <v>121</v>
      </c>
      <c r="D43" s="53" t="s">
        <v>616</v>
      </c>
      <c r="E43" s="52" t="s">
        <v>105</v>
      </c>
      <c r="F43" s="52" t="s">
        <v>105</v>
      </c>
      <c r="G43" s="52" t="s">
        <v>195</v>
      </c>
      <c r="H43" s="54" t="s">
        <v>196</v>
      </c>
      <c r="I43" s="53" t="s">
        <v>2042</v>
      </c>
      <c r="J43" s="53"/>
      <c r="K43" s="55">
        <f t="shared" si="1"/>
        <v>1</v>
      </c>
    </row>
    <row r="44" spans="1:11" ht="15" customHeight="1">
      <c r="A44" s="52">
        <v>36</v>
      </c>
      <c r="B44" s="53" t="s">
        <v>713</v>
      </c>
      <c r="C44" s="53" t="s">
        <v>121</v>
      </c>
      <c r="D44" s="53" t="s">
        <v>2055</v>
      </c>
      <c r="E44" s="52" t="s">
        <v>105</v>
      </c>
      <c r="F44" s="52" t="s">
        <v>105</v>
      </c>
      <c r="G44" s="52" t="s">
        <v>195</v>
      </c>
      <c r="H44" s="54" t="s">
        <v>196</v>
      </c>
      <c r="I44" s="53" t="s">
        <v>2042</v>
      </c>
      <c r="J44" s="53"/>
      <c r="K44" s="55">
        <f t="shared" si="1"/>
        <v>1</v>
      </c>
    </row>
    <row r="45" spans="1:11" ht="15" customHeight="1">
      <c r="A45" s="52">
        <v>37</v>
      </c>
      <c r="B45" s="53" t="s">
        <v>133</v>
      </c>
      <c r="C45" s="53" t="s">
        <v>121</v>
      </c>
      <c r="D45" s="53" t="s">
        <v>2056</v>
      </c>
      <c r="E45" s="52" t="s">
        <v>105</v>
      </c>
      <c r="F45" s="52" t="s">
        <v>105</v>
      </c>
      <c r="G45" s="52" t="s">
        <v>195</v>
      </c>
      <c r="H45" s="54" t="s">
        <v>196</v>
      </c>
      <c r="I45" s="53" t="s">
        <v>2042</v>
      </c>
      <c r="J45" s="53"/>
      <c r="K45" s="55">
        <f t="shared" si="1"/>
        <v>1</v>
      </c>
    </row>
    <row r="46" spans="1:11" ht="15" customHeight="1">
      <c r="A46" s="52">
        <v>38</v>
      </c>
      <c r="B46" s="53" t="s">
        <v>133</v>
      </c>
      <c r="C46" s="53" t="s">
        <v>121</v>
      </c>
      <c r="D46" s="53" t="s">
        <v>2057</v>
      </c>
      <c r="E46" s="52" t="s">
        <v>105</v>
      </c>
      <c r="F46" s="52" t="s">
        <v>105</v>
      </c>
      <c r="G46" s="52" t="s">
        <v>195</v>
      </c>
      <c r="H46" s="54" t="s">
        <v>196</v>
      </c>
      <c r="I46" s="53" t="s">
        <v>2042</v>
      </c>
      <c r="J46" s="53"/>
      <c r="K46" s="55">
        <f t="shared" si="1"/>
        <v>1</v>
      </c>
    </row>
    <row r="47" spans="1:11" ht="15" customHeight="1">
      <c r="A47" s="52">
        <v>39</v>
      </c>
      <c r="B47" s="53" t="s">
        <v>120</v>
      </c>
      <c r="C47" s="53" t="s">
        <v>147</v>
      </c>
      <c r="D47" s="53" t="s">
        <v>122</v>
      </c>
      <c r="E47" s="52" t="s">
        <v>105</v>
      </c>
      <c r="F47" s="52" t="s">
        <v>105</v>
      </c>
      <c r="G47" s="52" t="s">
        <v>195</v>
      </c>
      <c r="H47" s="54" t="s">
        <v>196</v>
      </c>
      <c r="I47" s="53" t="s">
        <v>2042</v>
      </c>
      <c r="J47" s="53"/>
      <c r="K47" s="55">
        <f t="shared" si="1"/>
        <v>1</v>
      </c>
    </row>
    <row r="48" spans="1:11" ht="15" customHeight="1">
      <c r="A48" s="52">
        <v>40</v>
      </c>
      <c r="B48" s="53" t="s">
        <v>120</v>
      </c>
      <c r="C48" s="53" t="s">
        <v>147</v>
      </c>
      <c r="D48" s="53" t="s">
        <v>123</v>
      </c>
      <c r="E48" s="52" t="s">
        <v>105</v>
      </c>
      <c r="F48" s="52" t="s">
        <v>105</v>
      </c>
      <c r="G48" s="52" t="s">
        <v>195</v>
      </c>
      <c r="H48" s="54" t="s">
        <v>196</v>
      </c>
      <c r="I48" s="53" t="s">
        <v>2042</v>
      </c>
      <c r="J48" s="53"/>
      <c r="K48" s="55">
        <f t="shared" si="1"/>
        <v>1</v>
      </c>
    </row>
    <row r="49" spans="1:11" ht="30" customHeight="1">
      <c r="A49" s="52">
        <v>41</v>
      </c>
      <c r="B49" s="53" t="s">
        <v>124</v>
      </c>
      <c r="C49" s="53" t="s">
        <v>147</v>
      </c>
      <c r="D49" s="53" t="s">
        <v>125</v>
      </c>
      <c r="E49" s="52" t="s">
        <v>105</v>
      </c>
      <c r="F49" s="52" t="s">
        <v>105</v>
      </c>
      <c r="G49" s="52" t="s">
        <v>195</v>
      </c>
      <c r="H49" s="54" t="s">
        <v>196</v>
      </c>
      <c r="I49" s="53" t="s">
        <v>2042</v>
      </c>
      <c r="J49" s="53"/>
      <c r="K49" s="55">
        <f t="shared" si="1"/>
        <v>1</v>
      </c>
    </row>
    <row r="50" spans="1:11" ht="15" customHeight="1">
      <c r="A50" s="52">
        <v>42</v>
      </c>
      <c r="B50" s="53" t="s">
        <v>124</v>
      </c>
      <c r="C50" s="53" t="s">
        <v>147</v>
      </c>
      <c r="D50" s="53" t="s">
        <v>126</v>
      </c>
      <c r="E50" s="52" t="s">
        <v>105</v>
      </c>
      <c r="F50" s="52" t="s">
        <v>105</v>
      </c>
      <c r="G50" s="52" t="s">
        <v>195</v>
      </c>
      <c r="H50" s="54" t="s">
        <v>196</v>
      </c>
      <c r="I50" s="53" t="s">
        <v>2042</v>
      </c>
      <c r="J50" s="53"/>
      <c r="K50" s="55">
        <f t="shared" si="1"/>
        <v>1</v>
      </c>
    </row>
    <row r="51" spans="1:11" ht="15" customHeight="1">
      <c r="A51" s="52">
        <v>43</v>
      </c>
      <c r="B51" s="53" t="s">
        <v>95</v>
      </c>
      <c r="C51" s="53" t="s">
        <v>147</v>
      </c>
      <c r="D51" s="53" t="s">
        <v>127</v>
      </c>
      <c r="E51" s="52" t="s">
        <v>105</v>
      </c>
      <c r="F51" s="52" t="s">
        <v>105</v>
      </c>
      <c r="G51" s="52" t="s">
        <v>195</v>
      </c>
      <c r="H51" s="54" t="s">
        <v>196</v>
      </c>
      <c r="I51" s="53" t="s">
        <v>2042</v>
      </c>
      <c r="J51" s="53"/>
      <c r="K51" s="55">
        <f t="shared" si="1"/>
        <v>1</v>
      </c>
    </row>
    <row r="52" spans="1:11" ht="15" customHeight="1">
      <c r="A52" s="52">
        <v>44</v>
      </c>
      <c r="B52" s="53" t="s">
        <v>128</v>
      </c>
      <c r="C52" s="53" t="s">
        <v>147</v>
      </c>
      <c r="D52" s="53" t="s">
        <v>129</v>
      </c>
      <c r="E52" s="52" t="s">
        <v>105</v>
      </c>
      <c r="F52" s="52" t="s">
        <v>105</v>
      </c>
      <c r="G52" s="52" t="s">
        <v>195</v>
      </c>
      <c r="H52" s="54" t="s">
        <v>196</v>
      </c>
      <c r="I52" s="53" t="s">
        <v>2042</v>
      </c>
      <c r="J52" s="53"/>
      <c r="K52" s="55">
        <f t="shared" si="1"/>
        <v>1</v>
      </c>
    </row>
    <row r="53" spans="1:11" ht="15" customHeight="1">
      <c r="A53" s="52">
        <v>45</v>
      </c>
      <c r="B53" s="53" t="s">
        <v>130</v>
      </c>
      <c r="C53" s="53" t="s">
        <v>147</v>
      </c>
      <c r="D53" s="53" t="s">
        <v>131</v>
      </c>
      <c r="E53" s="52" t="s">
        <v>105</v>
      </c>
      <c r="F53" s="52" t="s">
        <v>105</v>
      </c>
      <c r="G53" s="52" t="s">
        <v>195</v>
      </c>
      <c r="H53" s="54" t="s">
        <v>196</v>
      </c>
      <c r="I53" s="53" t="s">
        <v>2042</v>
      </c>
      <c r="J53" s="53"/>
      <c r="K53" s="55">
        <f t="shared" si="1"/>
        <v>1</v>
      </c>
    </row>
    <row r="54" spans="1:11" ht="15" customHeight="1">
      <c r="A54" s="52">
        <v>46</v>
      </c>
      <c r="B54" s="53" t="s">
        <v>130</v>
      </c>
      <c r="C54" s="53" t="s">
        <v>147</v>
      </c>
      <c r="D54" s="53" t="s">
        <v>132</v>
      </c>
      <c r="E54" s="52" t="s">
        <v>105</v>
      </c>
      <c r="F54" s="52" t="s">
        <v>105</v>
      </c>
      <c r="G54" s="52" t="s">
        <v>195</v>
      </c>
      <c r="H54" s="54" t="s">
        <v>196</v>
      </c>
      <c r="I54" s="53" t="s">
        <v>2042</v>
      </c>
      <c r="J54" s="53"/>
      <c r="K54" s="55">
        <f t="shared" si="1"/>
        <v>1</v>
      </c>
    </row>
    <row r="55" spans="1:11" ht="15" customHeight="1">
      <c r="A55" s="52">
        <v>47</v>
      </c>
      <c r="B55" s="53" t="s">
        <v>133</v>
      </c>
      <c r="C55" s="53" t="s">
        <v>147</v>
      </c>
      <c r="D55" s="53" t="s">
        <v>1865</v>
      </c>
      <c r="E55" s="52" t="s">
        <v>105</v>
      </c>
      <c r="F55" s="52" t="s">
        <v>105</v>
      </c>
      <c r="G55" s="52" t="s">
        <v>195</v>
      </c>
      <c r="H55" s="54" t="s">
        <v>196</v>
      </c>
      <c r="I55" s="53" t="s">
        <v>2042</v>
      </c>
      <c r="J55" s="53"/>
      <c r="K55" s="55">
        <f t="shared" si="1"/>
        <v>1</v>
      </c>
    </row>
    <row r="56" spans="1:11" ht="15" customHeight="1">
      <c r="A56" s="52">
        <v>48</v>
      </c>
      <c r="B56" s="53" t="s">
        <v>133</v>
      </c>
      <c r="C56" s="53" t="s">
        <v>147</v>
      </c>
      <c r="D56" s="53" t="s">
        <v>142</v>
      </c>
      <c r="E56" s="52" t="s">
        <v>105</v>
      </c>
      <c r="F56" s="52" t="s">
        <v>105</v>
      </c>
      <c r="G56" s="52" t="s">
        <v>195</v>
      </c>
      <c r="H56" s="54" t="s">
        <v>196</v>
      </c>
      <c r="I56" s="53" t="s">
        <v>2042</v>
      </c>
      <c r="J56" s="53"/>
      <c r="K56" s="55">
        <f t="shared" si="1"/>
        <v>1</v>
      </c>
    </row>
    <row r="57" spans="1:11" ht="15" customHeight="1">
      <c r="A57" s="52">
        <v>49</v>
      </c>
      <c r="B57" s="53" t="s">
        <v>133</v>
      </c>
      <c r="C57" s="53" t="s">
        <v>147</v>
      </c>
      <c r="D57" s="53" t="s">
        <v>146</v>
      </c>
      <c r="E57" s="52" t="s">
        <v>105</v>
      </c>
      <c r="F57" s="52" t="s">
        <v>105</v>
      </c>
      <c r="G57" s="52" t="s">
        <v>195</v>
      </c>
      <c r="H57" s="54" t="s">
        <v>196</v>
      </c>
      <c r="I57" s="53" t="s">
        <v>2042</v>
      </c>
      <c r="J57" s="53"/>
      <c r="K57" s="55">
        <f t="shared" si="1"/>
        <v>1</v>
      </c>
    </row>
    <row r="58" spans="1:11" ht="15" customHeight="1">
      <c r="A58" s="52">
        <v>50</v>
      </c>
      <c r="B58" s="53" t="s">
        <v>713</v>
      </c>
      <c r="C58" s="53" t="s">
        <v>147</v>
      </c>
      <c r="D58" s="53" t="s">
        <v>1418</v>
      </c>
      <c r="E58" s="52" t="s">
        <v>105</v>
      </c>
      <c r="F58" s="52" t="s">
        <v>105</v>
      </c>
      <c r="G58" s="52" t="s">
        <v>195</v>
      </c>
      <c r="H58" s="54" t="s">
        <v>196</v>
      </c>
      <c r="I58" s="53" t="s">
        <v>2042</v>
      </c>
      <c r="J58" s="53"/>
      <c r="K58" s="55">
        <f t="shared" si="1"/>
        <v>1</v>
      </c>
    </row>
    <row r="59" spans="1:11" ht="15" customHeight="1">
      <c r="A59" s="52">
        <v>51</v>
      </c>
      <c r="B59" s="53" t="s">
        <v>133</v>
      </c>
      <c r="C59" s="53" t="s">
        <v>147</v>
      </c>
      <c r="D59" s="53" t="s">
        <v>2054</v>
      </c>
      <c r="E59" s="52" t="s">
        <v>105</v>
      </c>
      <c r="F59" s="52" t="s">
        <v>105</v>
      </c>
      <c r="G59" s="52" t="s">
        <v>195</v>
      </c>
      <c r="H59" s="54" t="s">
        <v>196</v>
      </c>
      <c r="I59" s="53" t="s">
        <v>2042</v>
      </c>
      <c r="J59" s="53"/>
      <c r="K59" s="55">
        <f t="shared" si="1"/>
        <v>1</v>
      </c>
    </row>
    <row r="60" spans="1:11" ht="15" customHeight="1">
      <c r="A60" s="52">
        <v>52</v>
      </c>
      <c r="B60" s="53" t="s">
        <v>135</v>
      </c>
      <c r="C60" s="53" t="s">
        <v>147</v>
      </c>
      <c r="D60" s="53" t="s">
        <v>144</v>
      </c>
      <c r="E60" s="52" t="s">
        <v>105</v>
      </c>
      <c r="F60" s="52" t="s">
        <v>105</v>
      </c>
      <c r="G60" s="52" t="s">
        <v>195</v>
      </c>
      <c r="H60" s="54" t="s">
        <v>196</v>
      </c>
      <c r="I60" s="53" t="s">
        <v>2042</v>
      </c>
      <c r="J60" s="53"/>
      <c r="K60" s="55">
        <f t="shared" si="1"/>
        <v>1</v>
      </c>
    </row>
    <row r="61" spans="1:11" ht="15" customHeight="1">
      <c r="A61" s="52">
        <v>53</v>
      </c>
      <c r="B61" s="53" t="s">
        <v>135</v>
      </c>
      <c r="C61" s="53" t="s">
        <v>147</v>
      </c>
      <c r="D61" s="53" t="s">
        <v>616</v>
      </c>
      <c r="E61" s="52" t="s">
        <v>105</v>
      </c>
      <c r="F61" s="52" t="s">
        <v>105</v>
      </c>
      <c r="G61" s="52" t="s">
        <v>195</v>
      </c>
      <c r="H61" s="54" t="s">
        <v>196</v>
      </c>
      <c r="I61" s="53" t="s">
        <v>2042</v>
      </c>
      <c r="J61" s="53"/>
      <c r="K61" s="55">
        <f t="shared" si="1"/>
        <v>1</v>
      </c>
    </row>
    <row r="62" spans="1:11" ht="15" customHeight="1">
      <c r="A62" s="52">
        <v>54</v>
      </c>
      <c r="B62" s="53" t="s">
        <v>120</v>
      </c>
      <c r="C62" s="53" t="s">
        <v>2058</v>
      </c>
      <c r="D62" s="53" t="s">
        <v>122</v>
      </c>
      <c r="E62" s="52" t="s">
        <v>105</v>
      </c>
      <c r="F62" s="52" t="s">
        <v>105</v>
      </c>
      <c r="G62" s="52" t="s">
        <v>195</v>
      </c>
      <c r="H62" s="54" t="s">
        <v>196</v>
      </c>
      <c r="I62" s="53" t="s">
        <v>2042</v>
      </c>
      <c r="J62" s="53"/>
      <c r="K62" s="55">
        <f t="shared" si="1"/>
        <v>1</v>
      </c>
    </row>
    <row r="63" spans="1:11" ht="15" customHeight="1">
      <c r="A63" s="52">
        <v>55</v>
      </c>
      <c r="B63" s="53" t="s">
        <v>120</v>
      </c>
      <c r="C63" s="53" t="s">
        <v>2058</v>
      </c>
      <c r="D63" s="53" t="s">
        <v>123</v>
      </c>
      <c r="E63" s="52" t="s">
        <v>105</v>
      </c>
      <c r="F63" s="52" t="s">
        <v>105</v>
      </c>
      <c r="G63" s="52" t="s">
        <v>195</v>
      </c>
      <c r="H63" s="54" t="s">
        <v>196</v>
      </c>
      <c r="I63" s="53" t="s">
        <v>2042</v>
      </c>
      <c r="J63" s="53"/>
      <c r="K63" s="55">
        <f t="shared" si="1"/>
        <v>1</v>
      </c>
    </row>
    <row r="64" spans="1:11" ht="30" customHeight="1">
      <c r="A64" s="52">
        <v>56</v>
      </c>
      <c r="B64" s="53" t="s">
        <v>124</v>
      </c>
      <c r="C64" s="53" t="s">
        <v>2058</v>
      </c>
      <c r="D64" s="53" t="s">
        <v>125</v>
      </c>
      <c r="E64" s="52" t="s">
        <v>105</v>
      </c>
      <c r="F64" s="52" t="s">
        <v>105</v>
      </c>
      <c r="G64" s="52" t="s">
        <v>195</v>
      </c>
      <c r="H64" s="54" t="s">
        <v>196</v>
      </c>
      <c r="I64" s="53" t="s">
        <v>2042</v>
      </c>
      <c r="J64" s="53"/>
      <c r="K64" s="55">
        <f t="shared" si="1"/>
        <v>1</v>
      </c>
    </row>
    <row r="65" spans="1:11" ht="15" customHeight="1">
      <c r="A65" s="52">
        <v>57</v>
      </c>
      <c r="B65" s="53" t="s">
        <v>124</v>
      </c>
      <c r="C65" s="53" t="s">
        <v>2058</v>
      </c>
      <c r="D65" s="53" t="s">
        <v>126</v>
      </c>
      <c r="E65" s="52" t="s">
        <v>105</v>
      </c>
      <c r="F65" s="52" t="s">
        <v>105</v>
      </c>
      <c r="G65" s="52" t="s">
        <v>195</v>
      </c>
      <c r="H65" s="54" t="s">
        <v>196</v>
      </c>
      <c r="I65" s="53" t="s">
        <v>2042</v>
      </c>
      <c r="J65" s="53"/>
      <c r="K65" s="55">
        <f t="shared" si="1"/>
        <v>1</v>
      </c>
    </row>
    <row r="66" spans="1:11" ht="15" customHeight="1">
      <c r="A66" s="52">
        <v>58</v>
      </c>
      <c r="B66" s="53" t="s">
        <v>95</v>
      </c>
      <c r="C66" s="53" t="s">
        <v>2058</v>
      </c>
      <c r="D66" s="53" t="s">
        <v>127</v>
      </c>
      <c r="E66" s="52" t="s">
        <v>105</v>
      </c>
      <c r="F66" s="52" t="s">
        <v>105</v>
      </c>
      <c r="G66" s="52" t="s">
        <v>195</v>
      </c>
      <c r="H66" s="54" t="s">
        <v>196</v>
      </c>
      <c r="I66" s="53" t="s">
        <v>2042</v>
      </c>
      <c r="J66" s="53"/>
      <c r="K66" s="55">
        <f t="shared" si="1"/>
        <v>1</v>
      </c>
    </row>
    <row r="67" spans="1:11" ht="15" customHeight="1">
      <c r="A67" s="52">
        <v>59</v>
      </c>
      <c r="B67" s="53" t="s">
        <v>128</v>
      </c>
      <c r="C67" s="53" t="s">
        <v>2058</v>
      </c>
      <c r="D67" s="53" t="s">
        <v>129</v>
      </c>
      <c r="E67" s="52" t="s">
        <v>105</v>
      </c>
      <c r="F67" s="52" t="s">
        <v>105</v>
      </c>
      <c r="G67" s="52" t="s">
        <v>195</v>
      </c>
      <c r="H67" s="54" t="s">
        <v>196</v>
      </c>
      <c r="I67" s="53" t="s">
        <v>2042</v>
      </c>
      <c r="J67" s="53"/>
      <c r="K67" s="55">
        <f t="shared" si="1"/>
        <v>1</v>
      </c>
    </row>
    <row r="68" spans="1:11" ht="15" customHeight="1">
      <c r="A68" s="52">
        <v>60</v>
      </c>
      <c r="B68" s="53" t="s">
        <v>130</v>
      </c>
      <c r="C68" s="53" t="s">
        <v>2058</v>
      </c>
      <c r="D68" s="53" t="s">
        <v>131</v>
      </c>
      <c r="E68" s="52" t="s">
        <v>105</v>
      </c>
      <c r="F68" s="52" t="s">
        <v>105</v>
      </c>
      <c r="G68" s="52" t="s">
        <v>195</v>
      </c>
      <c r="H68" s="54" t="s">
        <v>196</v>
      </c>
      <c r="I68" s="53" t="s">
        <v>2042</v>
      </c>
      <c r="J68" s="53"/>
      <c r="K68" s="55">
        <f t="shared" si="1"/>
        <v>1</v>
      </c>
    </row>
    <row r="69" spans="1:11" ht="15" customHeight="1">
      <c r="A69" s="52">
        <v>61</v>
      </c>
      <c r="B69" s="53" t="s">
        <v>130</v>
      </c>
      <c r="C69" s="53" t="s">
        <v>2058</v>
      </c>
      <c r="D69" s="53" t="s">
        <v>132</v>
      </c>
      <c r="E69" s="52" t="s">
        <v>105</v>
      </c>
      <c r="F69" s="52" t="s">
        <v>105</v>
      </c>
      <c r="G69" s="52" t="s">
        <v>195</v>
      </c>
      <c r="H69" s="54" t="s">
        <v>196</v>
      </c>
      <c r="I69" s="53" t="s">
        <v>2042</v>
      </c>
      <c r="J69" s="53"/>
      <c r="K69" s="55">
        <f t="shared" si="1"/>
        <v>1</v>
      </c>
    </row>
    <row r="70" spans="1:11" ht="15" customHeight="1">
      <c r="A70" s="52">
        <v>62</v>
      </c>
      <c r="B70" s="53" t="s">
        <v>713</v>
      </c>
      <c r="C70" s="53" t="s">
        <v>2058</v>
      </c>
      <c r="D70" s="53" t="s">
        <v>1415</v>
      </c>
      <c r="E70" s="52" t="s">
        <v>105</v>
      </c>
      <c r="F70" s="52" t="s">
        <v>105</v>
      </c>
      <c r="G70" s="52" t="s">
        <v>195</v>
      </c>
      <c r="H70" s="54" t="s">
        <v>196</v>
      </c>
      <c r="I70" s="53" t="s">
        <v>2042</v>
      </c>
      <c r="J70" s="53"/>
      <c r="K70" s="55">
        <f t="shared" si="1"/>
        <v>1</v>
      </c>
    </row>
    <row r="71" spans="1:11" ht="15" customHeight="1">
      <c r="A71" s="52">
        <v>63</v>
      </c>
      <c r="B71" s="53" t="s">
        <v>539</v>
      </c>
      <c r="C71" s="53" t="s">
        <v>2058</v>
      </c>
      <c r="D71" s="53" t="s">
        <v>540</v>
      </c>
      <c r="E71" s="52" t="s">
        <v>105</v>
      </c>
      <c r="F71" s="52" t="s">
        <v>105</v>
      </c>
      <c r="G71" s="52" t="s">
        <v>195</v>
      </c>
      <c r="H71" s="54" t="s">
        <v>196</v>
      </c>
      <c r="I71" s="53" t="s">
        <v>2042</v>
      </c>
      <c r="J71" s="53"/>
      <c r="K71" s="55">
        <f t="shared" si="1"/>
        <v>1</v>
      </c>
    </row>
    <row r="72" spans="1:11" ht="15" customHeight="1">
      <c r="A72" s="52">
        <v>64</v>
      </c>
      <c r="B72" s="53" t="s">
        <v>133</v>
      </c>
      <c r="C72" s="53" t="s">
        <v>2058</v>
      </c>
      <c r="D72" s="53" t="s">
        <v>142</v>
      </c>
      <c r="E72" s="52" t="s">
        <v>105</v>
      </c>
      <c r="F72" s="52" t="s">
        <v>105</v>
      </c>
      <c r="G72" s="52" t="s">
        <v>195</v>
      </c>
      <c r="H72" s="54" t="s">
        <v>196</v>
      </c>
      <c r="I72" s="53" t="s">
        <v>2042</v>
      </c>
      <c r="J72" s="53"/>
      <c r="K72" s="55">
        <f t="shared" si="1"/>
        <v>1</v>
      </c>
    </row>
    <row r="73" spans="1:11" ht="15" customHeight="1">
      <c r="A73" s="52">
        <v>65</v>
      </c>
      <c r="B73" s="53" t="s">
        <v>713</v>
      </c>
      <c r="C73" s="53" t="s">
        <v>2058</v>
      </c>
      <c r="D73" s="53" t="s">
        <v>1418</v>
      </c>
      <c r="E73" s="52" t="s">
        <v>105</v>
      </c>
      <c r="F73" s="52" t="s">
        <v>105</v>
      </c>
      <c r="G73" s="52" t="s">
        <v>195</v>
      </c>
      <c r="H73" s="54" t="s">
        <v>196</v>
      </c>
      <c r="I73" s="53" t="s">
        <v>2042</v>
      </c>
      <c r="J73" s="53"/>
      <c r="K73" s="55">
        <f t="shared" ref="K73:K98" si="2">IF(AND(E73="yes",F73="yes",H73="covered"),1,IF(H73="partial",0.5,0))</f>
        <v>1</v>
      </c>
    </row>
    <row r="74" spans="1:11" ht="15" customHeight="1">
      <c r="A74" s="52">
        <v>66</v>
      </c>
      <c r="B74" s="53" t="s">
        <v>133</v>
      </c>
      <c r="C74" s="53" t="s">
        <v>2058</v>
      </c>
      <c r="D74" s="53" t="s">
        <v>146</v>
      </c>
      <c r="E74" s="52" t="s">
        <v>105</v>
      </c>
      <c r="F74" s="52" t="s">
        <v>105</v>
      </c>
      <c r="G74" s="52" t="s">
        <v>195</v>
      </c>
      <c r="H74" s="54" t="s">
        <v>196</v>
      </c>
      <c r="I74" s="53" t="s">
        <v>2042</v>
      </c>
      <c r="J74" s="53"/>
      <c r="K74" s="55">
        <f t="shared" si="2"/>
        <v>1</v>
      </c>
    </row>
    <row r="75" spans="1:11" ht="15" customHeight="1">
      <c r="A75" s="52">
        <v>67</v>
      </c>
      <c r="B75" s="53" t="s">
        <v>153</v>
      </c>
      <c r="C75" s="53" t="s">
        <v>154</v>
      </c>
      <c r="D75" s="53" t="s">
        <v>156</v>
      </c>
      <c r="E75" s="52" t="s">
        <v>105</v>
      </c>
      <c r="F75" s="52" t="s">
        <v>105</v>
      </c>
      <c r="G75" s="52" t="s">
        <v>195</v>
      </c>
      <c r="H75" s="54" t="s">
        <v>196</v>
      </c>
      <c r="I75" s="53" t="s">
        <v>2042</v>
      </c>
      <c r="J75" s="53"/>
      <c r="K75" s="55">
        <f t="shared" si="2"/>
        <v>1</v>
      </c>
    </row>
    <row r="76" spans="1:11" ht="15" customHeight="1">
      <c r="A76" s="52">
        <v>68</v>
      </c>
      <c r="B76" s="53" t="s">
        <v>153</v>
      </c>
      <c r="C76" s="53" t="s">
        <v>154</v>
      </c>
      <c r="D76" s="53" t="s">
        <v>562</v>
      </c>
      <c r="E76" s="52" t="s">
        <v>105</v>
      </c>
      <c r="F76" s="52" t="s">
        <v>105</v>
      </c>
      <c r="G76" s="52" t="s">
        <v>195</v>
      </c>
      <c r="H76" s="54" t="s">
        <v>196</v>
      </c>
      <c r="I76" s="53" t="s">
        <v>2042</v>
      </c>
      <c r="J76" s="53"/>
      <c r="K76" s="55">
        <f t="shared" si="2"/>
        <v>1</v>
      </c>
    </row>
    <row r="77" spans="1:11" ht="30" customHeight="1">
      <c r="A77" s="52">
        <v>69</v>
      </c>
      <c r="B77" s="53" t="s">
        <v>153</v>
      </c>
      <c r="C77" s="53" t="s">
        <v>154</v>
      </c>
      <c r="D77" s="53" t="s">
        <v>438</v>
      </c>
      <c r="E77" s="52" t="s">
        <v>105</v>
      </c>
      <c r="F77" s="52" t="s">
        <v>105</v>
      </c>
      <c r="G77" s="52" t="s">
        <v>195</v>
      </c>
      <c r="H77" s="54" t="s">
        <v>196</v>
      </c>
      <c r="I77" s="53" t="s">
        <v>2042</v>
      </c>
      <c r="J77" s="53"/>
      <c r="K77" s="55">
        <f t="shared" si="2"/>
        <v>1</v>
      </c>
    </row>
    <row r="78" spans="1:11" ht="15" customHeight="1">
      <c r="A78" s="52">
        <v>70</v>
      </c>
      <c r="B78" s="53" t="s">
        <v>159</v>
      </c>
      <c r="C78" s="53" t="s">
        <v>154</v>
      </c>
      <c r="D78" s="53" t="s">
        <v>160</v>
      </c>
      <c r="E78" s="52" t="s">
        <v>105</v>
      </c>
      <c r="F78" s="52" t="s">
        <v>105</v>
      </c>
      <c r="G78" s="52" t="s">
        <v>195</v>
      </c>
      <c r="H78" s="54" t="s">
        <v>196</v>
      </c>
      <c r="I78" s="53" t="s">
        <v>2042</v>
      </c>
      <c r="J78" s="53"/>
      <c r="K78" s="55">
        <f t="shared" si="2"/>
        <v>1</v>
      </c>
    </row>
    <row r="79" spans="1:11" ht="15" customHeight="1">
      <c r="A79" s="52">
        <v>71</v>
      </c>
      <c r="B79" s="53" t="s">
        <v>159</v>
      </c>
      <c r="C79" s="53" t="s">
        <v>154</v>
      </c>
      <c r="D79" s="53" t="s">
        <v>2059</v>
      </c>
      <c r="E79" s="52" t="s">
        <v>105</v>
      </c>
      <c r="F79" s="52" t="s">
        <v>105</v>
      </c>
      <c r="G79" s="52" t="s">
        <v>195</v>
      </c>
      <c r="H79" s="54" t="s">
        <v>196</v>
      </c>
      <c r="I79" s="53" t="s">
        <v>2042</v>
      </c>
      <c r="J79" s="53"/>
      <c r="K79" s="55">
        <f t="shared" si="2"/>
        <v>1</v>
      </c>
    </row>
    <row r="80" spans="1:11" ht="15" customHeight="1">
      <c r="A80" s="52">
        <v>72</v>
      </c>
      <c r="B80" s="53" t="s">
        <v>159</v>
      </c>
      <c r="C80" s="53" t="s">
        <v>154</v>
      </c>
      <c r="D80" s="53" t="s">
        <v>625</v>
      </c>
      <c r="E80" s="52" t="s">
        <v>105</v>
      </c>
      <c r="F80" s="52" t="s">
        <v>105</v>
      </c>
      <c r="G80" s="52" t="s">
        <v>195</v>
      </c>
      <c r="H80" s="54" t="s">
        <v>196</v>
      </c>
      <c r="I80" s="53" t="s">
        <v>2042</v>
      </c>
      <c r="J80" s="53"/>
      <c r="K80" s="55">
        <f t="shared" si="2"/>
        <v>1</v>
      </c>
    </row>
    <row r="81" spans="1:11" ht="15" customHeight="1">
      <c r="A81" s="52">
        <v>73</v>
      </c>
      <c r="B81" s="53" t="s">
        <v>159</v>
      </c>
      <c r="C81" s="53" t="s">
        <v>154</v>
      </c>
      <c r="D81" s="53" t="s">
        <v>1425</v>
      </c>
      <c r="E81" s="52" t="s">
        <v>105</v>
      </c>
      <c r="F81" s="52" t="s">
        <v>105</v>
      </c>
      <c r="G81" s="52" t="s">
        <v>195</v>
      </c>
      <c r="H81" s="54" t="s">
        <v>196</v>
      </c>
      <c r="I81" s="53" t="s">
        <v>2042</v>
      </c>
      <c r="J81" s="53"/>
      <c r="K81" s="55">
        <f t="shared" si="2"/>
        <v>1</v>
      </c>
    </row>
    <row r="82" spans="1:11" ht="15" customHeight="1">
      <c r="A82" s="52">
        <v>74</v>
      </c>
      <c r="B82" s="53" t="s">
        <v>159</v>
      </c>
      <c r="C82" s="53" t="s">
        <v>154</v>
      </c>
      <c r="D82" s="53" t="s">
        <v>162</v>
      </c>
      <c r="E82" s="52" t="s">
        <v>105</v>
      </c>
      <c r="F82" s="52" t="s">
        <v>105</v>
      </c>
      <c r="G82" s="52" t="s">
        <v>195</v>
      </c>
      <c r="H82" s="54" t="s">
        <v>196</v>
      </c>
      <c r="I82" s="53" t="s">
        <v>2042</v>
      </c>
      <c r="J82" s="53"/>
      <c r="K82" s="55">
        <f t="shared" si="2"/>
        <v>1</v>
      </c>
    </row>
    <row r="83" spans="1:11" ht="30" customHeight="1">
      <c r="A83" s="52">
        <v>75</v>
      </c>
      <c r="B83" s="53" t="s">
        <v>159</v>
      </c>
      <c r="C83" s="53" t="s">
        <v>154</v>
      </c>
      <c r="D83" s="53" t="s">
        <v>163</v>
      </c>
      <c r="E83" s="52" t="s">
        <v>105</v>
      </c>
      <c r="F83" s="52" t="s">
        <v>105</v>
      </c>
      <c r="G83" s="52" t="s">
        <v>195</v>
      </c>
      <c r="H83" s="54" t="s">
        <v>196</v>
      </c>
      <c r="I83" s="53" t="s">
        <v>2042</v>
      </c>
      <c r="J83" s="53"/>
      <c r="K83" s="55">
        <f t="shared" si="2"/>
        <v>1</v>
      </c>
    </row>
    <row r="84" spans="1:11" ht="15" customHeight="1">
      <c r="A84" s="52">
        <v>76</v>
      </c>
      <c r="B84" s="53" t="s">
        <v>130</v>
      </c>
      <c r="C84" s="53" t="s">
        <v>65</v>
      </c>
      <c r="D84" s="53" t="s">
        <v>164</v>
      </c>
      <c r="E84" s="52" t="s">
        <v>105</v>
      </c>
      <c r="F84" s="52" t="s">
        <v>105</v>
      </c>
      <c r="G84" s="52" t="s">
        <v>195</v>
      </c>
      <c r="H84" s="54" t="s">
        <v>196</v>
      </c>
      <c r="I84" s="53" t="s">
        <v>2042</v>
      </c>
      <c r="J84" s="53"/>
      <c r="K84" s="55">
        <f t="shared" si="2"/>
        <v>1</v>
      </c>
    </row>
    <row r="85" spans="1:11" ht="15" customHeight="1">
      <c r="A85" s="52">
        <v>77</v>
      </c>
      <c r="B85" s="53" t="s">
        <v>130</v>
      </c>
      <c r="C85" s="53" t="s">
        <v>65</v>
      </c>
      <c r="D85" s="53" t="s">
        <v>165</v>
      </c>
      <c r="E85" s="52" t="s">
        <v>105</v>
      </c>
      <c r="F85" s="52" t="s">
        <v>105</v>
      </c>
      <c r="G85" s="52" t="s">
        <v>195</v>
      </c>
      <c r="H85" s="54" t="s">
        <v>196</v>
      </c>
      <c r="I85" s="53" t="s">
        <v>2042</v>
      </c>
      <c r="J85" s="53"/>
      <c r="K85" s="55">
        <f t="shared" si="2"/>
        <v>1</v>
      </c>
    </row>
    <row r="86" spans="1:11" ht="15" customHeight="1">
      <c r="A86" s="52">
        <v>78</v>
      </c>
      <c r="B86" s="53" t="s">
        <v>130</v>
      </c>
      <c r="C86" s="53" t="s">
        <v>65</v>
      </c>
      <c r="D86" s="53" t="s">
        <v>167</v>
      </c>
      <c r="E86" s="52" t="s">
        <v>105</v>
      </c>
      <c r="F86" s="52" t="s">
        <v>105</v>
      </c>
      <c r="G86" s="52" t="s">
        <v>195</v>
      </c>
      <c r="H86" s="54" t="s">
        <v>196</v>
      </c>
      <c r="I86" s="53" t="s">
        <v>2042</v>
      </c>
      <c r="J86" s="53"/>
      <c r="K86" s="55">
        <f t="shared" si="2"/>
        <v>1</v>
      </c>
    </row>
    <row r="87" spans="1:11" ht="15" customHeight="1">
      <c r="A87" s="52">
        <v>79</v>
      </c>
      <c r="B87" s="53" t="s">
        <v>130</v>
      </c>
      <c r="C87" s="53" t="s">
        <v>65</v>
      </c>
      <c r="D87" s="53" t="s">
        <v>168</v>
      </c>
      <c r="E87" s="52" t="s">
        <v>105</v>
      </c>
      <c r="F87" s="52" t="s">
        <v>105</v>
      </c>
      <c r="G87" s="52" t="s">
        <v>195</v>
      </c>
      <c r="H87" s="54" t="s">
        <v>196</v>
      </c>
      <c r="I87" s="53" t="s">
        <v>2042</v>
      </c>
      <c r="J87" s="53"/>
      <c r="K87" s="55">
        <f t="shared" si="2"/>
        <v>1</v>
      </c>
    </row>
    <row r="88" spans="1:11" ht="15" customHeight="1">
      <c r="A88" s="52">
        <v>80</v>
      </c>
      <c r="B88" s="53" t="s">
        <v>135</v>
      </c>
      <c r="C88" s="53" t="s">
        <v>121</v>
      </c>
      <c r="D88" s="53" t="s">
        <v>169</v>
      </c>
      <c r="E88" s="52" t="s">
        <v>105</v>
      </c>
      <c r="F88" s="52" t="s">
        <v>105</v>
      </c>
      <c r="G88" s="52" t="s">
        <v>195</v>
      </c>
      <c r="H88" s="54" t="s">
        <v>196</v>
      </c>
      <c r="I88" s="53" t="s">
        <v>2042</v>
      </c>
      <c r="J88" s="53"/>
      <c r="K88" s="55">
        <f t="shared" si="2"/>
        <v>1</v>
      </c>
    </row>
    <row r="89" spans="1:11" ht="15" customHeight="1">
      <c r="A89" s="52">
        <v>81</v>
      </c>
      <c r="B89" s="53" t="s">
        <v>135</v>
      </c>
      <c r="C89" s="53" t="s">
        <v>121</v>
      </c>
      <c r="D89" s="53" t="s">
        <v>170</v>
      </c>
      <c r="E89" s="52" t="s">
        <v>105</v>
      </c>
      <c r="F89" s="52" t="s">
        <v>105</v>
      </c>
      <c r="G89" s="52" t="s">
        <v>195</v>
      </c>
      <c r="H89" s="54" t="s">
        <v>196</v>
      </c>
      <c r="I89" s="53" t="s">
        <v>2042</v>
      </c>
      <c r="J89" s="53"/>
      <c r="K89" s="55">
        <f t="shared" si="2"/>
        <v>1</v>
      </c>
    </row>
    <row r="90" spans="1:11" ht="15" customHeight="1">
      <c r="A90" s="52">
        <v>82</v>
      </c>
      <c r="B90" s="53" t="s">
        <v>135</v>
      </c>
      <c r="C90" s="53" t="s">
        <v>121</v>
      </c>
      <c r="D90" s="53" t="s">
        <v>171</v>
      </c>
      <c r="E90" s="52" t="s">
        <v>105</v>
      </c>
      <c r="F90" s="52" t="s">
        <v>105</v>
      </c>
      <c r="G90" s="52" t="s">
        <v>195</v>
      </c>
      <c r="H90" s="54" t="s">
        <v>196</v>
      </c>
      <c r="I90" s="53" t="s">
        <v>2042</v>
      </c>
      <c r="J90" s="53"/>
      <c r="K90" s="55">
        <f t="shared" si="2"/>
        <v>1</v>
      </c>
    </row>
    <row r="91" spans="1:11" ht="15" customHeight="1">
      <c r="A91" s="52">
        <v>83</v>
      </c>
      <c r="B91" s="53" t="s">
        <v>179</v>
      </c>
      <c r="C91" s="53" t="s">
        <v>65</v>
      </c>
      <c r="D91" s="53" t="s">
        <v>2060</v>
      </c>
      <c r="E91" s="52" t="s">
        <v>105</v>
      </c>
      <c r="F91" s="52" t="s">
        <v>105</v>
      </c>
      <c r="G91" s="52" t="s">
        <v>195</v>
      </c>
      <c r="H91" s="54" t="s">
        <v>196</v>
      </c>
      <c r="I91" s="53" t="s">
        <v>2042</v>
      </c>
      <c r="J91" s="53"/>
      <c r="K91" s="55">
        <f t="shared" si="2"/>
        <v>1</v>
      </c>
    </row>
    <row r="92" spans="1:11" ht="15" customHeight="1">
      <c r="A92" s="52">
        <v>84</v>
      </c>
      <c r="B92" s="53" t="s">
        <v>713</v>
      </c>
      <c r="C92" s="53" t="s">
        <v>65</v>
      </c>
      <c r="D92" s="53" t="s">
        <v>733</v>
      </c>
      <c r="E92" s="52" t="s">
        <v>105</v>
      </c>
      <c r="F92" s="52" t="s">
        <v>105</v>
      </c>
      <c r="G92" s="52" t="s">
        <v>195</v>
      </c>
      <c r="H92" s="54" t="s">
        <v>196</v>
      </c>
      <c r="I92" s="53" t="s">
        <v>2042</v>
      </c>
      <c r="J92" s="53"/>
      <c r="K92" s="55">
        <f t="shared" si="2"/>
        <v>1</v>
      </c>
    </row>
    <row r="93" spans="1:11" ht="15" customHeight="1">
      <c r="A93" s="52">
        <v>85</v>
      </c>
      <c r="B93" s="53" t="s">
        <v>31</v>
      </c>
      <c r="C93" s="53" t="s">
        <v>121</v>
      </c>
      <c r="D93" s="53" t="s">
        <v>1662</v>
      </c>
      <c r="E93" s="52" t="s">
        <v>105</v>
      </c>
      <c r="F93" s="52" t="s">
        <v>105</v>
      </c>
      <c r="G93" s="52" t="s">
        <v>195</v>
      </c>
      <c r="H93" s="54" t="s">
        <v>196</v>
      </c>
      <c r="I93" s="53" t="s">
        <v>1665</v>
      </c>
      <c r="J93" s="53"/>
      <c r="K93" s="55">
        <f t="shared" si="2"/>
        <v>1</v>
      </c>
    </row>
    <row r="94" spans="1:11" ht="15" customHeight="1">
      <c r="A94" s="52">
        <v>86</v>
      </c>
      <c r="B94" s="53" t="s">
        <v>31</v>
      </c>
      <c r="C94" s="53" t="s">
        <v>121</v>
      </c>
      <c r="D94" s="53" t="s">
        <v>1664</v>
      </c>
      <c r="E94" s="52" t="s">
        <v>105</v>
      </c>
      <c r="F94" s="52" t="s">
        <v>105</v>
      </c>
      <c r="G94" s="52" t="s">
        <v>195</v>
      </c>
      <c r="H94" s="54" t="s">
        <v>196</v>
      </c>
      <c r="I94" s="53" t="s">
        <v>1665</v>
      </c>
      <c r="J94" s="53"/>
      <c r="K94" s="55">
        <f t="shared" si="2"/>
        <v>1</v>
      </c>
    </row>
    <row r="95" spans="1:11" ht="15" customHeight="1">
      <c r="A95" s="52">
        <v>87</v>
      </c>
      <c r="B95" s="53" t="s">
        <v>31</v>
      </c>
      <c r="C95" s="53" t="s">
        <v>121</v>
      </c>
      <c r="D95" s="53" t="s">
        <v>2061</v>
      </c>
      <c r="E95" s="52" t="s">
        <v>105</v>
      </c>
      <c r="F95" s="52" t="s">
        <v>105</v>
      </c>
      <c r="G95" s="52" t="s">
        <v>195</v>
      </c>
      <c r="H95" s="54" t="s">
        <v>196</v>
      </c>
      <c r="I95" s="53" t="s">
        <v>1665</v>
      </c>
      <c r="J95" s="53"/>
      <c r="K95" s="55">
        <f t="shared" si="2"/>
        <v>1</v>
      </c>
    </row>
    <row r="96" spans="1:11" ht="30" customHeight="1">
      <c r="A96" s="52">
        <v>88</v>
      </c>
      <c r="B96" s="53" t="s">
        <v>31</v>
      </c>
      <c r="C96" s="53" t="s">
        <v>121</v>
      </c>
      <c r="D96" s="53" t="s">
        <v>2062</v>
      </c>
      <c r="E96" s="52" t="s">
        <v>105</v>
      </c>
      <c r="F96" s="52" t="s">
        <v>105</v>
      </c>
      <c r="G96" s="52" t="s">
        <v>195</v>
      </c>
      <c r="H96" s="54" t="s">
        <v>196</v>
      </c>
      <c r="I96" s="53" t="s">
        <v>1665</v>
      </c>
      <c r="J96" s="53"/>
      <c r="K96" s="55">
        <f t="shared" si="2"/>
        <v>1</v>
      </c>
    </row>
    <row r="97" spans="1:11" ht="15" customHeight="1">
      <c r="A97" s="52">
        <v>89</v>
      </c>
      <c r="B97" s="53" t="s">
        <v>94</v>
      </c>
      <c r="C97" s="53" t="s">
        <v>191</v>
      </c>
      <c r="D97" s="53" t="s">
        <v>1667</v>
      </c>
      <c r="E97" s="52" t="s">
        <v>105</v>
      </c>
      <c r="F97" s="52" t="s">
        <v>105</v>
      </c>
      <c r="G97" s="52" t="s">
        <v>195</v>
      </c>
      <c r="H97" s="54" t="s">
        <v>196</v>
      </c>
      <c r="I97" s="53" t="s">
        <v>2042</v>
      </c>
      <c r="J97" s="53"/>
      <c r="K97" s="55">
        <f t="shared" si="2"/>
        <v>1</v>
      </c>
    </row>
    <row r="98" spans="1:11" ht="15" customHeight="1">
      <c r="A98" s="52">
        <v>90</v>
      </c>
      <c r="B98" s="53" t="s">
        <v>1467</v>
      </c>
      <c r="C98" s="53" t="s">
        <v>2058</v>
      </c>
      <c r="D98" s="53" t="s">
        <v>2063</v>
      </c>
      <c r="E98" s="52" t="s">
        <v>105</v>
      </c>
      <c r="F98" s="52" t="s">
        <v>105</v>
      </c>
      <c r="G98" s="52" t="s">
        <v>195</v>
      </c>
      <c r="H98" s="54" t="s">
        <v>196</v>
      </c>
      <c r="I98" s="53" t="s">
        <v>2042</v>
      </c>
      <c r="J98" s="53"/>
      <c r="K98" s="55">
        <f t="shared" si="2"/>
        <v>1</v>
      </c>
    </row>
    <row r="99" spans="1:11" ht="15" customHeight="1"/>
    <row r="100" spans="1:11" ht="15" customHeight="1"/>
    <row r="101" spans="1:11" ht="15" customHeight="1"/>
    <row r="102" spans="1:11" ht="15" customHeight="1"/>
    <row r="103" spans="1:11" ht="15" customHeight="1"/>
    <row r="104" spans="1:11" ht="15" customHeight="1"/>
    <row r="105" spans="1:11" ht="15" customHeight="1"/>
    <row r="106" spans="1:11" ht="30" customHeight="1"/>
    <row r="107" spans="1:11" ht="30" customHeight="1"/>
    <row r="108" spans="1:11" ht="30" customHeight="1"/>
    <row r="109" spans="1:11" ht="30" customHeight="1"/>
    <row r="110" spans="1:11" ht="30" customHeight="1"/>
    <row r="111" spans="1:11" ht="30" customHeight="1"/>
    <row r="112" spans="1:11" ht="30" customHeight="1"/>
    <row r="113" ht="30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K8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2064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77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442</v>
      </c>
      <c r="H9" s="9" t="s">
        <v>196</v>
      </c>
      <c r="I9" s="5" t="s">
        <v>2065</v>
      </c>
      <c r="J9" s="5" t="s">
        <v>1515</v>
      </c>
      <c r="K9" s="6">
        <v>0</v>
      </c>
    </row>
    <row r="10" spans="1:11" ht="4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442</v>
      </c>
      <c r="H10" s="9" t="s">
        <v>196</v>
      </c>
      <c r="I10" s="5" t="s">
        <v>2065</v>
      </c>
      <c r="J10" s="5" t="s">
        <v>1515</v>
      </c>
      <c r="K10" s="6">
        <v>0</v>
      </c>
    </row>
    <row r="11" spans="1:11" ht="15" customHeight="1">
      <c r="A11" s="4">
        <v>3</v>
      </c>
      <c r="B11" s="5" t="s">
        <v>94</v>
      </c>
      <c r="C11" s="5" t="s">
        <v>66</v>
      </c>
      <c r="D11" s="5" t="s">
        <v>104</v>
      </c>
      <c r="E11" s="7" t="s">
        <v>105</v>
      </c>
      <c r="F11" s="8" t="s">
        <v>105</v>
      </c>
      <c r="G11" s="4" t="s">
        <v>442</v>
      </c>
      <c r="H11" s="9" t="s">
        <v>196</v>
      </c>
      <c r="I11" s="5" t="s">
        <v>2065</v>
      </c>
      <c r="J11" s="5" t="s">
        <v>1515</v>
      </c>
      <c r="K11" s="6">
        <v>0</v>
      </c>
    </row>
    <row r="12" spans="1:11" ht="15" customHeight="1">
      <c r="A12" s="4">
        <v>4</v>
      </c>
      <c r="B12" s="5" t="s">
        <v>94</v>
      </c>
      <c r="C12" s="5" t="s">
        <v>66</v>
      </c>
      <c r="D12" s="5" t="s">
        <v>110</v>
      </c>
      <c r="E12" s="7" t="s">
        <v>105</v>
      </c>
      <c r="F12" s="8" t="s">
        <v>105</v>
      </c>
      <c r="G12" s="4" t="s">
        <v>442</v>
      </c>
      <c r="H12" s="9" t="s">
        <v>196</v>
      </c>
      <c r="I12" s="5" t="s">
        <v>2066</v>
      </c>
      <c r="J12" s="5" t="s">
        <v>1515</v>
      </c>
      <c r="K12" s="6">
        <v>0</v>
      </c>
    </row>
    <row r="13" spans="1:11" ht="15" customHeight="1">
      <c r="A13" s="4">
        <v>5</v>
      </c>
      <c r="B13" s="5" t="s">
        <v>94</v>
      </c>
      <c r="C13" s="5" t="s">
        <v>66</v>
      </c>
      <c r="D13" s="5" t="s">
        <v>111</v>
      </c>
      <c r="E13" s="7" t="s">
        <v>105</v>
      </c>
      <c r="F13" s="8" t="s">
        <v>105</v>
      </c>
      <c r="G13" s="4" t="s">
        <v>442</v>
      </c>
      <c r="H13" s="9" t="s">
        <v>196</v>
      </c>
      <c r="I13" s="5" t="s">
        <v>2065</v>
      </c>
      <c r="J13" s="5" t="s">
        <v>1515</v>
      </c>
      <c r="K13" s="6">
        <v>0</v>
      </c>
    </row>
    <row r="14" spans="1:11" ht="15" customHeight="1">
      <c r="A14" s="4">
        <v>6</v>
      </c>
      <c r="B14" s="5" t="s">
        <v>94</v>
      </c>
      <c r="C14" s="5" t="s">
        <v>66</v>
      </c>
      <c r="D14" s="5" t="s">
        <v>112</v>
      </c>
      <c r="E14" s="7" t="s">
        <v>105</v>
      </c>
      <c r="F14" s="8" t="s">
        <v>105</v>
      </c>
      <c r="G14" s="4" t="s">
        <v>442</v>
      </c>
      <c r="H14" s="9" t="s">
        <v>196</v>
      </c>
      <c r="I14" s="5" t="s">
        <v>2065</v>
      </c>
      <c r="J14" s="5" t="s">
        <v>1515</v>
      </c>
      <c r="K14" s="6">
        <v>0</v>
      </c>
    </row>
    <row r="15" spans="1:11" ht="15" customHeight="1">
      <c r="A15" s="4">
        <v>7</v>
      </c>
      <c r="B15" s="5" t="s">
        <v>113</v>
      </c>
      <c r="C15" s="5" t="s">
        <v>66</v>
      </c>
      <c r="D15" s="5" t="s">
        <v>2067</v>
      </c>
      <c r="E15" s="7" t="s">
        <v>105</v>
      </c>
      <c r="F15" s="8" t="s">
        <v>105</v>
      </c>
      <c r="G15" s="4" t="s">
        <v>442</v>
      </c>
      <c r="H15" s="9" t="s">
        <v>196</v>
      </c>
      <c r="I15" s="5" t="s">
        <v>2065</v>
      </c>
      <c r="J15" s="5" t="s">
        <v>1515</v>
      </c>
      <c r="K15" s="6">
        <v>0</v>
      </c>
    </row>
    <row r="16" spans="1:11" ht="30" customHeight="1">
      <c r="A16" s="4">
        <v>8</v>
      </c>
      <c r="B16" s="5" t="s">
        <v>113</v>
      </c>
      <c r="C16" s="5" t="s">
        <v>66</v>
      </c>
      <c r="D16" s="5" t="s">
        <v>602</v>
      </c>
      <c r="E16" s="7" t="s">
        <v>105</v>
      </c>
      <c r="F16" s="8" t="s">
        <v>105</v>
      </c>
      <c r="G16" s="4" t="s">
        <v>442</v>
      </c>
      <c r="H16" s="9" t="s">
        <v>196</v>
      </c>
      <c r="I16" s="5" t="s">
        <v>2065</v>
      </c>
      <c r="J16" s="5" t="s">
        <v>1515</v>
      </c>
      <c r="K16" s="6">
        <v>0</v>
      </c>
    </row>
    <row r="17" spans="1:11" ht="15" customHeight="1">
      <c r="A17" s="4">
        <v>9</v>
      </c>
      <c r="B17" s="5" t="s">
        <v>113</v>
      </c>
      <c r="C17" s="5" t="s">
        <v>66</v>
      </c>
      <c r="D17" s="5" t="s">
        <v>2068</v>
      </c>
      <c r="E17" s="7" t="s">
        <v>105</v>
      </c>
      <c r="F17" s="8" t="s">
        <v>105</v>
      </c>
      <c r="G17" s="4" t="s">
        <v>442</v>
      </c>
      <c r="H17" s="9" t="s">
        <v>196</v>
      </c>
      <c r="I17" s="5" t="s">
        <v>2065</v>
      </c>
      <c r="J17" s="5" t="s">
        <v>1515</v>
      </c>
      <c r="K17" s="6">
        <v>0</v>
      </c>
    </row>
    <row r="18" spans="1:11" ht="15" customHeight="1">
      <c r="A18" s="4">
        <v>10</v>
      </c>
      <c r="B18" s="5" t="s">
        <v>113</v>
      </c>
      <c r="C18" s="5" t="s">
        <v>66</v>
      </c>
      <c r="D18" s="5" t="s">
        <v>604</v>
      </c>
      <c r="E18" s="7" t="s">
        <v>105</v>
      </c>
      <c r="F18" s="8" t="s">
        <v>105</v>
      </c>
      <c r="G18" s="4" t="s">
        <v>442</v>
      </c>
      <c r="H18" s="9" t="s">
        <v>196</v>
      </c>
      <c r="I18" s="5" t="s">
        <v>2065</v>
      </c>
      <c r="J18" s="5" t="s">
        <v>1515</v>
      </c>
      <c r="K18" s="6">
        <v>0</v>
      </c>
    </row>
    <row r="19" spans="1:11" ht="15" customHeight="1">
      <c r="A19" s="4">
        <v>11</v>
      </c>
      <c r="B19" s="5" t="s">
        <v>113</v>
      </c>
      <c r="C19" s="5" t="s">
        <v>66</v>
      </c>
      <c r="D19" s="5" t="s">
        <v>2069</v>
      </c>
      <c r="E19" s="7" t="s">
        <v>105</v>
      </c>
      <c r="F19" s="8" t="s">
        <v>105</v>
      </c>
      <c r="G19" s="4" t="s">
        <v>442</v>
      </c>
      <c r="H19" s="9" t="s">
        <v>196</v>
      </c>
      <c r="I19" s="5" t="s">
        <v>2065</v>
      </c>
      <c r="J19" s="5" t="s">
        <v>1515</v>
      </c>
      <c r="K19" s="6">
        <v>0</v>
      </c>
    </row>
    <row r="20" spans="1:11" ht="15" customHeight="1">
      <c r="A20" s="4">
        <v>12</v>
      </c>
      <c r="B20" s="5" t="s">
        <v>113</v>
      </c>
      <c r="C20" s="5" t="s">
        <v>66</v>
      </c>
      <c r="D20" s="5" t="s">
        <v>449</v>
      </c>
      <c r="E20" s="7" t="s">
        <v>105</v>
      </c>
      <c r="F20" s="8" t="s">
        <v>105</v>
      </c>
      <c r="G20" s="4" t="s">
        <v>442</v>
      </c>
      <c r="H20" s="9" t="s">
        <v>196</v>
      </c>
      <c r="I20" s="5" t="s">
        <v>2065</v>
      </c>
      <c r="J20" s="5" t="s">
        <v>1515</v>
      </c>
      <c r="K20" s="6"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442</v>
      </c>
      <c r="H21" s="9" t="s">
        <v>196</v>
      </c>
      <c r="I21" s="5" t="s">
        <v>2065</v>
      </c>
      <c r="J21" s="5" t="s">
        <v>1515</v>
      </c>
      <c r="K21" s="6"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442</v>
      </c>
      <c r="H22" s="9" t="s">
        <v>196</v>
      </c>
      <c r="I22" s="5" t="s">
        <v>2065</v>
      </c>
      <c r="J22" s="5" t="s">
        <v>1515</v>
      </c>
      <c r="K22" s="6"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442</v>
      </c>
      <c r="H23" s="9" t="s">
        <v>196</v>
      </c>
      <c r="I23" s="5" t="s">
        <v>2065</v>
      </c>
      <c r="J23" s="5" t="s">
        <v>1515</v>
      </c>
      <c r="K23" s="6">
        <v>0</v>
      </c>
    </row>
    <row r="24" spans="1:11" ht="4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442</v>
      </c>
      <c r="H24" s="9" t="s">
        <v>196</v>
      </c>
      <c r="I24" s="5" t="s">
        <v>2065</v>
      </c>
      <c r="J24" s="5" t="s">
        <v>1515</v>
      </c>
      <c r="K24" s="6"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442</v>
      </c>
      <c r="H25" s="9" t="s">
        <v>196</v>
      </c>
      <c r="I25" s="5" t="s">
        <v>2065</v>
      </c>
      <c r="J25" s="5" t="s">
        <v>1515</v>
      </c>
      <c r="K25" s="6"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442</v>
      </c>
      <c r="H26" s="9" t="s">
        <v>196</v>
      </c>
      <c r="I26" s="5" t="s">
        <v>2070</v>
      </c>
      <c r="J26" s="5" t="s">
        <v>1515</v>
      </c>
      <c r="K26" s="6">
        <v>0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607</v>
      </c>
      <c r="E27" s="7" t="s">
        <v>105</v>
      </c>
      <c r="F27" s="8" t="s">
        <v>105</v>
      </c>
      <c r="G27" s="4" t="s">
        <v>442</v>
      </c>
      <c r="H27" s="9" t="s">
        <v>196</v>
      </c>
      <c r="I27" s="5" t="s">
        <v>2065</v>
      </c>
      <c r="J27" s="5" t="s">
        <v>1515</v>
      </c>
      <c r="K27" s="6"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608</v>
      </c>
      <c r="E28" s="7" t="s">
        <v>105</v>
      </c>
      <c r="F28" s="8" t="s">
        <v>105</v>
      </c>
      <c r="G28" s="4" t="s">
        <v>442</v>
      </c>
      <c r="H28" s="9" t="s">
        <v>196</v>
      </c>
      <c r="I28" s="5" t="s">
        <v>2065</v>
      </c>
      <c r="J28" s="5" t="s">
        <v>1515</v>
      </c>
      <c r="K28" s="6"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609</v>
      </c>
      <c r="E29" s="7" t="s">
        <v>105</v>
      </c>
      <c r="F29" s="8" t="s">
        <v>105</v>
      </c>
      <c r="G29" s="4" t="s">
        <v>442</v>
      </c>
      <c r="H29" s="9" t="s">
        <v>196</v>
      </c>
      <c r="I29" s="5" t="s">
        <v>2065</v>
      </c>
      <c r="J29" s="5" t="s">
        <v>1515</v>
      </c>
      <c r="K29" s="6">
        <v>0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140</v>
      </c>
      <c r="E30" s="7" t="s">
        <v>105</v>
      </c>
      <c r="F30" s="8" t="s">
        <v>105</v>
      </c>
      <c r="G30" s="4" t="s">
        <v>442</v>
      </c>
      <c r="H30" s="9" t="s">
        <v>196</v>
      </c>
      <c r="I30" s="5" t="s">
        <v>2065</v>
      </c>
      <c r="J30" s="5" t="s">
        <v>1515</v>
      </c>
      <c r="K30" s="6">
        <v>0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610</v>
      </c>
      <c r="E31" s="7" t="s">
        <v>105</v>
      </c>
      <c r="F31" s="8" t="s">
        <v>105</v>
      </c>
      <c r="G31" s="4" t="s">
        <v>442</v>
      </c>
      <c r="H31" s="9" t="s">
        <v>196</v>
      </c>
      <c r="I31" s="5" t="s">
        <v>2065</v>
      </c>
      <c r="J31" s="5" t="s">
        <v>1515</v>
      </c>
      <c r="K31" s="6">
        <v>0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611</v>
      </c>
      <c r="E32" s="7" t="s">
        <v>105</v>
      </c>
      <c r="F32" s="8" t="s">
        <v>105</v>
      </c>
      <c r="G32" s="4" t="s">
        <v>442</v>
      </c>
      <c r="H32" s="9" t="s">
        <v>196</v>
      </c>
      <c r="I32" s="5" t="s">
        <v>2065</v>
      </c>
      <c r="J32" s="5" t="s">
        <v>1515</v>
      </c>
      <c r="K32" s="6">
        <v>0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612</v>
      </c>
      <c r="E33" s="7" t="s">
        <v>105</v>
      </c>
      <c r="F33" s="8" t="s">
        <v>105</v>
      </c>
      <c r="G33" s="4" t="s">
        <v>442</v>
      </c>
      <c r="H33" s="9" t="s">
        <v>196</v>
      </c>
      <c r="I33" s="5" t="s">
        <v>2065</v>
      </c>
      <c r="J33" s="5" t="s">
        <v>1515</v>
      </c>
      <c r="K33" s="6">
        <v>0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613</v>
      </c>
      <c r="E34" s="7" t="s">
        <v>105</v>
      </c>
      <c r="F34" s="8" t="s">
        <v>105</v>
      </c>
      <c r="G34" s="4" t="s">
        <v>442</v>
      </c>
      <c r="H34" s="9" t="s">
        <v>196</v>
      </c>
      <c r="I34" s="5" t="s">
        <v>2065</v>
      </c>
      <c r="J34" s="5" t="s">
        <v>1515</v>
      </c>
      <c r="K34" s="6">
        <v>0</v>
      </c>
    </row>
    <row r="35" spans="1:11" ht="15" customHeight="1">
      <c r="A35" s="4">
        <v>27</v>
      </c>
      <c r="B35" s="5" t="s">
        <v>135</v>
      </c>
      <c r="C35" s="5" t="s">
        <v>121</v>
      </c>
      <c r="D35" s="5" t="s">
        <v>136</v>
      </c>
      <c r="E35" s="7" t="s">
        <v>105</v>
      </c>
      <c r="F35" s="8" t="s">
        <v>105</v>
      </c>
      <c r="G35" s="4" t="s">
        <v>442</v>
      </c>
      <c r="H35" s="9" t="s">
        <v>196</v>
      </c>
      <c r="I35" s="5" t="s">
        <v>2065</v>
      </c>
      <c r="J35" s="5" t="s">
        <v>1515</v>
      </c>
      <c r="K35" s="6">
        <v>0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614</v>
      </c>
      <c r="E36" s="7" t="s">
        <v>105</v>
      </c>
      <c r="F36" s="8" t="s">
        <v>105</v>
      </c>
      <c r="G36" s="4" t="s">
        <v>442</v>
      </c>
      <c r="H36" s="9" t="s">
        <v>196</v>
      </c>
      <c r="I36" s="5" t="s">
        <v>2065</v>
      </c>
      <c r="J36" s="5" t="s">
        <v>1515</v>
      </c>
      <c r="K36" s="6">
        <v>0</v>
      </c>
    </row>
    <row r="37" spans="1:11" ht="15" customHeight="1">
      <c r="A37" s="4">
        <v>29</v>
      </c>
      <c r="B37" s="5" t="s">
        <v>539</v>
      </c>
      <c r="C37" s="5" t="s">
        <v>121</v>
      </c>
      <c r="D37" s="5" t="s">
        <v>615</v>
      </c>
      <c r="E37" s="7" t="s">
        <v>105</v>
      </c>
      <c r="F37" s="8" t="s">
        <v>105</v>
      </c>
      <c r="G37" s="4" t="s">
        <v>442</v>
      </c>
      <c r="H37" s="9" t="s">
        <v>196</v>
      </c>
      <c r="I37" s="5" t="s">
        <v>2065</v>
      </c>
      <c r="J37" s="5" t="s">
        <v>1515</v>
      </c>
      <c r="K37" s="6">
        <v>0</v>
      </c>
    </row>
    <row r="38" spans="1:11" ht="15" customHeight="1">
      <c r="A38" s="4">
        <v>30</v>
      </c>
      <c r="B38" s="5" t="s">
        <v>130</v>
      </c>
      <c r="C38" s="5" t="s">
        <v>121</v>
      </c>
      <c r="D38" s="5" t="s">
        <v>131</v>
      </c>
      <c r="E38" s="7" t="s">
        <v>105</v>
      </c>
      <c r="F38" s="8" t="s">
        <v>105</v>
      </c>
      <c r="G38" s="4" t="s">
        <v>442</v>
      </c>
      <c r="H38" s="9" t="s">
        <v>196</v>
      </c>
      <c r="I38" s="5" t="s">
        <v>2065</v>
      </c>
      <c r="J38" s="5" t="s">
        <v>1515</v>
      </c>
      <c r="K38" s="6">
        <v>0</v>
      </c>
    </row>
    <row r="39" spans="1:11" ht="15" customHeight="1">
      <c r="A39" s="4">
        <v>31</v>
      </c>
      <c r="B39" s="5" t="s">
        <v>130</v>
      </c>
      <c r="C39" s="5" t="s">
        <v>121</v>
      </c>
      <c r="D39" s="5" t="s">
        <v>132</v>
      </c>
      <c r="E39" s="7" t="s">
        <v>105</v>
      </c>
      <c r="F39" s="8" t="s">
        <v>105</v>
      </c>
      <c r="G39" s="4" t="s">
        <v>442</v>
      </c>
      <c r="H39" s="9" t="s">
        <v>196</v>
      </c>
      <c r="I39" s="5" t="s">
        <v>2065</v>
      </c>
      <c r="J39" s="5" t="s">
        <v>1515</v>
      </c>
      <c r="K39" s="6">
        <v>0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142</v>
      </c>
      <c r="E40" s="7" t="s">
        <v>105</v>
      </c>
      <c r="F40" s="8" t="s">
        <v>105</v>
      </c>
      <c r="G40" s="4" t="s">
        <v>442</v>
      </c>
      <c r="H40" s="9" t="s">
        <v>196</v>
      </c>
      <c r="I40" s="5" t="s">
        <v>2065</v>
      </c>
      <c r="J40" s="5" t="s">
        <v>1515</v>
      </c>
      <c r="K40" s="6">
        <v>0</v>
      </c>
    </row>
    <row r="41" spans="1:11" ht="15" customHeight="1">
      <c r="A41" s="4">
        <v>33</v>
      </c>
      <c r="B41" s="5" t="s">
        <v>133</v>
      </c>
      <c r="C41" s="5" t="s">
        <v>121</v>
      </c>
      <c r="D41" s="5" t="s">
        <v>146</v>
      </c>
      <c r="E41" s="7" t="s">
        <v>105</v>
      </c>
      <c r="F41" s="8" t="s">
        <v>105</v>
      </c>
      <c r="G41" s="4" t="s">
        <v>442</v>
      </c>
      <c r="H41" s="9" t="s">
        <v>196</v>
      </c>
      <c r="I41" s="5" t="s">
        <v>2065</v>
      </c>
      <c r="J41" s="5" t="s">
        <v>1515</v>
      </c>
      <c r="K41" s="6">
        <v>0</v>
      </c>
    </row>
    <row r="42" spans="1:11" ht="15" customHeight="1">
      <c r="A42" s="4">
        <v>34</v>
      </c>
      <c r="B42" s="5" t="s">
        <v>135</v>
      </c>
      <c r="C42" s="5" t="s">
        <v>121</v>
      </c>
      <c r="D42" s="5" t="s">
        <v>144</v>
      </c>
      <c r="E42" s="7" t="s">
        <v>105</v>
      </c>
      <c r="F42" s="8" t="s">
        <v>105</v>
      </c>
      <c r="G42" s="4" t="s">
        <v>442</v>
      </c>
      <c r="H42" s="9" t="s">
        <v>196</v>
      </c>
      <c r="I42" s="5" t="s">
        <v>2065</v>
      </c>
      <c r="J42" s="5" t="s">
        <v>1515</v>
      </c>
      <c r="K42" s="6">
        <v>0</v>
      </c>
    </row>
    <row r="43" spans="1:11" ht="15" customHeight="1">
      <c r="A43" s="4">
        <v>35</v>
      </c>
      <c r="B43" s="5" t="s">
        <v>135</v>
      </c>
      <c r="C43" s="5" t="s">
        <v>121</v>
      </c>
      <c r="D43" s="5" t="s">
        <v>616</v>
      </c>
      <c r="E43" s="7" t="s">
        <v>105</v>
      </c>
      <c r="F43" s="8" t="s">
        <v>105</v>
      </c>
      <c r="G43" s="4" t="s">
        <v>442</v>
      </c>
      <c r="H43" s="9" t="s">
        <v>196</v>
      </c>
      <c r="I43" s="5" t="s">
        <v>2065</v>
      </c>
      <c r="J43" s="5" t="s">
        <v>1515</v>
      </c>
      <c r="K43" s="6">
        <v>0</v>
      </c>
    </row>
    <row r="44" spans="1:11" ht="15" customHeight="1">
      <c r="A44" s="4">
        <v>36</v>
      </c>
      <c r="B44" s="5" t="s">
        <v>135</v>
      </c>
      <c r="C44" s="5" t="s">
        <v>121</v>
      </c>
      <c r="D44" s="5" t="s">
        <v>1273</v>
      </c>
      <c r="E44" s="7" t="s">
        <v>105</v>
      </c>
      <c r="F44" s="8" t="s">
        <v>105</v>
      </c>
      <c r="G44" s="4" t="s">
        <v>442</v>
      </c>
      <c r="H44" s="9" t="s">
        <v>196</v>
      </c>
      <c r="I44" s="5" t="s">
        <v>2065</v>
      </c>
      <c r="J44" s="5" t="s">
        <v>1515</v>
      </c>
      <c r="K44" s="6">
        <v>0</v>
      </c>
    </row>
    <row r="45" spans="1:11" ht="15" customHeight="1">
      <c r="A45" s="4">
        <v>37</v>
      </c>
      <c r="B45" s="5" t="s">
        <v>135</v>
      </c>
      <c r="C45" s="5" t="s">
        <v>121</v>
      </c>
      <c r="D45" s="5" t="s">
        <v>617</v>
      </c>
      <c r="E45" s="7" t="s">
        <v>105</v>
      </c>
      <c r="F45" s="8" t="s">
        <v>105</v>
      </c>
      <c r="G45" s="4" t="s">
        <v>442</v>
      </c>
      <c r="H45" s="9" t="s">
        <v>196</v>
      </c>
      <c r="I45" s="5" t="s">
        <v>2065</v>
      </c>
      <c r="J45" s="5" t="s">
        <v>1515</v>
      </c>
      <c r="K45" s="6">
        <v>0</v>
      </c>
    </row>
    <row r="46" spans="1:11" ht="15" customHeight="1">
      <c r="A46" s="4">
        <v>38</v>
      </c>
      <c r="B46" s="5" t="s">
        <v>120</v>
      </c>
      <c r="C46" s="5" t="s">
        <v>2034</v>
      </c>
      <c r="D46" s="5" t="s">
        <v>122</v>
      </c>
      <c r="E46" s="7" t="s">
        <v>105</v>
      </c>
      <c r="F46" s="8" t="s">
        <v>105</v>
      </c>
      <c r="G46" s="4" t="s">
        <v>442</v>
      </c>
      <c r="H46" s="9" t="s">
        <v>196</v>
      </c>
      <c r="I46" s="5" t="s">
        <v>2065</v>
      </c>
      <c r="J46" s="5" t="s">
        <v>1515</v>
      </c>
      <c r="K46" s="6">
        <v>0</v>
      </c>
    </row>
    <row r="47" spans="1:11" ht="15" customHeight="1">
      <c r="A47" s="4">
        <v>39</v>
      </c>
      <c r="B47" s="5" t="s">
        <v>120</v>
      </c>
      <c r="C47" s="5" t="s">
        <v>2034</v>
      </c>
      <c r="D47" s="5" t="s">
        <v>123</v>
      </c>
      <c r="E47" s="7" t="s">
        <v>105</v>
      </c>
      <c r="F47" s="8" t="s">
        <v>105</v>
      </c>
      <c r="G47" s="4" t="s">
        <v>442</v>
      </c>
      <c r="H47" s="9" t="s">
        <v>196</v>
      </c>
      <c r="I47" s="5" t="s">
        <v>2065</v>
      </c>
      <c r="J47" s="5" t="s">
        <v>1515</v>
      </c>
      <c r="K47" s="6">
        <v>0</v>
      </c>
    </row>
    <row r="48" spans="1:11" ht="30" customHeight="1">
      <c r="A48" s="4">
        <v>40</v>
      </c>
      <c r="B48" s="5" t="s">
        <v>124</v>
      </c>
      <c r="C48" s="5" t="s">
        <v>2034</v>
      </c>
      <c r="D48" s="5" t="s">
        <v>125</v>
      </c>
      <c r="E48" s="7" t="s">
        <v>105</v>
      </c>
      <c r="F48" s="8" t="s">
        <v>105</v>
      </c>
      <c r="G48" s="4" t="s">
        <v>442</v>
      </c>
      <c r="H48" s="9" t="s">
        <v>196</v>
      </c>
      <c r="I48" s="5" t="s">
        <v>2065</v>
      </c>
      <c r="J48" s="5" t="s">
        <v>1515</v>
      </c>
      <c r="K48" s="6">
        <v>0</v>
      </c>
    </row>
    <row r="49" spans="1:11" ht="45" customHeight="1">
      <c r="A49" s="4">
        <v>41</v>
      </c>
      <c r="B49" s="5" t="s">
        <v>124</v>
      </c>
      <c r="C49" s="5" t="s">
        <v>2034</v>
      </c>
      <c r="D49" s="5" t="s">
        <v>126</v>
      </c>
      <c r="E49" s="7" t="s">
        <v>105</v>
      </c>
      <c r="F49" s="8" t="s">
        <v>105</v>
      </c>
      <c r="G49" s="4" t="s">
        <v>442</v>
      </c>
      <c r="H49" s="9" t="s">
        <v>196</v>
      </c>
      <c r="I49" s="5" t="s">
        <v>2065</v>
      </c>
      <c r="J49" s="5" t="s">
        <v>1515</v>
      </c>
      <c r="K49" s="6">
        <v>0</v>
      </c>
    </row>
    <row r="50" spans="1:11" ht="15" customHeight="1">
      <c r="A50" s="4">
        <v>42</v>
      </c>
      <c r="B50" s="5" t="s">
        <v>95</v>
      </c>
      <c r="C50" s="5" t="s">
        <v>2034</v>
      </c>
      <c r="D50" s="5" t="s">
        <v>127</v>
      </c>
      <c r="E50" s="7" t="s">
        <v>105</v>
      </c>
      <c r="F50" s="8" t="s">
        <v>105</v>
      </c>
      <c r="G50" s="4" t="s">
        <v>442</v>
      </c>
      <c r="H50" s="9" t="s">
        <v>196</v>
      </c>
      <c r="I50" s="5" t="s">
        <v>2065</v>
      </c>
      <c r="J50" s="5" t="s">
        <v>1515</v>
      </c>
      <c r="K50" s="6">
        <v>0</v>
      </c>
    </row>
    <row r="51" spans="1:11" ht="15" customHeight="1">
      <c r="A51" s="4">
        <v>43</v>
      </c>
      <c r="B51" s="5" t="s">
        <v>128</v>
      </c>
      <c r="C51" s="5" t="s">
        <v>2034</v>
      </c>
      <c r="D51" s="5" t="s">
        <v>129</v>
      </c>
      <c r="E51" s="7" t="s">
        <v>105</v>
      </c>
      <c r="F51" s="8" t="s">
        <v>105</v>
      </c>
      <c r="G51" s="4" t="s">
        <v>442</v>
      </c>
      <c r="H51" s="9" t="s">
        <v>196</v>
      </c>
      <c r="I51" s="5" t="s">
        <v>2070</v>
      </c>
      <c r="J51" s="5" t="s">
        <v>1515</v>
      </c>
      <c r="K51" s="6">
        <v>0</v>
      </c>
    </row>
    <row r="52" spans="1:11" ht="15" customHeight="1">
      <c r="A52" s="4">
        <v>44</v>
      </c>
      <c r="B52" s="5" t="s">
        <v>130</v>
      </c>
      <c r="C52" s="5" t="s">
        <v>2034</v>
      </c>
      <c r="D52" s="5" t="s">
        <v>131</v>
      </c>
      <c r="E52" s="7" t="s">
        <v>105</v>
      </c>
      <c r="F52" s="8" t="s">
        <v>105</v>
      </c>
      <c r="G52" s="4" t="s">
        <v>442</v>
      </c>
      <c r="H52" s="9" t="s">
        <v>196</v>
      </c>
      <c r="I52" s="5" t="s">
        <v>2065</v>
      </c>
      <c r="J52" s="5" t="s">
        <v>1515</v>
      </c>
      <c r="K52" s="6">
        <v>0</v>
      </c>
    </row>
    <row r="53" spans="1:11" ht="15" customHeight="1">
      <c r="A53" s="4">
        <v>45</v>
      </c>
      <c r="B53" s="5" t="s">
        <v>130</v>
      </c>
      <c r="C53" s="5" t="s">
        <v>2034</v>
      </c>
      <c r="D53" s="5" t="s">
        <v>132</v>
      </c>
      <c r="E53" s="7" t="s">
        <v>105</v>
      </c>
      <c r="F53" s="8" t="s">
        <v>105</v>
      </c>
      <c r="G53" s="4" t="s">
        <v>442</v>
      </c>
      <c r="H53" s="9" t="s">
        <v>196</v>
      </c>
      <c r="I53" s="5" t="s">
        <v>2065</v>
      </c>
      <c r="J53" s="5" t="s">
        <v>1515</v>
      </c>
      <c r="K53" s="6">
        <v>0</v>
      </c>
    </row>
    <row r="54" spans="1:11" ht="15" customHeight="1">
      <c r="A54" s="4">
        <v>46</v>
      </c>
      <c r="B54" s="5" t="s">
        <v>133</v>
      </c>
      <c r="C54" s="5" t="s">
        <v>2034</v>
      </c>
      <c r="D54" s="5" t="s">
        <v>142</v>
      </c>
      <c r="E54" s="7" t="s">
        <v>105</v>
      </c>
      <c r="F54" s="8" t="s">
        <v>105</v>
      </c>
      <c r="G54" s="4" t="s">
        <v>442</v>
      </c>
      <c r="H54" s="9" t="s">
        <v>196</v>
      </c>
      <c r="I54" s="5" t="s">
        <v>2065</v>
      </c>
      <c r="J54" s="5" t="s">
        <v>1515</v>
      </c>
      <c r="K54" s="6">
        <v>0</v>
      </c>
    </row>
    <row r="55" spans="1:11" ht="15" customHeight="1">
      <c r="A55" s="4">
        <v>47</v>
      </c>
      <c r="B55" s="5" t="s">
        <v>133</v>
      </c>
      <c r="C55" s="5" t="s">
        <v>2034</v>
      </c>
      <c r="D55" s="5" t="s">
        <v>146</v>
      </c>
      <c r="E55" s="7" t="s">
        <v>105</v>
      </c>
      <c r="F55" s="8" t="s">
        <v>105</v>
      </c>
      <c r="G55" s="4" t="s">
        <v>442</v>
      </c>
      <c r="H55" s="9" t="s">
        <v>196</v>
      </c>
      <c r="I55" s="5" t="s">
        <v>2065</v>
      </c>
      <c r="J55" s="5" t="s">
        <v>1515</v>
      </c>
      <c r="K55" s="6">
        <v>0</v>
      </c>
    </row>
    <row r="56" spans="1:11" ht="15" customHeight="1">
      <c r="A56" s="4">
        <v>48</v>
      </c>
      <c r="B56" s="5" t="s">
        <v>135</v>
      </c>
      <c r="C56" s="5" t="s">
        <v>2034</v>
      </c>
      <c r="D56" s="5" t="s">
        <v>144</v>
      </c>
      <c r="E56" s="7" t="s">
        <v>105</v>
      </c>
      <c r="F56" s="8" t="s">
        <v>105</v>
      </c>
      <c r="G56" s="4" t="s">
        <v>442</v>
      </c>
      <c r="H56" s="9" t="s">
        <v>196</v>
      </c>
      <c r="I56" s="5" t="s">
        <v>2065</v>
      </c>
      <c r="J56" s="5" t="s">
        <v>1515</v>
      </c>
      <c r="K56" s="6">
        <v>0</v>
      </c>
    </row>
    <row r="57" spans="1:11" ht="15" customHeight="1">
      <c r="A57" s="4">
        <v>49</v>
      </c>
      <c r="B57" s="5" t="s">
        <v>135</v>
      </c>
      <c r="C57" s="5" t="s">
        <v>2034</v>
      </c>
      <c r="D57" s="5" t="s">
        <v>616</v>
      </c>
      <c r="E57" s="7" t="s">
        <v>105</v>
      </c>
      <c r="F57" s="8" t="s">
        <v>105</v>
      </c>
      <c r="G57" s="4" t="s">
        <v>442</v>
      </c>
      <c r="H57" s="9" t="s">
        <v>196</v>
      </c>
      <c r="I57" s="5" t="s">
        <v>2065</v>
      </c>
      <c r="J57" s="5" t="s">
        <v>1515</v>
      </c>
      <c r="K57" s="6">
        <v>0</v>
      </c>
    </row>
    <row r="58" spans="1:11" ht="15" customHeight="1">
      <c r="A58" s="4">
        <v>50</v>
      </c>
      <c r="B58" s="5" t="s">
        <v>135</v>
      </c>
      <c r="C58" s="5" t="s">
        <v>2034</v>
      </c>
      <c r="D58" s="5" t="s">
        <v>1273</v>
      </c>
      <c r="E58" s="7" t="s">
        <v>105</v>
      </c>
      <c r="F58" s="8" t="s">
        <v>105</v>
      </c>
      <c r="G58" s="4" t="s">
        <v>442</v>
      </c>
      <c r="H58" s="9" t="s">
        <v>196</v>
      </c>
      <c r="I58" s="5" t="s">
        <v>2065</v>
      </c>
      <c r="J58" s="5" t="s">
        <v>1515</v>
      </c>
      <c r="K58" s="6">
        <v>0</v>
      </c>
    </row>
    <row r="59" spans="1:11" ht="15" customHeight="1">
      <c r="A59" s="4">
        <v>51</v>
      </c>
      <c r="B59" s="5" t="s">
        <v>135</v>
      </c>
      <c r="C59" s="5" t="s">
        <v>2034</v>
      </c>
      <c r="D59" s="5" t="s">
        <v>617</v>
      </c>
      <c r="E59" s="7" t="s">
        <v>105</v>
      </c>
      <c r="F59" s="8" t="s">
        <v>105</v>
      </c>
      <c r="G59" s="4" t="s">
        <v>442</v>
      </c>
      <c r="H59" s="9" t="s">
        <v>196</v>
      </c>
      <c r="I59" s="5" t="s">
        <v>2065</v>
      </c>
      <c r="J59" s="5" t="s">
        <v>1515</v>
      </c>
      <c r="K59" s="6">
        <v>0</v>
      </c>
    </row>
    <row r="60" spans="1:11" ht="15" customHeight="1">
      <c r="A60" s="4">
        <v>52</v>
      </c>
      <c r="B60" s="5" t="s">
        <v>153</v>
      </c>
      <c r="C60" s="5" t="s">
        <v>154</v>
      </c>
      <c r="D60" s="5" t="s">
        <v>620</v>
      </c>
      <c r="E60" s="7" t="s">
        <v>105</v>
      </c>
      <c r="F60" s="8" t="s">
        <v>105</v>
      </c>
      <c r="G60" s="4" t="s">
        <v>442</v>
      </c>
      <c r="H60" s="9" t="s">
        <v>196</v>
      </c>
      <c r="I60" s="5" t="s">
        <v>2065</v>
      </c>
      <c r="J60" s="5" t="s">
        <v>1515</v>
      </c>
      <c r="K60" s="6">
        <v>0</v>
      </c>
    </row>
    <row r="61" spans="1:11" ht="15" customHeight="1">
      <c r="A61" s="4">
        <v>53</v>
      </c>
      <c r="B61" s="5" t="s">
        <v>153</v>
      </c>
      <c r="C61" s="5" t="s">
        <v>154</v>
      </c>
      <c r="D61" s="5" t="s">
        <v>562</v>
      </c>
      <c r="E61" s="7" t="s">
        <v>105</v>
      </c>
      <c r="F61" s="8" t="s">
        <v>105</v>
      </c>
      <c r="G61" s="4" t="s">
        <v>442</v>
      </c>
      <c r="H61" s="9" t="s">
        <v>196</v>
      </c>
      <c r="I61" s="5" t="s">
        <v>2065</v>
      </c>
      <c r="J61" s="5" t="s">
        <v>1515</v>
      </c>
      <c r="K61" s="6">
        <v>0</v>
      </c>
    </row>
    <row r="62" spans="1:11" ht="15" customHeight="1">
      <c r="A62" s="4">
        <v>54</v>
      </c>
      <c r="B62" s="5" t="s">
        <v>153</v>
      </c>
      <c r="C62" s="5" t="s">
        <v>154</v>
      </c>
      <c r="D62" s="5" t="s">
        <v>621</v>
      </c>
      <c r="E62" s="7" t="s">
        <v>105</v>
      </c>
      <c r="F62" s="8" t="s">
        <v>105</v>
      </c>
      <c r="G62" s="4" t="s">
        <v>442</v>
      </c>
      <c r="H62" s="9" t="s">
        <v>196</v>
      </c>
      <c r="I62" s="5" t="s">
        <v>2065</v>
      </c>
      <c r="J62" s="5" t="s">
        <v>1515</v>
      </c>
      <c r="K62" s="6">
        <v>0</v>
      </c>
    </row>
    <row r="63" spans="1:11" ht="15" customHeight="1">
      <c r="A63" s="4">
        <v>55</v>
      </c>
      <c r="B63" s="5" t="s">
        <v>153</v>
      </c>
      <c r="C63" s="5" t="s">
        <v>154</v>
      </c>
      <c r="D63" s="5" t="s">
        <v>438</v>
      </c>
      <c r="E63" s="7" t="s">
        <v>105</v>
      </c>
      <c r="F63" s="8" t="s">
        <v>105</v>
      </c>
      <c r="G63" s="4" t="s">
        <v>442</v>
      </c>
      <c r="H63" s="9" t="s">
        <v>196</v>
      </c>
      <c r="I63" s="5" t="s">
        <v>2065</v>
      </c>
      <c r="J63" s="5" t="s">
        <v>1515</v>
      </c>
      <c r="K63" s="6">
        <v>0</v>
      </c>
    </row>
    <row r="64" spans="1:11" ht="15" customHeight="1">
      <c r="A64" s="4">
        <v>56</v>
      </c>
      <c r="B64" s="5" t="s">
        <v>153</v>
      </c>
      <c r="C64" s="5" t="s">
        <v>154</v>
      </c>
      <c r="D64" s="5" t="s">
        <v>622</v>
      </c>
      <c r="E64" s="7" t="s">
        <v>105</v>
      </c>
      <c r="F64" s="8" t="s">
        <v>105</v>
      </c>
      <c r="G64" s="4" t="s">
        <v>442</v>
      </c>
      <c r="H64" s="9" t="s">
        <v>196</v>
      </c>
      <c r="I64" s="5" t="s">
        <v>2065</v>
      </c>
      <c r="J64" s="5" t="s">
        <v>1515</v>
      </c>
      <c r="K64" s="6">
        <v>0</v>
      </c>
    </row>
    <row r="65" spans="1:11" ht="15" customHeight="1">
      <c r="A65" s="4">
        <v>57</v>
      </c>
      <c r="B65" s="5" t="s">
        <v>153</v>
      </c>
      <c r="C65" s="5" t="s">
        <v>154</v>
      </c>
      <c r="D65" s="5" t="s">
        <v>623</v>
      </c>
      <c r="E65" s="7" t="s">
        <v>105</v>
      </c>
      <c r="F65" s="8" t="s">
        <v>105</v>
      </c>
      <c r="G65" s="4" t="s">
        <v>442</v>
      </c>
      <c r="H65" s="9" t="s">
        <v>196</v>
      </c>
      <c r="I65" s="5" t="s">
        <v>2065</v>
      </c>
      <c r="J65" s="5" t="s">
        <v>1515</v>
      </c>
      <c r="K65" s="6">
        <v>0</v>
      </c>
    </row>
    <row r="66" spans="1:11" ht="15" customHeight="1">
      <c r="A66" s="4">
        <v>58</v>
      </c>
      <c r="B66" s="5" t="s">
        <v>159</v>
      </c>
      <c r="C66" s="5" t="s">
        <v>154</v>
      </c>
      <c r="D66" s="5" t="s">
        <v>160</v>
      </c>
      <c r="E66" s="7" t="s">
        <v>105</v>
      </c>
      <c r="F66" s="8" t="s">
        <v>105</v>
      </c>
      <c r="G66" s="4" t="s">
        <v>442</v>
      </c>
      <c r="H66" s="9" t="s">
        <v>196</v>
      </c>
      <c r="I66" s="5" t="s">
        <v>2065</v>
      </c>
      <c r="J66" s="5" t="s">
        <v>1515</v>
      </c>
      <c r="K66" s="6">
        <v>0</v>
      </c>
    </row>
    <row r="67" spans="1:11" ht="15" customHeight="1">
      <c r="A67" s="4">
        <v>59</v>
      </c>
      <c r="B67" s="5" t="s">
        <v>159</v>
      </c>
      <c r="C67" s="5" t="s">
        <v>154</v>
      </c>
      <c r="D67" s="5" t="s">
        <v>624</v>
      </c>
      <c r="E67" s="7" t="s">
        <v>105</v>
      </c>
      <c r="F67" s="8" t="s">
        <v>105</v>
      </c>
      <c r="G67" s="4" t="s">
        <v>442</v>
      </c>
      <c r="H67" s="9" t="s">
        <v>196</v>
      </c>
      <c r="I67" s="5" t="s">
        <v>2065</v>
      </c>
      <c r="J67" s="5" t="s">
        <v>1515</v>
      </c>
      <c r="K67" s="6">
        <v>0</v>
      </c>
    </row>
    <row r="68" spans="1:11" ht="15" customHeight="1">
      <c r="A68" s="4">
        <v>60</v>
      </c>
      <c r="B68" s="5" t="s">
        <v>159</v>
      </c>
      <c r="C68" s="5" t="s">
        <v>154</v>
      </c>
      <c r="D68" s="5" t="s">
        <v>625</v>
      </c>
      <c r="E68" s="7" t="s">
        <v>105</v>
      </c>
      <c r="F68" s="8" t="s">
        <v>105</v>
      </c>
      <c r="G68" s="4" t="s">
        <v>442</v>
      </c>
      <c r="H68" s="9" t="s">
        <v>196</v>
      </c>
      <c r="I68" s="5" t="s">
        <v>2065</v>
      </c>
      <c r="J68" s="5" t="s">
        <v>1515</v>
      </c>
      <c r="K68" s="6">
        <v>0</v>
      </c>
    </row>
    <row r="69" spans="1:11" ht="15" customHeight="1">
      <c r="A69" s="4">
        <v>61</v>
      </c>
      <c r="B69" s="5" t="s">
        <v>159</v>
      </c>
      <c r="C69" s="5" t="s">
        <v>154</v>
      </c>
      <c r="D69" s="5" t="s">
        <v>1282</v>
      </c>
      <c r="E69" s="7" t="s">
        <v>105</v>
      </c>
      <c r="F69" s="8" t="s">
        <v>105</v>
      </c>
      <c r="G69" s="4" t="s">
        <v>442</v>
      </c>
      <c r="H69" s="9" t="s">
        <v>196</v>
      </c>
      <c r="I69" s="5" t="s">
        <v>2065</v>
      </c>
      <c r="J69" s="5" t="s">
        <v>1515</v>
      </c>
      <c r="K69" s="6">
        <v>0</v>
      </c>
    </row>
    <row r="70" spans="1:11" ht="15" customHeight="1">
      <c r="A70" s="4">
        <v>62</v>
      </c>
      <c r="B70" s="5" t="s">
        <v>159</v>
      </c>
      <c r="C70" s="5" t="s">
        <v>154</v>
      </c>
      <c r="D70" s="5" t="s">
        <v>162</v>
      </c>
      <c r="E70" s="7" t="s">
        <v>105</v>
      </c>
      <c r="F70" s="8" t="s">
        <v>105</v>
      </c>
      <c r="G70" s="4" t="s">
        <v>442</v>
      </c>
      <c r="H70" s="9" t="s">
        <v>196</v>
      </c>
      <c r="I70" s="5" t="s">
        <v>2065</v>
      </c>
      <c r="J70" s="5" t="s">
        <v>1515</v>
      </c>
      <c r="K70" s="6">
        <v>0</v>
      </c>
    </row>
    <row r="71" spans="1:11" ht="15" customHeight="1">
      <c r="A71" s="4">
        <v>63</v>
      </c>
      <c r="B71" s="5" t="s">
        <v>159</v>
      </c>
      <c r="C71" s="5" t="s">
        <v>154</v>
      </c>
      <c r="D71" s="5" t="s">
        <v>163</v>
      </c>
      <c r="E71" s="7" t="s">
        <v>105</v>
      </c>
      <c r="F71" s="8" t="s">
        <v>105</v>
      </c>
      <c r="G71" s="4" t="s">
        <v>442</v>
      </c>
      <c r="H71" s="9" t="s">
        <v>196</v>
      </c>
      <c r="I71" s="5" t="s">
        <v>2065</v>
      </c>
      <c r="J71" s="5" t="s">
        <v>1515</v>
      </c>
      <c r="K71" s="6">
        <v>0</v>
      </c>
    </row>
    <row r="72" spans="1:11" ht="30" customHeight="1">
      <c r="A72" s="4">
        <v>64</v>
      </c>
      <c r="B72" s="5" t="s">
        <v>130</v>
      </c>
      <c r="C72" s="5" t="s">
        <v>66</v>
      </c>
      <c r="D72" s="5" t="s">
        <v>164</v>
      </c>
      <c r="E72" s="7" t="s">
        <v>105</v>
      </c>
      <c r="F72" s="8" t="s">
        <v>105</v>
      </c>
      <c r="G72" s="4" t="s">
        <v>442</v>
      </c>
      <c r="H72" s="9" t="s">
        <v>196</v>
      </c>
      <c r="I72" s="5" t="s">
        <v>2065</v>
      </c>
      <c r="J72" s="5" t="s">
        <v>1515</v>
      </c>
      <c r="K72" s="6">
        <v>0</v>
      </c>
    </row>
    <row r="73" spans="1:11" ht="15" customHeight="1">
      <c r="A73" s="4">
        <v>65</v>
      </c>
      <c r="B73" s="5" t="s">
        <v>130</v>
      </c>
      <c r="C73" s="5" t="s">
        <v>66</v>
      </c>
      <c r="D73" s="5" t="s">
        <v>165</v>
      </c>
      <c r="E73" s="7" t="s">
        <v>105</v>
      </c>
      <c r="F73" s="8" t="s">
        <v>105</v>
      </c>
      <c r="G73" s="4" t="s">
        <v>442</v>
      </c>
      <c r="H73" s="9" t="s">
        <v>196</v>
      </c>
      <c r="I73" s="5" t="s">
        <v>2065</v>
      </c>
      <c r="J73" s="5" t="s">
        <v>1515</v>
      </c>
      <c r="K73" s="6">
        <v>0</v>
      </c>
    </row>
    <row r="74" spans="1:11" ht="45" customHeight="1">
      <c r="A74" s="4">
        <v>66</v>
      </c>
      <c r="B74" s="5" t="s">
        <v>130</v>
      </c>
      <c r="C74" s="5" t="s">
        <v>66</v>
      </c>
      <c r="D74" s="5" t="s">
        <v>166</v>
      </c>
      <c r="E74" s="7" t="s">
        <v>105</v>
      </c>
      <c r="F74" s="8" t="s">
        <v>105</v>
      </c>
      <c r="G74" s="4" t="s">
        <v>442</v>
      </c>
      <c r="H74" s="9" t="s">
        <v>196</v>
      </c>
      <c r="I74" s="5" t="s">
        <v>2065</v>
      </c>
      <c r="J74" s="5" t="s">
        <v>1515</v>
      </c>
      <c r="K74" s="6">
        <v>0</v>
      </c>
    </row>
    <row r="75" spans="1:11" ht="15" customHeight="1">
      <c r="A75" s="4">
        <v>67</v>
      </c>
      <c r="B75" s="5" t="s">
        <v>130</v>
      </c>
      <c r="C75" s="5" t="s">
        <v>66</v>
      </c>
      <c r="D75" s="5" t="s">
        <v>167</v>
      </c>
      <c r="E75" s="7" t="s">
        <v>105</v>
      </c>
      <c r="F75" s="8" t="s">
        <v>105</v>
      </c>
      <c r="G75" s="4" t="s">
        <v>442</v>
      </c>
      <c r="H75" s="9" t="s">
        <v>196</v>
      </c>
      <c r="I75" s="5" t="s">
        <v>2065</v>
      </c>
      <c r="J75" s="5" t="s">
        <v>1515</v>
      </c>
      <c r="K75" s="6">
        <v>0</v>
      </c>
    </row>
    <row r="76" spans="1:11" ht="15" customHeight="1">
      <c r="A76" s="4">
        <v>68</v>
      </c>
      <c r="B76" s="5" t="s">
        <v>130</v>
      </c>
      <c r="C76" s="5" t="s">
        <v>66</v>
      </c>
      <c r="D76" s="5" t="s">
        <v>168</v>
      </c>
      <c r="E76" s="7" t="s">
        <v>105</v>
      </c>
      <c r="F76" s="8" t="s">
        <v>105</v>
      </c>
      <c r="G76" s="4" t="s">
        <v>442</v>
      </c>
      <c r="H76" s="9" t="s">
        <v>196</v>
      </c>
      <c r="I76" s="5" t="s">
        <v>2071</v>
      </c>
      <c r="J76" s="5" t="s">
        <v>1515</v>
      </c>
      <c r="K76" s="6">
        <v>0</v>
      </c>
    </row>
    <row r="77" spans="1:11" ht="15" customHeight="1">
      <c r="A77" s="4">
        <v>69</v>
      </c>
      <c r="B77" s="5" t="s">
        <v>135</v>
      </c>
      <c r="C77" s="5" t="s">
        <v>121</v>
      </c>
      <c r="D77" s="5" t="s">
        <v>169</v>
      </c>
      <c r="E77" s="7" t="s">
        <v>105</v>
      </c>
      <c r="F77" s="8" t="s">
        <v>105</v>
      </c>
      <c r="G77" s="4" t="s">
        <v>442</v>
      </c>
      <c r="H77" s="9" t="s">
        <v>196</v>
      </c>
      <c r="I77" s="5" t="s">
        <v>2065</v>
      </c>
      <c r="J77" s="5" t="s">
        <v>1515</v>
      </c>
      <c r="K77" s="6">
        <v>0</v>
      </c>
    </row>
    <row r="78" spans="1:11" ht="30" customHeight="1">
      <c r="A78" s="4">
        <v>70</v>
      </c>
      <c r="B78" s="5" t="s">
        <v>135</v>
      </c>
      <c r="C78" s="5" t="s">
        <v>121</v>
      </c>
      <c r="D78" s="5" t="s">
        <v>170</v>
      </c>
      <c r="E78" s="7" t="s">
        <v>105</v>
      </c>
      <c r="F78" s="8" t="s">
        <v>105</v>
      </c>
      <c r="G78" s="4" t="s">
        <v>442</v>
      </c>
      <c r="H78" s="9" t="s">
        <v>196</v>
      </c>
      <c r="I78" s="5" t="s">
        <v>2065</v>
      </c>
      <c r="J78" s="5" t="s">
        <v>1515</v>
      </c>
      <c r="K78" s="6">
        <v>0</v>
      </c>
    </row>
    <row r="79" spans="1:11" ht="30" customHeight="1">
      <c r="A79" s="4">
        <v>71</v>
      </c>
      <c r="B79" s="5" t="s">
        <v>135</v>
      </c>
      <c r="C79" s="5" t="s">
        <v>121</v>
      </c>
      <c r="D79" s="5" t="s">
        <v>171</v>
      </c>
      <c r="E79" s="7" t="s">
        <v>105</v>
      </c>
      <c r="F79" s="8" t="s">
        <v>105</v>
      </c>
      <c r="G79" s="4" t="s">
        <v>442</v>
      </c>
      <c r="H79" s="9" t="s">
        <v>196</v>
      </c>
      <c r="I79" s="5" t="s">
        <v>2065</v>
      </c>
      <c r="J79" s="5" t="s">
        <v>1515</v>
      </c>
      <c r="K79" s="6">
        <v>0</v>
      </c>
    </row>
    <row r="80" spans="1:11" ht="30" customHeight="1">
      <c r="A80" s="4">
        <v>72</v>
      </c>
      <c r="B80" s="5" t="s">
        <v>135</v>
      </c>
      <c r="C80" s="5" t="s">
        <v>66</v>
      </c>
      <c r="D80" s="5" t="s">
        <v>627</v>
      </c>
      <c r="E80" s="7" t="s">
        <v>105</v>
      </c>
      <c r="F80" s="8" t="s">
        <v>105</v>
      </c>
      <c r="G80" s="4" t="s">
        <v>442</v>
      </c>
      <c r="H80" s="9" t="s">
        <v>196</v>
      </c>
      <c r="I80" s="5" t="s">
        <v>2065</v>
      </c>
      <c r="J80" s="5" t="s">
        <v>1515</v>
      </c>
      <c r="K80" s="6">
        <v>0</v>
      </c>
    </row>
    <row r="81" spans="1:11" ht="30" customHeight="1">
      <c r="A81" s="4">
        <v>73</v>
      </c>
      <c r="B81" s="5" t="s">
        <v>135</v>
      </c>
      <c r="C81" s="5" t="s">
        <v>66</v>
      </c>
      <c r="D81" s="5" t="s">
        <v>628</v>
      </c>
      <c r="E81" s="7" t="s">
        <v>105</v>
      </c>
      <c r="F81" s="8" t="s">
        <v>105</v>
      </c>
      <c r="G81" s="4" t="s">
        <v>442</v>
      </c>
      <c r="H81" s="9" t="s">
        <v>196</v>
      </c>
      <c r="I81" s="5" t="s">
        <v>2065</v>
      </c>
      <c r="J81" s="5" t="s">
        <v>1515</v>
      </c>
      <c r="K81" s="6">
        <v>0</v>
      </c>
    </row>
    <row r="82" spans="1:11" ht="15" customHeight="1">
      <c r="A82" s="4">
        <v>74</v>
      </c>
      <c r="B82" s="5" t="s">
        <v>135</v>
      </c>
      <c r="C82" s="5" t="s">
        <v>66</v>
      </c>
      <c r="D82" s="5" t="s">
        <v>629</v>
      </c>
      <c r="E82" s="7" t="s">
        <v>105</v>
      </c>
      <c r="F82" s="8" t="s">
        <v>105</v>
      </c>
      <c r="G82" s="4" t="s">
        <v>442</v>
      </c>
      <c r="H82" s="9" t="s">
        <v>196</v>
      </c>
      <c r="I82" s="5" t="s">
        <v>2065</v>
      </c>
      <c r="J82" s="5" t="s">
        <v>1515</v>
      </c>
      <c r="K82" s="6">
        <v>0</v>
      </c>
    </row>
    <row r="83" spans="1:11" ht="30" customHeight="1">
      <c r="A83" s="4">
        <v>75</v>
      </c>
      <c r="B83" s="5" t="s">
        <v>135</v>
      </c>
      <c r="C83" s="5" t="s">
        <v>66</v>
      </c>
      <c r="D83" s="5" t="s">
        <v>630</v>
      </c>
      <c r="E83" s="7" t="s">
        <v>105</v>
      </c>
      <c r="F83" s="8" t="s">
        <v>105</v>
      </c>
      <c r="G83" s="4" t="s">
        <v>442</v>
      </c>
      <c r="H83" s="9" t="s">
        <v>196</v>
      </c>
      <c r="I83" s="5" t="s">
        <v>2065</v>
      </c>
      <c r="J83" s="5" t="s">
        <v>1515</v>
      </c>
      <c r="K83" s="6">
        <v>0</v>
      </c>
    </row>
    <row r="84" spans="1:11" ht="15" customHeight="1">
      <c r="A84" s="4">
        <v>76</v>
      </c>
      <c r="B84" s="5" t="s">
        <v>591</v>
      </c>
      <c r="C84" s="5" t="s">
        <v>66</v>
      </c>
      <c r="D84" s="5" t="s">
        <v>631</v>
      </c>
      <c r="E84" s="7" t="s">
        <v>105</v>
      </c>
      <c r="F84" s="8" t="s">
        <v>105</v>
      </c>
      <c r="G84" s="4" t="s">
        <v>442</v>
      </c>
      <c r="H84" s="9" t="s">
        <v>196</v>
      </c>
      <c r="I84" s="5" t="s">
        <v>2065</v>
      </c>
      <c r="J84" s="5" t="s">
        <v>1515</v>
      </c>
      <c r="K84" s="6">
        <v>0</v>
      </c>
    </row>
    <row r="85" spans="1:11" ht="30" customHeight="1">
      <c r="A85" s="4">
        <v>77</v>
      </c>
      <c r="B85" s="5" t="s">
        <v>591</v>
      </c>
      <c r="C85" s="5" t="s">
        <v>66</v>
      </c>
      <c r="D85" s="5" t="s">
        <v>632</v>
      </c>
      <c r="E85" s="7" t="s">
        <v>105</v>
      </c>
      <c r="F85" s="8" t="s">
        <v>105</v>
      </c>
      <c r="G85" s="4" t="s">
        <v>442</v>
      </c>
      <c r="H85" s="9" t="s">
        <v>196</v>
      </c>
      <c r="I85" s="5" t="s">
        <v>2065</v>
      </c>
      <c r="J85" s="5" t="s">
        <v>1515</v>
      </c>
      <c r="K85" s="6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K8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2072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76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67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2073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67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2073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67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2073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67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2073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67</v>
      </c>
      <c r="D15" s="5" t="s">
        <v>2074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2073</v>
      </c>
      <c r="J15" s="5" t="s">
        <v>109</v>
      </c>
      <c r="K15" s="6">
        <f t="shared" si="0"/>
        <v>0</v>
      </c>
    </row>
    <row r="16" spans="1:11" ht="30" customHeight="1">
      <c r="A16" s="4">
        <v>8</v>
      </c>
      <c r="B16" s="5" t="s">
        <v>113</v>
      </c>
      <c r="C16" s="5" t="s">
        <v>67</v>
      </c>
      <c r="D16" s="5" t="s">
        <v>2075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2073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67</v>
      </c>
      <c r="D17" s="5" t="s">
        <v>2076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2073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67</v>
      </c>
      <c r="D18" s="5" t="s">
        <v>2077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2073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67</v>
      </c>
      <c r="D19" s="5" t="s">
        <v>1509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2073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2073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2073</v>
      </c>
      <c r="J21" s="5" t="s">
        <v>109</v>
      </c>
      <c r="K21" s="6">
        <f t="shared" si="0"/>
        <v>0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2073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2073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2073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2073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130</v>
      </c>
      <c r="C26" s="5" t="s">
        <v>121</v>
      </c>
      <c r="D26" s="5" t="s">
        <v>131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2073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130</v>
      </c>
      <c r="C27" s="5" t="s">
        <v>121</v>
      </c>
      <c r="D27" s="5" t="s">
        <v>132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2073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133</v>
      </c>
      <c r="C28" s="5" t="s">
        <v>121</v>
      </c>
      <c r="D28" s="5" t="s">
        <v>142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2073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120</v>
      </c>
      <c r="C29" s="5" t="s">
        <v>962</v>
      </c>
      <c r="D29" s="5" t="s">
        <v>122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2073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120</v>
      </c>
      <c r="C30" s="5" t="s">
        <v>962</v>
      </c>
      <c r="D30" s="5" t="s">
        <v>123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2073</v>
      </c>
      <c r="J30" s="5" t="s">
        <v>109</v>
      </c>
      <c r="K30" s="6">
        <f t="shared" si="0"/>
        <v>0</v>
      </c>
    </row>
    <row r="31" spans="1:11" ht="30" customHeight="1">
      <c r="A31" s="4">
        <v>23</v>
      </c>
      <c r="B31" s="5" t="s">
        <v>124</v>
      </c>
      <c r="C31" s="5" t="s">
        <v>962</v>
      </c>
      <c r="D31" s="5" t="s">
        <v>125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2073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124</v>
      </c>
      <c r="C32" s="5" t="s">
        <v>962</v>
      </c>
      <c r="D32" s="5" t="s">
        <v>126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2073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95</v>
      </c>
      <c r="C33" s="5" t="s">
        <v>962</v>
      </c>
      <c r="D33" s="5" t="s">
        <v>127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2073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128</v>
      </c>
      <c r="C34" s="5" t="s">
        <v>962</v>
      </c>
      <c r="D34" s="5" t="s">
        <v>129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2073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120</v>
      </c>
      <c r="C35" s="5" t="s">
        <v>963</v>
      </c>
      <c r="D35" s="5" t="s">
        <v>122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2073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120</v>
      </c>
      <c r="C36" s="5" t="s">
        <v>963</v>
      </c>
      <c r="D36" s="5" t="s">
        <v>123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2073</v>
      </c>
      <c r="J36" s="5" t="s">
        <v>109</v>
      </c>
      <c r="K36" s="6">
        <f t="shared" si="0"/>
        <v>0</v>
      </c>
    </row>
    <row r="37" spans="1:11" ht="30" customHeight="1">
      <c r="A37" s="4">
        <v>29</v>
      </c>
      <c r="B37" s="5" t="s">
        <v>124</v>
      </c>
      <c r="C37" s="5" t="s">
        <v>963</v>
      </c>
      <c r="D37" s="5" t="s">
        <v>125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2073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124</v>
      </c>
      <c r="C38" s="5" t="s">
        <v>963</v>
      </c>
      <c r="D38" s="5" t="s">
        <v>126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2073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95</v>
      </c>
      <c r="C39" s="5" t="s">
        <v>963</v>
      </c>
      <c r="D39" s="5" t="s">
        <v>127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2073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128</v>
      </c>
      <c r="C40" s="5" t="s">
        <v>963</v>
      </c>
      <c r="D40" s="5" t="s">
        <v>129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2073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120</v>
      </c>
      <c r="C41" s="5" t="s">
        <v>964</v>
      </c>
      <c r="D41" s="5" t="s">
        <v>122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2073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120</v>
      </c>
      <c r="C42" s="5" t="s">
        <v>964</v>
      </c>
      <c r="D42" s="5" t="s">
        <v>123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2073</v>
      </c>
      <c r="J42" s="5" t="s">
        <v>109</v>
      </c>
      <c r="K42" s="6">
        <f t="shared" si="1"/>
        <v>0</v>
      </c>
    </row>
    <row r="43" spans="1:11" ht="30" customHeight="1">
      <c r="A43" s="4">
        <v>35</v>
      </c>
      <c r="B43" s="5" t="s">
        <v>124</v>
      </c>
      <c r="C43" s="5" t="s">
        <v>964</v>
      </c>
      <c r="D43" s="5" t="s">
        <v>125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2073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124</v>
      </c>
      <c r="C44" s="5" t="s">
        <v>964</v>
      </c>
      <c r="D44" s="5" t="s">
        <v>126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2073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95</v>
      </c>
      <c r="C45" s="5" t="s">
        <v>964</v>
      </c>
      <c r="D45" s="5" t="s">
        <v>127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2073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128</v>
      </c>
      <c r="C46" s="5" t="s">
        <v>964</v>
      </c>
      <c r="D46" s="5" t="s">
        <v>129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2073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120</v>
      </c>
      <c r="C47" s="5" t="s">
        <v>970</v>
      </c>
      <c r="D47" s="5" t="s">
        <v>122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2073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970</v>
      </c>
      <c r="D48" s="5" t="s">
        <v>123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2073</v>
      </c>
      <c r="J48" s="5" t="s">
        <v>109</v>
      </c>
      <c r="K48" s="6">
        <f t="shared" si="1"/>
        <v>0</v>
      </c>
    </row>
    <row r="49" spans="1:11" ht="30" customHeight="1">
      <c r="A49" s="4">
        <v>41</v>
      </c>
      <c r="B49" s="5" t="s">
        <v>124</v>
      </c>
      <c r="C49" s="5" t="s">
        <v>970</v>
      </c>
      <c r="D49" s="5" t="s">
        <v>125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2073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124</v>
      </c>
      <c r="C50" s="5" t="s">
        <v>970</v>
      </c>
      <c r="D50" s="5" t="s">
        <v>126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2073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95</v>
      </c>
      <c r="C51" s="5" t="s">
        <v>970</v>
      </c>
      <c r="D51" s="5" t="s">
        <v>127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2073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128</v>
      </c>
      <c r="C52" s="5" t="s">
        <v>970</v>
      </c>
      <c r="D52" s="5" t="s">
        <v>129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2073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120</v>
      </c>
      <c r="C53" s="5" t="s">
        <v>2078</v>
      </c>
      <c r="D53" s="5" t="s">
        <v>122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2073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120</v>
      </c>
      <c r="C54" s="5" t="s">
        <v>2078</v>
      </c>
      <c r="D54" s="5" t="s">
        <v>123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2073</v>
      </c>
      <c r="J54" s="5" t="s">
        <v>109</v>
      </c>
      <c r="K54" s="6">
        <f t="shared" si="1"/>
        <v>0</v>
      </c>
    </row>
    <row r="55" spans="1:11" ht="30" customHeight="1">
      <c r="A55" s="4">
        <v>47</v>
      </c>
      <c r="B55" s="5" t="s">
        <v>124</v>
      </c>
      <c r="C55" s="5" t="s">
        <v>2078</v>
      </c>
      <c r="D55" s="5" t="s">
        <v>125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2073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124</v>
      </c>
      <c r="C56" s="5" t="s">
        <v>2078</v>
      </c>
      <c r="D56" s="5" t="s">
        <v>126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2073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95</v>
      </c>
      <c r="C57" s="5" t="s">
        <v>2078</v>
      </c>
      <c r="D57" s="5" t="s">
        <v>127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2073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128</v>
      </c>
      <c r="C58" s="5" t="s">
        <v>2078</v>
      </c>
      <c r="D58" s="5" t="s">
        <v>129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2073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133</v>
      </c>
      <c r="C59" s="5" t="s">
        <v>2078</v>
      </c>
      <c r="D59" s="5" t="s">
        <v>2079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2073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133</v>
      </c>
      <c r="C60" s="5" t="s">
        <v>2078</v>
      </c>
      <c r="D60" s="5" t="s">
        <v>969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2073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130</v>
      </c>
      <c r="C61" s="5" t="s">
        <v>2078</v>
      </c>
      <c r="D61" s="5" t="s">
        <v>131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2073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130</v>
      </c>
      <c r="C62" s="5" t="s">
        <v>2078</v>
      </c>
      <c r="D62" s="5" t="s">
        <v>132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2073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133</v>
      </c>
      <c r="C63" s="5" t="s">
        <v>2078</v>
      </c>
      <c r="D63" s="5" t="s">
        <v>142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2073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133</v>
      </c>
      <c r="C64" s="5" t="s">
        <v>2078</v>
      </c>
      <c r="D64" s="5" t="s">
        <v>2080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2073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120</v>
      </c>
      <c r="C65" s="5" t="s">
        <v>151</v>
      </c>
      <c r="D65" s="5" t="s">
        <v>122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2073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120</v>
      </c>
      <c r="C66" s="5" t="s">
        <v>151</v>
      </c>
      <c r="D66" s="5" t="s">
        <v>123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2073</v>
      </c>
      <c r="J66" s="5" t="s">
        <v>109</v>
      </c>
      <c r="K66" s="6">
        <f t="shared" si="1"/>
        <v>0</v>
      </c>
    </row>
    <row r="67" spans="1:11" ht="30" customHeight="1">
      <c r="A67" s="4">
        <v>59</v>
      </c>
      <c r="B67" s="5" t="s">
        <v>124</v>
      </c>
      <c r="C67" s="5" t="s">
        <v>151</v>
      </c>
      <c r="D67" s="5" t="s">
        <v>125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2073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124</v>
      </c>
      <c r="C68" s="5" t="s">
        <v>151</v>
      </c>
      <c r="D68" s="5" t="s">
        <v>126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2073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95</v>
      </c>
      <c r="C69" s="5" t="s">
        <v>151</v>
      </c>
      <c r="D69" s="5" t="s">
        <v>127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2073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128</v>
      </c>
      <c r="C70" s="5" t="s">
        <v>151</v>
      </c>
      <c r="D70" s="5" t="s">
        <v>129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2073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120</v>
      </c>
      <c r="C71" s="5" t="s">
        <v>978</v>
      </c>
      <c r="D71" s="5" t="s">
        <v>122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2073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120</v>
      </c>
      <c r="C72" s="5" t="s">
        <v>978</v>
      </c>
      <c r="D72" s="5" t="s">
        <v>123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2073</v>
      </c>
      <c r="J72" s="5" t="s">
        <v>109</v>
      </c>
      <c r="K72" s="6">
        <f t="shared" si="1"/>
        <v>0</v>
      </c>
    </row>
    <row r="73" spans="1:11" ht="30" customHeight="1">
      <c r="A73" s="4">
        <v>65</v>
      </c>
      <c r="B73" s="5" t="s">
        <v>124</v>
      </c>
      <c r="C73" s="5" t="s">
        <v>978</v>
      </c>
      <c r="D73" s="5" t="s">
        <v>125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2073</v>
      </c>
      <c r="J73" s="5" t="s">
        <v>109</v>
      </c>
      <c r="K73" s="6">
        <f t="shared" ref="K73:K86" si="2">IF(AND(E73="yes",F73="yes",H73="covered"),1,IF(H73="partial",0.5,0))</f>
        <v>0</v>
      </c>
    </row>
    <row r="74" spans="1:11" ht="15" customHeight="1">
      <c r="A74" s="4">
        <v>66</v>
      </c>
      <c r="B74" s="5" t="s">
        <v>124</v>
      </c>
      <c r="C74" s="5" t="s">
        <v>978</v>
      </c>
      <c r="D74" s="5" t="s">
        <v>126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2073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95</v>
      </c>
      <c r="C75" s="5" t="s">
        <v>978</v>
      </c>
      <c r="D75" s="5" t="s">
        <v>127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2073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128</v>
      </c>
      <c r="C76" s="5" t="s">
        <v>978</v>
      </c>
      <c r="D76" s="5" t="s">
        <v>129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2073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153</v>
      </c>
      <c r="C77" s="5" t="s">
        <v>154</v>
      </c>
      <c r="D77" s="5" t="s">
        <v>438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2073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153</v>
      </c>
      <c r="C78" s="5" t="s">
        <v>154</v>
      </c>
      <c r="D78" s="5" t="s">
        <v>158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2073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153</v>
      </c>
      <c r="C79" s="5" t="s">
        <v>154</v>
      </c>
      <c r="D79" s="5" t="s">
        <v>986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2073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159</v>
      </c>
      <c r="C80" s="5" t="s">
        <v>154</v>
      </c>
      <c r="D80" s="5" t="s">
        <v>162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2073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159</v>
      </c>
      <c r="C81" s="5" t="s">
        <v>154</v>
      </c>
      <c r="D81" s="5" t="s">
        <v>1003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2073</v>
      </c>
      <c r="J81" s="5" t="s">
        <v>109</v>
      </c>
      <c r="K81" s="6">
        <f t="shared" si="2"/>
        <v>0</v>
      </c>
    </row>
    <row r="82" spans="1:11" ht="30" customHeight="1">
      <c r="A82" s="4">
        <v>74</v>
      </c>
      <c r="B82" s="5" t="s">
        <v>130</v>
      </c>
      <c r="C82" s="5" t="s">
        <v>67</v>
      </c>
      <c r="D82" s="5" t="s">
        <v>164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2073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130</v>
      </c>
      <c r="C83" s="5" t="s">
        <v>67</v>
      </c>
      <c r="D83" s="5" t="s">
        <v>165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2073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130</v>
      </c>
      <c r="C84" s="5" t="s">
        <v>67</v>
      </c>
      <c r="D84" s="5" t="s">
        <v>166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2073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130</v>
      </c>
      <c r="C85" s="5" t="s">
        <v>67</v>
      </c>
      <c r="D85" s="5" t="s">
        <v>167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2073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130</v>
      </c>
      <c r="C86" s="5" t="s">
        <v>67</v>
      </c>
      <c r="D86" s="5" t="s">
        <v>168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2073</v>
      </c>
      <c r="J86" s="5" t="s">
        <v>109</v>
      </c>
      <c r="K86" s="6">
        <f t="shared" si="2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K110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2081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5</v>
      </c>
      <c r="I4" s="1" t="s">
        <v>11</v>
      </c>
      <c r="J4" s="2">
        <f>COUNTIFS(A9:A1000,"&lt;&gt;",E9:E1000,"yes",F9:F1000,"&lt;&gt;yes")+COUNTIFS(A9:A1000,"&lt;&gt;",E9:E1000,"yes",F9:F1000,"yes",H9:H1000,"untested")</f>
        <v>97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68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2082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68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2082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68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2082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68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2082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68</v>
      </c>
      <c r="D15" s="5" t="s">
        <v>2083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2082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68</v>
      </c>
      <c r="D16" s="5" t="s">
        <v>2084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2082</v>
      </c>
      <c r="J16" s="5" t="s">
        <v>109</v>
      </c>
      <c r="K16" s="6">
        <f t="shared" si="0"/>
        <v>0</v>
      </c>
    </row>
    <row r="17" spans="1:11" ht="30" customHeight="1">
      <c r="A17" s="4">
        <v>9</v>
      </c>
      <c r="B17" s="5" t="s">
        <v>113</v>
      </c>
      <c r="C17" s="5" t="s">
        <v>68</v>
      </c>
      <c r="D17" s="5" t="s">
        <v>1639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2082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68</v>
      </c>
      <c r="D18" s="5" t="s">
        <v>2085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2082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68</v>
      </c>
      <c r="D19" s="5" t="s">
        <v>2086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2082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120</v>
      </c>
      <c r="C20" s="5" t="s">
        <v>121</v>
      </c>
      <c r="D20" s="5" t="s">
        <v>122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2082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123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2082</v>
      </c>
      <c r="J21" s="5" t="s">
        <v>109</v>
      </c>
      <c r="K21" s="6">
        <f t="shared" si="0"/>
        <v>0</v>
      </c>
    </row>
    <row r="22" spans="1:11" ht="30" customHeight="1">
      <c r="A22" s="4">
        <v>14</v>
      </c>
      <c r="B22" s="5" t="s">
        <v>124</v>
      </c>
      <c r="C22" s="5" t="s">
        <v>121</v>
      </c>
      <c r="D22" s="5" t="s">
        <v>125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2082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124</v>
      </c>
      <c r="C23" s="5" t="s">
        <v>121</v>
      </c>
      <c r="D23" s="5" t="s">
        <v>126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2082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95</v>
      </c>
      <c r="C24" s="5" t="s">
        <v>121</v>
      </c>
      <c r="D24" s="5" t="s">
        <v>127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2082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128</v>
      </c>
      <c r="C25" s="5" t="s">
        <v>121</v>
      </c>
      <c r="D25" s="5" t="s">
        <v>129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2082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135</v>
      </c>
      <c r="C26" s="5" t="s">
        <v>121</v>
      </c>
      <c r="D26" s="5" t="s">
        <v>136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2082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137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2082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138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2082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141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2082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2087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2082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955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2082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142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2082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143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2082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120</v>
      </c>
      <c r="C34" s="5" t="s">
        <v>145</v>
      </c>
      <c r="D34" s="5" t="s">
        <v>122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2082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120</v>
      </c>
      <c r="C35" s="5" t="s">
        <v>145</v>
      </c>
      <c r="D35" s="5" t="s">
        <v>123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2082</v>
      </c>
      <c r="J35" s="5" t="s">
        <v>109</v>
      </c>
      <c r="K35" s="6">
        <f t="shared" si="0"/>
        <v>0</v>
      </c>
    </row>
    <row r="36" spans="1:11" ht="30" customHeight="1">
      <c r="A36" s="4">
        <v>28</v>
      </c>
      <c r="B36" s="5" t="s">
        <v>124</v>
      </c>
      <c r="C36" s="5" t="s">
        <v>145</v>
      </c>
      <c r="D36" s="5" t="s">
        <v>125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2082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124</v>
      </c>
      <c r="C37" s="5" t="s">
        <v>145</v>
      </c>
      <c r="D37" s="5" t="s">
        <v>126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2082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95</v>
      </c>
      <c r="C38" s="5" t="s">
        <v>145</v>
      </c>
      <c r="D38" s="5" t="s">
        <v>127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2082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128</v>
      </c>
      <c r="C39" s="5" t="s">
        <v>145</v>
      </c>
      <c r="D39" s="5" t="s">
        <v>129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2082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135</v>
      </c>
      <c r="C40" s="5" t="s">
        <v>145</v>
      </c>
      <c r="D40" s="5" t="s">
        <v>136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2082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135</v>
      </c>
      <c r="C41" s="5" t="s">
        <v>145</v>
      </c>
      <c r="D41" s="5" t="s">
        <v>140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2082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130</v>
      </c>
      <c r="C42" s="5" t="s">
        <v>145</v>
      </c>
      <c r="D42" s="5" t="s">
        <v>131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2082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130</v>
      </c>
      <c r="C43" s="5" t="s">
        <v>145</v>
      </c>
      <c r="D43" s="5" t="s">
        <v>132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2082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133</v>
      </c>
      <c r="C44" s="5" t="s">
        <v>145</v>
      </c>
      <c r="D44" s="5" t="s">
        <v>142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2082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133</v>
      </c>
      <c r="C45" s="5" t="s">
        <v>145</v>
      </c>
      <c r="D45" s="5" t="s">
        <v>146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2082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135</v>
      </c>
      <c r="C46" s="5" t="s">
        <v>145</v>
      </c>
      <c r="D46" s="5" t="s">
        <v>144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2082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120</v>
      </c>
      <c r="C47" s="5" t="s">
        <v>147</v>
      </c>
      <c r="D47" s="5" t="s">
        <v>122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2082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147</v>
      </c>
      <c r="D48" s="5" t="s">
        <v>123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2082</v>
      </c>
      <c r="J48" s="5" t="s">
        <v>109</v>
      </c>
      <c r="K48" s="6">
        <f t="shared" si="1"/>
        <v>0</v>
      </c>
    </row>
    <row r="49" spans="1:11" ht="30" customHeight="1">
      <c r="A49" s="4">
        <v>41</v>
      </c>
      <c r="B49" s="5" t="s">
        <v>124</v>
      </c>
      <c r="C49" s="5" t="s">
        <v>147</v>
      </c>
      <c r="D49" s="5" t="s">
        <v>125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2082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124</v>
      </c>
      <c r="C50" s="5" t="s">
        <v>147</v>
      </c>
      <c r="D50" s="5" t="s">
        <v>126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2082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95</v>
      </c>
      <c r="C51" s="5" t="s">
        <v>147</v>
      </c>
      <c r="D51" s="5" t="s">
        <v>127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2082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128</v>
      </c>
      <c r="C52" s="5" t="s">
        <v>147</v>
      </c>
      <c r="D52" s="5" t="s">
        <v>129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2082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135</v>
      </c>
      <c r="C53" s="5" t="s">
        <v>147</v>
      </c>
      <c r="D53" s="5" t="s">
        <v>136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2082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133</v>
      </c>
      <c r="C54" s="5" t="s">
        <v>147</v>
      </c>
      <c r="D54" s="5" t="s">
        <v>619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2082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133</v>
      </c>
      <c r="C55" s="5" t="s">
        <v>147</v>
      </c>
      <c r="D55" s="5" t="s">
        <v>1878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2082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133</v>
      </c>
      <c r="C56" s="5" t="s">
        <v>147</v>
      </c>
      <c r="D56" s="5" t="s">
        <v>142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2082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133</v>
      </c>
      <c r="C57" s="5" t="s">
        <v>147</v>
      </c>
      <c r="D57" s="5" t="s">
        <v>146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2082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120</v>
      </c>
      <c r="C58" s="5" t="s">
        <v>43</v>
      </c>
      <c r="D58" s="5" t="s">
        <v>122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2082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120</v>
      </c>
      <c r="C59" s="5" t="s">
        <v>43</v>
      </c>
      <c r="D59" s="5" t="s">
        <v>123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2082</v>
      </c>
      <c r="J59" s="5" t="s">
        <v>109</v>
      </c>
      <c r="K59" s="6">
        <f t="shared" si="1"/>
        <v>0</v>
      </c>
    </row>
    <row r="60" spans="1:11" ht="30" customHeight="1">
      <c r="A60" s="4">
        <v>52</v>
      </c>
      <c r="B60" s="5" t="s">
        <v>124</v>
      </c>
      <c r="C60" s="5" t="s">
        <v>43</v>
      </c>
      <c r="D60" s="5" t="s">
        <v>125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2082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124</v>
      </c>
      <c r="C61" s="5" t="s">
        <v>43</v>
      </c>
      <c r="D61" s="5" t="s">
        <v>126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2082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95</v>
      </c>
      <c r="C62" s="5" t="s">
        <v>43</v>
      </c>
      <c r="D62" s="5" t="s">
        <v>127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2082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128</v>
      </c>
      <c r="C63" s="5" t="s">
        <v>43</v>
      </c>
      <c r="D63" s="5" t="s">
        <v>129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2082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133</v>
      </c>
      <c r="C64" s="5" t="s">
        <v>43</v>
      </c>
      <c r="D64" s="5" t="s">
        <v>142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2082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133</v>
      </c>
      <c r="C65" s="5" t="s">
        <v>43</v>
      </c>
      <c r="D65" s="5" t="s">
        <v>143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2082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120</v>
      </c>
      <c r="C66" s="5" t="s">
        <v>618</v>
      </c>
      <c r="D66" s="5" t="s">
        <v>122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2082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120</v>
      </c>
      <c r="C67" s="5" t="s">
        <v>618</v>
      </c>
      <c r="D67" s="5" t="s">
        <v>123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2082</v>
      </c>
      <c r="J67" s="5" t="s">
        <v>109</v>
      </c>
      <c r="K67" s="6">
        <f t="shared" si="1"/>
        <v>0</v>
      </c>
    </row>
    <row r="68" spans="1:11" ht="30" customHeight="1">
      <c r="A68" s="4">
        <v>60</v>
      </c>
      <c r="B68" s="5" t="s">
        <v>124</v>
      </c>
      <c r="C68" s="5" t="s">
        <v>618</v>
      </c>
      <c r="D68" s="5" t="s">
        <v>125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2082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124</v>
      </c>
      <c r="C69" s="5" t="s">
        <v>618</v>
      </c>
      <c r="D69" s="5" t="s">
        <v>126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2082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95</v>
      </c>
      <c r="C70" s="5" t="s">
        <v>618</v>
      </c>
      <c r="D70" s="5" t="s">
        <v>127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2082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128</v>
      </c>
      <c r="C71" s="5" t="s">
        <v>618</v>
      </c>
      <c r="D71" s="5" t="s">
        <v>129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2082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133</v>
      </c>
      <c r="C72" s="5" t="s">
        <v>618</v>
      </c>
      <c r="D72" s="5" t="s">
        <v>619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2082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133</v>
      </c>
      <c r="C73" s="5" t="s">
        <v>618</v>
      </c>
      <c r="D73" s="5" t="s">
        <v>142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2082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133</v>
      </c>
      <c r="C74" s="5" t="s">
        <v>618</v>
      </c>
      <c r="D74" s="5" t="s">
        <v>146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2082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153</v>
      </c>
      <c r="C75" s="5" t="s">
        <v>154</v>
      </c>
      <c r="D75" s="5" t="s">
        <v>155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2082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153</v>
      </c>
      <c r="C76" s="5" t="s">
        <v>154</v>
      </c>
      <c r="D76" s="5" t="s">
        <v>156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2082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153</v>
      </c>
      <c r="C77" s="5" t="s">
        <v>154</v>
      </c>
      <c r="D77" s="5" t="s">
        <v>438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2082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153</v>
      </c>
      <c r="C78" s="5" t="s">
        <v>154</v>
      </c>
      <c r="D78" s="5" t="s">
        <v>158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2082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153</v>
      </c>
      <c r="C79" s="5" t="s">
        <v>154</v>
      </c>
      <c r="D79" s="5" t="s">
        <v>1107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2082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153</v>
      </c>
      <c r="C80" s="5" t="s">
        <v>154</v>
      </c>
      <c r="D80" s="5" t="s">
        <v>727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2082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159</v>
      </c>
      <c r="C81" s="5" t="s">
        <v>154</v>
      </c>
      <c r="D81" s="5" t="s">
        <v>160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2082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159</v>
      </c>
      <c r="C82" s="5" t="s">
        <v>154</v>
      </c>
      <c r="D82" s="5" t="s">
        <v>161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2082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159</v>
      </c>
      <c r="C83" s="5" t="s">
        <v>154</v>
      </c>
      <c r="D83" s="5" t="s">
        <v>162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2082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159</v>
      </c>
      <c r="C84" s="5" t="s">
        <v>154</v>
      </c>
      <c r="D84" s="5" t="s">
        <v>163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2082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159</v>
      </c>
      <c r="C85" s="5" t="s">
        <v>154</v>
      </c>
      <c r="D85" s="5" t="s">
        <v>551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2082</v>
      </c>
      <c r="J85" s="5" t="s">
        <v>109</v>
      </c>
      <c r="K85" s="6">
        <f t="shared" si="2"/>
        <v>0</v>
      </c>
    </row>
    <row r="86" spans="1:11" ht="30" customHeight="1">
      <c r="A86" s="4">
        <v>78</v>
      </c>
      <c r="B86" s="5" t="s">
        <v>130</v>
      </c>
      <c r="C86" s="5" t="s">
        <v>68</v>
      </c>
      <c r="D86" s="5" t="s">
        <v>164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2082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130</v>
      </c>
      <c r="C87" s="5" t="s">
        <v>68</v>
      </c>
      <c r="D87" s="5" t="s">
        <v>165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2082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130</v>
      </c>
      <c r="C88" s="5" t="s">
        <v>68</v>
      </c>
      <c r="D88" s="5" t="s">
        <v>166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2082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130</v>
      </c>
      <c r="C89" s="5" t="s">
        <v>68</v>
      </c>
      <c r="D89" s="5" t="s">
        <v>167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2082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130</v>
      </c>
      <c r="C90" s="5" t="s">
        <v>68</v>
      </c>
      <c r="D90" s="5" t="s">
        <v>168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2082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135</v>
      </c>
      <c r="C91" s="5" t="s">
        <v>121</v>
      </c>
      <c r="D91" s="5" t="s">
        <v>169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2082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135</v>
      </c>
      <c r="C92" s="5" t="s">
        <v>121</v>
      </c>
      <c r="D92" s="5" t="s">
        <v>170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2082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135</v>
      </c>
      <c r="C93" s="5" t="s">
        <v>121</v>
      </c>
      <c r="D93" s="5" t="s">
        <v>171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2082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172</v>
      </c>
      <c r="C94" s="5" t="s">
        <v>145</v>
      </c>
      <c r="D94" s="5" t="s">
        <v>173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2082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172</v>
      </c>
      <c r="C95" s="5" t="s">
        <v>145</v>
      </c>
      <c r="D95" s="5" t="s">
        <v>174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2082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172</v>
      </c>
      <c r="C96" s="5" t="s">
        <v>145</v>
      </c>
      <c r="D96" s="5" t="s">
        <v>175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2082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172</v>
      </c>
      <c r="C97" s="5" t="s">
        <v>145</v>
      </c>
      <c r="D97" s="5" t="s">
        <v>176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2082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177</v>
      </c>
      <c r="C98" s="5" t="s">
        <v>145</v>
      </c>
      <c r="D98" s="5" t="s">
        <v>178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2082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179</v>
      </c>
      <c r="C99" s="5" t="s">
        <v>68</v>
      </c>
      <c r="D99" s="5" t="s">
        <v>633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2082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179</v>
      </c>
      <c r="C100" s="5" t="s">
        <v>68</v>
      </c>
      <c r="D100" s="5" t="s">
        <v>180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2082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179</v>
      </c>
      <c r="C101" s="5" t="s">
        <v>68</v>
      </c>
      <c r="D101" s="5" t="s">
        <v>634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2082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179</v>
      </c>
      <c r="C102" s="5" t="s">
        <v>68</v>
      </c>
      <c r="D102" s="5" t="s">
        <v>181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2082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179</v>
      </c>
      <c r="C103" s="5" t="s">
        <v>68</v>
      </c>
      <c r="D103" s="5" t="s">
        <v>182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2082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179</v>
      </c>
      <c r="C104" s="5" t="s">
        <v>68</v>
      </c>
      <c r="D104" s="5" t="s">
        <v>183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2082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179</v>
      </c>
      <c r="C105" s="5" t="s">
        <v>68</v>
      </c>
      <c r="D105" s="5" t="s">
        <v>184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2082</v>
      </c>
      <c r="J105" s="5" t="s">
        <v>109</v>
      </c>
      <c r="K105" s="6">
        <f t="shared" ref="K105:K110" si="3">IF(AND(E105="yes",F105="yes",H105="covered"),1,IF(H105="partial",0.5,0))</f>
        <v>0</v>
      </c>
    </row>
    <row r="106" spans="1:11" ht="30" customHeight="1">
      <c r="A106" s="4">
        <v>98</v>
      </c>
      <c r="B106" s="5" t="s">
        <v>179</v>
      </c>
      <c r="C106" s="5" t="s">
        <v>68</v>
      </c>
      <c r="D106" s="5" t="s">
        <v>185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2082</v>
      </c>
      <c r="J106" s="5" t="s">
        <v>109</v>
      </c>
      <c r="K106" s="6">
        <f t="shared" si="3"/>
        <v>0</v>
      </c>
    </row>
    <row r="107" spans="1:11" ht="30" customHeight="1">
      <c r="A107" s="4">
        <v>99</v>
      </c>
      <c r="B107" s="5" t="s">
        <v>177</v>
      </c>
      <c r="C107" s="5" t="s">
        <v>68</v>
      </c>
      <c r="D107" s="5" t="s">
        <v>186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2082</v>
      </c>
      <c r="J107" s="5" t="s">
        <v>109</v>
      </c>
      <c r="K107" s="6">
        <f t="shared" si="3"/>
        <v>0</v>
      </c>
    </row>
    <row r="108" spans="1:11" ht="30" customHeight="1">
      <c r="A108" s="4">
        <v>100</v>
      </c>
      <c r="B108" s="5" t="s">
        <v>31</v>
      </c>
      <c r="C108" s="5" t="s">
        <v>43</v>
      </c>
      <c r="D108" s="5" t="s">
        <v>187</v>
      </c>
      <c r="E108" s="10" t="s">
        <v>97</v>
      </c>
      <c r="F108" s="8" t="s">
        <v>97</v>
      </c>
      <c r="G108" s="4" t="s">
        <v>99</v>
      </c>
      <c r="H108" s="10" t="s">
        <v>99</v>
      </c>
      <c r="I108" s="5"/>
      <c r="J108" s="5" t="s">
        <v>188</v>
      </c>
      <c r="K108" s="6">
        <f t="shared" si="3"/>
        <v>0</v>
      </c>
    </row>
    <row r="109" spans="1:11" ht="30" customHeight="1">
      <c r="A109" s="4">
        <v>101</v>
      </c>
      <c r="B109" s="5" t="s">
        <v>31</v>
      </c>
      <c r="C109" s="5" t="s">
        <v>43</v>
      </c>
      <c r="D109" s="5" t="s">
        <v>189</v>
      </c>
      <c r="E109" s="10" t="s">
        <v>97</v>
      </c>
      <c r="F109" s="8" t="s">
        <v>97</v>
      </c>
      <c r="G109" s="4" t="s">
        <v>99</v>
      </c>
      <c r="H109" s="10" t="s">
        <v>99</v>
      </c>
      <c r="I109" s="5"/>
      <c r="J109" s="5" t="s">
        <v>190</v>
      </c>
      <c r="K109" s="6">
        <f t="shared" si="3"/>
        <v>0</v>
      </c>
    </row>
    <row r="110" spans="1:11" ht="30" customHeight="1">
      <c r="A110" s="4">
        <v>102</v>
      </c>
      <c r="B110" s="5" t="s">
        <v>94</v>
      </c>
      <c r="C110" s="5" t="s">
        <v>191</v>
      </c>
      <c r="D110" s="5" t="s">
        <v>192</v>
      </c>
      <c r="E110" s="10" t="s">
        <v>97</v>
      </c>
      <c r="F110" s="8" t="s">
        <v>97</v>
      </c>
      <c r="G110" s="4" t="s">
        <v>99</v>
      </c>
      <c r="H110" s="10" t="s">
        <v>99</v>
      </c>
      <c r="I110" s="5"/>
      <c r="J110" s="5" t="s">
        <v>193</v>
      </c>
      <c r="K110" s="6">
        <f t="shared" si="3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K8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2088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71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105</v>
      </c>
      <c r="G9" s="4" t="s">
        <v>442</v>
      </c>
      <c r="H9" s="9" t="s">
        <v>196</v>
      </c>
      <c r="I9" s="5" t="s">
        <v>2089</v>
      </c>
      <c r="J9" s="5" t="s">
        <v>444</v>
      </c>
      <c r="K9" s="6">
        <f t="shared" ref="K9:K40" si="0">IF(AND(E9="yes",F9="yes",H9="covered"),1,IF(H9="partial",0.5,0))</f>
        <v>1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105</v>
      </c>
      <c r="G10" s="4" t="s">
        <v>442</v>
      </c>
      <c r="H10" s="9" t="s">
        <v>196</v>
      </c>
      <c r="I10" s="5" t="s">
        <v>2089</v>
      </c>
      <c r="J10" s="5" t="s">
        <v>444</v>
      </c>
      <c r="K10" s="6">
        <f t="shared" si="0"/>
        <v>1</v>
      </c>
    </row>
    <row r="11" spans="1:11" ht="45" customHeight="1">
      <c r="A11" s="4">
        <v>3</v>
      </c>
      <c r="B11" s="5" t="s">
        <v>94</v>
      </c>
      <c r="C11" s="5" t="s">
        <v>69</v>
      </c>
      <c r="D11" s="5" t="s">
        <v>104</v>
      </c>
      <c r="E11" s="7" t="s">
        <v>105</v>
      </c>
      <c r="F11" s="8" t="s">
        <v>105</v>
      </c>
      <c r="G11" s="4" t="s">
        <v>442</v>
      </c>
      <c r="H11" s="9" t="s">
        <v>196</v>
      </c>
      <c r="I11" s="5" t="s">
        <v>2089</v>
      </c>
      <c r="J11" s="5" t="s">
        <v>444</v>
      </c>
      <c r="K11" s="6">
        <f t="shared" si="0"/>
        <v>1</v>
      </c>
    </row>
    <row r="12" spans="1:11" ht="15" customHeight="1">
      <c r="A12" s="4">
        <v>4</v>
      </c>
      <c r="B12" s="5" t="s">
        <v>94</v>
      </c>
      <c r="C12" s="5" t="s">
        <v>69</v>
      </c>
      <c r="D12" s="5" t="s">
        <v>110</v>
      </c>
      <c r="E12" s="7" t="s">
        <v>105</v>
      </c>
      <c r="F12" s="8" t="s">
        <v>105</v>
      </c>
      <c r="G12" s="4" t="s">
        <v>442</v>
      </c>
      <c r="H12" s="9" t="s">
        <v>196</v>
      </c>
      <c r="I12" s="5" t="s">
        <v>2089</v>
      </c>
      <c r="J12" s="5" t="s">
        <v>444</v>
      </c>
      <c r="K12" s="6">
        <f t="shared" si="0"/>
        <v>1</v>
      </c>
    </row>
    <row r="13" spans="1:11" ht="15" customHeight="1">
      <c r="A13" s="4">
        <v>5</v>
      </c>
      <c r="B13" s="5" t="s">
        <v>94</v>
      </c>
      <c r="C13" s="5" t="s">
        <v>69</v>
      </c>
      <c r="D13" s="5" t="s">
        <v>111</v>
      </c>
      <c r="E13" s="7" t="s">
        <v>105</v>
      </c>
      <c r="F13" s="8" t="s">
        <v>105</v>
      </c>
      <c r="G13" s="4" t="s">
        <v>442</v>
      </c>
      <c r="H13" s="9" t="s">
        <v>196</v>
      </c>
      <c r="I13" s="5" t="s">
        <v>2089</v>
      </c>
      <c r="J13" s="5" t="s">
        <v>444</v>
      </c>
      <c r="K13" s="6">
        <f t="shared" si="0"/>
        <v>1</v>
      </c>
    </row>
    <row r="14" spans="1:11" ht="15" customHeight="1">
      <c r="A14" s="4">
        <v>6</v>
      </c>
      <c r="B14" s="5" t="s">
        <v>94</v>
      </c>
      <c r="C14" s="5" t="s">
        <v>69</v>
      </c>
      <c r="D14" s="5" t="s">
        <v>112</v>
      </c>
      <c r="E14" s="7" t="s">
        <v>105</v>
      </c>
      <c r="F14" s="8" t="s">
        <v>105</v>
      </c>
      <c r="G14" s="4" t="s">
        <v>442</v>
      </c>
      <c r="H14" s="9" t="s">
        <v>196</v>
      </c>
      <c r="I14" s="5" t="s">
        <v>2089</v>
      </c>
      <c r="J14" s="5" t="s">
        <v>444</v>
      </c>
      <c r="K14" s="6">
        <f t="shared" si="0"/>
        <v>1</v>
      </c>
    </row>
    <row r="15" spans="1:11" ht="30" customHeight="1">
      <c r="A15" s="4">
        <v>7</v>
      </c>
      <c r="B15" s="5" t="s">
        <v>113</v>
      </c>
      <c r="C15" s="5" t="s">
        <v>69</v>
      </c>
      <c r="D15" s="5" t="s">
        <v>2090</v>
      </c>
      <c r="E15" s="7" t="s">
        <v>105</v>
      </c>
      <c r="F15" s="8" t="s">
        <v>105</v>
      </c>
      <c r="G15" s="4" t="s">
        <v>442</v>
      </c>
      <c r="H15" s="9" t="s">
        <v>196</v>
      </c>
      <c r="I15" s="5" t="s">
        <v>2089</v>
      </c>
      <c r="J15" s="5" t="s">
        <v>444</v>
      </c>
      <c r="K15" s="6">
        <f t="shared" si="0"/>
        <v>1</v>
      </c>
    </row>
    <row r="16" spans="1:11" ht="30" customHeight="1">
      <c r="A16" s="4">
        <v>8</v>
      </c>
      <c r="B16" s="5" t="s">
        <v>113</v>
      </c>
      <c r="C16" s="5" t="s">
        <v>69</v>
      </c>
      <c r="D16" s="5" t="s">
        <v>1431</v>
      </c>
      <c r="E16" s="7" t="s">
        <v>105</v>
      </c>
      <c r="F16" s="8" t="s">
        <v>105</v>
      </c>
      <c r="G16" s="4" t="s">
        <v>442</v>
      </c>
      <c r="H16" s="9" t="s">
        <v>196</v>
      </c>
      <c r="I16" s="5" t="s">
        <v>2089</v>
      </c>
      <c r="J16" s="5" t="s">
        <v>444</v>
      </c>
      <c r="K16" s="6">
        <f t="shared" si="0"/>
        <v>1</v>
      </c>
    </row>
    <row r="17" spans="1:11" ht="15" customHeight="1">
      <c r="A17" s="4">
        <v>9</v>
      </c>
      <c r="B17" s="5" t="s">
        <v>113</v>
      </c>
      <c r="C17" s="5" t="s">
        <v>69</v>
      </c>
      <c r="D17" s="5" t="s">
        <v>1432</v>
      </c>
      <c r="E17" s="7" t="s">
        <v>105</v>
      </c>
      <c r="F17" s="8" t="s">
        <v>105</v>
      </c>
      <c r="G17" s="4" t="s">
        <v>442</v>
      </c>
      <c r="H17" s="9" t="s">
        <v>196</v>
      </c>
      <c r="I17" s="5" t="s">
        <v>2089</v>
      </c>
      <c r="J17" s="5" t="s">
        <v>444</v>
      </c>
      <c r="K17" s="6">
        <f t="shared" si="0"/>
        <v>1</v>
      </c>
    </row>
    <row r="18" spans="1:11" ht="30" customHeight="1">
      <c r="A18" s="4">
        <v>10</v>
      </c>
      <c r="B18" s="5" t="s">
        <v>113</v>
      </c>
      <c r="C18" s="5" t="s">
        <v>69</v>
      </c>
      <c r="D18" s="5" t="s">
        <v>2091</v>
      </c>
      <c r="E18" s="7" t="s">
        <v>105</v>
      </c>
      <c r="F18" s="8" t="s">
        <v>105</v>
      </c>
      <c r="G18" s="4" t="s">
        <v>442</v>
      </c>
      <c r="H18" s="9" t="s">
        <v>196</v>
      </c>
      <c r="I18" s="5" t="s">
        <v>2089</v>
      </c>
      <c r="J18" s="5" t="s">
        <v>444</v>
      </c>
      <c r="K18" s="6">
        <f t="shared" si="0"/>
        <v>1</v>
      </c>
    </row>
    <row r="19" spans="1:11" ht="15" customHeight="1">
      <c r="A19" s="4">
        <v>11</v>
      </c>
      <c r="B19" s="5" t="s">
        <v>113</v>
      </c>
      <c r="C19" s="5" t="s">
        <v>69</v>
      </c>
      <c r="D19" s="5" t="s">
        <v>2092</v>
      </c>
      <c r="E19" s="7" t="s">
        <v>105</v>
      </c>
      <c r="F19" s="8" t="s">
        <v>105</v>
      </c>
      <c r="G19" s="4" t="s">
        <v>442</v>
      </c>
      <c r="H19" s="9" t="s">
        <v>196</v>
      </c>
      <c r="I19" s="5" t="s">
        <v>2089</v>
      </c>
      <c r="J19" s="5" t="s">
        <v>444</v>
      </c>
      <c r="K19" s="6">
        <f t="shared" si="0"/>
        <v>1</v>
      </c>
    </row>
    <row r="20" spans="1:11" ht="45" customHeight="1">
      <c r="A20" s="4">
        <v>12</v>
      </c>
      <c r="B20" s="5" t="s">
        <v>113</v>
      </c>
      <c r="C20" s="5" t="s">
        <v>69</v>
      </c>
      <c r="D20" s="5" t="s">
        <v>2093</v>
      </c>
      <c r="E20" s="7" t="s">
        <v>105</v>
      </c>
      <c r="F20" s="8" t="s">
        <v>105</v>
      </c>
      <c r="G20" s="4" t="s">
        <v>442</v>
      </c>
      <c r="H20" s="9" t="s">
        <v>196</v>
      </c>
      <c r="I20" s="5" t="s">
        <v>2089</v>
      </c>
      <c r="J20" s="5" t="s">
        <v>444</v>
      </c>
      <c r="K20" s="6">
        <f t="shared" si="0"/>
        <v>1</v>
      </c>
    </row>
    <row r="21" spans="1:11" ht="4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105</v>
      </c>
      <c r="G21" s="4" t="s">
        <v>442</v>
      </c>
      <c r="H21" s="9" t="s">
        <v>196</v>
      </c>
      <c r="I21" s="5" t="s">
        <v>2089</v>
      </c>
      <c r="J21" s="5" t="s">
        <v>444</v>
      </c>
      <c r="K21" s="6">
        <f t="shared" si="0"/>
        <v>1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105</v>
      </c>
      <c r="G22" s="4" t="s">
        <v>442</v>
      </c>
      <c r="H22" s="9" t="s">
        <v>196</v>
      </c>
      <c r="I22" s="5" t="s">
        <v>2089</v>
      </c>
      <c r="J22" s="5" t="s">
        <v>444</v>
      </c>
      <c r="K22" s="6">
        <f t="shared" si="0"/>
        <v>1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105</v>
      </c>
      <c r="G23" s="4" t="s">
        <v>442</v>
      </c>
      <c r="H23" s="9" t="s">
        <v>196</v>
      </c>
      <c r="I23" s="5" t="s">
        <v>2089</v>
      </c>
      <c r="J23" s="5" t="s">
        <v>444</v>
      </c>
      <c r="K23" s="6">
        <f t="shared" si="0"/>
        <v>1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105</v>
      </c>
      <c r="G24" s="4" t="s">
        <v>442</v>
      </c>
      <c r="H24" s="9" t="s">
        <v>196</v>
      </c>
      <c r="I24" s="5" t="s">
        <v>2089</v>
      </c>
      <c r="J24" s="5" t="s">
        <v>444</v>
      </c>
      <c r="K24" s="6">
        <f t="shared" si="0"/>
        <v>1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105</v>
      </c>
      <c r="G25" s="4" t="s">
        <v>442</v>
      </c>
      <c r="H25" s="9" t="s">
        <v>196</v>
      </c>
      <c r="I25" s="5" t="s">
        <v>2089</v>
      </c>
      <c r="J25" s="5" t="s">
        <v>444</v>
      </c>
      <c r="K25" s="6">
        <f t="shared" si="0"/>
        <v>1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105</v>
      </c>
      <c r="G26" s="4" t="s">
        <v>442</v>
      </c>
      <c r="H26" s="9" t="s">
        <v>196</v>
      </c>
      <c r="I26" s="5" t="s">
        <v>2089</v>
      </c>
      <c r="J26" s="5" t="s">
        <v>444</v>
      </c>
      <c r="K26" s="6">
        <f t="shared" si="0"/>
        <v>1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105</v>
      </c>
      <c r="G27" s="4" t="s">
        <v>442</v>
      </c>
      <c r="H27" s="9" t="s">
        <v>196</v>
      </c>
      <c r="I27" s="5" t="s">
        <v>2089</v>
      </c>
      <c r="J27" s="5" t="s">
        <v>444</v>
      </c>
      <c r="K27" s="6">
        <f t="shared" si="0"/>
        <v>1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105</v>
      </c>
      <c r="G28" s="4" t="s">
        <v>442</v>
      </c>
      <c r="H28" s="9" t="s">
        <v>196</v>
      </c>
      <c r="I28" s="5" t="s">
        <v>2089</v>
      </c>
      <c r="J28" s="5" t="s">
        <v>444</v>
      </c>
      <c r="K28" s="6">
        <f t="shared" si="0"/>
        <v>1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105</v>
      </c>
      <c r="G29" s="4" t="s">
        <v>442</v>
      </c>
      <c r="H29" s="9" t="s">
        <v>196</v>
      </c>
      <c r="I29" s="5" t="s">
        <v>2089</v>
      </c>
      <c r="J29" s="5" t="s">
        <v>444</v>
      </c>
      <c r="K29" s="6">
        <f t="shared" si="0"/>
        <v>1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2094</v>
      </c>
      <c r="E30" s="7" t="s">
        <v>105</v>
      </c>
      <c r="F30" s="8" t="s">
        <v>105</v>
      </c>
      <c r="G30" s="4" t="s">
        <v>442</v>
      </c>
      <c r="H30" s="9" t="s">
        <v>196</v>
      </c>
      <c r="I30" s="5" t="s">
        <v>2089</v>
      </c>
      <c r="J30" s="5" t="s">
        <v>444</v>
      </c>
      <c r="K30" s="6">
        <f t="shared" si="0"/>
        <v>1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2095</v>
      </c>
      <c r="E31" s="7" t="s">
        <v>105</v>
      </c>
      <c r="F31" s="8" t="s">
        <v>105</v>
      </c>
      <c r="G31" s="4" t="s">
        <v>442</v>
      </c>
      <c r="H31" s="9" t="s">
        <v>196</v>
      </c>
      <c r="I31" s="5" t="s">
        <v>2089</v>
      </c>
      <c r="J31" s="5" t="s">
        <v>444</v>
      </c>
      <c r="K31" s="6">
        <f t="shared" si="0"/>
        <v>1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2096</v>
      </c>
      <c r="E32" s="7" t="s">
        <v>105</v>
      </c>
      <c r="F32" s="8" t="s">
        <v>105</v>
      </c>
      <c r="G32" s="4" t="s">
        <v>442</v>
      </c>
      <c r="H32" s="9" t="s">
        <v>196</v>
      </c>
      <c r="I32" s="5" t="s">
        <v>2089</v>
      </c>
      <c r="J32" s="5" t="s">
        <v>444</v>
      </c>
      <c r="K32" s="6">
        <f t="shared" si="0"/>
        <v>1</v>
      </c>
    </row>
    <row r="33" spans="1:11" ht="15" customHeight="1">
      <c r="A33" s="4">
        <v>25</v>
      </c>
      <c r="B33" s="5" t="s">
        <v>135</v>
      </c>
      <c r="C33" s="5" t="s">
        <v>121</v>
      </c>
      <c r="D33" s="5" t="s">
        <v>140</v>
      </c>
      <c r="E33" s="7" t="s">
        <v>105</v>
      </c>
      <c r="F33" s="8" t="s">
        <v>105</v>
      </c>
      <c r="G33" s="4" t="s">
        <v>442</v>
      </c>
      <c r="H33" s="9" t="s">
        <v>196</v>
      </c>
      <c r="I33" s="5" t="s">
        <v>2089</v>
      </c>
      <c r="J33" s="5" t="s">
        <v>444</v>
      </c>
      <c r="K33" s="6">
        <f t="shared" si="0"/>
        <v>1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612</v>
      </c>
      <c r="E34" s="7" t="s">
        <v>105</v>
      </c>
      <c r="F34" s="8" t="s">
        <v>105</v>
      </c>
      <c r="G34" s="4" t="s">
        <v>442</v>
      </c>
      <c r="H34" s="9" t="s">
        <v>196</v>
      </c>
      <c r="I34" s="5" t="s">
        <v>2089</v>
      </c>
      <c r="J34" s="5" t="s">
        <v>444</v>
      </c>
      <c r="K34" s="6">
        <f t="shared" si="0"/>
        <v>1</v>
      </c>
    </row>
    <row r="35" spans="1:11" ht="45" customHeight="1">
      <c r="A35" s="4">
        <v>27</v>
      </c>
      <c r="B35" s="5" t="s">
        <v>135</v>
      </c>
      <c r="C35" s="5" t="s">
        <v>121</v>
      </c>
      <c r="D35" s="5" t="s">
        <v>610</v>
      </c>
      <c r="E35" s="7" t="s">
        <v>105</v>
      </c>
      <c r="F35" s="8" t="s">
        <v>105</v>
      </c>
      <c r="G35" s="4" t="s">
        <v>442</v>
      </c>
      <c r="H35" s="9" t="s">
        <v>196</v>
      </c>
      <c r="I35" s="5" t="s">
        <v>2089</v>
      </c>
      <c r="J35" s="5" t="s">
        <v>444</v>
      </c>
      <c r="K35" s="6">
        <f t="shared" si="0"/>
        <v>1</v>
      </c>
    </row>
    <row r="36" spans="1:11" ht="15" customHeight="1">
      <c r="A36" s="4">
        <v>28</v>
      </c>
      <c r="B36" s="5" t="s">
        <v>135</v>
      </c>
      <c r="C36" s="5" t="s">
        <v>121</v>
      </c>
      <c r="D36" s="5" t="s">
        <v>611</v>
      </c>
      <c r="E36" s="7" t="s">
        <v>105</v>
      </c>
      <c r="F36" s="8" t="s">
        <v>105</v>
      </c>
      <c r="G36" s="4" t="s">
        <v>442</v>
      </c>
      <c r="H36" s="9" t="s">
        <v>196</v>
      </c>
      <c r="I36" s="5" t="s">
        <v>2089</v>
      </c>
      <c r="J36" s="5" t="s">
        <v>444</v>
      </c>
      <c r="K36" s="6">
        <f t="shared" si="0"/>
        <v>1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1272</v>
      </c>
      <c r="E37" s="7" t="s">
        <v>105</v>
      </c>
      <c r="F37" s="8" t="s">
        <v>105</v>
      </c>
      <c r="G37" s="4" t="s">
        <v>442</v>
      </c>
      <c r="H37" s="9" t="s">
        <v>196</v>
      </c>
      <c r="I37" s="5" t="s">
        <v>2089</v>
      </c>
      <c r="J37" s="5" t="s">
        <v>444</v>
      </c>
      <c r="K37" s="6">
        <f t="shared" si="0"/>
        <v>1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142</v>
      </c>
      <c r="E38" s="7" t="s">
        <v>105</v>
      </c>
      <c r="F38" s="8" t="s">
        <v>105</v>
      </c>
      <c r="G38" s="4" t="s">
        <v>442</v>
      </c>
      <c r="H38" s="9" t="s">
        <v>196</v>
      </c>
      <c r="I38" s="5" t="s">
        <v>2089</v>
      </c>
      <c r="J38" s="5" t="s">
        <v>444</v>
      </c>
      <c r="K38" s="6">
        <f t="shared" si="0"/>
        <v>1</v>
      </c>
    </row>
    <row r="39" spans="1:11" ht="45" customHeight="1">
      <c r="A39" s="4">
        <v>31</v>
      </c>
      <c r="B39" s="5" t="s">
        <v>133</v>
      </c>
      <c r="C39" s="5" t="s">
        <v>121</v>
      </c>
      <c r="D39" s="5" t="s">
        <v>722</v>
      </c>
      <c r="E39" s="7" t="s">
        <v>105</v>
      </c>
      <c r="F39" s="8" t="s">
        <v>105</v>
      </c>
      <c r="G39" s="4" t="s">
        <v>442</v>
      </c>
      <c r="H39" s="9" t="s">
        <v>196</v>
      </c>
      <c r="I39" s="5" t="s">
        <v>2089</v>
      </c>
      <c r="J39" s="5" t="s">
        <v>444</v>
      </c>
      <c r="K39" s="6">
        <f t="shared" si="0"/>
        <v>1</v>
      </c>
    </row>
    <row r="40" spans="1:11" ht="45" customHeight="1">
      <c r="A40" s="4">
        <v>32</v>
      </c>
      <c r="B40" s="5" t="s">
        <v>133</v>
      </c>
      <c r="C40" s="5" t="s">
        <v>121</v>
      </c>
      <c r="D40" s="5" t="s">
        <v>960</v>
      </c>
      <c r="E40" s="7" t="s">
        <v>105</v>
      </c>
      <c r="F40" s="8" t="s">
        <v>105</v>
      </c>
      <c r="G40" s="4" t="s">
        <v>442</v>
      </c>
      <c r="H40" s="9" t="s">
        <v>196</v>
      </c>
      <c r="I40" s="5" t="s">
        <v>2089</v>
      </c>
      <c r="J40" s="5" t="s">
        <v>444</v>
      </c>
      <c r="K40" s="6">
        <f t="shared" si="0"/>
        <v>1</v>
      </c>
    </row>
    <row r="41" spans="1:11" ht="15" customHeight="1">
      <c r="A41" s="4">
        <v>33</v>
      </c>
      <c r="B41" s="5" t="s">
        <v>135</v>
      </c>
      <c r="C41" s="5" t="s">
        <v>121</v>
      </c>
      <c r="D41" s="5" t="s">
        <v>144</v>
      </c>
      <c r="E41" s="7" t="s">
        <v>105</v>
      </c>
      <c r="F41" s="8" t="s">
        <v>105</v>
      </c>
      <c r="G41" s="4" t="s">
        <v>442</v>
      </c>
      <c r="H41" s="9" t="s">
        <v>196</v>
      </c>
      <c r="I41" s="5" t="s">
        <v>2089</v>
      </c>
      <c r="J41" s="5" t="s">
        <v>444</v>
      </c>
      <c r="K41" s="6">
        <f t="shared" ref="K41:K72" si="1">IF(AND(E41="yes",F41="yes",H41="covered"),1,IF(H41="partial",0.5,0))</f>
        <v>1</v>
      </c>
    </row>
    <row r="42" spans="1:11" ht="15" customHeight="1">
      <c r="A42" s="4">
        <v>34</v>
      </c>
      <c r="B42" s="5" t="s">
        <v>135</v>
      </c>
      <c r="C42" s="5" t="s">
        <v>121</v>
      </c>
      <c r="D42" s="5" t="s">
        <v>616</v>
      </c>
      <c r="E42" s="7" t="s">
        <v>105</v>
      </c>
      <c r="F42" s="8" t="s">
        <v>105</v>
      </c>
      <c r="G42" s="4" t="s">
        <v>442</v>
      </c>
      <c r="H42" s="9" t="s">
        <v>196</v>
      </c>
      <c r="I42" s="5" t="s">
        <v>2089</v>
      </c>
      <c r="J42" s="5" t="s">
        <v>444</v>
      </c>
      <c r="K42" s="6">
        <f t="shared" si="1"/>
        <v>1</v>
      </c>
    </row>
    <row r="43" spans="1:11" ht="15" customHeight="1">
      <c r="A43" s="4">
        <v>35</v>
      </c>
      <c r="B43" s="5" t="s">
        <v>135</v>
      </c>
      <c r="C43" s="5" t="s">
        <v>121</v>
      </c>
      <c r="D43" s="5" t="s">
        <v>617</v>
      </c>
      <c r="E43" s="7" t="s">
        <v>105</v>
      </c>
      <c r="F43" s="8" t="s">
        <v>105</v>
      </c>
      <c r="G43" s="4" t="s">
        <v>442</v>
      </c>
      <c r="H43" s="9" t="s">
        <v>196</v>
      </c>
      <c r="I43" s="5" t="s">
        <v>2089</v>
      </c>
      <c r="J43" s="5" t="s">
        <v>444</v>
      </c>
      <c r="K43" s="6">
        <f t="shared" si="1"/>
        <v>1</v>
      </c>
    </row>
    <row r="44" spans="1:11" ht="15" customHeight="1">
      <c r="A44" s="4">
        <v>36</v>
      </c>
      <c r="B44" s="5" t="s">
        <v>133</v>
      </c>
      <c r="C44" s="5" t="s">
        <v>121</v>
      </c>
      <c r="D44" s="5" t="s">
        <v>2097</v>
      </c>
      <c r="E44" s="7" t="s">
        <v>105</v>
      </c>
      <c r="F44" s="8" t="s">
        <v>105</v>
      </c>
      <c r="G44" s="4" t="s">
        <v>442</v>
      </c>
      <c r="H44" s="9" t="s">
        <v>196</v>
      </c>
      <c r="I44" s="5" t="s">
        <v>2089</v>
      </c>
      <c r="J44" s="5" t="s">
        <v>444</v>
      </c>
      <c r="K44" s="6">
        <f t="shared" si="1"/>
        <v>1</v>
      </c>
    </row>
    <row r="45" spans="1:11" ht="15" customHeight="1">
      <c r="A45" s="4">
        <v>37</v>
      </c>
      <c r="B45" s="5" t="s">
        <v>120</v>
      </c>
      <c r="C45" s="5" t="s">
        <v>2098</v>
      </c>
      <c r="D45" s="5" t="s">
        <v>122</v>
      </c>
      <c r="E45" s="7" t="s">
        <v>105</v>
      </c>
      <c r="F45" s="8" t="s">
        <v>105</v>
      </c>
      <c r="G45" s="4" t="s">
        <v>442</v>
      </c>
      <c r="H45" s="9" t="s">
        <v>196</v>
      </c>
      <c r="I45" s="5" t="s">
        <v>2089</v>
      </c>
      <c r="J45" s="5" t="s">
        <v>444</v>
      </c>
      <c r="K45" s="6">
        <f t="shared" si="1"/>
        <v>1</v>
      </c>
    </row>
    <row r="46" spans="1:11" ht="45" customHeight="1">
      <c r="A46" s="4">
        <v>38</v>
      </c>
      <c r="B46" s="5" t="s">
        <v>120</v>
      </c>
      <c r="C46" s="5" t="s">
        <v>2098</v>
      </c>
      <c r="D46" s="5" t="s">
        <v>123</v>
      </c>
      <c r="E46" s="7" t="s">
        <v>105</v>
      </c>
      <c r="F46" s="8" t="s">
        <v>105</v>
      </c>
      <c r="G46" s="4" t="s">
        <v>442</v>
      </c>
      <c r="H46" s="9" t="s">
        <v>196</v>
      </c>
      <c r="I46" s="5" t="s">
        <v>2089</v>
      </c>
      <c r="J46" s="5" t="s">
        <v>444</v>
      </c>
      <c r="K46" s="6">
        <f t="shared" si="1"/>
        <v>1</v>
      </c>
    </row>
    <row r="47" spans="1:11" ht="45" customHeight="1">
      <c r="A47" s="4">
        <v>39</v>
      </c>
      <c r="B47" s="5" t="s">
        <v>124</v>
      </c>
      <c r="C47" s="5" t="s">
        <v>2098</v>
      </c>
      <c r="D47" s="5" t="s">
        <v>125</v>
      </c>
      <c r="E47" s="7" t="s">
        <v>105</v>
      </c>
      <c r="F47" s="8" t="s">
        <v>105</v>
      </c>
      <c r="G47" s="4" t="s">
        <v>442</v>
      </c>
      <c r="H47" s="9" t="s">
        <v>196</v>
      </c>
      <c r="I47" s="5" t="s">
        <v>2089</v>
      </c>
      <c r="J47" s="5" t="s">
        <v>444</v>
      </c>
      <c r="K47" s="6">
        <f t="shared" si="1"/>
        <v>1</v>
      </c>
    </row>
    <row r="48" spans="1:11" ht="15" customHeight="1">
      <c r="A48" s="4">
        <v>40</v>
      </c>
      <c r="B48" s="5" t="s">
        <v>124</v>
      </c>
      <c r="C48" s="5" t="s">
        <v>2098</v>
      </c>
      <c r="D48" s="5" t="s">
        <v>126</v>
      </c>
      <c r="E48" s="7" t="s">
        <v>105</v>
      </c>
      <c r="F48" s="8" t="s">
        <v>105</v>
      </c>
      <c r="G48" s="4" t="s">
        <v>442</v>
      </c>
      <c r="H48" s="9" t="s">
        <v>196</v>
      </c>
      <c r="I48" s="5" t="s">
        <v>2089</v>
      </c>
      <c r="J48" s="5" t="s">
        <v>444</v>
      </c>
      <c r="K48" s="6">
        <f t="shared" si="1"/>
        <v>1</v>
      </c>
    </row>
    <row r="49" spans="1:11" ht="30" customHeight="1">
      <c r="A49" s="4">
        <v>41</v>
      </c>
      <c r="B49" s="5" t="s">
        <v>95</v>
      </c>
      <c r="C49" s="5" t="s">
        <v>2098</v>
      </c>
      <c r="D49" s="5" t="s">
        <v>127</v>
      </c>
      <c r="E49" s="7" t="s">
        <v>105</v>
      </c>
      <c r="F49" s="8" t="s">
        <v>105</v>
      </c>
      <c r="G49" s="4" t="s">
        <v>442</v>
      </c>
      <c r="H49" s="9" t="s">
        <v>196</v>
      </c>
      <c r="I49" s="5" t="s">
        <v>2089</v>
      </c>
      <c r="J49" s="5" t="s">
        <v>444</v>
      </c>
      <c r="K49" s="6">
        <f t="shared" si="1"/>
        <v>1</v>
      </c>
    </row>
    <row r="50" spans="1:11" ht="15" customHeight="1">
      <c r="A50" s="4">
        <v>42</v>
      </c>
      <c r="B50" s="5" t="s">
        <v>128</v>
      </c>
      <c r="C50" s="5" t="s">
        <v>2098</v>
      </c>
      <c r="D50" s="5" t="s">
        <v>129</v>
      </c>
      <c r="E50" s="7" t="s">
        <v>105</v>
      </c>
      <c r="F50" s="8" t="s">
        <v>105</v>
      </c>
      <c r="G50" s="4" t="s">
        <v>442</v>
      </c>
      <c r="H50" s="9" t="s">
        <v>196</v>
      </c>
      <c r="I50" s="5" t="s">
        <v>2089</v>
      </c>
      <c r="J50" s="5" t="s">
        <v>444</v>
      </c>
      <c r="K50" s="6">
        <f t="shared" si="1"/>
        <v>1</v>
      </c>
    </row>
    <row r="51" spans="1:11" ht="15" customHeight="1">
      <c r="A51" s="4">
        <v>43</v>
      </c>
      <c r="B51" s="5" t="s">
        <v>130</v>
      </c>
      <c r="C51" s="5" t="s">
        <v>2098</v>
      </c>
      <c r="D51" s="5" t="s">
        <v>131</v>
      </c>
      <c r="E51" s="7" t="s">
        <v>105</v>
      </c>
      <c r="F51" s="8" t="s">
        <v>105</v>
      </c>
      <c r="G51" s="4" t="s">
        <v>442</v>
      </c>
      <c r="H51" s="9" t="s">
        <v>196</v>
      </c>
      <c r="I51" s="5" t="s">
        <v>2089</v>
      </c>
      <c r="J51" s="5" t="s">
        <v>444</v>
      </c>
      <c r="K51" s="6">
        <f t="shared" si="1"/>
        <v>1</v>
      </c>
    </row>
    <row r="52" spans="1:11" ht="15" customHeight="1">
      <c r="A52" s="4">
        <v>44</v>
      </c>
      <c r="B52" s="5" t="s">
        <v>130</v>
      </c>
      <c r="C52" s="5" t="s">
        <v>2098</v>
      </c>
      <c r="D52" s="5" t="s">
        <v>132</v>
      </c>
      <c r="E52" s="7" t="s">
        <v>105</v>
      </c>
      <c r="F52" s="8" t="s">
        <v>105</v>
      </c>
      <c r="G52" s="4" t="s">
        <v>442</v>
      </c>
      <c r="H52" s="9" t="s">
        <v>196</v>
      </c>
      <c r="I52" s="5" t="s">
        <v>2089</v>
      </c>
      <c r="J52" s="5" t="s">
        <v>444</v>
      </c>
      <c r="K52" s="6">
        <f t="shared" si="1"/>
        <v>1</v>
      </c>
    </row>
    <row r="53" spans="1:11" ht="15" customHeight="1">
      <c r="A53" s="4">
        <v>45</v>
      </c>
      <c r="B53" s="5" t="s">
        <v>133</v>
      </c>
      <c r="C53" s="5" t="s">
        <v>2098</v>
      </c>
      <c r="D53" s="5" t="s">
        <v>142</v>
      </c>
      <c r="E53" s="7" t="s">
        <v>105</v>
      </c>
      <c r="F53" s="8" t="s">
        <v>105</v>
      </c>
      <c r="G53" s="4" t="s">
        <v>442</v>
      </c>
      <c r="H53" s="9" t="s">
        <v>196</v>
      </c>
      <c r="I53" s="5" t="s">
        <v>2089</v>
      </c>
      <c r="J53" s="5" t="s">
        <v>444</v>
      </c>
      <c r="K53" s="6">
        <f t="shared" si="1"/>
        <v>1</v>
      </c>
    </row>
    <row r="54" spans="1:11" ht="15" customHeight="1">
      <c r="A54" s="4">
        <v>46</v>
      </c>
      <c r="B54" s="5" t="s">
        <v>133</v>
      </c>
      <c r="C54" s="5" t="s">
        <v>2098</v>
      </c>
      <c r="D54" s="5" t="s">
        <v>1359</v>
      </c>
      <c r="E54" s="7" t="s">
        <v>105</v>
      </c>
      <c r="F54" s="8" t="s">
        <v>105</v>
      </c>
      <c r="G54" s="4" t="s">
        <v>442</v>
      </c>
      <c r="H54" s="9" t="s">
        <v>196</v>
      </c>
      <c r="I54" s="5" t="s">
        <v>2089</v>
      </c>
      <c r="J54" s="5" t="s">
        <v>444</v>
      </c>
      <c r="K54" s="6">
        <f t="shared" si="1"/>
        <v>1</v>
      </c>
    </row>
    <row r="55" spans="1:11" ht="15" customHeight="1">
      <c r="A55" s="4">
        <v>47</v>
      </c>
      <c r="B55" s="5" t="s">
        <v>133</v>
      </c>
      <c r="C55" s="5" t="s">
        <v>2098</v>
      </c>
      <c r="D55" s="5" t="s">
        <v>1842</v>
      </c>
      <c r="E55" s="7" t="s">
        <v>105</v>
      </c>
      <c r="F55" s="8" t="s">
        <v>105</v>
      </c>
      <c r="G55" s="4" t="s">
        <v>442</v>
      </c>
      <c r="H55" s="9" t="s">
        <v>196</v>
      </c>
      <c r="I55" s="5" t="s">
        <v>2089</v>
      </c>
      <c r="J55" s="5" t="s">
        <v>444</v>
      </c>
      <c r="K55" s="6">
        <f t="shared" si="1"/>
        <v>1</v>
      </c>
    </row>
    <row r="56" spans="1:11" ht="45" customHeight="1">
      <c r="A56" s="4">
        <v>48</v>
      </c>
      <c r="B56" s="5" t="s">
        <v>133</v>
      </c>
      <c r="C56" s="5" t="s">
        <v>2098</v>
      </c>
      <c r="D56" s="5" t="s">
        <v>2099</v>
      </c>
      <c r="E56" s="7" t="s">
        <v>105</v>
      </c>
      <c r="F56" s="8" t="s">
        <v>105</v>
      </c>
      <c r="G56" s="4" t="s">
        <v>442</v>
      </c>
      <c r="H56" s="9" t="s">
        <v>196</v>
      </c>
      <c r="I56" s="5" t="s">
        <v>2089</v>
      </c>
      <c r="J56" s="5" t="s">
        <v>444</v>
      </c>
      <c r="K56" s="6">
        <f t="shared" si="1"/>
        <v>1</v>
      </c>
    </row>
    <row r="57" spans="1:11" ht="30" customHeight="1">
      <c r="A57" s="4">
        <v>49</v>
      </c>
      <c r="B57" s="5" t="s">
        <v>153</v>
      </c>
      <c r="C57" s="5" t="s">
        <v>154</v>
      </c>
      <c r="D57" s="5" t="s">
        <v>1303</v>
      </c>
      <c r="E57" s="7" t="s">
        <v>105</v>
      </c>
      <c r="F57" s="8" t="s">
        <v>105</v>
      </c>
      <c r="G57" s="4" t="s">
        <v>442</v>
      </c>
      <c r="H57" s="9" t="s">
        <v>196</v>
      </c>
      <c r="I57" s="5" t="s">
        <v>2089</v>
      </c>
      <c r="J57" s="5" t="s">
        <v>444</v>
      </c>
      <c r="K57" s="6">
        <f t="shared" si="1"/>
        <v>1</v>
      </c>
    </row>
    <row r="58" spans="1:11" ht="15" customHeight="1">
      <c r="A58" s="4">
        <v>50</v>
      </c>
      <c r="B58" s="5" t="s">
        <v>153</v>
      </c>
      <c r="C58" s="5" t="s">
        <v>154</v>
      </c>
      <c r="D58" s="5" t="s">
        <v>621</v>
      </c>
      <c r="E58" s="7" t="s">
        <v>105</v>
      </c>
      <c r="F58" s="8" t="s">
        <v>105</v>
      </c>
      <c r="G58" s="4" t="s">
        <v>442</v>
      </c>
      <c r="H58" s="9" t="s">
        <v>196</v>
      </c>
      <c r="I58" s="5" t="s">
        <v>2089</v>
      </c>
      <c r="J58" s="5" t="s">
        <v>444</v>
      </c>
      <c r="K58" s="6">
        <f t="shared" si="1"/>
        <v>1</v>
      </c>
    </row>
    <row r="59" spans="1:11" ht="15" customHeight="1">
      <c r="A59" s="4">
        <v>51</v>
      </c>
      <c r="B59" s="5" t="s">
        <v>153</v>
      </c>
      <c r="C59" s="5" t="s">
        <v>154</v>
      </c>
      <c r="D59" s="5" t="s">
        <v>2100</v>
      </c>
      <c r="E59" s="7" t="s">
        <v>105</v>
      </c>
      <c r="F59" s="8" t="s">
        <v>105</v>
      </c>
      <c r="G59" s="4" t="s">
        <v>442</v>
      </c>
      <c r="H59" s="9" t="s">
        <v>196</v>
      </c>
      <c r="I59" s="5" t="s">
        <v>2089</v>
      </c>
      <c r="J59" s="5" t="s">
        <v>444</v>
      </c>
      <c r="K59" s="6">
        <f t="shared" si="1"/>
        <v>1</v>
      </c>
    </row>
    <row r="60" spans="1:11" ht="15" customHeight="1">
      <c r="A60" s="4">
        <v>52</v>
      </c>
      <c r="B60" s="5" t="s">
        <v>153</v>
      </c>
      <c r="C60" s="5" t="s">
        <v>154</v>
      </c>
      <c r="D60" s="5" t="s">
        <v>622</v>
      </c>
      <c r="E60" s="7" t="s">
        <v>105</v>
      </c>
      <c r="F60" s="8" t="s">
        <v>105</v>
      </c>
      <c r="G60" s="4" t="s">
        <v>442</v>
      </c>
      <c r="H60" s="9" t="s">
        <v>196</v>
      </c>
      <c r="I60" s="5" t="s">
        <v>2089</v>
      </c>
      <c r="J60" s="5" t="s">
        <v>444</v>
      </c>
      <c r="K60" s="6">
        <f t="shared" si="1"/>
        <v>1</v>
      </c>
    </row>
    <row r="61" spans="1:11" ht="15" customHeight="1">
      <c r="A61" s="4">
        <v>53</v>
      </c>
      <c r="B61" s="5" t="s">
        <v>153</v>
      </c>
      <c r="C61" s="5" t="s">
        <v>154</v>
      </c>
      <c r="D61" s="5" t="s">
        <v>623</v>
      </c>
      <c r="E61" s="7" t="s">
        <v>105</v>
      </c>
      <c r="F61" s="8" t="s">
        <v>105</v>
      </c>
      <c r="G61" s="4" t="s">
        <v>442</v>
      </c>
      <c r="H61" s="9" t="s">
        <v>196</v>
      </c>
      <c r="I61" s="5" t="s">
        <v>2089</v>
      </c>
      <c r="J61" s="5" t="s">
        <v>444</v>
      </c>
      <c r="K61" s="6">
        <f t="shared" si="1"/>
        <v>1</v>
      </c>
    </row>
    <row r="62" spans="1:11" ht="15" customHeight="1">
      <c r="A62" s="4">
        <v>54</v>
      </c>
      <c r="B62" s="5" t="s">
        <v>159</v>
      </c>
      <c r="C62" s="5" t="s">
        <v>154</v>
      </c>
      <c r="D62" s="5" t="s">
        <v>2101</v>
      </c>
      <c r="E62" s="7" t="s">
        <v>105</v>
      </c>
      <c r="F62" s="8" t="s">
        <v>105</v>
      </c>
      <c r="G62" s="4" t="s">
        <v>442</v>
      </c>
      <c r="H62" s="9" t="s">
        <v>196</v>
      </c>
      <c r="I62" s="5" t="s">
        <v>2089</v>
      </c>
      <c r="J62" s="5" t="s">
        <v>444</v>
      </c>
      <c r="K62" s="6">
        <f t="shared" si="1"/>
        <v>1</v>
      </c>
    </row>
    <row r="63" spans="1:11" ht="15" customHeight="1">
      <c r="A63" s="4">
        <v>55</v>
      </c>
      <c r="B63" s="5" t="s">
        <v>159</v>
      </c>
      <c r="C63" s="5" t="s">
        <v>154</v>
      </c>
      <c r="D63" s="5" t="s">
        <v>1362</v>
      </c>
      <c r="E63" s="7" t="s">
        <v>105</v>
      </c>
      <c r="F63" s="8" t="s">
        <v>105</v>
      </c>
      <c r="G63" s="4" t="s">
        <v>442</v>
      </c>
      <c r="H63" s="9" t="s">
        <v>196</v>
      </c>
      <c r="I63" s="5" t="s">
        <v>2089</v>
      </c>
      <c r="J63" s="5" t="s">
        <v>444</v>
      </c>
      <c r="K63" s="6">
        <f t="shared" si="1"/>
        <v>1</v>
      </c>
    </row>
    <row r="64" spans="1:11" ht="15" customHeight="1">
      <c r="A64" s="4">
        <v>56</v>
      </c>
      <c r="B64" s="5" t="s">
        <v>159</v>
      </c>
      <c r="C64" s="5" t="s">
        <v>154</v>
      </c>
      <c r="D64" s="5" t="s">
        <v>160</v>
      </c>
      <c r="E64" s="7" t="s">
        <v>105</v>
      </c>
      <c r="F64" s="8" t="s">
        <v>105</v>
      </c>
      <c r="G64" s="4" t="s">
        <v>442</v>
      </c>
      <c r="H64" s="9" t="s">
        <v>196</v>
      </c>
      <c r="I64" s="5" t="s">
        <v>2089</v>
      </c>
      <c r="J64" s="5" t="s">
        <v>444</v>
      </c>
      <c r="K64" s="6">
        <f t="shared" si="1"/>
        <v>1</v>
      </c>
    </row>
    <row r="65" spans="1:11" ht="30" customHeight="1">
      <c r="A65" s="4">
        <v>57</v>
      </c>
      <c r="B65" s="5" t="s">
        <v>159</v>
      </c>
      <c r="C65" s="5" t="s">
        <v>154</v>
      </c>
      <c r="D65" s="5" t="s">
        <v>1364</v>
      </c>
      <c r="E65" s="7" t="s">
        <v>105</v>
      </c>
      <c r="F65" s="8" t="s">
        <v>105</v>
      </c>
      <c r="G65" s="4" t="s">
        <v>442</v>
      </c>
      <c r="H65" s="9" t="s">
        <v>196</v>
      </c>
      <c r="I65" s="5" t="s">
        <v>2089</v>
      </c>
      <c r="J65" s="5" t="s">
        <v>444</v>
      </c>
      <c r="K65" s="6">
        <f t="shared" si="1"/>
        <v>1</v>
      </c>
    </row>
    <row r="66" spans="1:11" ht="30" customHeight="1">
      <c r="A66" s="4">
        <v>58</v>
      </c>
      <c r="B66" s="5" t="s">
        <v>159</v>
      </c>
      <c r="C66" s="5" t="s">
        <v>154</v>
      </c>
      <c r="D66" s="5" t="s">
        <v>989</v>
      </c>
      <c r="E66" s="7" t="s">
        <v>105</v>
      </c>
      <c r="F66" s="8" t="s">
        <v>105</v>
      </c>
      <c r="G66" s="4" t="s">
        <v>442</v>
      </c>
      <c r="H66" s="9" t="s">
        <v>196</v>
      </c>
      <c r="I66" s="5" t="s">
        <v>2089</v>
      </c>
      <c r="J66" s="5" t="s">
        <v>444</v>
      </c>
      <c r="K66" s="6">
        <f t="shared" si="1"/>
        <v>1</v>
      </c>
    </row>
    <row r="67" spans="1:11" ht="15" customHeight="1">
      <c r="A67" s="4">
        <v>59</v>
      </c>
      <c r="B67" s="5" t="s">
        <v>159</v>
      </c>
      <c r="C67" s="5" t="s">
        <v>154</v>
      </c>
      <c r="D67" s="5" t="s">
        <v>624</v>
      </c>
      <c r="E67" s="7" t="s">
        <v>105</v>
      </c>
      <c r="F67" s="8" t="s">
        <v>105</v>
      </c>
      <c r="G67" s="4" t="s">
        <v>442</v>
      </c>
      <c r="H67" s="9" t="s">
        <v>196</v>
      </c>
      <c r="I67" s="5" t="s">
        <v>2089</v>
      </c>
      <c r="J67" s="5" t="s">
        <v>444</v>
      </c>
      <c r="K67" s="6">
        <f t="shared" si="1"/>
        <v>1</v>
      </c>
    </row>
    <row r="68" spans="1:11" ht="15" customHeight="1">
      <c r="A68" s="4">
        <v>60</v>
      </c>
      <c r="B68" s="5" t="s">
        <v>159</v>
      </c>
      <c r="C68" s="5" t="s">
        <v>154</v>
      </c>
      <c r="D68" s="5" t="s">
        <v>1844</v>
      </c>
      <c r="E68" s="7" t="s">
        <v>105</v>
      </c>
      <c r="F68" s="8" t="s">
        <v>105</v>
      </c>
      <c r="G68" s="4" t="s">
        <v>442</v>
      </c>
      <c r="H68" s="9" t="s">
        <v>196</v>
      </c>
      <c r="I68" s="5" t="s">
        <v>2089</v>
      </c>
      <c r="J68" s="5" t="s">
        <v>444</v>
      </c>
      <c r="K68" s="6">
        <f t="shared" si="1"/>
        <v>1</v>
      </c>
    </row>
    <row r="69" spans="1:11" ht="30" customHeight="1">
      <c r="A69" s="4">
        <v>61</v>
      </c>
      <c r="B69" s="5" t="s">
        <v>159</v>
      </c>
      <c r="C69" s="5" t="s">
        <v>154</v>
      </c>
      <c r="D69" s="5" t="s">
        <v>2102</v>
      </c>
      <c r="E69" s="7" t="s">
        <v>105</v>
      </c>
      <c r="F69" s="8" t="s">
        <v>105</v>
      </c>
      <c r="G69" s="4" t="s">
        <v>442</v>
      </c>
      <c r="H69" s="9" t="s">
        <v>196</v>
      </c>
      <c r="I69" s="5" t="s">
        <v>2089</v>
      </c>
      <c r="J69" s="5" t="s">
        <v>444</v>
      </c>
      <c r="K69" s="6">
        <f t="shared" si="1"/>
        <v>1</v>
      </c>
    </row>
    <row r="70" spans="1:11" ht="15" customHeight="1">
      <c r="A70" s="4">
        <v>62</v>
      </c>
      <c r="B70" s="5" t="s">
        <v>159</v>
      </c>
      <c r="C70" s="5" t="s">
        <v>154</v>
      </c>
      <c r="D70" s="5" t="s">
        <v>625</v>
      </c>
      <c r="E70" s="7" t="s">
        <v>105</v>
      </c>
      <c r="F70" s="8" t="s">
        <v>105</v>
      </c>
      <c r="G70" s="4" t="s">
        <v>442</v>
      </c>
      <c r="H70" s="9" t="s">
        <v>196</v>
      </c>
      <c r="I70" s="5" t="s">
        <v>2089</v>
      </c>
      <c r="J70" s="5" t="s">
        <v>444</v>
      </c>
      <c r="K70" s="6">
        <f t="shared" si="1"/>
        <v>1</v>
      </c>
    </row>
    <row r="71" spans="1:11" ht="15" customHeight="1">
      <c r="A71" s="4">
        <v>63</v>
      </c>
      <c r="B71" s="5" t="s">
        <v>159</v>
      </c>
      <c r="C71" s="5" t="s">
        <v>154</v>
      </c>
      <c r="D71" s="5" t="s">
        <v>162</v>
      </c>
      <c r="E71" s="7" t="s">
        <v>105</v>
      </c>
      <c r="F71" s="8" t="s">
        <v>105</v>
      </c>
      <c r="G71" s="4" t="s">
        <v>442</v>
      </c>
      <c r="H71" s="9" t="s">
        <v>196</v>
      </c>
      <c r="I71" s="5" t="s">
        <v>2089</v>
      </c>
      <c r="J71" s="5" t="s">
        <v>444</v>
      </c>
      <c r="K71" s="6">
        <f t="shared" si="1"/>
        <v>1</v>
      </c>
    </row>
    <row r="72" spans="1:11" ht="15" customHeight="1">
      <c r="A72" s="4">
        <v>64</v>
      </c>
      <c r="B72" s="5" t="s">
        <v>135</v>
      </c>
      <c r="C72" s="5" t="s">
        <v>121</v>
      </c>
      <c r="D72" s="5" t="s">
        <v>169</v>
      </c>
      <c r="E72" s="7" t="s">
        <v>105</v>
      </c>
      <c r="F72" s="8" t="s">
        <v>105</v>
      </c>
      <c r="G72" s="4" t="s">
        <v>442</v>
      </c>
      <c r="H72" s="9" t="s">
        <v>196</v>
      </c>
      <c r="I72" s="5" t="s">
        <v>2089</v>
      </c>
      <c r="J72" s="5" t="s">
        <v>444</v>
      </c>
      <c r="K72" s="6">
        <f t="shared" si="1"/>
        <v>1</v>
      </c>
    </row>
    <row r="73" spans="1:11" ht="15" customHeight="1">
      <c r="A73" s="4">
        <v>65</v>
      </c>
      <c r="B73" s="5" t="s">
        <v>135</v>
      </c>
      <c r="C73" s="5" t="s">
        <v>121</v>
      </c>
      <c r="D73" s="5" t="s">
        <v>170</v>
      </c>
      <c r="E73" s="7" t="s">
        <v>105</v>
      </c>
      <c r="F73" s="8" t="s">
        <v>105</v>
      </c>
      <c r="G73" s="4" t="s">
        <v>442</v>
      </c>
      <c r="H73" s="9" t="s">
        <v>196</v>
      </c>
      <c r="I73" s="5" t="s">
        <v>2089</v>
      </c>
      <c r="J73" s="5" t="s">
        <v>444</v>
      </c>
      <c r="K73" s="6">
        <f t="shared" ref="K73:K79" si="2">IF(AND(E73="yes",F73="yes",H73="covered"),1,IF(H73="partial",0.5,0))</f>
        <v>1</v>
      </c>
    </row>
    <row r="74" spans="1:11" ht="30" customHeight="1">
      <c r="A74" s="4">
        <v>66</v>
      </c>
      <c r="B74" s="5" t="s">
        <v>135</v>
      </c>
      <c r="C74" s="5" t="s">
        <v>121</v>
      </c>
      <c r="D74" s="5" t="s">
        <v>171</v>
      </c>
      <c r="E74" s="7" t="s">
        <v>105</v>
      </c>
      <c r="F74" s="8" t="s">
        <v>105</v>
      </c>
      <c r="G74" s="4" t="s">
        <v>442</v>
      </c>
      <c r="H74" s="9" t="s">
        <v>196</v>
      </c>
      <c r="I74" s="5" t="s">
        <v>2089</v>
      </c>
      <c r="J74" s="5" t="s">
        <v>444</v>
      </c>
      <c r="K74" s="6">
        <f t="shared" si="2"/>
        <v>1</v>
      </c>
    </row>
    <row r="75" spans="1:11" ht="15" customHeight="1">
      <c r="A75" s="4">
        <v>67</v>
      </c>
      <c r="B75" s="5" t="s">
        <v>135</v>
      </c>
      <c r="C75" s="5" t="s">
        <v>69</v>
      </c>
      <c r="D75" s="5" t="s">
        <v>627</v>
      </c>
      <c r="E75" s="7" t="s">
        <v>105</v>
      </c>
      <c r="F75" s="8" t="s">
        <v>105</v>
      </c>
      <c r="G75" s="4" t="s">
        <v>442</v>
      </c>
      <c r="H75" s="9" t="s">
        <v>196</v>
      </c>
      <c r="I75" s="5" t="s">
        <v>2089</v>
      </c>
      <c r="J75" s="5" t="s">
        <v>444</v>
      </c>
      <c r="K75" s="6">
        <f t="shared" si="2"/>
        <v>1</v>
      </c>
    </row>
    <row r="76" spans="1:11" ht="15" customHeight="1">
      <c r="A76" s="4">
        <v>68</v>
      </c>
      <c r="B76" s="5" t="s">
        <v>135</v>
      </c>
      <c r="C76" s="5" t="s">
        <v>69</v>
      </c>
      <c r="D76" s="5" t="s">
        <v>628</v>
      </c>
      <c r="E76" s="7" t="s">
        <v>105</v>
      </c>
      <c r="F76" s="8" t="s">
        <v>105</v>
      </c>
      <c r="G76" s="4" t="s">
        <v>442</v>
      </c>
      <c r="H76" s="9" t="s">
        <v>196</v>
      </c>
      <c r="I76" s="5" t="s">
        <v>2089</v>
      </c>
      <c r="J76" s="5" t="s">
        <v>444</v>
      </c>
      <c r="K76" s="6">
        <f t="shared" si="2"/>
        <v>1</v>
      </c>
    </row>
    <row r="77" spans="1:11" ht="15" customHeight="1">
      <c r="A77" s="4">
        <v>69</v>
      </c>
      <c r="B77" s="5" t="s">
        <v>135</v>
      </c>
      <c r="C77" s="5" t="s">
        <v>69</v>
      </c>
      <c r="D77" s="5" t="s">
        <v>629</v>
      </c>
      <c r="E77" s="7" t="s">
        <v>105</v>
      </c>
      <c r="F77" s="8" t="s">
        <v>105</v>
      </c>
      <c r="G77" s="4" t="s">
        <v>442</v>
      </c>
      <c r="H77" s="9" t="s">
        <v>196</v>
      </c>
      <c r="I77" s="5" t="s">
        <v>2089</v>
      </c>
      <c r="J77" s="5" t="s">
        <v>444</v>
      </c>
      <c r="K77" s="6">
        <f t="shared" si="2"/>
        <v>1</v>
      </c>
    </row>
    <row r="78" spans="1:11" ht="15" customHeight="1">
      <c r="A78" s="4">
        <v>70</v>
      </c>
      <c r="B78" s="5" t="s">
        <v>135</v>
      </c>
      <c r="C78" s="5" t="s">
        <v>69</v>
      </c>
      <c r="D78" s="5" t="s">
        <v>630</v>
      </c>
      <c r="E78" s="7" t="s">
        <v>105</v>
      </c>
      <c r="F78" s="8" t="s">
        <v>105</v>
      </c>
      <c r="G78" s="4" t="s">
        <v>442</v>
      </c>
      <c r="H78" s="9" t="s">
        <v>196</v>
      </c>
      <c r="I78" s="5" t="s">
        <v>2089</v>
      </c>
      <c r="J78" s="5" t="s">
        <v>444</v>
      </c>
      <c r="K78" s="6">
        <f t="shared" si="2"/>
        <v>1</v>
      </c>
    </row>
    <row r="79" spans="1:11" ht="15" customHeight="1">
      <c r="A79" s="4">
        <v>71</v>
      </c>
      <c r="B79" s="5" t="s">
        <v>591</v>
      </c>
      <c r="C79" s="5" t="s">
        <v>69</v>
      </c>
      <c r="D79" s="5" t="s">
        <v>631</v>
      </c>
      <c r="E79" s="7" t="s">
        <v>105</v>
      </c>
      <c r="F79" s="8" t="s">
        <v>105</v>
      </c>
      <c r="G79" s="4" t="s">
        <v>442</v>
      </c>
      <c r="H79" s="9" t="s">
        <v>196</v>
      </c>
      <c r="I79" s="5" t="s">
        <v>2089</v>
      </c>
      <c r="J79" s="5" t="s">
        <v>444</v>
      </c>
      <c r="K79" s="6">
        <f t="shared" si="2"/>
        <v>1</v>
      </c>
    </row>
    <row r="80" spans="1:11" ht="30" customHeight="1"/>
    <row r="81" ht="30" customHeight="1"/>
    <row r="82" ht="30" customHeight="1"/>
    <row r="83" ht="30" customHeight="1"/>
    <row r="84" ht="15" customHeight="1"/>
    <row r="85" ht="30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K144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2103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2</v>
      </c>
      <c r="I4" s="1" t="s">
        <v>11</v>
      </c>
      <c r="J4" s="2">
        <f>COUNTIFS(A9:A1000,"&lt;&gt;",E9:E1000,"yes",F9:F1000,"&lt;&gt;yes")+COUNTIFS(A9:A1000,"&lt;&gt;",E9:E1000,"yes",F9:F1000,"yes",H9:H1000,"untested")</f>
        <v>134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70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2104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70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2104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70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2104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70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2104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70</v>
      </c>
      <c r="D15" s="5" t="s">
        <v>2105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2104</v>
      </c>
      <c r="J15" s="5" t="s">
        <v>109</v>
      </c>
      <c r="K15" s="6">
        <f t="shared" si="0"/>
        <v>0</v>
      </c>
    </row>
    <row r="16" spans="1:11" ht="30" customHeight="1">
      <c r="A16" s="4">
        <v>8</v>
      </c>
      <c r="B16" s="5" t="s">
        <v>113</v>
      </c>
      <c r="C16" s="5" t="s">
        <v>70</v>
      </c>
      <c r="D16" s="5" t="s">
        <v>2106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2104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70</v>
      </c>
      <c r="D17" s="5" t="s">
        <v>2107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2104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70</v>
      </c>
      <c r="D18" s="5" t="s">
        <v>2108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2104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70</v>
      </c>
      <c r="D19" s="5" t="s">
        <v>2109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2104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70</v>
      </c>
      <c r="D20" s="5" t="s">
        <v>2110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2104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113</v>
      </c>
      <c r="C21" s="5" t="s">
        <v>70</v>
      </c>
      <c r="D21" s="5" t="s">
        <v>2111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2104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122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2104</v>
      </c>
      <c r="J22" s="5" t="s">
        <v>109</v>
      </c>
      <c r="K22" s="6">
        <f t="shared" si="0"/>
        <v>0</v>
      </c>
    </row>
    <row r="23" spans="1:11" ht="15" customHeight="1">
      <c r="A23" s="4">
        <v>15</v>
      </c>
      <c r="B23" s="5" t="s">
        <v>120</v>
      </c>
      <c r="C23" s="5" t="s">
        <v>121</v>
      </c>
      <c r="D23" s="5" t="s">
        <v>123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2104</v>
      </c>
      <c r="J23" s="5" t="s">
        <v>109</v>
      </c>
      <c r="K23" s="6">
        <f t="shared" si="0"/>
        <v>0</v>
      </c>
    </row>
    <row r="24" spans="1:11" ht="30" customHeight="1">
      <c r="A24" s="4">
        <v>16</v>
      </c>
      <c r="B24" s="5" t="s">
        <v>124</v>
      </c>
      <c r="C24" s="5" t="s">
        <v>121</v>
      </c>
      <c r="D24" s="5" t="s">
        <v>125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2104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124</v>
      </c>
      <c r="C25" s="5" t="s">
        <v>121</v>
      </c>
      <c r="D25" s="5" t="s">
        <v>126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2104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95</v>
      </c>
      <c r="C26" s="5" t="s">
        <v>121</v>
      </c>
      <c r="D26" s="5" t="s">
        <v>127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2104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128</v>
      </c>
      <c r="C27" s="5" t="s">
        <v>121</v>
      </c>
      <c r="D27" s="5" t="s">
        <v>129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2104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130</v>
      </c>
      <c r="C28" s="5" t="s">
        <v>121</v>
      </c>
      <c r="D28" s="5" t="s">
        <v>131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2104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130</v>
      </c>
      <c r="C29" s="5" t="s">
        <v>121</v>
      </c>
      <c r="D29" s="5" t="s">
        <v>132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2104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2112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2104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134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2104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2113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2104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2114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2104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133</v>
      </c>
      <c r="C34" s="5" t="s">
        <v>121</v>
      </c>
      <c r="D34" s="5" t="s">
        <v>2115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2104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133</v>
      </c>
      <c r="C35" s="5" t="s">
        <v>121</v>
      </c>
      <c r="D35" s="5" t="s">
        <v>2116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2104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133</v>
      </c>
      <c r="C36" s="5" t="s">
        <v>121</v>
      </c>
      <c r="D36" s="5" t="s">
        <v>966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2104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133</v>
      </c>
      <c r="C37" s="5" t="s">
        <v>121</v>
      </c>
      <c r="D37" s="5" t="s">
        <v>2117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2104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2118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2104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619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2104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135</v>
      </c>
      <c r="C40" s="5" t="s">
        <v>121</v>
      </c>
      <c r="D40" s="5" t="s">
        <v>2119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2104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135</v>
      </c>
      <c r="C41" s="5" t="s">
        <v>121</v>
      </c>
      <c r="D41" s="5" t="s">
        <v>2120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2104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133</v>
      </c>
      <c r="C42" s="5" t="s">
        <v>121</v>
      </c>
      <c r="D42" s="5" t="s">
        <v>142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2104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133</v>
      </c>
      <c r="C43" s="5" t="s">
        <v>121</v>
      </c>
      <c r="D43" s="5" t="s">
        <v>146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2104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133</v>
      </c>
      <c r="C44" s="5" t="s">
        <v>121</v>
      </c>
      <c r="D44" s="5" t="s">
        <v>2121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2104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133</v>
      </c>
      <c r="C45" s="5" t="s">
        <v>121</v>
      </c>
      <c r="D45" s="5" t="s">
        <v>1703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2104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133</v>
      </c>
      <c r="C46" s="5" t="s">
        <v>121</v>
      </c>
      <c r="D46" s="5" t="s">
        <v>2122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2104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120</v>
      </c>
      <c r="C47" s="5" t="s">
        <v>1096</v>
      </c>
      <c r="D47" s="5" t="s">
        <v>122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2104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1096</v>
      </c>
      <c r="D48" s="5" t="s">
        <v>123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2104</v>
      </c>
      <c r="J48" s="5" t="s">
        <v>109</v>
      </c>
      <c r="K48" s="6">
        <f t="shared" si="1"/>
        <v>0</v>
      </c>
    </row>
    <row r="49" spans="1:11" ht="30" customHeight="1">
      <c r="A49" s="4">
        <v>41</v>
      </c>
      <c r="B49" s="5" t="s">
        <v>124</v>
      </c>
      <c r="C49" s="5" t="s">
        <v>1096</v>
      </c>
      <c r="D49" s="5" t="s">
        <v>125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2104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124</v>
      </c>
      <c r="C50" s="5" t="s">
        <v>1096</v>
      </c>
      <c r="D50" s="5" t="s">
        <v>126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2104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95</v>
      </c>
      <c r="C51" s="5" t="s">
        <v>1096</v>
      </c>
      <c r="D51" s="5" t="s">
        <v>127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2104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128</v>
      </c>
      <c r="C52" s="5" t="s">
        <v>1096</v>
      </c>
      <c r="D52" s="5" t="s">
        <v>129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2104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133</v>
      </c>
      <c r="C53" s="5" t="s">
        <v>1096</v>
      </c>
      <c r="D53" s="5" t="s">
        <v>2123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2104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133</v>
      </c>
      <c r="C54" s="5" t="s">
        <v>1096</v>
      </c>
      <c r="D54" s="5" t="s">
        <v>2124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2104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133</v>
      </c>
      <c r="C55" s="5" t="s">
        <v>1096</v>
      </c>
      <c r="D55" s="5" t="s">
        <v>2116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2104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133</v>
      </c>
      <c r="C56" s="5" t="s">
        <v>1096</v>
      </c>
      <c r="D56" s="5" t="s">
        <v>2125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2104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133</v>
      </c>
      <c r="C57" s="5" t="s">
        <v>1096</v>
      </c>
      <c r="D57" s="5" t="s">
        <v>2126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2104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120</v>
      </c>
      <c r="C58" s="5" t="s">
        <v>1643</v>
      </c>
      <c r="D58" s="5" t="s">
        <v>122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2104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120</v>
      </c>
      <c r="C59" s="5" t="s">
        <v>1643</v>
      </c>
      <c r="D59" s="5" t="s">
        <v>123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2104</v>
      </c>
      <c r="J59" s="5" t="s">
        <v>109</v>
      </c>
      <c r="K59" s="6">
        <f t="shared" si="1"/>
        <v>0</v>
      </c>
    </row>
    <row r="60" spans="1:11" ht="30" customHeight="1">
      <c r="A60" s="4">
        <v>52</v>
      </c>
      <c r="B60" s="5" t="s">
        <v>124</v>
      </c>
      <c r="C60" s="5" t="s">
        <v>1643</v>
      </c>
      <c r="D60" s="5" t="s">
        <v>125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2104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124</v>
      </c>
      <c r="C61" s="5" t="s">
        <v>1643</v>
      </c>
      <c r="D61" s="5" t="s">
        <v>126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2104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95</v>
      </c>
      <c r="C62" s="5" t="s">
        <v>1643</v>
      </c>
      <c r="D62" s="5" t="s">
        <v>127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2104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128</v>
      </c>
      <c r="C63" s="5" t="s">
        <v>1643</v>
      </c>
      <c r="D63" s="5" t="s">
        <v>129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2104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130</v>
      </c>
      <c r="C64" s="5" t="s">
        <v>1643</v>
      </c>
      <c r="D64" s="5" t="s">
        <v>131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2104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130</v>
      </c>
      <c r="C65" s="5" t="s">
        <v>1643</v>
      </c>
      <c r="D65" s="5" t="s">
        <v>132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2104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133</v>
      </c>
      <c r="C66" s="5" t="s">
        <v>1643</v>
      </c>
      <c r="D66" s="5" t="s">
        <v>428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2104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713</v>
      </c>
      <c r="C67" s="5" t="s">
        <v>1643</v>
      </c>
      <c r="D67" s="5" t="s">
        <v>714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2104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713</v>
      </c>
      <c r="C68" s="5" t="s">
        <v>1643</v>
      </c>
      <c r="D68" s="5" t="s">
        <v>2127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2104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133</v>
      </c>
      <c r="C69" s="5" t="s">
        <v>1643</v>
      </c>
      <c r="D69" s="5" t="s">
        <v>2128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2104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133</v>
      </c>
      <c r="C70" s="5" t="s">
        <v>1643</v>
      </c>
      <c r="D70" s="5" t="s">
        <v>142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2104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133</v>
      </c>
      <c r="C71" s="5" t="s">
        <v>1643</v>
      </c>
      <c r="D71" s="5" t="s">
        <v>429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2104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133</v>
      </c>
      <c r="C72" s="5" t="s">
        <v>1643</v>
      </c>
      <c r="D72" s="5" t="s">
        <v>2122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2104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133</v>
      </c>
      <c r="C73" s="5" t="s">
        <v>1643</v>
      </c>
      <c r="D73" s="5" t="s">
        <v>2129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2104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133</v>
      </c>
      <c r="C74" s="5" t="s">
        <v>1643</v>
      </c>
      <c r="D74" s="5" t="s">
        <v>2130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2104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120</v>
      </c>
      <c r="C75" s="5" t="s">
        <v>322</v>
      </c>
      <c r="D75" s="5" t="s">
        <v>122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2104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120</v>
      </c>
      <c r="C76" s="5" t="s">
        <v>322</v>
      </c>
      <c r="D76" s="5" t="s">
        <v>123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2104</v>
      </c>
      <c r="J76" s="5" t="s">
        <v>109</v>
      </c>
      <c r="K76" s="6">
        <f t="shared" si="2"/>
        <v>0</v>
      </c>
    </row>
    <row r="77" spans="1:11" ht="30" customHeight="1">
      <c r="A77" s="4">
        <v>69</v>
      </c>
      <c r="B77" s="5" t="s">
        <v>124</v>
      </c>
      <c r="C77" s="5" t="s">
        <v>322</v>
      </c>
      <c r="D77" s="5" t="s">
        <v>125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2104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124</v>
      </c>
      <c r="C78" s="5" t="s">
        <v>322</v>
      </c>
      <c r="D78" s="5" t="s">
        <v>126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2104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95</v>
      </c>
      <c r="C79" s="5" t="s">
        <v>322</v>
      </c>
      <c r="D79" s="5" t="s">
        <v>127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2104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128</v>
      </c>
      <c r="C80" s="5" t="s">
        <v>322</v>
      </c>
      <c r="D80" s="5" t="s">
        <v>129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2104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130</v>
      </c>
      <c r="C81" s="5" t="s">
        <v>322</v>
      </c>
      <c r="D81" s="5" t="s">
        <v>131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2104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130</v>
      </c>
      <c r="C82" s="5" t="s">
        <v>322</v>
      </c>
      <c r="D82" s="5" t="s">
        <v>132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2104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133</v>
      </c>
      <c r="C83" s="5" t="s">
        <v>322</v>
      </c>
      <c r="D83" s="5" t="s">
        <v>142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2104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120</v>
      </c>
      <c r="C84" s="5" t="s">
        <v>340</v>
      </c>
      <c r="D84" s="5" t="s">
        <v>122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2104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120</v>
      </c>
      <c r="C85" s="5" t="s">
        <v>340</v>
      </c>
      <c r="D85" s="5" t="s">
        <v>123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2104</v>
      </c>
      <c r="J85" s="5" t="s">
        <v>109</v>
      </c>
      <c r="K85" s="6">
        <f t="shared" si="2"/>
        <v>0</v>
      </c>
    </row>
    <row r="86" spans="1:11" ht="30" customHeight="1">
      <c r="A86" s="4">
        <v>78</v>
      </c>
      <c r="B86" s="5" t="s">
        <v>124</v>
      </c>
      <c r="C86" s="5" t="s">
        <v>340</v>
      </c>
      <c r="D86" s="5" t="s">
        <v>125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2104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124</v>
      </c>
      <c r="C87" s="5" t="s">
        <v>340</v>
      </c>
      <c r="D87" s="5" t="s">
        <v>126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2104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95</v>
      </c>
      <c r="C88" s="5" t="s">
        <v>340</v>
      </c>
      <c r="D88" s="5" t="s">
        <v>127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2104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128</v>
      </c>
      <c r="C89" s="5" t="s">
        <v>340</v>
      </c>
      <c r="D89" s="5" t="s">
        <v>129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2104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130</v>
      </c>
      <c r="C90" s="5" t="s">
        <v>340</v>
      </c>
      <c r="D90" s="5" t="s">
        <v>131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2104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130</v>
      </c>
      <c r="C91" s="5" t="s">
        <v>340</v>
      </c>
      <c r="D91" s="5" t="s">
        <v>132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2104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133</v>
      </c>
      <c r="C92" s="5" t="s">
        <v>340</v>
      </c>
      <c r="D92" s="5" t="s">
        <v>142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2104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120</v>
      </c>
      <c r="C93" s="5" t="s">
        <v>1076</v>
      </c>
      <c r="D93" s="5" t="s">
        <v>122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2104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120</v>
      </c>
      <c r="C94" s="5" t="s">
        <v>1076</v>
      </c>
      <c r="D94" s="5" t="s">
        <v>123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2104</v>
      </c>
      <c r="J94" s="5" t="s">
        <v>109</v>
      </c>
      <c r="K94" s="6">
        <f t="shared" si="2"/>
        <v>0</v>
      </c>
    </row>
    <row r="95" spans="1:11" ht="30" customHeight="1">
      <c r="A95" s="4">
        <v>87</v>
      </c>
      <c r="B95" s="5" t="s">
        <v>124</v>
      </c>
      <c r="C95" s="5" t="s">
        <v>1076</v>
      </c>
      <c r="D95" s="5" t="s">
        <v>125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2104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124</v>
      </c>
      <c r="C96" s="5" t="s">
        <v>1076</v>
      </c>
      <c r="D96" s="5" t="s">
        <v>126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2104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95</v>
      </c>
      <c r="C97" s="5" t="s">
        <v>1076</v>
      </c>
      <c r="D97" s="5" t="s">
        <v>127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2104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128</v>
      </c>
      <c r="C98" s="5" t="s">
        <v>1076</v>
      </c>
      <c r="D98" s="5" t="s">
        <v>129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2104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130</v>
      </c>
      <c r="C99" s="5" t="s">
        <v>1076</v>
      </c>
      <c r="D99" s="5" t="s">
        <v>131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2104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130</v>
      </c>
      <c r="C100" s="5" t="s">
        <v>1076</v>
      </c>
      <c r="D100" s="5" t="s">
        <v>132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2104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539</v>
      </c>
      <c r="C101" s="5" t="s">
        <v>1076</v>
      </c>
      <c r="D101" s="5" t="s">
        <v>540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2104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133</v>
      </c>
      <c r="C102" s="5" t="s">
        <v>1076</v>
      </c>
      <c r="D102" s="5" t="s">
        <v>142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2104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120</v>
      </c>
      <c r="C103" s="5" t="s">
        <v>375</v>
      </c>
      <c r="D103" s="5" t="s">
        <v>122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2104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120</v>
      </c>
      <c r="C104" s="5" t="s">
        <v>375</v>
      </c>
      <c r="D104" s="5" t="s">
        <v>123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2104</v>
      </c>
      <c r="J104" s="5" t="s">
        <v>109</v>
      </c>
      <c r="K104" s="6">
        <f t="shared" si="2"/>
        <v>0</v>
      </c>
    </row>
    <row r="105" spans="1:11" ht="30" customHeight="1">
      <c r="A105" s="4">
        <v>97</v>
      </c>
      <c r="B105" s="5" t="s">
        <v>124</v>
      </c>
      <c r="C105" s="5" t="s">
        <v>375</v>
      </c>
      <c r="D105" s="5" t="s">
        <v>125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2104</v>
      </c>
      <c r="J105" s="5" t="s">
        <v>109</v>
      </c>
      <c r="K105" s="6">
        <f t="shared" ref="K105:K136" si="3">IF(AND(E105="yes",F105="yes",H105="covered"),1,IF(H105="partial",0.5,0))</f>
        <v>0</v>
      </c>
    </row>
    <row r="106" spans="1:11" ht="15" customHeight="1">
      <c r="A106" s="4">
        <v>98</v>
      </c>
      <c r="B106" s="5" t="s">
        <v>124</v>
      </c>
      <c r="C106" s="5" t="s">
        <v>375</v>
      </c>
      <c r="D106" s="5" t="s">
        <v>126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2104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95</v>
      </c>
      <c r="C107" s="5" t="s">
        <v>375</v>
      </c>
      <c r="D107" s="5" t="s">
        <v>127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2104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128</v>
      </c>
      <c r="C108" s="5" t="s">
        <v>375</v>
      </c>
      <c r="D108" s="5" t="s">
        <v>129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2104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130</v>
      </c>
      <c r="C109" s="5" t="s">
        <v>375</v>
      </c>
      <c r="D109" s="5" t="s">
        <v>131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2104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130</v>
      </c>
      <c r="C110" s="5" t="s">
        <v>375</v>
      </c>
      <c r="D110" s="5" t="s">
        <v>132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2104</v>
      </c>
      <c r="J110" s="5" t="s">
        <v>109</v>
      </c>
      <c r="K110" s="6">
        <f t="shared" si="3"/>
        <v>0</v>
      </c>
    </row>
    <row r="111" spans="1:11" ht="15" customHeight="1">
      <c r="A111" s="4">
        <v>103</v>
      </c>
      <c r="B111" s="5" t="s">
        <v>133</v>
      </c>
      <c r="C111" s="5" t="s">
        <v>375</v>
      </c>
      <c r="D111" s="5" t="s">
        <v>2131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2104</v>
      </c>
      <c r="J111" s="5" t="s">
        <v>109</v>
      </c>
      <c r="K111" s="6">
        <f t="shared" si="3"/>
        <v>0</v>
      </c>
    </row>
    <row r="112" spans="1:11" ht="15" customHeight="1">
      <c r="A112" s="4">
        <v>104</v>
      </c>
      <c r="B112" s="5" t="s">
        <v>133</v>
      </c>
      <c r="C112" s="5" t="s">
        <v>375</v>
      </c>
      <c r="D112" s="5" t="s">
        <v>142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2104</v>
      </c>
      <c r="J112" s="5" t="s">
        <v>109</v>
      </c>
      <c r="K112" s="6">
        <f t="shared" si="3"/>
        <v>0</v>
      </c>
    </row>
    <row r="113" spans="1:11" ht="15" customHeight="1">
      <c r="A113" s="4">
        <v>105</v>
      </c>
      <c r="B113" s="5" t="s">
        <v>120</v>
      </c>
      <c r="C113" s="5" t="s">
        <v>354</v>
      </c>
      <c r="D113" s="5" t="s">
        <v>122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2104</v>
      </c>
      <c r="J113" s="5" t="s">
        <v>109</v>
      </c>
      <c r="K113" s="6">
        <f t="shared" si="3"/>
        <v>0</v>
      </c>
    </row>
    <row r="114" spans="1:11" ht="15" customHeight="1">
      <c r="A114" s="4">
        <v>106</v>
      </c>
      <c r="B114" s="5" t="s">
        <v>120</v>
      </c>
      <c r="C114" s="5" t="s">
        <v>354</v>
      </c>
      <c r="D114" s="5" t="s">
        <v>123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2104</v>
      </c>
      <c r="J114" s="5" t="s">
        <v>109</v>
      </c>
      <c r="K114" s="6">
        <f t="shared" si="3"/>
        <v>0</v>
      </c>
    </row>
    <row r="115" spans="1:11" ht="30" customHeight="1">
      <c r="A115" s="4">
        <v>107</v>
      </c>
      <c r="B115" s="5" t="s">
        <v>124</v>
      </c>
      <c r="C115" s="5" t="s">
        <v>354</v>
      </c>
      <c r="D115" s="5" t="s">
        <v>125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2104</v>
      </c>
      <c r="J115" s="5" t="s">
        <v>109</v>
      </c>
      <c r="K115" s="6">
        <f t="shared" si="3"/>
        <v>0</v>
      </c>
    </row>
    <row r="116" spans="1:11" ht="15" customHeight="1">
      <c r="A116" s="4">
        <v>108</v>
      </c>
      <c r="B116" s="5" t="s">
        <v>124</v>
      </c>
      <c r="C116" s="5" t="s">
        <v>354</v>
      </c>
      <c r="D116" s="5" t="s">
        <v>126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2104</v>
      </c>
      <c r="J116" s="5" t="s">
        <v>109</v>
      </c>
      <c r="K116" s="6">
        <f t="shared" si="3"/>
        <v>0</v>
      </c>
    </row>
    <row r="117" spans="1:11" ht="15" customHeight="1">
      <c r="A117" s="4">
        <v>109</v>
      </c>
      <c r="B117" s="5" t="s">
        <v>95</v>
      </c>
      <c r="C117" s="5" t="s">
        <v>354</v>
      </c>
      <c r="D117" s="5" t="s">
        <v>127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2104</v>
      </c>
      <c r="J117" s="5" t="s">
        <v>109</v>
      </c>
      <c r="K117" s="6">
        <f t="shared" si="3"/>
        <v>0</v>
      </c>
    </row>
    <row r="118" spans="1:11" ht="15" customHeight="1">
      <c r="A118" s="4">
        <v>110</v>
      </c>
      <c r="B118" s="5" t="s">
        <v>128</v>
      </c>
      <c r="C118" s="5" t="s">
        <v>354</v>
      </c>
      <c r="D118" s="5" t="s">
        <v>129</v>
      </c>
      <c r="E118" s="7" t="s">
        <v>105</v>
      </c>
      <c r="F118" s="8" t="s">
        <v>97</v>
      </c>
      <c r="G118" s="4" t="s">
        <v>106</v>
      </c>
      <c r="H118" s="9" t="s">
        <v>107</v>
      </c>
      <c r="I118" s="5" t="s">
        <v>2104</v>
      </c>
      <c r="J118" s="5" t="s">
        <v>109</v>
      </c>
      <c r="K118" s="6">
        <f t="shared" si="3"/>
        <v>0</v>
      </c>
    </row>
    <row r="119" spans="1:11" ht="15" customHeight="1">
      <c r="A119" s="4">
        <v>111</v>
      </c>
      <c r="B119" s="5" t="s">
        <v>130</v>
      </c>
      <c r="C119" s="5" t="s">
        <v>354</v>
      </c>
      <c r="D119" s="5" t="s">
        <v>131</v>
      </c>
      <c r="E119" s="7" t="s">
        <v>105</v>
      </c>
      <c r="F119" s="8" t="s">
        <v>97</v>
      </c>
      <c r="G119" s="4" t="s">
        <v>106</v>
      </c>
      <c r="H119" s="9" t="s">
        <v>107</v>
      </c>
      <c r="I119" s="5" t="s">
        <v>2104</v>
      </c>
      <c r="J119" s="5" t="s">
        <v>109</v>
      </c>
      <c r="K119" s="6">
        <f t="shared" si="3"/>
        <v>0</v>
      </c>
    </row>
    <row r="120" spans="1:11" ht="15" customHeight="1">
      <c r="A120" s="4">
        <v>112</v>
      </c>
      <c r="B120" s="5" t="s">
        <v>130</v>
      </c>
      <c r="C120" s="5" t="s">
        <v>354</v>
      </c>
      <c r="D120" s="5" t="s">
        <v>132</v>
      </c>
      <c r="E120" s="7" t="s">
        <v>105</v>
      </c>
      <c r="F120" s="8" t="s">
        <v>97</v>
      </c>
      <c r="G120" s="4" t="s">
        <v>106</v>
      </c>
      <c r="H120" s="9" t="s">
        <v>107</v>
      </c>
      <c r="I120" s="5" t="s">
        <v>2104</v>
      </c>
      <c r="J120" s="5" t="s">
        <v>109</v>
      </c>
      <c r="K120" s="6">
        <f t="shared" si="3"/>
        <v>0</v>
      </c>
    </row>
    <row r="121" spans="1:11" ht="15" customHeight="1">
      <c r="A121" s="4">
        <v>113</v>
      </c>
      <c r="B121" s="5" t="s">
        <v>133</v>
      </c>
      <c r="C121" s="5" t="s">
        <v>354</v>
      </c>
      <c r="D121" s="5" t="s">
        <v>2131</v>
      </c>
      <c r="E121" s="7" t="s">
        <v>105</v>
      </c>
      <c r="F121" s="8" t="s">
        <v>97</v>
      </c>
      <c r="G121" s="4" t="s">
        <v>106</v>
      </c>
      <c r="H121" s="9" t="s">
        <v>107</v>
      </c>
      <c r="I121" s="5" t="s">
        <v>2104</v>
      </c>
      <c r="J121" s="5" t="s">
        <v>109</v>
      </c>
      <c r="K121" s="6">
        <f t="shared" si="3"/>
        <v>0</v>
      </c>
    </row>
    <row r="122" spans="1:11" ht="15" customHeight="1">
      <c r="A122" s="4">
        <v>114</v>
      </c>
      <c r="B122" s="5" t="s">
        <v>133</v>
      </c>
      <c r="C122" s="5" t="s">
        <v>354</v>
      </c>
      <c r="D122" s="5" t="s">
        <v>142</v>
      </c>
      <c r="E122" s="7" t="s">
        <v>105</v>
      </c>
      <c r="F122" s="8" t="s">
        <v>97</v>
      </c>
      <c r="G122" s="4" t="s">
        <v>106</v>
      </c>
      <c r="H122" s="9" t="s">
        <v>107</v>
      </c>
      <c r="I122" s="5" t="s">
        <v>2104</v>
      </c>
      <c r="J122" s="5" t="s">
        <v>109</v>
      </c>
      <c r="K122" s="6">
        <f t="shared" si="3"/>
        <v>0</v>
      </c>
    </row>
    <row r="123" spans="1:11" ht="15" customHeight="1">
      <c r="A123" s="4">
        <v>115</v>
      </c>
      <c r="B123" s="5" t="s">
        <v>153</v>
      </c>
      <c r="C123" s="5" t="s">
        <v>154</v>
      </c>
      <c r="D123" s="5" t="s">
        <v>2132</v>
      </c>
      <c r="E123" s="7" t="s">
        <v>105</v>
      </c>
      <c r="F123" s="8" t="s">
        <v>97</v>
      </c>
      <c r="G123" s="4" t="s">
        <v>106</v>
      </c>
      <c r="H123" s="9" t="s">
        <v>107</v>
      </c>
      <c r="I123" s="5" t="s">
        <v>2104</v>
      </c>
      <c r="J123" s="5" t="s">
        <v>109</v>
      </c>
      <c r="K123" s="6">
        <f t="shared" si="3"/>
        <v>0</v>
      </c>
    </row>
    <row r="124" spans="1:11" ht="15" customHeight="1">
      <c r="A124" s="4">
        <v>116</v>
      </c>
      <c r="B124" s="5" t="s">
        <v>153</v>
      </c>
      <c r="C124" s="5" t="s">
        <v>154</v>
      </c>
      <c r="D124" s="5" t="s">
        <v>438</v>
      </c>
      <c r="E124" s="7" t="s">
        <v>105</v>
      </c>
      <c r="F124" s="8" t="s">
        <v>97</v>
      </c>
      <c r="G124" s="4" t="s">
        <v>106</v>
      </c>
      <c r="H124" s="9" t="s">
        <v>107</v>
      </c>
      <c r="I124" s="5" t="s">
        <v>2104</v>
      </c>
      <c r="J124" s="5" t="s">
        <v>109</v>
      </c>
      <c r="K124" s="6">
        <f t="shared" si="3"/>
        <v>0</v>
      </c>
    </row>
    <row r="125" spans="1:11" ht="15" customHeight="1">
      <c r="A125" s="4">
        <v>117</v>
      </c>
      <c r="B125" s="5" t="s">
        <v>153</v>
      </c>
      <c r="C125" s="5" t="s">
        <v>154</v>
      </c>
      <c r="D125" s="5" t="s">
        <v>2100</v>
      </c>
      <c r="E125" s="7" t="s">
        <v>105</v>
      </c>
      <c r="F125" s="8" t="s">
        <v>97</v>
      </c>
      <c r="G125" s="4" t="s">
        <v>106</v>
      </c>
      <c r="H125" s="9" t="s">
        <v>107</v>
      </c>
      <c r="I125" s="5" t="s">
        <v>2104</v>
      </c>
      <c r="J125" s="5" t="s">
        <v>109</v>
      </c>
      <c r="K125" s="6">
        <f t="shared" si="3"/>
        <v>0</v>
      </c>
    </row>
    <row r="126" spans="1:11" ht="15" customHeight="1">
      <c r="A126" s="4">
        <v>118</v>
      </c>
      <c r="B126" s="5" t="s">
        <v>159</v>
      </c>
      <c r="C126" s="5" t="s">
        <v>154</v>
      </c>
      <c r="D126" s="5" t="s">
        <v>2133</v>
      </c>
      <c r="E126" s="7" t="s">
        <v>105</v>
      </c>
      <c r="F126" s="8" t="s">
        <v>97</v>
      </c>
      <c r="G126" s="4" t="s">
        <v>106</v>
      </c>
      <c r="H126" s="9" t="s">
        <v>107</v>
      </c>
      <c r="I126" s="5" t="s">
        <v>2104</v>
      </c>
      <c r="J126" s="5" t="s">
        <v>109</v>
      </c>
      <c r="K126" s="6">
        <f t="shared" si="3"/>
        <v>0</v>
      </c>
    </row>
    <row r="127" spans="1:11" ht="15" customHeight="1">
      <c r="A127" s="4">
        <v>119</v>
      </c>
      <c r="B127" s="5" t="s">
        <v>159</v>
      </c>
      <c r="C127" s="5" t="s">
        <v>154</v>
      </c>
      <c r="D127" s="5" t="s">
        <v>1704</v>
      </c>
      <c r="E127" s="7" t="s">
        <v>105</v>
      </c>
      <c r="F127" s="8" t="s">
        <v>97</v>
      </c>
      <c r="G127" s="4" t="s">
        <v>106</v>
      </c>
      <c r="H127" s="9" t="s">
        <v>107</v>
      </c>
      <c r="I127" s="5" t="s">
        <v>2104</v>
      </c>
      <c r="J127" s="5" t="s">
        <v>109</v>
      </c>
      <c r="K127" s="6">
        <f t="shared" si="3"/>
        <v>0</v>
      </c>
    </row>
    <row r="128" spans="1:11" ht="15" customHeight="1">
      <c r="A128" s="4">
        <v>120</v>
      </c>
      <c r="B128" s="5" t="s">
        <v>159</v>
      </c>
      <c r="C128" s="5" t="s">
        <v>154</v>
      </c>
      <c r="D128" s="5" t="s">
        <v>440</v>
      </c>
      <c r="E128" s="7" t="s">
        <v>105</v>
      </c>
      <c r="F128" s="8" t="s">
        <v>97</v>
      </c>
      <c r="G128" s="4" t="s">
        <v>106</v>
      </c>
      <c r="H128" s="9" t="s">
        <v>107</v>
      </c>
      <c r="I128" s="5" t="s">
        <v>2104</v>
      </c>
      <c r="J128" s="5" t="s">
        <v>109</v>
      </c>
      <c r="K128" s="6">
        <f t="shared" si="3"/>
        <v>0</v>
      </c>
    </row>
    <row r="129" spans="1:11" ht="15" customHeight="1">
      <c r="A129" s="4">
        <v>121</v>
      </c>
      <c r="B129" s="5" t="s">
        <v>159</v>
      </c>
      <c r="C129" s="5" t="s">
        <v>154</v>
      </c>
      <c r="D129" s="5" t="s">
        <v>162</v>
      </c>
      <c r="E129" s="7" t="s">
        <v>105</v>
      </c>
      <c r="F129" s="8" t="s">
        <v>97</v>
      </c>
      <c r="G129" s="4" t="s">
        <v>106</v>
      </c>
      <c r="H129" s="9" t="s">
        <v>107</v>
      </c>
      <c r="I129" s="5" t="s">
        <v>2104</v>
      </c>
      <c r="J129" s="5" t="s">
        <v>109</v>
      </c>
      <c r="K129" s="6">
        <f t="shared" si="3"/>
        <v>0</v>
      </c>
    </row>
    <row r="130" spans="1:11" ht="15" customHeight="1">
      <c r="A130" s="4">
        <v>122</v>
      </c>
      <c r="B130" s="5" t="s">
        <v>159</v>
      </c>
      <c r="C130" s="5" t="s">
        <v>154</v>
      </c>
      <c r="D130" s="5" t="s">
        <v>163</v>
      </c>
      <c r="E130" s="7" t="s">
        <v>105</v>
      </c>
      <c r="F130" s="8" t="s">
        <v>97</v>
      </c>
      <c r="G130" s="4" t="s">
        <v>106</v>
      </c>
      <c r="H130" s="9" t="s">
        <v>107</v>
      </c>
      <c r="I130" s="5" t="s">
        <v>2104</v>
      </c>
      <c r="J130" s="5" t="s">
        <v>109</v>
      </c>
      <c r="K130" s="6">
        <f t="shared" si="3"/>
        <v>0</v>
      </c>
    </row>
    <row r="131" spans="1:11" ht="15" customHeight="1">
      <c r="A131" s="4">
        <v>123</v>
      </c>
      <c r="B131" s="5" t="s">
        <v>159</v>
      </c>
      <c r="C131" s="5" t="s">
        <v>154</v>
      </c>
      <c r="D131" s="5" t="s">
        <v>2134</v>
      </c>
      <c r="E131" s="7" t="s">
        <v>105</v>
      </c>
      <c r="F131" s="8" t="s">
        <v>97</v>
      </c>
      <c r="G131" s="4" t="s">
        <v>106</v>
      </c>
      <c r="H131" s="9" t="s">
        <v>107</v>
      </c>
      <c r="I131" s="5" t="s">
        <v>2104</v>
      </c>
      <c r="J131" s="5" t="s">
        <v>109</v>
      </c>
      <c r="K131" s="6">
        <f t="shared" si="3"/>
        <v>0</v>
      </c>
    </row>
    <row r="132" spans="1:11" ht="30" customHeight="1">
      <c r="A132" s="4">
        <v>124</v>
      </c>
      <c r="B132" s="5" t="s">
        <v>130</v>
      </c>
      <c r="C132" s="5" t="s">
        <v>70</v>
      </c>
      <c r="D132" s="5" t="s">
        <v>164</v>
      </c>
      <c r="E132" s="7" t="s">
        <v>105</v>
      </c>
      <c r="F132" s="8" t="s">
        <v>97</v>
      </c>
      <c r="G132" s="4" t="s">
        <v>106</v>
      </c>
      <c r="H132" s="9" t="s">
        <v>107</v>
      </c>
      <c r="I132" s="5" t="s">
        <v>2104</v>
      </c>
      <c r="J132" s="5" t="s">
        <v>109</v>
      </c>
      <c r="K132" s="6">
        <f t="shared" si="3"/>
        <v>0</v>
      </c>
    </row>
    <row r="133" spans="1:11" ht="15" customHeight="1">
      <c r="A133" s="4">
        <v>125</v>
      </c>
      <c r="B133" s="5" t="s">
        <v>130</v>
      </c>
      <c r="C133" s="5" t="s">
        <v>70</v>
      </c>
      <c r="D133" s="5" t="s">
        <v>165</v>
      </c>
      <c r="E133" s="7" t="s">
        <v>105</v>
      </c>
      <c r="F133" s="8" t="s">
        <v>97</v>
      </c>
      <c r="G133" s="4" t="s">
        <v>106</v>
      </c>
      <c r="H133" s="9" t="s">
        <v>107</v>
      </c>
      <c r="I133" s="5" t="s">
        <v>2104</v>
      </c>
      <c r="J133" s="5" t="s">
        <v>109</v>
      </c>
      <c r="K133" s="6">
        <f t="shared" si="3"/>
        <v>0</v>
      </c>
    </row>
    <row r="134" spans="1:11" ht="15" customHeight="1">
      <c r="A134" s="4">
        <v>126</v>
      </c>
      <c r="B134" s="5" t="s">
        <v>130</v>
      </c>
      <c r="C134" s="5" t="s">
        <v>70</v>
      </c>
      <c r="D134" s="5" t="s">
        <v>166</v>
      </c>
      <c r="E134" s="7" t="s">
        <v>105</v>
      </c>
      <c r="F134" s="8" t="s">
        <v>97</v>
      </c>
      <c r="G134" s="4" t="s">
        <v>106</v>
      </c>
      <c r="H134" s="9" t="s">
        <v>107</v>
      </c>
      <c r="I134" s="5" t="s">
        <v>2104</v>
      </c>
      <c r="J134" s="5" t="s">
        <v>109</v>
      </c>
      <c r="K134" s="6">
        <f t="shared" si="3"/>
        <v>0</v>
      </c>
    </row>
    <row r="135" spans="1:11" ht="15" customHeight="1">
      <c r="A135" s="4">
        <v>127</v>
      </c>
      <c r="B135" s="5" t="s">
        <v>130</v>
      </c>
      <c r="C135" s="5" t="s">
        <v>70</v>
      </c>
      <c r="D135" s="5" t="s">
        <v>167</v>
      </c>
      <c r="E135" s="7" t="s">
        <v>105</v>
      </c>
      <c r="F135" s="8" t="s">
        <v>97</v>
      </c>
      <c r="G135" s="4" t="s">
        <v>106</v>
      </c>
      <c r="H135" s="9" t="s">
        <v>107</v>
      </c>
      <c r="I135" s="5" t="s">
        <v>2104</v>
      </c>
      <c r="J135" s="5" t="s">
        <v>109</v>
      </c>
      <c r="K135" s="6">
        <f t="shared" si="3"/>
        <v>0</v>
      </c>
    </row>
    <row r="136" spans="1:11" ht="15" customHeight="1">
      <c r="A136" s="4">
        <v>128</v>
      </c>
      <c r="B136" s="5" t="s">
        <v>130</v>
      </c>
      <c r="C136" s="5" t="s">
        <v>70</v>
      </c>
      <c r="D136" s="5" t="s">
        <v>168</v>
      </c>
      <c r="E136" s="7" t="s">
        <v>105</v>
      </c>
      <c r="F136" s="8" t="s">
        <v>97</v>
      </c>
      <c r="G136" s="4" t="s">
        <v>106</v>
      </c>
      <c r="H136" s="9" t="s">
        <v>107</v>
      </c>
      <c r="I136" s="5" t="s">
        <v>2104</v>
      </c>
      <c r="J136" s="5" t="s">
        <v>109</v>
      </c>
      <c r="K136" s="6">
        <f t="shared" si="3"/>
        <v>0</v>
      </c>
    </row>
    <row r="137" spans="1:11" ht="15" customHeight="1">
      <c r="A137" s="4">
        <v>129</v>
      </c>
      <c r="B137" s="5" t="s">
        <v>405</v>
      </c>
      <c r="C137" s="5" t="s">
        <v>70</v>
      </c>
      <c r="D137" s="5" t="s">
        <v>1122</v>
      </c>
      <c r="E137" s="7" t="s">
        <v>105</v>
      </c>
      <c r="F137" s="8" t="s">
        <v>97</v>
      </c>
      <c r="G137" s="4" t="s">
        <v>106</v>
      </c>
      <c r="H137" s="9" t="s">
        <v>107</v>
      </c>
      <c r="I137" s="5" t="s">
        <v>2104</v>
      </c>
      <c r="J137" s="5" t="s">
        <v>109</v>
      </c>
      <c r="K137" s="6">
        <f t="shared" ref="K137:K144" si="4">IF(AND(E137="yes",F137="yes",H137="covered"),1,IF(H137="partial",0.5,0))</f>
        <v>0</v>
      </c>
    </row>
    <row r="138" spans="1:11" ht="15" customHeight="1">
      <c r="A138" s="4">
        <v>130</v>
      </c>
      <c r="B138" s="5" t="s">
        <v>405</v>
      </c>
      <c r="C138" s="5" t="s">
        <v>70</v>
      </c>
      <c r="D138" s="5" t="s">
        <v>1123</v>
      </c>
      <c r="E138" s="7" t="s">
        <v>105</v>
      </c>
      <c r="F138" s="8" t="s">
        <v>97</v>
      </c>
      <c r="G138" s="4" t="s">
        <v>106</v>
      </c>
      <c r="H138" s="9" t="s">
        <v>107</v>
      </c>
      <c r="I138" s="5" t="s">
        <v>2104</v>
      </c>
      <c r="J138" s="5" t="s">
        <v>109</v>
      </c>
      <c r="K138" s="6">
        <f t="shared" si="4"/>
        <v>0</v>
      </c>
    </row>
    <row r="139" spans="1:11" ht="15" customHeight="1">
      <c r="A139" s="4">
        <v>131</v>
      </c>
      <c r="B139" s="5" t="s">
        <v>405</v>
      </c>
      <c r="C139" s="5" t="s">
        <v>70</v>
      </c>
      <c r="D139" s="5" t="s">
        <v>1124</v>
      </c>
      <c r="E139" s="7" t="s">
        <v>105</v>
      </c>
      <c r="F139" s="8" t="s">
        <v>97</v>
      </c>
      <c r="G139" s="4" t="s">
        <v>106</v>
      </c>
      <c r="H139" s="9" t="s">
        <v>107</v>
      </c>
      <c r="I139" s="5" t="s">
        <v>2104</v>
      </c>
      <c r="J139" s="5" t="s">
        <v>109</v>
      </c>
      <c r="K139" s="6">
        <f t="shared" si="4"/>
        <v>0</v>
      </c>
    </row>
    <row r="140" spans="1:11" ht="15" customHeight="1">
      <c r="A140" s="4">
        <v>132</v>
      </c>
      <c r="B140" s="5" t="s">
        <v>177</v>
      </c>
      <c r="C140" s="5" t="s">
        <v>70</v>
      </c>
      <c r="D140" s="5" t="s">
        <v>1125</v>
      </c>
      <c r="E140" s="7" t="s">
        <v>105</v>
      </c>
      <c r="F140" s="8" t="s">
        <v>97</v>
      </c>
      <c r="G140" s="4" t="s">
        <v>106</v>
      </c>
      <c r="H140" s="9" t="s">
        <v>107</v>
      </c>
      <c r="I140" s="5" t="s">
        <v>2104</v>
      </c>
      <c r="J140" s="5" t="s">
        <v>109</v>
      </c>
      <c r="K140" s="6">
        <f t="shared" si="4"/>
        <v>0</v>
      </c>
    </row>
    <row r="141" spans="1:11" ht="15" customHeight="1">
      <c r="A141" s="4">
        <v>133</v>
      </c>
      <c r="B141" s="5" t="s">
        <v>177</v>
      </c>
      <c r="C141" s="5" t="s">
        <v>70</v>
      </c>
      <c r="D141" s="5" t="s">
        <v>1126</v>
      </c>
      <c r="E141" s="7" t="s">
        <v>105</v>
      </c>
      <c r="F141" s="8" t="s">
        <v>97</v>
      </c>
      <c r="G141" s="4" t="s">
        <v>106</v>
      </c>
      <c r="H141" s="9" t="s">
        <v>107</v>
      </c>
      <c r="I141" s="5" t="s">
        <v>2104</v>
      </c>
      <c r="J141" s="5" t="s">
        <v>109</v>
      </c>
      <c r="K141" s="6">
        <f t="shared" si="4"/>
        <v>0</v>
      </c>
    </row>
    <row r="142" spans="1:11" ht="15" customHeight="1">
      <c r="A142" s="4">
        <v>134</v>
      </c>
      <c r="B142" s="5" t="s">
        <v>927</v>
      </c>
      <c r="C142" s="5" t="s">
        <v>70</v>
      </c>
      <c r="D142" s="5" t="s">
        <v>1127</v>
      </c>
      <c r="E142" s="7" t="s">
        <v>105</v>
      </c>
      <c r="F142" s="8" t="s">
        <v>97</v>
      </c>
      <c r="G142" s="4" t="s">
        <v>106</v>
      </c>
      <c r="H142" s="9" t="s">
        <v>107</v>
      </c>
      <c r="I142" s="5" t="s">
        <v>2104</v>
      </c>
      <c r="J142" s="5" t="s">
        <v>109</v>
      </c>
      <c r="K142" s="6">
        <f t="shared" si="4"/>
        <v>0</v>
      </c>
    </row>
    <row r="143" spans="1:11" ht="15" customHeight="1">
      <c r="A143" s="4">
        <v>135</v>
      </c>
      <c r="B143" s="5" t="s">
        <v>55</v>
      </c>
      <c r="C143" s="5" t="s">
        <v>70</v>
      </c>
      <c r="D143" s="5" t="s">
        <v>731</v>
      </c>
      <c r="E143" s="7" t="s">
        <v>105</v>
      </c>
      <c r="F143" s="8" t="s">
        <v>97</v>
      </c>
      <c r="G143" s="4" t="s">
        <v>106</v>
      </c>
      <c r="H143" s="9" t="s">
        <v>107</v>
      </c>
      <c r="I143" s="5" t="s">
        <v>2104</v>
      </c>
      <c r="J143" s="5" t="s">
        <v>109</v>
      </c>
      <c r="K143" s="6">
        <f t="shared" si="4"/>
        <v>0</v>
      </c>
    </row>
    <row r="144" spans="1:11" ht="15" customHeight="1">
      <c r="A144" s="4">
        <v>136</v>
      </c>
      <c r="B144" s="5" t="s">
        <v>55</v>
      </c>
      <c r="C144" s="5" t="s">
        <v>70</v>
      </c>
      <c r="D144" s="5" t="s">
        <v>732</v>
      </c>
      <c r="E144" s="7" t="s">
        <v>105</v>
      </c>
      <c r="F144" s="8" t="s">
        <v>97</v>
      </c>
      <c r="G144" s="4" t="s">
        <v>106</v>
      </c>
      <c r="H144" s="9" t="s">
        <v>107</v>
      </c>
      <c r="I144" s="5" t="s">
        <v>2104</v>
      </c>
      <c r="J144" s="5" t="s">
        <v>109</v>
      </c>
      <c r="K144" s="6">
        <f t="shared" si="4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K56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2135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37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37">
        <v>1</v>
      </c>
      <c r="B9" s="38" t="s">
        <v>94</v>
      </c>
      <c r="C9" s="38" t="s">
        <v>95</v>
      </c>
      <c r="D9" s="38" t="s">
        <v>96</v>
      </c>
      <c r="E9" s="37" t="s">
        <v>105</v>
      </c>
      <c r="F9" s="37" t="s">
        <v>105</v>
      </c>
      <c r="G9" s="37" t="s">
        <v>564</v>
      </c>
      <c r="H9" s="37" t="s">
        <v>196</v>
      </c>
      <c r="I9" s="38" t="s">
        <v>2136</v>
      </c>
      <c r="J9" s="38" t="s">
        <v>566</v>
      </c>
      <c r="K9" s="39">
        <f t="shared" ref="K9:K45" si="0">IF(AND(E9="yes",F9="yes",H9="covered"),1,IF(H9="partial",0.5,0))</f>
        <v>1</v>
      </c>
    </row>
    <row r="10" spans="1:11" ht="45" customHeight="1">
      <c r="A10" s="37">
        <v>2</v>
      </c>
      <c r="B10" s="38" t="s">
        <v>94</v>
      </c>
      <c r="C10" s="38" t="s">
        <v>95</v>
      </c>
      <c r="D10" s="38" t="s">
        <v>102</v>
      </c>
      <c r="E10" s="37" t="s">
        <v>105</v>
      </c>
      <c r="F10" s="37" t="s">
        <v>105</v>
      </c>
      <c r="G10" s="37" t="s">
        <v>564</v>
      </c>
      <c r="H10" s="37" t="s">
        <v>196</v>
      </c>
      <c r="I10" s="38" t="s">
        <v>2136</v>
      </c>
      <c r="J10" s="38" t="s">
        <v>566</v>
      </c>
      <c r="K10" s="39">
        <f t="shared" si="0"/>
        <v>1</v>
      </c>
    </row>
    <row r="11" spans="1:11" ht="15" customHeight="1">
      <c r="A11" s="37">
        <v>3</v>
      </c>
      <c r="B11" s="38" t="s">
        <v>94</v>
      </c>
      <c r="C11" s="38" t="s">
        <v>71</v>
      </c>
      <c r="D11" s="38" t="s">
        <v>104</v>
      </c>
      <c r="E11" s="37" t="s">
        <v>105</v>
      </c>
      <c r="F11" s="37" t="s">
        <v>105</v>
      </c>
      <c r="G11" s="37" t="s">
        <v>564</v>
      </c>
      <c r="H11" s="37" t="s">
        <v>196</v>
      </c>
      <c r="I11" s="38" t="s">
        <v>2136</v>
      </c>
      <c r="J11" s="38" t="s">
        <v>566</v>
      </c>
      <c r="K11" s="39">
        <f t="shared" si="0"/>
        <v>1</v>
      </c>
    </row>
    <row r="12" spans="1:11" ht="15" customHeight="1">
      <c r="A12" s="37">
        <v>4</v>
      </c>
      <c r="B12" s="38" t="s">
        <v>94</v>
      </c>
      <c r="C12" s="38" t="s">
        <v>71</v>
      </c>
      <c r="D12" s="38" t="s">
        <v>2137</v>
      </c>
      <c r="E12" s="37" t="s">
        <v>105</v>
      </c>
      <c r="F12" s="37" t="s">
        <v>105</v>
      </c>
      <c r="G12" s="37" t="s">
        <v>564</v>
      </c>
      <c r="H12" s="37" t="s">
        <v>196</v>
      </c>
      <c r="I12" s="38" t="s">
        <v>2136</v>
      </c>
      <c r="J12" s="38" t="s">
        <v>566</v>
      </c>
      <c r="K12" s="39">
        <f t="shared" si="0"/>
        <v>1</v>
      </c>
    </row>
    <row r="13" spans="1:11" ht="15" customHeight="1">
      <c r="A13" s="37">
        <v>5</v>
      </c>
      <c r="B13" s="38" t="s">
        <v>94</v>
      </c>
      <c r="C13" s="38" t="s">
        <v>71</v>
      </c>
      <c r="D13" s="38" t="s">
        <v>2138</v>
      </c>
      <c r="E13" s="37" t="s">
        <v>105</v>
      </c>
      <c r="F13" s="37" t="s">
        <v>105</v>
      </c>
      <c r="G13" s="37" t="s">
        <v>564</v>
      </c>
      <c r="H13" s="37" t="s">
        <v>196</v>
      </c>
      <c r="I13" s="38" t="s">
        <v>2136</v>
      </c>
      <c r="J13" s="38" t="s">
        <v>566</v>
      </c>
      <c r="K13" s="39">
        <f t="shared" si="0"/>
        <v>1</v>
      </c>
    </row>
    <row r="14" spans="1:11" ht="15" customHeight="1">
      <c r="A14" s="37">
        <v>6</v>
      </c>
      <c r="B14" s="38" t="s">
        <v>94</v>
      </c>
      <c r="C14" s="38" t="s">
        <v>71</v>
      </c>
      <c r="D14" s="38" t="s">
        <v>2139</v>
      </c>
      <c r="E14" s="37" t="s">
        <v>105</v>
      </c>
      <c r="F14" s="37" t="s">
        <v>105</v>
      </c>
      <c r="G14" s="37" t="s">
        <v>564</v>
      </c>
      <c r="H14" s="37" t="s">
        <v>196</v>
      </c>
      <c r="I14" s="38" t="s">
        <v>2136</v>
      </c>
      <c r="J14" s="38" t="s">
        <v>566</v>
      </c>
      <c r="K14" s="39">
        <f t="shared" si="0"/>
        <v>1</v>
      </c>
    </row>
    <row r="15" spans="1:11" ht="15" customHeight="1">
      <c r="A15" s="37">
        <v>7</v>
      </c>
      <c r="B15" s="38" t="s">
        <v>120</v>
      </c>
      <c r="C15" s="38" t="s">
        <v>121</v>
      </c>
      <c r="D15" s="38" t="s">
        <v>2140</v>
      </c>
      <c r="E15" s="37" t="s">
        <v>105</v>
      </c>
      <c r="F15" s="37" t="s">
        <v>105</v>
      </c>
      <c r="G15" s="37" t="s">
        <v>564</v>
      </c>
      <c r="H15" s="37" t="s">
        <v>196</v>
      </c>
      <c r="I15" s="38" t="s">
        <v>2136</v>
      </c>
      <c r="J15" s="38" t="s">
        <v>566</v>
      </c>
      <c r="K15" s="39">
        <f t="shared" si="0"/>
        <v>1</v>
      </c>
    </row>
    <row r="16" spans="1:11" ht="15" customHeight="1">
      <c r="A16" s="37">
        <v>8</v>
      </c>
      <c r="B16" s="38" t="s">
        <v>120</v>
      </c>
      <c r="C16" s="38" t="s">
        <v>121</v>
      </c>
      <c r="D16" s="38" t="s">
        <v>2141</v>
      </c>
      <c r="E16" s="37" t="s">
        <v>105</v>
      </c>
      <c r="F16" s="37" t="s">
        <v>105</v>
      </c>
      <c r="G16" s="37" t="s">
        <v>564</v>
      </c>
      <c r="H16" s="37" t="s">
        <v>196</v>
      </c>
      <c r="I16" s="38" t="s">
        <v>2136</v>
      </c>
      <c r="J16" s="38" t="s">
        <v>566</v>
      </c>
      <c r="K16" s="39">
        <f t="shared" si="0"/>
        <v>1</v>
      </c>
    </row>
    <row r="17" spans="1:11" ht="15" customHeight="1">
      <c r="A17" s="37">
        <v>9</v>
      </c>
      <c r="B17" s="38" t="s">
        <v>124</v>
      </c>
      <c r="C17" s="38" t="s">
        <v>121</v>
      </c>
      <c r="D17" s="38" t="s">
        <v>2142</v>
      </c>
      <c r="E17" s="37" t="s">
        <v>105</v>
      </c>
      <c r="F17" s="37" t="s">
        <v>105</v>
      </c>
      <c r="G17" s="37" t="s">
        <v>564</v>
      </c>
      <c r="H17" s="37" t="s">
        <v>196</v>
      </c>
      <c r="I17" s="38" t="s">
        <v>2136</v>
      </c>
      <c r="J17" s="38" t="s">
        <v>566</v>
      </c>
      <c r="K17" s="39">
        <f t="shared" si="0"/>
        <v>1</v>
      </c>
    </row>
    <row r="18" spans="1:11" ht="15" customHeight="1">
      <c r="A18" s="37">
        <v>10</v>
      </c>
      <c r="B18" s="38" t="s">
        <v>124</v>
      </c>
      <c r="C18" s="38" t="s">
        <v>121</v>
      </c>
      <c r="D18" s="38" t="s">
        <v>2143</v>
      </c>
      <c r="E18" s="37" t="s">
        <v>105</v>
      </c>
      <c r="F18" s="37" t="s">
        <v>105</v>
      </c>
      <c r="G18" s="37" t="s">
        <v>564</v>
      </c>
      <c r="H18" s="37" t="s">
        <v>196</v>
      </c>
      <c r="I18" s="38" t="s">
        <v>2136</v>
      </c>
      <c r="J18" s="38" t="s">
        <v>566</v>
      </c>
      <c r="K18" s="39">
        <f t="shared" si="0"/>
        <v>1</v>
      </c>
    </row>
    <row r="19" spans="1:11" ht="15" customHeight="1">
      <c r="A19" s="37">
        <v>11</v>
      </c>
      <c r="B19" s="38" t="s">
        <v>124</v>
      </c>
      <c r="C19" s="38" t="s">
        <v>121</v>
      </c>
      <c r="D19" s="38" t="s">
        <v>2144</v>
      </c>
      <c r="E19" s="37" t="s">
        <v>105</v>
      </c>
      <c r="F19" s="37" t="s">
        <v>105</v>
      </c>
      <c r="G19" s="37" t="s">
        <v>564</v>
      </c>
      <c r="H19" s="37" t="s">
        <v>196</v>
      </c>
      <c r="I19" s="38" t="s">
        <v>2136</v>
      </c>
      <c r="J19" s="38" t="s">
        <v>566</v>
      </c>
      <c r="K19" s="39">
        <f t="shared" si="0"/>
        <v>1</v>
      </c>
    </row>
    <row r="20" spans="1:11" ht="15" customHeight="1">
      <c r="A20" s="37">
        <v>12</v>
      </c>
      <c r="B20" s="38" t="s">
        <v>95</v>
      </c>
      <c r="C20" s="38" t="s">
        <v>121</v>
      </c>
      <c r="D20" s="38" t="s">
        <v>2145</v>
      </c>
      <c r="E20" s="37" t="s">
        <v>105</v>
      </c>
      <c r="F20" s="37" t="s">
        <v>105</v>
      </c>
      <c r="G20" s="37" t="s">
        <v>564</v>
      </c>
      <c r="H20" s="37" t="s">
        <v>196</v>
      </c>
      <c r="I20" s="38" t="s">
        <v>2136</v>
      </c>
      <c r="J20" s="38" t="s">
        <v>566</v>
      </c>
      <c r="K20" s="39">
        <f t="shared" si="0"/>
        <v>1</v>
      </c>
    </row>
    <row r="21" spans="1:11" ht="15" customHeight="1">
      <c r="A21" s="37">
        <v>13</v>
      </c>
      <c r="B21" s="38" t="s">
        <v>95</v>
      </c>
      <c r="C21" s="38" t="s">
        <v>121</v>
      </c>
      <c r="D21" s="38" t="s">
        <v>2146</v>
      </c>
      <c r="E21" s="37" t="s">
        <v>105</v>
      </c>
      <c r="F21" s="37" t="s">
        <v>105</v>
      </c>
      <c r="G21" s="37" t="s">
        <v>564</v>
      </c>
      <c r="H21" s="37" t="s">
        <v>196</v>
      </c>
      <c r="I21" s="38" t="s">
        <v>2136</v>
      </c>
      <c r="J21" s="38" t="s">
        <v>566</v>
      </c>
      <c r="K21" s="39">
        <f t="shared" si="0"/>
        <v>1</v>
      </c>
    </row>
    <row r="22" spans="1:11" ht="30" customHeight="1">
      <c r="A22" s="37">
        <v>14</v>
      </c>
      <c r="B22" s="38" t="s">
        <v>539</v>
      </c>
      <c r="C22" s="38" t="s">
        <v>121</v>
      </c>
      <c r="D22" s="38" t="s">
        <v>2147</v>
      </c>
      <c r="E22" s="37" t="s">
        <v>105</v>
      </c>
      <c r="F22" s="37" t="s">
        <v>105</v>
      </c>
      <c r="G22" s="37" t="s">
        <v>564</v>
      </c>
      <c r="H22" s="37" t="s">
        <v>196</v>
      </c>
      <c r="I22" s="38" t="s">
        <v>2136</v>
      </c>
      <c r="J22" s="38" t="s">
        <v>566</v>
      </c>
      <c r="K22" s="39">
        <f t="shared" si="0"/>
        <v>1</v>
      </c>
    </row>
    <row r="23" spans="1:11" ht="45" customHeight="1">
      <c r="A23" s="37">
        <v>15</v>
      </c>
      <c r="B23" s="38" t="s">
        <v>539</v>
      </c>
      <c r="C23" s="38" t="s">
        <v>121</v>
      </c>
      <c r="D23" s="38" t="s">
        <v>2148</v>
      </c>
      <c r="E23" s="37" t="s">
        <v>105</v>
      </c>
      <c r="F23" s="37" t="s">
        <v>105</v>
      </c>
      <c r="G23" s="37" t="s">
        <v>564</v>
      </c>
      <c r="H23" s="37" t="s">
        <v>196</v>
      </c>
      <c r="I23" s="38" t="s">
        <v>2136</v>
      </c>
      <c r="J23" s="38" t="s">
        <v>566</v>
      </c>
      <c r="K23" s="39">
        <f t="shared" si="0"/>
        <v>1</v>
      </c>
    </row>
    <row r="24" spans="1:11" ht="15" customHeight="1">
      <c r="A24" s="37">
        <v>16</v>
      </c>
      <c r="B24" s="38" t="s">
        <v>135</v>
      </c>
      <c r="C24" s="38" t="s">
        <v>121</v>
      </c>
      <c r="D24" s="38" t="s">
        <v>2149</v>
      </c>
      <c r="E24" s="37" t="s">
        <v>105</v>
      </c>
      <c r="F24" s="37" t="s">
        <v>105</v>
      </c>
      <c r="G24" s="37" t="s">
        <v>564</v>
      </c>
      <c r="H24" s="37" t="s">
        <v>196</v>
      </c>
      <c r="I24" s="38" t="s">
        <v>2136</v>
      </c>
      <c r="J24" s="38" t="s">
        <v>566</v>
      </c>
      <c r="K24" s="39">
        <f t="shared" si="0"/>
        <v>1</v>
      </c>
    </row>
    <row r="25" spans="1:11" ht="15" customHeight="1">
      <c r="A25" s="37">
        <v>17</v>
      </c>
      <c r="B25" s="38" t="s">
        <v>135</v>
      </c>
      <c r="C25" s="38" t="s">
        <v>121</v>
      </c>
      <c r="D25" s="38" t="s">
        <v>2150</v>
      </c>
      <c r="E25" s="37" t="s">
        <v>105</v>
      </c>
      <c r="F25" s="37" t="s">
        <v>105</v>
      </c>
      <c r="G25" s="37" t="s">
        <v>564</v>
      </c>
      <c r="H25" s="37" t="s">
        <v>196</v>
      </c>
      <c r="I25" s="38" t="s">
        <v>2136</v>
      </c>
      <c r="J25" s="38" t="s">
        <v>566</v>
      </c>
      <c r="K25" s="39">
        <f t="shared" si="0"/>
        <v>1</v>
      </c>
    </row>
    <row r="26" spans="1:11" ht="15" customHeight="1">
      <c r="A26" s="37">
        <v>18</v>
      </c>
      <c r="B26" s="38" t="s">
        <v>135</v>
      </c>
      <c r="C26" s="38" t="s">
        <v>121</v>
      </c>
      <c r="D26" s="38" t="s">
        <v>2151</v>
      </c>
      <c r="E26" s="37" t="s">
        <v>105</v>
      </c>
      <c r="F26" s="37" t="s">
        <v>105</v>
      </c>
      <c r="G26" s="37" t="s">
        <v>564</v>
      </c>
      <c r="H26" s="37" t="s">
        <v>196</v>
      </c>
      <c r="I26" s="38" t="s">
        <v>2136</v>
      </c>
      <c r="J26" s="38" t="s">
        <v>566</v>
      </c>
      <c r="K26" s="39">
        <f t="shared" si="0"/>
        <v>1</v>
      </c>
    </row>
    <row r="27" spans="1:11" ht="15" customHeight="1">
      <c r="A27" s="37">
        <v>19</v>
      </c>
      <c r="B27" s="38" t="s">
        <v>135</v>
      </c>
      <c r="C27" s="38" t="s">
        <v>121</v>
      </c>
      <c r="D27" s="38" t="s">
        <v>2152</v>
      </c>
      <c r="E27" s="37" t="s">
        <v>105</v>
      </c>
      <c r="F27" s="37" t="s">
        <v>105</v>
      </c>
      <c r="G27" s="37" t="s">
        <v>564</v>
      </c>
      <c r="H27" s="37" t="s">
        <v>196</v>
      </c>
      <c r="I27" s="38" t="s">
        <v>2136</v>
      </c>
      <c r="J27" s="38" t="s">
        <v>566</v>
      </c>
      <c r="K27" s="39">
        <f t="shared" si="0"/>
        <v>1</v>
      </c>
    </row>
    <row r="28" spans="1:11" ht="15" customHeight="1">
      <c r="A28" s="37">
        <v>20</v>
      </c>
      <c r="B28" s="38" t="s">
        <v>135</v>
      </c>
      <c r="C28" s="38" t="s">
        <v>121</v>
      </c>
      <c r="D28" s="38" t="s">
        <v>2153</v>
      </c>
      <c r="E28" s="37" t="s">
        <v>105</v>
      </c>
      <c r="F28" s="37" t="s">
        <v>105</v>
      </c>
      <c r="G28" s="37" t="s">
        <v>564</v>
      </c>
      <c r="H28" s="37" t="s">
        <v>196</v>
      </c>
      <c r="I28" s="38" t="s">
        <v>2136</v>
      </c>
      <c r="J28" s="38" t="s">
        <v>566</v>
      </c>
      <c r="K28" s="39">
        <f t="shared" si="0"/>
        <v>1</v>
      </c>
    </row>
    <row r="29" spans="1:11" ht="15" customHeight="1">
      <c r="A29" s="37">
        <v>21</v>
      </c>
      <c r="B29" s="38" t="s">
        <v>135</v>
      </c>
      <c r="C29" s="38" t="s">
        <v>121</v>
      </c>
      <c r="D29" s="38" t="s">
        <v>2154</v>
      </c>
      <c r="E29" s="37" t="s">
        <v>105</v>
      </c>
      <c r="F29" s="37" t="s">
        <v>105</v>
      </c>
      <c r="G29" s="37" t="s">
        <v>564</v>
      </c>
      <c r="H29" s="37" t="s">
        <v>196</v>
      </c>
      <c r="I29" s="38" t="s">
        <v>2136</v>
      </c>
      <c r="J29" s="38" t="s">
        <v>566</v>
      </c>
      <c r="K29" s="39">
        <f t="shared" si="0"/>
        <v>1</v>
      </c>
    </row>
    <row r="30" spans="1:11" ht="15" customHeight="1">
      <c r="A30" s="37">
        <v>22</v>
      </c>
      <c r="B30" s="38" t="s">
        <v>135</v>
      </c>
      <c r="C30" s="38" t="s">
        <v>121</v>
      </c>
      <c r="D30" s="38" t="s">
        <v>2155</v>
      </c>
      <c r="E30" s="37" t="s">
        <v>105</v>
      </c>
      <c r="F30" s="37" t="s">
        <v>105</v>
      </c>
      <c r="G30" s="37" t="s">
        <v>564</v>
      </c>
      <c r="H30" s="37" t="s">
        <v>196</v>
      </c>
      <c r="I30" s="38" t="s">
        <v>2136</v>
      </c>
      <c r="J30" s="38" t="s">
        <v>566</v>
      </c>
      <c r="K30" s="39">
        <f t="shared" si="0"/>
        <v>1</v>
      </c>
    </row>
    <row r="31" spans="1:11" ht="15" customHeight="1">
      <c r="A31" s="37">
        <v>23</v>
      </c>
      <c r="B31" s="38" t="s">
        <v>2156</v>
      </c>
      <c r="C31" s="38" t="s">
        <v>121</v>
      </c>
      <c r="D31" s="38" t="s">
        <v>2157</v>
      </c>
      <c r="E31" s="37" t="s">
        <v>105</v>
      </c>
      <c r="F31" s="37" t="s">
        <v>105</v>
      </c>
      <c r="G31" s="37" t="s">
        <v>564</v>
      </c>
      <c r="H31" s="37" t="s">
        <v>196</v>
      </c>
      <c r="I31" s="38" t="s">
        <v>2136</v>
      </c>
      <c r="J31" s="38" t="s">
        <v>566</v>
      </c>
      <c r="K31" s="39">
        <f t="shared" si="0"/>
        <v>1</v>
      </c>
    </row>
    <row r="32" spans="1:11" ht="15" customHeight="1">
      <c r="A32" s="37">
        <v>24</v>
      </c>
      <c r="B32" s="38" t="s">
        <v>2156</v>
      </c>
      <c r="C32" s="38" t="s">
        <v>121</v>
      </c>
      <c r="D32" s="38" t="s">
        <v>2158</v>
      </c>
      <c r="E32" s="37" t="s">
        <v>105</v>
      </c>
      <c r="F32" s="37" t="s">
        <v>105</v>
      </c>
      <c r="G32" s="37" t="s">
        <v>564</v>
      </c>
      <c r="H32" s="37" t="s">
        <v>196</v>
      </c>
      <c r="I32" s="38" t="s">
        <v>2136</v>
      </c>
      <c r="J32" s="38" t="s">
        <v>566</v>
      </c>
      <c r="K32" s="39">
        <f t="shared" si="0"/>
        <v>1</v>
      </c>
    </row>
    <row r="33" spans="1:11" ht="15" customHeight="1">
      <c r="A33" s="37">
        <v>25</v>
      </c>
      <c r="B33" s="38" t="s">
        <v>159</v>
      </c>
      <c r="C33" s="38" t="s">
        <v>121</v>
      </c>
      <c r="D33" s="38" t="s">
        <v>2159</v>
      </c>
      <c r="E33" s="37" t="s">
        <v>105</v>
      </c>
      <c r="F33" s="37" t="s">
        <v>105</v>
      </c>
      <c r="G33" s="37" t="s">
        <v>564</v>
      </c>
      <c r="H33" s="37" t="s">
        <v>196</v>
      </c>
      <c r="I33" s="38" t="s">
        <v>2136</v>
      </c>
      <c r="J33" s="38" t="s">
        <v>566</v>
      </c>
      <c r="K33" s="39">
        <f t="shared" si="0"/>
        <v>1</v>
      </c>
    </row>
    <row r="34" spans="1:11" ht="15" customHeight="1">
      <c r="A34" s="37">
        <v>26</v>
      </c>
      <c r="B34" s="38" t="s">
        <v>159</v>
      </c>
      <c r="C34" s="38" t="s">
        <v>121</v>
      </c>
      <c r="D34" s="38" t="s">
        <v>2160</v>
      </c>
      <c r="E34" s="37" t="s">
        <v>105</v>
      </c>
      <c r="F34" s="37" t="s">
        <v>105</v>
      </c>
      <c r="G34" s="37" t="s">
        <v>564</v>
      </c>
      <c r="H34" s="37" t="s">
        <v>196</v>
      </c>
      <c r="I34" s="38" t="s">
        <v>2136</v>
      </c>
      <c r="J34" s="38" t="s">
        <v>566</v>
      </c>
      <c r="K34" s="39">
        <f t="shared" si="0"/>
        <v>1</v>
      </c>
    </row>
    <row r="35" spans="1:11" ht="15" customHeight="1">
      <c r="A35" s="37">
        <v>27</v>
      </c>
      <c r="B35" s="38" t="s">
        <v>159</v>
      </c>
      <c r="C35" s="38" t="s">
        <v>121</v>
      </c>
      <c r="D35" s="38" t="s">
        <v>2161</v>
      </c>
      <c r="E35" s="37" t="s">
        <v>105</v>
      </c>
      <c r="F35" s="37" t="s">
        <v>105</v>
      </c>
      <c r="G35" s="37" t="s">
        <v>564</v>
      </c>
      <c r="H35" s="37" t="s">
        <v>196</v>
      </c>
      <c r="I35" s="38" t="s">
        <v>2136</v>
      </c>
      <c r="J35" s="38" t="s">
        <v>566</v>
      </c>
      <c r="K35" s="39">
        <f t="shared" si="0"/>
        <v>1</v>
      </c>
    </row>
    <row r="36" spans="1:11" ht="15" customHeight="1">
      <c r="A36" s="37">
        <v>28</v>
      </c>
      <c r="B36" s="38" t="s">
        <v>159</v>
      </c>
      <c r="C36" s="38" t="s">
        <v>121</v>
      </c>
      <c r="D36" s="38" t="s">
        <v>2162</v>
      </c>
      <c r="E36" s="37" t="s">
        <v>105</v>
      </c>
      <c r="F36" s="37" t="s">
        <v>105</v>
      </c>
      <c r="G36" s="37" t="s">
        <v>564</v>
      </c>
      <c r="H36" s="37" t="s">
        <v>196</v>
      </c>
      <c r="I36" s="38" t="s">
        <v>2136</v>
      </c>
      <c r="J36" s="38" t="s">
        <v>566</v>
      </c>
      <c r="K36" s="39">
        <f t="shared" si="0"/>
        <v>1</v>
      </c>
    </row>
    <row r="37" spans="1:11" ht="15" customHeight="1">
      <c r="A37" s="37">
        <v>29</v>
      </c>
      <c r="B37" s="38" t="s">
        <v>130</v>
      </c>
      <c r="C37" s="38" t="s">
        <v>121</v>
      </c>
      <c r="D37" s="38" t="s">
        <v>2163</v>
      </c>
      <c r="E37" s="37" t="s">
        <v>105</v>
      </c>
      <c r="F37" s="37" t="s">
        <v>105</v>
      </c>
      <c r="G37" s="37" t="s">
        <v>564</v>
      </c>
      <c r="H37" s="37" t="s">
        <v>196</v>
      </c>
      <c r="I37" s="38" t="s">
        <v>2136</v>
      </c>
      <c r="J37" s="38" t="s">
        <v>566</v>
      </c>
      <c r="K37" s="39">
        <f t="shared" si="0"/>
        <v>1</v>
      </c>
    </row>
    <row r="38" spans="1:11" ht="15" customHeight="1">
      <c r="A38" s="37">
        <v>30</v>
      </c>
      <c r="B38" s="38" t="s">
        <v>130</v>
      </c>
      <c r="C38" s="38" t="s">
        <v>121</v>
      </c>
      <c r="D38" s="38" t="s">
        <v>2164</v>
      </c>
      <c r="E38" s="37" t="s">
        <v>105</v>
      </c>
      <c r="F38" s="37" t="s">
        <v>105</v>
      </c>
      <c r="G38" s="37" t="s">
        <v>564</v>
      </c>
      <c r="H38" s="37" t="s">
        <v>196</v>
      </c>
      <c r="I38" s="38" t="s">
        <v>2136</v>
      </c>
      <c r="J38" s="38" t="s">
        <v>566</v>
      </c>
      <c r="K38" s="39">
        <f t="shared" si="0"/>
        <v>1</v>
      </c>
    </row>
    <row r="39" spans="1:11" ht="15" customHeight="1">
      <c r="A39" s="37">
        <v>31</v>
      </c>
      <c r="B39" s="38" t="s">
        <v>130</v>
      </c>
      <c r="C39" s="38" t="s">
        <v>121</v>
      </c>
      <c r="D39" s="38" t="s">
        <v>2165</v>
      </c>
      <c r="E39" s="37" t="s">
        <v>105</v>
      </c>
      <c r="F39" s="37" t="s">
        <v>105</v>
      </c>
      <c r="G39" s="37" t="s">
        <v>564</v>
      </c>
      <c r="H39" s="37" t="s">
        <v>196</v>
      </c>
      <c r="I39" s="38" t="s">
        <v>2136</v>
      </c>
      <c r="J39" s="38" t="s">
        <v>566</v>
      </c>
      <c r="K39" s="39">
        <f t="shared" si="0"/>
        <v>1</v>
      </c>
    </row>
    <row r="40" spans="1:11" ht="15" customHeight="1">
      <c r="A40" s="37">
        <v>32</v>
      </c>
      <c r="B40" s="38" t="s">
        <v>130</v>
      </c>
      <c r="C40" s="38" t="s">
        <v>121</v>
      </c>
      <c r="D40" s="38" t="s">
        <v>2166</v>
      </c>
      <c r="E40" s="37" t="s">
        <v>105</v>
      </c>
      <c r="F40" s="37" t="s">
        <v>105</v>
      </c>
      <c r="G40" s="37" t="s">
        <v>564</v>
      </c>
      <c r="H40" s="37" t="s">
        <v>196</v>
      </c>
      <c r="I40" s="38" t="s">
        <v>2136</v>
      </c>
      <c r="J40" s="38" t="s">
        <v>566</v>
      </c>
      <c r="K40" s="39">
        <f t="shared" si="0"/>
        <v>1</v>
      </c>
    </row>
    <row r="41" spans="1:11" ht="15" customHeight="1">
      <c r="A41" s="37">
        <v>33</v>
      </c>
      <c r="B41" s="38" t="s">
        <v>2167</v>
      </c>
      <c r="C41" s="38" t="s">
        <v>121</v>
      </c>
      <c r="D41" s="38" t="s">
        <v>2168</v>
      </c>
      <c r="E41" s="37" t="s">
        <v>105</v>
      </c>
      <c r="F41" s="37" t="s">
        <v>105</v>
      </c>
      <c r="G41" s="37" t="s">
        <v>564</v>
      </c>
      <c r="H41" s="37" t="s">
        <v>196</v>
      </c>
      <c r="I41" s="38" t="s">
        <v>2136</v>
      </c>
      <c r="J41" s="38" t="s">
        <v>566</v>
      </c>
      <c r="K41" s="39">
        <f t="shared" si="0"/>
        <v>1</v>
      </c>
    </row>
    <row r="42" spans="1:11" ht="15" customHeight="1">
      <c r="A42" s="37">
        <v>34</v>
      </c>
      <c r="B42" s="38" t="s">
        <v>2167</v>
      </c>
      <c r="C42" s="38" t="s">
        <v>121</v>
      </c>
      <c r="D42" s="38" t="s">
        <v>2169</v>
      </c>
      <c r="E42" s="37" t="s">
        <v>105</v>
      </c>
      <c r="F42" s="37" t="s">
        <v>105</v>
      </c>
      <c r="G42" s="37" t="s">
        <v>564</v>
      </c>
      <c r="H42" s="37" t="s">
        <v>196</v>
      </c>
      <c r="I42" s="38" t="s">
        <v>2136</v>
      </c>
      <c r="J42" s="38" t="s">
        <v>566</v>
      </c>
      <c r="K42" s="39">
        <f t="shared" si="0"/>
        <v>1</v>
      </c>
    </row>
    <row r="43" spans="1:11" ht="15" customHeight="1">
      <c r="A43" s="37">
        <v>35</v>
      </c>
      <c r="B43" s="38" t="s">
        <v>2167</v>
      </c>
      <c r="C43" s="38" t="s">
        <v>121</v>
      </c>
      <c r="D43" s="38" t="s">
        <v>2170</v>
      </c>
      <c r="E43" s="37" t="s">
        <v>105</v>
      </c>
      <c r="F43" s="37" t="s">
        <v>105</v>
      </c>
      <c r="G43" s="37" t="s">
        <v>564</v>
      </c>
      <c r="H43" s="37" t="s">
        <v>196</v>
      </c>
      <c r="I43" s="38" t="s">
        <v>2136</v>
      </c>
      <c r="J43" s="38" t="s">
        <v>566</v>
      </c>
      <c r="K43" s="39">
        <f t="shared" si="0"/>
        <v>1</v>
      </c>
    </row>
    <row r="44" spans="1:11" ht="15" customHeight="1">
      <c r="A44" s="37">
        <v>36</v>
      </c>
      <c r="B44" s="38" t="s">
        <v>2167</v>
      </c>
      <c r="C44" s="38" t="s">
        <v>121</v>
      </c>
      <c r="D44" s="38" t="s">
        <v>2171</v>
      </c>
      <c r="E44" s="37" t="s">
        <v>105</v>
      </c>
      <c r="F44" s="37" t="s">
        <v>105</v>
      </c>
      <c r="G44" s="37" t="s">
        <v>564</v>
      </c>
      <c r="H44" s="37" t="s">
        <v>196</v>
      </c>
      <c r="I44" s="38" t="s">
        <v>2136</v>
      </c>
      <c r="J44" s="38" t="s">
        <v>566</v>
      </c>
      <c r="K44" s="39">
        <f t="shared" si="0"/>
        <v>1</v>
      </c>
    </row>
    <row r="45" spans="1:11" ht="30" customHeight="1">
      <c r="A45" s="37">
        <v>37</v>
      </c>
      <c r="B45" s="38" t="s">
        <v>392</v>
      </c>
      <c r="C45" s="38" t="s">
        <v>121</v>
      </c>
      <c r="D45" s="38" t="s">
        <v>2172</v>
      </c>
      <c r="E45" s="37" t="s">
        <v>105</v>
      </c>
      <c r="F45" s="37" t="s">
        <v>105</v>
      </c>
      <c r="G45" s="37" t="s">
        <v>564</v>
      </c>
      <c r="H45" s="37" t="s">
        <v>196</v>
      </c>
      <c r="I45" s="38" t="s">
        <v>2136</v>
      </c>
      <c r="J45" s="38" t="s">
        <v>566</v>
      </c>
      <c r="K45" s="39">
        <f t="shared" si="0"/>
        <v>1</v>
      </c>
    </row>
    <row r="46" spans="1:11" ht="15" customHeight="1"/>
    <row r="47" spans="1:11" ht="45" customHeight="1"/>
    <row r="48" spans="1:11" ht="15" customHeight="1"/>
    <row r="49" ht="15" customHeight="1"/>
    <row r="50" ht="15" customHeight="1"/>
    <row r="51" ht="30" customHeight="1"/>
    <row r="52" ht="30" customHeight="1"/>
    <row r="53" ht="30" customHeight="1"/>
    <row r="54" ht="30" customHeight="1"/>
    <row r="55" ht="15" customHeight="1"/>
    <row r="56" ht="30" customHeight="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K62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2173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15" customHeight="1">
      <c r="A4" s="1" t="s">
        <v>81</v>
      </c>
      <c r="B4" s="18">
        <f>IFERROR(D4/COUNTA(A9:A1000),0)</f>
        <v>1</v>
      </c>
      <c r="C4" s="1" t="s">
        <v>8</v>
      </c>
      <c r="D4" s="2">
        <f>COUNTIFS(A9:A1000,"&lt;&gt;",E9:E1000,"yes",F9:F1000,"yes",H9:H1000,"covered")</f>
        <v>54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45" customHeight="1">
      <c r="A9" s="37">
        <v>1</v>
      </c>
      <c r="B9" s="38" t="s">
        <v>94</v>
      </c>
      <c r="C9" s="38" t="s">
        <v>95</v>
      </c>
      <c r="D9" s="38" t="s">
        <v>96</v>
      </c>
      <c r="E9" s="37" t="s">
        <v>105</v>
      </c>
      <c r="F9" s="37" t="s">
        <v>105</v>
      </c>
      <c r="G9" s="37" t="s">
        <v>564</v>
      </c>
      <c r="H9" s="37" t="s">
        <v>196</v>
      </c>
      <c r="I9" s="38" t="s">
        <v>2174</v>
      </c>
      <c r="J9" s="38" t="s">
        <v>566</v>
      </c>
      <c r="K9" s="39">
        <f t="shared" ref="K9:K40" si="0">IF(AND(E9="yes",F9="yes",H9="covered"),1,IF(H9="partial",0.5,0))</f>
        <v>1</v>
      </c>
    </row>
    <row r="10" spans="1:11" ht="45" customHeight="1">
      <c r="A10" s="37">
        <v>2</v>
      </c>
      <c r="B10" s="38" t="s">
        <v>94</v>
      </c>
      <c r="C10" s="38" t="s">
        <v>95</v>
      </c>
      <c r="D10" s="38" t="s">
        <v>102</v>
      </c>
      <c r="E10" s="37" t="s">
        <v>105</v>
      </c>
      <c r="F10" s="37" t="s">
        <v>105</v>
      </c>
      <c r="G10" s="37" t="s">
        <v>564</v>
      </c>
      <c r="H10" s="37" t="s">
        <v>196</v>
      </c>
      <c r="I10" s="38" t="s">
        <v>2174</v>
      </c>
      <c r="J10" s="38" t="s">
        <v>566</v>
      </c>
      <c r="K10" s="39">
        <f t="shared" si="0"/>
        <v>1</v>
      </c>
    </row>
    <row r="11" spans="1:11" ht="15" customHeight="1">
      <c r="A11" s="37">
        <v>3</v>
      </c>
      <c r="B11" s="38" t="s">
        <v>94</v>
      </c>
      <c r="C11" s="38" t="s">
        <v>72</v>
      </c>
      <c r="D11" s="38" t="s">
        <v>104</v>
      </c>
      <c r="E11" s="37" t="s">
        <v>105</v>
      </c>
      <c r="F11" s="37" t="s">
        <v>105</v>
      </c>
      <c r="G11" s="37" t="s">
        <v>564</v>
      </c>
      <c r="H11" s="37" t="s">
        <v>196</v>
      </c>
      <c r="I11" s="38" t="s">
        <v>2174</v>
      </c>
      <c r="J11" s="38" t="s">
        <v>566</v>
      </c>
      <c r="K11" s="39">
        <f t="shared" si="0"/>
        <v>1</v>
      </c>
    </row>
    <row r="12" spans="1:11" ht="30" customHeight="1">
      <c r="A12" s="37">
        <v>4</v>
      </c>
      <c r="B12" s="38" t="s">
        <v>94</v>
      </c>
      <c r="C12" s="38" t="s">
        <v>72</v>
      </c>
      <c r="D12" s="38" t="s">
        <v>2175</v>
      </c>
      <c r="E12" s="37" t="s">
        <v>105</v>
      </c>
      <c r="F12" s="37" t="s">
        <v>105</v>
      </c>
      <c r="G12" s="37" t="s">
        <v>564</v>
      </c>
      <c r="H12" s="37" t="s">
        <v>196</v>
      </c>
      <c r="I12" s="38" t="s">
        <v>2174</v>
      </c>
      <c r="J12" s="38" t="s">
        <v>566</v>
      </c>
      <c r="K12" s="39">
        <f t="shared" si="0"/>
        <v>1</v>
      </c>
    </row>
    <row r="13" spans="1:11" ht="15" customHeight="1">
      <c r="A13" s="37">
        <v>5</v>
      </c>
      <c r="B13" s="38" t="s">
        <v>94</v>
      </c>
      <c r="C13" s="38" t="s">
        <v>72</v>
      </c>
      <c r="D13" s="38" t="s">
        <v>2176</v>
      </c>
      <c r="E13" s="37" t="s">
        <v>105</v>
      </c>
      <c r="F13" s="37" t="s">
        <v>105</v>
      </c>
      <c r="G13" s="37" t="s">
        <v>564</v>
      </c>
      <c r="H13" s="37" t="s">
        <v>196</v>
      </c>
      <c r="I13" s="38" t="s">
        <v>2174</v>
      </c>
      <c r="J13" s="38" t="s">
        <v>566</v>
      </c>
      <c r="K13" s="39">
        <f t="shared" si="0"/>
        <v>1</v>
      </c>
    </row>
    <row r="14" spans="1:11" ht="15" customHeight="1">
      <c r="A14" s="37">
        <v>6</v>
      </c>
      <c r="B14" s="38" t="s">
        <v>94</v>
      </c>
      <c r="C14" s="38" t="s">
        <v>72</v>
      </c>
      <c r="D14" s="38" t="s">
        <v>2177</v>
      </c>
      <c r="E14" s="37" t="s">
        <v>105</v>
      </c>
      <c r="F14" s="37" t="s">
        <v>105</v>
      </c>
      <c r="G14" s="37" t="s">
        <v>564</v>
      </c>
      <c r="H14" s="37" t="s">
        <v>196</v>
      </c>
      <c r="I14" s="38" t="s">
        <v>2174</v>
      </c>
      <c r="J14" s="38" t="s">
        <v>566</v>
      </c>
      <c r="K14" s="39">
        <f t="shared" si="0"/>
        <v>1</v>
      </c>
    </row>
    <row r="15" spans="1:11" ht="15" customHeight="1">
      <c r="A15" s="37">
        <v>7</v>
      </c>
      <c r="B15" s="38" t="s">
        <v>120</v>
      </c>
      <c r="C15" s="38" t="s">
        <v>121</v>
      </c>
      <c r="D15" s="38" t="s">
        <v>2178</v>
      </c>
      <c r="E15" s="37" t="s">
        <v>105</v>
      </c>
      <c r="F15" s="37" t="s">
        <v>105</v>
      </c>
      <c r="G15" s="37" t="s">
        <v>564</v>
      </c>
      <c r="H15" s="37" t="s">
        <v>196</v>
      </c>
      <c r="I15" s="38" t="s">
        <v>2174</v>
      </c>
      <c r="J15" s="38" t="s">
        <v>566</v>
      </c>
      <c r="K15" s="39">
        <f t="shared" si="0"/>
        <v>1</v>
      </c>
    </row>
    <row r="16" spans="1:11" ht="15" customHeight="1">
      <c r="A16" s="37">
        <v>8</v>
      </c>
      <c r="B16" s="38" t="s">
        <v>120</v>
      </c>
      <c r="C16" s="38" t="s">
        <v>150</v>
      </c>
      <c r="D16" s="38" t="s">
        <v>2179</v>
      </c>
      <c r="E16" s="37" t="s">
        <v>105</v>
      </c>
      <c r="F16" s="37" t="s">
        <v>105</v>
      </c>
      <c r="G16" s="37" t="s">
        <v>564</v>
      </c>
      <c r="H16" s="37" t="s">
        <v>196</v>
      </c>
      <c r="I16" s="38" t="s">
        <v>2174</v>
      </c>
      <c r="J16" s="38" t="s">
        <v>566</v>
      </c>
      <c r="K16" s="39">
        <f t="shared" si="0"/>
        <v>1</v>
      </c>
    </row>
    <row r="17" spans="1:11" ht="15" customHeight="1">
      <c r="A17" s="37">
        <v>9</v>
      </c>
      <c r="B17" s="38" t="s">
        <v>124</v>
      </c>
      <c r="C17" s="38" t="s">
        <v>121</v>
      </c>
      <c r="D17" s="38" t="s">
        <v>2180</v>
      </c>
      <c r="E17" s="37" t="s">
        <v>105</v>
      </c>
      <c r="F17" s="37" t="s">
        <v>105</v>
      </c>
      <c r="G17" s="37" t="s">
        <v>564</v>
      </c>
      <c r="H17" s="37" t="s">
        <v>196</v>
      </c>
      <c r="I17" s="38" t="s">
        <v>2174</v>
      </c>
      <c r="J17" s="38" t="s">
        <v>566</v>
      </c>
      <c r="K17" s="39">
        <f t="shared" si="0"/>
        <v>1</v>
      </c>
    </row>
    <row r="18" spans="1:11" ht="15" customHeight="1">
      <c r="A18" s="37">
        <v>10</v>
      </c>
      <c r="B18" s="38" t="s">
        <v>124</v>
      </c>
      <c r="C18" s="38" t="s">
        <v>121</v>
      </c>
      <c r="D18" s="38" t="s">
        <v>2181</v>
      </c>
      <c r="E18" s="37" t="s">
        <v>105</v>
      </c>
      <c r="F18" s="37" t="s">
        <v>105</v>
      </c>
      <c r="G18" s="37" t="s">
        <v>564</v>
      </c>
      <c r="H18" s="37" t="s">
        <v>196</v>
      </c>
      <c r="I18" s="38" t="s">
        <v>2174</v>
      </c>
      <c r="J18" s="38" t="s">
        <v>566</v>
      </c>
      <c r="K18" s="39">
        <f t="shared" si="0"/>
        <v>1</v>
      </c>
    </row>
    <row r="19" spans="1:11" ht="15" customHeight="1">
      <c r="A19" s="37">
        <v>11</v>
      </c>
      <c r="B19" s="38" t="s">
        <v>124</v>
      </c>
      <c r="C19" s="38" t="s">
        <v>121</v>
      </c>
      <c r="D19" s="38" t="s">
        <v>2182</v>
      </c>
      <c r="E19" s="37" t="s">
        <v>105</v>
      </c>
      <c r="F19" s="37" t="s">
        <v>105</v>
      </c>
      <c r="G19" s="37" t="s">
        <v>564</v>
      </c>
      <c r="H19" s="37" t="s">
        <v>196</v>
      </c>
      <c r="I19" s="38" t="s">
        <v>2174</v>
      </c>
      <c r="J19" s="38" t="s">
        <v>566</v>
      </c>
      <c r="K19" s="39">
        <f t="shared" si="0"/>
        <v>1</v>
      </c>
    </row>
    <row r="20" spans="1:11" ht="15" customHeight="1">
      <c r="A20" s="37">
        <v>12</v>
      </c>
      <c r="B20" s="38" t="s">
        <v>95</v>
      </c>
      <c r="C20" s="38" t="s">
        <v>121</v>
      </c>
      <c r="D20" s="38" t="s">
        <v>1460</v>
      </c>
      <c r="E20" s="37" t="s">
        <v>105</v>
      </c>
      <c r="F20" s="37" t="s">
        <v>105</v>
      </c>
      <c r="G20" s="37" t="s">
        <v>564</v>
      </c>
      <c r="H20" s="37" t="s">
        <v>196</v>
      </c>
      <c r="I20" s="38" t="s">
        <v>2174</v>
      </c>
      <c r="J20" s="38" t="s">
        <v>566</v>
      </c>
      <c r="K20" s="39">
        <f t="shared" si="0"/>
        <v>1</v>
      </c>
    </row>
    <row r="21" spans="1:11" ht="15" customHeight="1">
      <c r="A21" s="37">
        <v>13</v>
      </c>
      <c r="B21" s="38" t="s">
        <v>135</v>
      </c>
      <c r="C21" s="38" t="s">
        <v>121</v>
      </c>
      <c r="D21" s="38" t="s">
        <v>2183</v>
      </c>
      <c r="E21" s="37" t="s">
        <v>105</v>
      </c>
      <c r="F21" s="37" t="s">
        <v>105</v>
      </c>
      <c r="G21" s="37" t="s">
        <v>564</v>
      </c>
      <c r="H21" s="37" t="s">
        <v>196</v>
      </c>
      <c r="I21" s="38" t="s">
        <v>2174</v>
      </c>
      <c r="J21" s="38" t="s">
        <v>566</v>
      </c>
      <c r="K21" s="39">
        <f t="shared" si="0"/>
        <v>1</v>
      </c>
    </row>
    <row r="22" spans="1:11" ht="15" customHeight="1">
      <c r="A22" s="37">
        <v>14</v>
      </c>
      <c r="B22" s="38" t="s">
        <v>135</v>
      </c>
      <c r="C22" s="38" t="s">
        <v>121</v>
      </c>
      <c r="D22" s="38" t="s">
        <v>2184</v>
      </c>
      <c r="E22" s="37" t="s">
        <v>105</v>
      </c>
      <c r="F22" s="37" t="s">
        <v>105</v>
      </c>
      <c r="G22" s="37" t="s">
        <v>564</v>
      </c>
      <c r="H22" s="37" t="s">
        <v>196</v>
      </c>
      <c r="I22" s="38" t="s">
        <v>2174</v>
      </c>
      <c r="J22" s="38" t="s">
        <v>566</v>
      </c>
      <c r="K22" s="39">
        <f t="shared" si="0"/>
        <v>1</v>
      </c>
    </row>
    <row r="23" spans="1:11" ht="15" customHeight="1">
      <c r="A23" s="37">
        <v>15</v>
      </c>
      <c r="B23" s="38" t="s">
        <v>135</v>
      </c>
      <c r="C23" s="38" t="s">
        <v>121</v>
      </c>
      <c r="D23" s="38" t="s">
        <v>2185</v>
      </c>
      <c r="E23" s="37" t="s">
        <v>105</v>
      </c>
      <c r="F23" s="37" t="s">
        <v>105</v>
      </c>
      <c r="G23" s="37" t="s">
        <v>564</v>
      </c>
      <c r="H23" s="37" t="s">
        <v>196</v>
      </c>
      <c r="I23" s="38" t="s">
        <v>2174</v>
      </c>
      <c r="J23" s="38" t="s">
        <v>566</v>
      </c>
      <c r="K23" s="39">
        <f t="shared" si="0"/>
        <v>1</v>
      </c>
    </row>
    <row r="24" spans="1:11" ht="15" customHeight="1">
      <c r="A24" s="37">
        <v>16</v>
      </c>
      <c r="B24" s="38" t="s">
        <v>135</v>
      </c>
      <c r="C24" s="38" t="s">
        <v>121</v>
      </c>
      <c r="D24" s="38" t="s">
        <v>2186</v>
      </c>
      <c r="E24" s="37" t="s">
        <v>105</v>
      </c>
      <c r="F24" s="37" t="s">
        <v>105</v>
      </c>
      <c r="G24" s="37" t="s">
        <v>564</v>
      </c>
      <c r="H24" s="37" t="s">
        <v>196</v>
      </c>
      <c r="I24" s="38" t="s">
        <v>2174</v>
      </c>
      <c r="J24" s="38" t="s">
        <v>566</v>
      </c>
      <c r="K24" s="39">
        <f t="shared" si="0"/>
        <v>1</v>
      </c>
    </row>
    <row r="25" spans="1:11" ht="30" customHeight="1">
      <c r="A25" s="37">
        <v>17</v>
      </c>
      <c r="B25" s="38" t="s">
        <v>135</v>
      </c>
      <c r="C25" s="38" t="s">
        <v>121</v>
      </c>
      <c r="D25" s="38" t="s">
        <v>2187</v>
      </c>
      <c r="E25" s="37" t="s">
        <v>105</v>
      </c>
      <c r="F25" s="37" t="s">
        <v>105</v>
      </c>
      <c r="G25" s="37" t="s">
        <v>564</v>
      </c>
      <c r="H25" s="37" t="s">
        <v>196</v>
      </c>
      <c r="I25" s="38" t="s">
        <v>2174</v>
      </c>
      <c r="J25" s="38" t="s">
        <v>566</v>
      </c>
      <c r="K25" s="39">
        <f t="shared" si="0"/>
        <v>1</v>
      </c>
    </row>
    <row r="26" spans="1:11" ht="15" customHeight="1">
      <c r="A26" s="37">
        <v>18</v>
      </c>
      <c r="B26" s="38" t="s">
        <v>135</v>
      </c>
      <c r="C26" s="38" t="s">
        <v>121</v>
      </c>
      <c r="D26" s="38" t="s">
        <v>2188</v>
      </c>
      <c r="E26" s="37" t="s">
        <v>105</v>
      </c>
      <c r="F26" s="37" t="s">
        <v>105</v>
      </c>
      <c r="G26" s="37" t="s">
        <v>564</v>
      </c>
      <c r="H26" s="37" t="s">
        <v>196</v>
      </c>
      <c r="I26" s="38" t="s">
        <v>2174</v>
      </c>
      <c r="J26" s="38" t="s">
        <v>566</v>
      </c>
      <c r="K26" s="39">
        <f t="shared" si="0"/>
        <v>1</v>
      </c>
    </row>
    <row r="27" spans="1:11" ht="15" customHeight="1">
      <c r="A27" s="37">
        <v>19</v>
      </c>
      <c r="B27" s="38" t="s">
        <v>1467</v>
      </c>
      <c r="C27" s="38" t="s">
        <v>121</v>
      </c>
      <c r="D27" s="38" t="s">
        <v>2189</v>
      </c>
      <c r="E27" s="37" t="s">
        <v>105</v>
      </c>
      <c r="F27" s="37" t="s">
        <v>105</v>
      </c>
      <c r="G27" s="37" t="s">
        <v>564</v>
      </c>
      <c r="H27" s="37" t="s">
        <v>196</v>
      </c>
      <c r="I27" s="38" t="s">
        <v>2174</v>
      </c>
      <c r="J27" s="38" t="s">
        <v>566</v>
      </c>
      <c r="K27" s="39">
        <f t="shared" si="0"/>
        <v>1</v>
      </c>
    </row>
    <row r="28" spans="1:11" ht="15" customHeight="1">
      <c r="A28" s="37">
        <v>20</v>
      </c>
      <c r="B28" s="38" t="s">
        <v>1467</v>
      </c>
      <c r="C28" s="38" t="s">
        <v>121</v>
      </c>
      <c r="D28" s="38" t="s">
        <v>2190</v>
      </c>
      <c r="E28" s="37" t="s">
        <v>105</v>
      </c>
      <c r="F28" s="37" t="s">
        <v>105</v>
      </c>
      <c r="G28" s="37" t="s">
        <v>564</v>
      </c>
      <c r="H28" s="37" t="s">
        <v>196</v>
      </c>
      <c r="I28" s="38" t="s">
        <v>2174</v>
      </c>
      <c r="J28" s="38" t="s">
        <v>566</v>
      </c>
      <c r="K28" s="39">
        <f t="shared" si="0"/>
        <v>1</v>
      </c>
    </row>
    <row r="29" spans="1:11" ht="15" customHeight="1">
      <c r="A29" s="37">
        <v>21</v>
      </c>
      <c r="B29" s="38" t="s">
        <v>1467</v>
      </c>
      <c r="C29" s="38" t="s">
        <v>121</v>
      </c>
      <c r="D29" s="38" t="s">
        <v>2191</v>
      </c>
      <c r="E29" s="37" t="s">
        <v>105</v>
      </c>
      <c r="F29" s="37" t="s">
        <v>105</v>
      </c>
      <c r="G29" s="37" t="s">
        <v>564</v>
      </c>
      <c r="H29" s="37" t="s">
        <v>196</v>
      </c>
      <c r="I29" s="38" t="s">
        <v>2174</v>
      </c>
      <c r="J29" s="38" t="s">
        <v>566</v>
      </c>
      <c r="K29" s="39">
        <f t="shared" si="0"/>
        <v>1</v>
      </c>
    </row>
    <row r="30" spans="1:11" ht="15" customHeight="1">
      <c r="A30" s="37">
        <v>22</v>
      </c>
      <c r="B30" s="38" t="s">
        <v>1467</v>
      </c>
      <c r="C30" s="38" t="s">
        <v>121</v>
      </c>
      <c r="D30" s="38" t="s">
        <v>2192</v>
      </c>
      <c r="E30" s="37" t="s">
        <v>105</v>
      </c>
      <c r="F30" s="37" t="s">
        <v>105</v>
      </c>
      <c r="G30" s="37" t="s">
        <v>564</v>
      </c>
      <c r="H30" s="37" t="s">
        <v>196</v>
      </c>
      <c r="I30" s="38" t="s">
        <v>2174</v>
      </c>
      <c r="J30" s="38" t="s">
        <v>566</v>
      </c>
      <c r="K30" s="39">
        <f t="shared" si="0"/>
        <v>1</v>
      </c>
    </row>
    <row r="31" spans="1:11" ht="30" customHeight="1">
      <c r="A31" s="37">
        <v>23</v>
      </c>
      <c r="B31" s="38" t="s">
        <v>31</v>
      </c>
      <c r="C31" s="38" t="s">
        <v>121</v>
      </c>
      <c r="D31" s="38" t="s">
        <v>2193</v>
      </c>
      <c r="E31" s="37" t="s">
        <v>105</v>
      </c>
      <c r="F31" s="37" t="s">
        <v>105</v>
      </c>
      <c r="G31" s="37" t="s">
        <v>564</v>
      </c>
      <c r="H31" s="37" t="s">
        <v>196</v>
      </c>
      <c r="I31" s="38" t="s">
        <v>2174</v>
      </c>
      <c r="J31" s="38" t="s">
        <v>566</v>
      </c>
      <c r="K31" s="39">
        <f t="shared" si="0"/>
        <v>1</v>
      </c>
    </row>
    <row r="32" spans="1:11" ht="30" customHeight="1">
      <c r="A32" s="37">
        <v>24</v>
      </c>
      <c r="B32" s="38" t="s">
        <v>31</v>
      </c>
      <c r="C32" s="38" t="s">
        <v>121</v>
      </c>
      <c r="D32" s="38" t="s">
        <v>2194</v>
      </c>
      <c r="E32" s="37" t="s">
        <v>105</v>
      </c>
      <c r="F32" s="37" t="s">
        <v>105</v>
      </c>
      <c r="G32" s="37" t="s">
        <v>564</v>
      </c>
      <c r="H32" s="37" t="s">
        <v>196</v>
      </c>
      <c r="I32" s="38" t="s">
        <v>2174</v>
      </c>
      <c r="J32" s="38" t="s">
        <v>566</v>
      </c>
      <c r="K32" s="39">
        <f t="shared" si="0"/>
        <v>1</v>
      </c>
    </row>
    <row r="33" spans="1:11" ht="15" customHeight="1">
      <c r="A33" s="37">
        <v>25</v>
      </c>
      <c r="B33" s="38" t="s">
        <v>179</v>
      </c>
      <c r="C33" s="38" t="s">
        <v>121</v>
      </c>
      <c r="D33" s="38" t="s">
        <v>2195</v>
      </c>
      <c r="E33" s="37" t="s">
        <v>105</v>
      </c>
      <c r="F33" s="37" t="s">
        <v>105</v>
      </c>
      <c r="G33" s="37" t="s">
        <v>564</v>
      </c>
      <c r="H33" s="37" t="s">
        <v>196</v>
      </c>
      <c r="I33" s="38" t="s">
        <v>2174</v>
      </c>
      <c r="J33" s="38" t="s">
        <v>566</v>
      </c>
      <c r="K33" s="39">
        <f t="shared" si="0"/>
        <v>1</v>
      </c>
    </row>
    <row r="34" spans="1:11" ht="15" customHeight="1">
      <c r="A34" s="37">
        <v>26</v>
      </c>
      <c r="B34" s="38" t="s">
        <v>179</v>
      </c>
      <c r="C34" s="38" t="s">
        <v>121</v>
      </c>
      <c r="D34" s="38" t="s">
        <v>2196</v>
      </c>
      <c r="E34" s="37" t="s">
        <v>105</v>
      </c>
      <c r="F34" s="37" t="s">
        <v>105</v>
      </c>
      <c r="G34" s="37" t="s">
        <v>564</v>
      </c>
      <c r="H34" s="37" t="s">
        <v>196</v>
      </c>
      <c r="I34" s="38" t="s">
        <v>2174</v>
      </c>
      <c r="J34" s="38" t="s">
        <v>566</v>
      </c>
      <c r="K34" s="39">
        <f t="shared" si="0"/>
        <v>1</v>
      </c>
    </row>
    <row r="35" spans="1:11" ht="15" customHeight="1">
      <c r="A35" s="37">
        <v>27</v>
      </c>
      <c r="B35" s="38" t="s">
        <v>179</v>
      </c>
      <c r="C35" s="38" t="s">
        <v>121</v>
      </c>
      <c r="D35" s="38" t="s">
        <v>2197</v>
      </c>
      <c r="E35" s="37" t="s">
        <v>105</v>
      </c>
      <c r="F35" s="37" t="s">
        <v>105</v>
      </c>
      <c r="G35" s="37" t="s">
        <v>564</v>
      </c>
      <c r="H35" s="37" t="s">
        <v>196</v>
      </c>
      <c r="I35" s="38" t="s">
        <v>2174</v>
      </c>
      <c r="J35" s="38" t="s">
        <v>566</v>
      </c>
      <c r="K35" s="39">
        <f t="shared" si="0"/>
        <v>1</v>
      </c>
    </row>
    <row r="36" spans="1:11" ht="15" customHeight="1">
      <c r="A36" s="37">
        <v>28</v>
      </c>
      <c r="B36" s="38" t="s">
        <v>177</v>
      </c>
      <c r="C36" s="38" t="s">
        <v>121</v>
      </c>
      <c r="D36" s="38" t="s">
        <v>2198</v>
      </c>
      <c r="E36" s="37" t="s">
        <v>105</v>
      </c>
      <c r="F36" s="37" t="s">
        <v>105</v>
      </c>
      <c r="G36" s="37" t="s">
        <v>564</v>
      </c>
      <c r="H36" s="37" t="s">
        <v>196</v>
      </c>
      <c r="I36" s="38" t="s">
        <v>2174</v>
      </c>
      <c r="J36" s="38" t="s">
        <v>566</v>
      </c>
      <c r="K36" s="39">
        <f t="shared" si="0"/>
        <v>1</v>
      </c>
    </row>
    <row r="37" spans="1:11" ht="15" customHeight="1">
      <c r="A37" s="37">
        <v>29</v>
      </c>
      <c r="B37" s="38" t="s">
        <v>159</v>
      </c>
      <c r="C37" s="38" t="s">
        <v>121</v>
      </c>
      <c r="D37" s="38" t="s">
        <v>2199</v>
      </c>
      <c r="E37" s="37" t="s">
        <v>105</v>
      </c>
      <c r="F37" s="37" t="s">
        <v>105</v>
      </c>
      <c r="G37" s="37" t="s">
        <v>564</v>
      </c>
      <c r="H37" s="37" t="s">
        <v>196</v>
      </c>
      <c r="I37" s="38" t="s">
        <v>2174</v>
      </c>
      <c r="J37" s="38" t="s">
        <v>566</v>
      </c>
      <c r="K37" s="39">
        <f t="shared" si="0"/>
        <v>1</v>
      </c>
    </row>
    <row r="38" spans="1:11" ht="15" customHeight="1">
      <c r="A38" s="37">
        <v>30</v>
      </c>
      <c r="B38" s="38" t="s">
        <v>159</v>
      </c>
      <c r="C38" s="38" t="s">
        <v>121</v>
      </c>
      <c r="D38" s="38" t="s">
        <v>2200</v>
      </c>
      <c r="E38" s="37" t="s">
        <v>105</v>
      </c>
      <c r="F38" s="37" t="s">
        <v>105</v>
      </c>
      <c r="G38" s="37" t="s">
        <v>564</v>
      </c>
      <c r="H38" s="37" t="s">
        <v>196</v>
      </c>
      <c r="I38" s="38" t="s">
        <v>2174</v>
      </c>
      <c r="J38" s="38" t="s">
        <v>566</v>
      </c>
      <c r="K38" s="39">
        <f t="shared" si="0"/>
        <v>1</v>
      </c>
    </row>
    <row r="39" spans="1:11" ht="15" customHeight="1">
      <c r="A39" s="37">
        <v>31</v>
      </c>
      <c r="B39" s="38" t="s">
        <v>130</v>
      </c>
      <c r="C39" s="38" t="s">
        <v>121</v>
      </c>
      <c r="D39" s="38" t="s">
        <v>2201</v>
      </c>
      <c r="E39" s="37" t="s">
        <v>105</v>
      </c>
      <c r="F39" s="37" t="s">
        <v>105</v>
      </c>
      <c r="G39" s="37" t="s">
        <v>564</v>
      </c>
      <c r="H39" s="37" t="s">
        <v>196</v>
      </c>
      <c r="I39" s="38" t="s">
        <v>2174</v>
      </c>
      <c r="J39" s="38" t="s">
        <v>566</v>
      </c>
      <c r="K39" s="39">
        <f t="shared" si="0"/>
        <v>1</v>
      </c>
    </row>
    <row r="40" spans="1:11" ht="15" customHeight="1">
      <c r="A40" s="37">
        <v>32</v>
      </c>
      <c r="B40" s="38" t="s">
        <v>130</v>
      </c>
      <c r="C40" s="38" t="s">
        <v>121</v>
      </c>
      <c r="D40" s="38" t="s">
        <v>2202</v>
      </c>
      <c r="E40" s="37" t="s">
        <v>105</v>
      </c>
      <c r="F40" s="37" t="s">
        <v>105</v>
      </c>
      <c r="G40" s="37" t="s">
        <v>564</v>
      </c>
      <c r="H40" s="37" t="s">
        <v>196</v>
      </c>
      <c r="I40" s="38" t="s">
        <v>2174</v>
      </c>
      <c r="J40" s="38" t="s">
        <v>566</v>
      </c>
      <c r="K40" s="39">
        <f t="shared" si="0"/>
        <v>1</v>
      </c>
    </row>
    <row r="41" spans="1:11" ht="30" customHeight="1">
      <c r="A41" s="37">
        <v>33</v>
      </c>
      <c r="B41" s="38" t="s">
        <v>124</v>
      </c>
      <c r="C41" s="38" t="s">
        <v>150</v>
      </c>
      <c r="D41" s="38" t="s">
        <v>2203</v>
      </c>
      <c r="E41" s="37" t="s">
        <v>105</v>
      </c>
      <c r="F41" s="37" t="s">
        <v>105</v>
      </c>
      <c r="G41" s="37" t="s">
        <v>564</v>
      </c>
      <c r="H41" s="37" t="s">
        <v>196</v>
      </c>
      <c r="I41" s="38" t="s">
        <v>2174</v>
      </c>
      <c r="J41" s="38" t="s">
        <v>566</v>
      </c>
      <c r="K41" s="39">
        <f t="shared" ref="K41:K62" si="1">IF(AND(E41="yes",F41="yes",H41="covered"),1,IF(H41="partial",0.5,0))</f>
        <v>1</v>
      </c>
    </row>
    <row r="42" spans="1:11" ht="15" customHeight="1">
      <c r="A42" s="37">
        <v>34</v>
      </c>
      <c r="B42" s="38" t="s">
        <v>124</v>
      </c>
      <c r="C42" s="38" t="s">
        <v>150</v>
      </c>
      <c r="D42" s="38" t="s">
        <v>2204</v>
      </c>
      <c r="E42" s="37" t="s">
        <v>105</v>
      </c>
      <c r="F42" s="37" t="s">
        <v>105</v>
      </c>
      <c r="G42" s="37" t="s">
        <v>564</v>
      </c>
      <c r="H42" s="37" t="s">
        <v>196</v>
      </c>
      <c r="I42" s="38" t="s">
        <v>2174</v>
      </c>
      <c r="J42" s="38" t="s">
        <v>566</v>
      </c>
      <c r="K42" s="39">
        <f t="shared" si="1"/>
        <v>1</v>
      </c>
    </row>
    <row r="43" spans="1:11" ht="15" customHeight="1">
      <c r="A43" s="37">
        <v>35</v>
      </c>
      <c r="B43" s="38" t="s">
        <v>539</v>
      </c>
      <c r="C43" s="38" t="s">
        <v>150</v>
      </c>
      <c r="D43" s="38" t="s">
        <v>2205</v>
      </c>
      <c r="E43" s="37" t="s">
        <v>105</v>
      </c>
      <c r="F43" s="37" t="s">
        <v>105</v>
      </c>
      <c r="G43" s="37" t="s">
        <v>564</v>
      </c>
      <c r="H43" s="37" t="s">
        <v>196</v>
      </c>
      <c r="I43" s="38" t="s">
        <v>2174</v>
      </c>
      <c r="J43" s="38" t="s">
        <v>566</v>
      </c>
      <c r="K43" s="39">
        <f t="shared" si="1"/>
        <v>1</v>
      </c>
    </row>
    <row r="44" spans="1:11" ht="15" customHeight="1">
      <c r="A44" s="37">
        <v>36</v>
      </c>
      <c r="B44" s="38" t="s">
        <v>539</v>
      </c>
      <c r="C44" s="38" t="s">
        <v>150</v>
      </c>
      <c r="D44" s="38" t="s">
        <v>2206</v>
      </c>
      <c r="E44" s="37" t="s">
        <v>105</v>
      </c>
      <c r="F44" s="37" t="s">
        <v>105</v>
      </c>
      <c r="G44" s="37" t="s">
        <v>564</v>
      </c>
      <c r="H44" s="37" t="s">
        <v>196</v>
      </c>
      <c r="I44" s="38" t="s">
        <v>2174</v>
      </c>
      <c r="J44" s="38" t="s">
        <v>566</v>
      </c>
      <c r="K44" s="39">
        <f t="shared" si="1"/>
        <v>1</v>
      </c>
    </row>
    <row r="45" spans="1:11" ht="15" customHeight="1">
      <c r="A45" s="37">
        <v>37</v>
      </c>
      <c r="B45" s="38" t="s">
        <v>539</v>
      </c>
      <c r="C45" s="38" t="s">
        <v>150</v>
      </c>
      <c r="D45" s="38" t="s">
        <v>2207</v>
      </c>
      <c r="E45" s="37" t="s">
        <v>105</v>
      </c>
      <c r="F45" s="37" t="s">
        <v>105</v>
      </c>
      <c r="G45" s="37" t="s">
        <v>564</v>
      </c>
      <c r="H45" s="37" t="s">
        <v>196</v>
      </c>
      <c r="I45" s="38" t="s">
        <v>2174</v>
      </c>
      <c r="J45" s="38" t="s">
        <v>566</v>
      </c>
      <c r="K45" s="39">
        <f t="shared" si="1"/>
        <v>1</v>
      </c>
    </row>
    <row r="46" spans="1:11" ht="15" customHeight="1">
      <c r="A46" s="37">
        <v>38</v>
      </c>
      <c r="B46" s="38" t="s">
        <v>539</v>
      </c>
      <c r="C46" s="38" t="s">
        <v>150</v>
      </c>
      <c r="D46" s="38" t="s">
        <v>2208</v>
      </c>
      <c r="E46" s="37" t="s">
        <v>105</v>
      </c>
      <c r="F46" s="37" t="s">
        <v>105</v>
      </c>
      <c r="G46" s="37" t="s">
        <v>564</v>
      </c>
      <c r="H46" s="37" t="s">
        <v>196</v>
      </c>
      <c r="I46" s="38" t="s">
        <v>2174</v>
      </c>
      <c r="J46" s="38" t="s">
        <v>566</v>
      </c>
      <c r="K46" s="39">
        <f t="shared" si="1"/>
        <v>1</v>
      </c>
    </row>
    <row r="47" spans="1:11" ht="15" customHeight="1">
      <c r="A47" s="37">
        <v>39</v>
      </c>
      <c r="B47" s="38" t="s">
        <v>135</v>
      </c>
      <c r="C47" s="38" t="s">
        <v>150</v>
      </c>
      <c r="D47" s="38" t="s">
        <v>2209</v>
      </c>
      <c r="E47" s="37" t="s">
        <v>105</v>
      </c>
      <c r="F47" s="37" t="s">
        <v>105</v>
      </c>
      <c r="G47" s="37" t="s">
        <v>564</v>
      </c>
      <c r="H47" s="37" t="s">
        <v>196</v>
      </c>
      <c r="I47" s="38" t="s">
        <v>2174</v>
      </c>
      <c r="J47" s="38" t="s">
        <v>566</v>
      </c>
      <c r="K47" s="39">
        <f t="shared" si="1"/>
        <v>1</v>
      </c>
    </row>
    <row r="48" spans="1:11" ht="15" customHeight="1">
      <c r="A48" s="37">
        <v>40</v>
      </c>
      <c r="B48" s="38" t="s">
        <v>135</v>
      </c>
      <c r="C48" s="38" t="s">
        <v>150</v>
      </c>
      <c r="D48" s="38" t="s">
        <v>2210</v>
      </c>
      <c r="E48" s="37" t="s">
        <v>105</v>
      </c>
      <c r="F48" s="37" t="s">
        <v>105</v>
      </c>
      <c r="G48" s="37" t="s">
        <v>564</v>
      </c>
      <c r="H48" s="37" t="s">
        <v>196</v>
      </c>
      <c r="I48" s="38" t="s">
        <v>2174</v>
      </c>
      <c r="J48" s="38" t="s">
        <v>566</v>
      </c>
      <c r="K48" s="39">
        <f t="shared" si="1"/>
        <v>1</v>
      </c>
    </row>
    <row r="49" spans="1:11" ht="15" customHeight="1">
      <c r="A49" s="37">
        <v>41</v>
      </c>
      <c r="B49" s="38" t="s">
        <v>135</v>
      </c>
      <c r="C49" s="38" t="s">
        <v>150</v>
      </c>
      <c r="D49" s="38" t="s">
        <v>2211</v>
      </c>
      <c r="E49" s="37" t="s">
        <v>105</v>
      </c>
      <c r="F49" s="37" t="s">
        <v>105</v>
      </c>
      <c r="G49" s="37" t="s">
        <v>564</v>
      </c>
      <c r="H49" s="37" t="s">
        <v>196</v>
      </c>
      <c r="I49" s="38" t="s">
        <v>2174</v>
      </c>
      <c r="J49" s="38" t="s">
        <v>566</v>
      </c>
      <c r="K49" s="39">
        <f t="shared" si="1"/>
        <v>1</v>
      </c>
    </row>
    <row r="50" spans="1:11" ht="15" customHeight="1">
      <c r="A50" s="37">
        <v>42</v>
      </c>
      <c r="B50" s="38" t="s">
        <v>159</v>
      </c>
      <c r="C50" s="38" t="s">
        <v>150</v>
      </c>
      <c r="D50" s="38" t="s">
        <v>2212</v>
      </c>
      <c r="E50" s="37" t="s">
        <v>105</v>
      </c>
      <c r="F50" s="37" t="s">
        <v>105</v>
      </c>
      <c r="G50" s="37" t="s">
        <v>564</v>
      </c>
      <c r="H50" s="37" t="s">
        <v>196</v>
      </c>
      <c r="I50" s="38" t="s">
        <v>2174</v>
      </c>
      <c r="J50" s="38" t="s">
        <v>566</v>
      </c>
      <c r="K50" s="39">
        <f t="shared" si="1"/>
        <v>1</v>
      </c>
    </row>
    <row r="51" spans="1:11" ht="15" customHeight="1">
      <c r="A51" s="37">
        <v>43</v>
      </c>
      <c r="B51" s="38" t="s">
        <v>159</v>
      </c>
      <c r="C51" s="38" t="s">
        <v>150</v>
      </c>
      <c r="D51" s="38" t="s">
        <v>2160</v>
      </c>
      <c r="E51" s="37" t="s">
        <v>105</v>
      </c>
      <c r="F51" s="37" t="s">
        <v>105</v>
      </c>
      <c r="G51" s="37" t="s">
        <v>564</v>
      </c>
      <c r="H51" s="37" t="s">
        <v>196</v>
      </c>
      <c r="I51" s="38" t="s">
        <v>2174</v>
      </c>
      <c r="J51" s="38" t="s">
        <v>566</v>
      </c>
      <c r="K51" s="39">
        <f t="shared" si="1"/>
        <v>1</v>
      </c>
    </row>
    <row r="52" spans="1:11" ht="15" customHeight="1">
      <c r="A52" s="37">
        <v>44</v>
      </c>
      <c r="B52" s="38" t="s">
        <v>159</v>
      </c>
      <c r="C52" s="38" t="s">
        <v>150</v>
      </c>
      <c r="D52" s="38" t="s">
        <v>2213</v>
      </c>
      <c r="E52" s="37" t="s">
        <v>105</v>
      </c>
      <c r="F52" s="37" t="s">
        <v>105</v>
      </c>
      <c r="G52" s="37" t="s">
        <v>564</v>
      </c>
      <c r="H52" s="37" t="s">
        <v>196</v>
      </c>
      <c r="I52" s="38" t="s">
        <v>2174</v>
      </c>
      <c r="J52" s="38" t="s">
        <v>566</v>
      </c>
      <c r="K52" s="39">
        <f t="shared" si="1"/>
        <v>1</v>
      </c>
    </row>
    <row r="53" spans="1:11" ht="15" customHeight="1">
      <c r="A53" s="37">
        <v>45</v>
      </c>
      <c r="B53" s="38" t="s">
        <v>159</v>
      </c>
      <c r="C53" s="38" t="s">
        <v>150</v>
      </c>
      <c r="D53" s="38" t="s">
        <v>2214</v>
      </c>
      <c r="E53" s="37" t="s">
        <v>105</v>
      </c>
      <c r="F53" s="37" t="s">
        <v>105</v>
      </c>
      <c r="G53" s="37" t="s">
        <v>564</v>
      </c>
      <c r="H53" s="37" t="s">
        <v>196</v>
      </c>
      <c r="I53" s="38" t="s">
        <v>2174</v>
      </c>
      <c r="J53" s="38" t="s">
        <v>566</v>
      </c>
      <c r="K53" s="39">
        <f t="shared" si="1"/>
        <v>1</v>
      </c>
    </row>
    <row r="54" spans="1:11" ht="15" customHeight="1">
      <c r="A54" s="37">
        <v>46</v>
      </c>
      <c r="B54" s="38" t="s">
        <v>130</v>
      </c>
      <c r="C54" s="38" t="s">
        <v>150</v>
      </c>
      <c r="D54" s="38" t="s">
        <v>2215</v>
      </c>
      <c r="E54" s="37" t="s">
        <v>105</v>
      </c>
      <c r="F54" s="37" t="s">
        <v>105</v>
      </c>
      <c r="G54" s="37" t="s">
        <v>564</v>
      </c>
      <c r="H54" s="37" t="s">
        <v>196</v>
      </c>
      <c r="I54" s="38" t="s">
        <v>2174</v>
      </c>
      <c r="J54" s="38" t="s">
        <v>566</v>
      </c>
      <c r="K54" s="39">
        <f t="shared" si="1"/>
        <v>1</v>
      </c>
    </row>
    <row r="55" spans="1:11" ht="15" customHeight="1">
      <c r="A55" s="37">
        <v>47</v>
      </c>
      <c r="B55" s="38" t="s">
        <v>130</v>
      </c>
      <c r="C55" s="38" t="s">
        <v>150</v>
      </c>
      <c r="D55" s="38" t="s">
        <v>2216</v>
      </c>
      <c r="E55" s="37" t="s">
        <v>105</v>
      </c>
      <c r="F55" s="37" t="s">
        <v>105</v>
      </c>
      <c r="G55" s="37" t="s">
        <v>564</v>
      </c>
      <c r="H55" s="37" t="s">
        <v>196</v>
      </c>
      <c r="I55" s="38" t="s">
        <v>2174</v>
      </c>
      <c r="J55" s="38" t="s">
        <v>566</v>
      </c>
      <c r="K55" s="39">
        <f t="shared" si="1"/>
        <v>1</v>
      </c>
    </row>
    <row r="56" spans="1:11" ht="15" customHeight="1">
      <c r="A56" s="37">
        <v>48</v>
      </c>
      <c r="B56" s="38" t="s">
        <v>2167</v>
      </c>
      <c r="C56" s="38" t="s">
        <v>150</v>
      </c>
      <c r="D56" s="38" t="s">
        <v>2217</v>
      </c>
      <c r="E56" s="37" t="s">
        <v>105</v>
      </c>
      <c r="F56" s="37" t="s">
        <v>105</v>
      </c>
      <c r="G56" s="37" t="s">
        <v>564</v>
      </c>
      <c r="H56" s="37" t="s">
        <v>196</v>
      </c>
      <c r="I56" s="38" t="s">
        <v>2174</v>
      </c>
      <c r="J56" s="38" t="s">
        <v>566</v>
      </c>
      <c r="K56" s="39">
        <f t="shared" si="1"/>
        <v>1</v>
      </c>
    </row>
    <row r="57" spans="1:11" ht="30" customHeight="1">
      <c r="A57" s="37">
        <v>49</v>
      </c>
      <c r="B57" s="38" t="s">
        <v>2167</v>
      </c>
      <c r="C57" s="38" t="s">
        <v>150</v>
      </c>
      <c r="D57" s="38" t="s">
        <v>2218</v>
      </c>
      <c r="E57" s="37" t="s">
        <v>105</v>
      </c>
      <c r="F57" s="37" t="s">
        <v>105</v>
      </c>
      <c r="G57" s="37" t="s">
        <v>564</v>
      </c>
      <c r="H57" s="37" t="s">
        <v>196</v>
      </c>
      <c r="I57" s="38" t="s">
        <v>2174</v>
      </c>
      <c r="J57" s="38" t="s">
        <v>566</v>
      </c>
      <c r="K57" s="39">
        <f t="shared" si="1"/>
        <v>1</v>
      </c>
    </row>
    <row r="58" spans="1:11" ht="15" customHeight="1">
      <c r="A58" s="37">
        <v>50</v>
      </c>
      <c r="B58" s="38" t="s">
        <v>179</v>
      </c>
      <c r="C58" s="38" t="s">
        <v>150</v>
      </c>
      <c r="D58" s="38" t="s">
        <v>2219</v>
      </c>
      <c r="E58" s="37" t="s">
        <v>105</v>
      </c>
      <c r="F58" s="37" t="s">
        <v>105</v>
      </c>
      <c r="G58" s="37" t="s">
        <v>564</v>
      </c>
      <c r="H58" s="37" t="s">
        <v>196</v>
      </c>
      <c r="I58" s="38" t="s">
        <v>2174</v>
      </c>
      <c r="J58" s="38" t="s">
        <v>566</v>
      </c>
      <c r="K58" s="39">
        <f t="shared" si="1"/>
        <v>1</v>
      </c>
    </row>
    <row r="59" spans="1:11" ht="15" customHeight="1">
      <c r="A59" s="37">
        <v>51</v>
      </c>
      <c r="B59" s="38" t="s">
        <v>179</v>
      </c>
      <c r="C59" s="38" t="s">
        <v>150</v>
      </c>
      <c r="D59" s="38" t="s">
        <v>2220</v>
      </c>
      <c r="E59" s="37" t="s">
        <v>105</v>
      </c>
      <c r="F59" s="37" t="s">
        <v>105</v>
      </c>
      <c r="G59" s="37" t="s">
        <v>564</v>
      </c>
      <c r="H59" s="37" t="s">
        <v>196</v>
      </c>
      <c r="I59" s="38" t="s">
        <v>2174</v>
      </c>
      <c r="J59" s="38" t="s">
        <v>566</v>
      </c>
      <c r="K59" s="39">
        <f t="shared" si="1"/>
        <v>1</v>
      </c>
    </row>
    <row r="60" spans="1:11" ht="30" customHeight="1">
      <c r="A60" s="37">
        <v>52</v>
      </c>
      <c r="B60" s="38" t="s">
        <v>392</v>
      </c>
      <c r="C60" s="38" t="s">
        <v>72</v>
      </c>
      <c r="D60" s="38" t="s">
        <v>2221</v>
      </c>
      <c r="E60" s="37" t="s">
        <v>105</v>
      </c>
      <c r="F60" s="37" t="s">
        <v>105</v>
      </c>
      <c r="G60" s="37" t="s">
        <v>564</v>
      </c>
      <c r="H60" s="37" t="s">
        <v>196</v>
      </c>
      <c r="I60" s="38" t="s">
        <v>2174</v>
      </c>
      <c r="J60" s="38" t="s">
        <v>566</v>
      </c>
      <c r="K60" s="39">
        <f t="shared" si="1"/>
        <v>1</v>
      </c>
    </row>
    <row r="61" spans="1:11" ht="15" customHeight="1">
      <c r="A61" s="37">
        <v>53</v>
      </c>
      <c r="B61" s="38" t="s">
        <v>392</v>
      </c>
      <c r="C61" s="38" t="s">
        <v>72</v>
      </c>
      <c r="D61" s="38" t="s">
        <v>2222</v>
      </c>
      <c r="E61" s="37" t="s">
        <v>105</v>
      </c>
      <c r="F61" s="37" t="s">
        <v>105</v>
      </c>
      <c r="G61" s="37" t="s">
        <v>564</v>
      </c>
      <c r="H61" s="37" t="s">
        <v>196</v>
      </c>
      <c r="I61" s="38" t="s">
        <v>2174</v>
      </c>
      <c r="J61" s="38" t="s">
        <v>566</v>
      </c>
      <c r="K61" s="39">
        <f t="shared" si="1"/>
        <v>1</v>
      </c>
    </row>
    <row r="62" spans="1:11" ht="30" customHeight="1">
      <c r="A62" s="37">
        <v>54</v>
      </c>
      <c r="B62" s="38" t="s">
        <v>414</v>
      </c>
      <c r="C62" s="38" t="s">
        <v>72</v>
      </c>
      <c r="D62" s="38" t="s">
        <v>2223</v>
      </c>
      <c r="E62" s="37" t="s">
        <v>105</v>
      </c>
      <c r="F62" s="37" t="s">
        <v>105</v>
      </c>
      <c r="G62" s="37" t="s">
        <v>564</v>
      </c>
      <c r="H62" s="37" t="s">
        <v>196</v>
      </c>
      <c r="I62" s="38" t="s">
        <v>2174</v>
      </c>
      <c r="J62" s="38" t="s">
        <v>566</v>
      </c>
      <c r="K62" s="39">
        <f t="shared" si="1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K118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2224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4</v>
      </c>
      <c r="I4" s="1" t="s">
        <v>11</v>
      </c>
      <c r="J4" s="2">
        <f>COUNTIFS(A9:A1000,"&lt;&gt;",E9:E1000,"yes",F9:F1000,"&lt;&gt;yes")+COUNTIFS(A9:A1000,"&lt;&gt;",E9:E1000,"yes",F9:F1000,"yes",H9:H1000,"untested")</f>
        <v>106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45" customHeight="1">
      <c r="A11" s="4">
        <v>3</v>
      </c>
      <c r="B11" s="5" t="s">
        <v>94</v>
      </c>
      <c r="C11" s="5" t="s">
        <v>73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2225</v>
      </c>
      <c r="J11" s="5" t="s">
        <v>109</v>
      </c>
      <c r="K11" s="6">
        <f t="shared" si="0"/>
        <v>0</v>
      </c>
    </row>
    <row r="12" spans="1:11" ht="45" customHeight="1">
      <c r="A12" s="4">
        <v>4</v>
      </c>
      <c r="B12" s="5" t="s">
        <v>94</v>
      </c>
      <c r="C12" s="5" t="s">
        <v>73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2226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73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2227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73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2227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73</v>
      </c>
      <c r="D15" s="5" t="s">
        <v>2228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2226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73</v>
      </c>
      <c r="D16" s="5" t="s">
        <v>116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2226</v>
      </c>
      <c r="J16" s="5" t="s">
        <v>109</v>
      </c>
      <c r="K16" s="6">
        <f t="shared" si="0"/>
        <v>0</v>
      </c>
    </row>
    <row r="17" spans="1:11" ht="45" customHeight="1">
      <c r="A17" s="4">
        <v>9</v>
      </c>
      <c r="B17" s="5" t="s">
        <v>113</v>
      </c>
      <c r="C17" s="5" t="s">
        <v>73</v>
      </c>
      <c r="D17" s="5" t="s">
        <v>2046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2226</v>
      </c>
      <c r="J17" s="5" t="s">
        <v>109</v>
      </c>
      <c r="K17" s="6">
        <f t="shared" si="0"/>
        <v>0</v>
      </c>
    </row>
    <row r="18" spans="1:11" ht="45" customHeight="1">
      <c r="A18" s="4">
        <v>10</v>
      </c>
      <c r="B18" s="5" t="s">
        <v>113</v>
      </c>
      <c r="C18" s="5" t="s">
        <v>73</v>
      </c>
      <c r="D18" s="5" t="s">
        <v>2229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2226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73</v>
      </c>
      <c r="D19" s="5" t="s">
        <v>2230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2231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73</v>
      </c>
      <c r="D20" s="5" t="s">
        <v>2232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2231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2226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2226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2226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2226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2226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2226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133</v>
      </c>
      <c r="C27" s="5" t="s">
        <v>121</v>
      </c>
      <c r="D27" s="5" t="s">
        <v>141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2226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133</v>
      </c>
      <c r="C28" s="5" t="s">
        <v>121</v>
      </c>
      <c r="D28" s="5" t="s">
        <v>1097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2226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133</v>
      </c>
      <c r="C29" s="5" t="s">
        <v>121</v>
      </c>
      <c r="D29" s="5" t="s">
        <v>955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2226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539</v>
      </c>
      <c r="C30" s="5" t="s">
        <v>121</v>
      </c>
      <c r="D30" s="5" t="s">
        <v>615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2226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133</v>
      </c>
      <c r="C31" s="5" t="s">
        <v>121</v>
      </c>
      <c r="D31" s="5" t="s">
        <v>142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2226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133</v>
      </c>
      <c r="C32" s="5" t="s">
        <v>121</v>
      </c>
      <c r="D32" s="5" t="s">
        <v>143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2226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120</v>
      </c>
      <c r="C33" s="5" t="s">
        <v>22</v>
      </c>
      <c r="D33" s="5" t="s">
        <v>122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2226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120</v>
      </c>
      <c r="C34" s="5" t="s">
        <v>22</v>
      </c>
      <c r="D34" s="5" t="s">
        <v>123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2226</v>
      </c>
      <c r="J34" s="5" t="s">
        <v>109</v>
      </c>
      <c r="K34" s="6">
        <f t="shared" si="0"/>
        <v>0</v>
      </c>
    </row>
    <row r="35" spans="1:11" ht="30" customHeight="1">
      <c r="A35" s="4">
        <v>27</v>
      </c>
      <c r="B35" s="5" t="s">
        <v>124</v>
      </c>
      <c r="C35" s="5" t="s">
        <v>22</v>
      </c>
      <c r="D35" s="5" t="s">
        <v>125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2226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124</v>
      </c>
      <c r="C36" s="5" t="s">
        <v>22</v>
      </c>
      <c r="D36" s="5" t="s">
        <v>126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2226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95</v>
      </c>
      <c r="C37" s="5" t="s">
        <v>22</v>
      </c>
      <c r="D37" s="5" t="s">
        <v>127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2226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128</v>
      </c>
      <c r="C38" s="5" t="s">
        <v>22</v>
      </c>
      <c r="D38" s="5" t="s">
        <v>129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2226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135</v>
      </c>
      <c r="C39" s="5" t="s">
        <v>22</v>
      </c>
      <c r="D39" s="5" t="s">
        <v>140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2226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539</v>
      </c>
      <c r="C40" s="5" t="s">
        <v>22</v>
      </c>
      <c r="D40" s="5" t="s">
        <v>615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2226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133</v>
      </c>
      <c r="C41" s="5" t="s">
        <v>22</v>
      </c>
      <c r="D41" s="5" t="s">
        <v>142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2226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135</v>
      </c>
      <c r="C42" s="5" t="s">
        <v>22</v>
      </c>
      <c r="D42" s="5" t="s">
        <v>144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2226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120</v>
      </c>
      <c r="C43" s="5" t="s">
        <v>559</v>
      </c>
      <c r="D43" s="5" t="s">
        <v>122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2226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120</v>
      </c>
      <c r="C44" s="5" t="s">
        <v>559</v>
      </c>
      <c r="D44" s="5" t="s">
        <v>123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2226</v>
      </c>
      <c r="J44" s="5" t="s">
        <v>109</v>
      </c>
      <c r="K44" s="6">
        <f t="shared" si="1"/>
        <v>0</v>
      </c>
    </row>
    <row r="45" spans="1:11" ht="30" customHeight="1">
      <c r="A45" s="4">
        <v>37</v>
      </c>
      <c r="B45" s="5" t="s">
        <v>124</v>
      </c>
      <c r="C45" s="5" t="s">
        <v>559</v>
      </c>
      <c r="D45" s="5" t="s">
        <v>125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2226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124</v>
      </c>
      <c r="C46" s="5" t="s">
        <v>559</v>
      </c>
      <c r="D46" s="5" t="s">
        <v>126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2226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95</v>
      </c>
      <c r="C47" s="5" t="s">
        <v>559</v>
      </c>
      <c r="D47" s="5" t="s">
        <v>127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2226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128</v>
      </c>
      <c r="C48" s="5" t="s">
        <v>559</v>
      </c>
      <c r="D48" s="5" t="s">
        <v>129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2226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133</v>
      </c>
      <c r="C49" s="5" t="s">
        <v>559</v>
      </c>
      <c r="D49" s="5" t="s">
        <v>541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2226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133</v>
      </c>
      <c r="C50" s="5" t="s">
        <v>559</v>
      </c>
      <c r="D50" s="5" t="s">
        <v>542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2226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133</v>
      </c>
      <c r="C51" s="5" t="s">
        <v>559</v>
      </c>
      <c r="D51" s="5" t="s">
        <v>543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2226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135</v>
      </c>
      <c r="C52" s="5" t="s">
        <v>559</v>
      </c>
      <c r="D52" s="5" t="s">
        <v>140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2226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539</v>
      </c>
      <c r="C53" s="5" t="s">
        <v>559</v>
      </c>
      <c r="D53" s="5" t="s">
        <v>615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2226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133</v>
      </c>
      <c r="C54" s="5" t="s">
        <v>559</v>
      </c>
      <c r="D54" s="5" t="s">
        <v>142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2226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135</v>
      </c>
      <c r="C55" s="5" t="s">
        <v>559</v>
      </c>
      <c r="D55" s="5" t="s">
        <v>144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2226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120</v>
      </c>
      <c r="C56" s="5" t="s">
        <v>561</v>
      </c>
      <c r="D56" s="5" t="s">
        <v>122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2226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120</v>
      </c>
      <c r="C57" s="5" t="s">
        <v>561</v>
      </c>
      <c r="D57" s="5" t="s">
        <v>123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2226</v>
      </c>
      <c r="J57" s="5" t="s">
        <v>109</v>
      </c>
      <c r="K57" s="6">
        <f t="shared" si="1"/>
        <v>0</v>
      </c>
    </row>
    <row r="58" spans="1:11" ht="30" customHeight="1">
      <c r="A58" s="4">
        <v>50</v>
      </c>
      <c r="B58" s="5" t="s">
        <v>124</v>
      </c>
      <c r="C58" s="5" t="s">
        <v>561</v>
      </c>
      <c r="D58" s="5" t="s">
        <v>125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2226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124</v>
      </c>
      <c r="C59" s="5" t="s">
        <v>561</v>
      </c>
      <c r="D59" s="5" t="s">
        <v>126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2226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95</v>
      </c>
      <c r="C60" s="5" t="s">
        <v>561</v>
      </c>
      <c r="D60" s="5" t="s">
        <v>127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2226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128</v>
      </c>
      <c r="C61" s="5" t="s">
        <v>561</v>
      </c>
      <c r="D61" s="5" t="s">
        <v>129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2226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133</v>
      </c>
      <c r="C62" s="5" t="s">
        <v>561</v>
      </c>
      <c r="D62" s="5" t="s">
        <v>141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2226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133</v>
      </c>
      <c r="C63" s="5" t="s">
        <v>561</v>
      </c>
      <c r="D63" s="5" t="s">
        <v>142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2226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133</v>
      </c>
      <c r="C64" s="5" t="s">
        <v>561</v>
      </c>
      <c r="D64" s="5" t="s">
        <v>143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2226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120</v>
      </c>
      <c r="C65" s="5" t="s">
        <v>72</v>
      </c>
      <c r="D65" s="5" t="s">
        <v>122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2226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120</v>
      </c>
      <c r="C66" s="5" t="s">
        <v>72</v>
      </c>
      <c r="D66" s="5" t="s">
        <v>123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2226</v>
      </c>
      <c r="J66" s="5" t="s">
        <v>109</v>
      </c>
      <c r="K66" s="6">
        <f t="shared" si="1"/>
        <v>0</v>
      </c>
    </row>
    <row r="67" spans="1:11" ht="30" customHeight="1">
      <c r="A67" s="4">
        <v>59</v>
      </c>
      <c r="B67" s="5" t="s">
        <v>124</v>
      </c>
      <c r="C67" s="5" t="s">
        <v>72</v>
      </c>
      <c r="D67" s="5" t="s">
        <v>125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2226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124</v>
      </c>
      <c r="C68" s="5" t="s">
        <v>72</v>
      </c>
      <c r="D68" s="5" t="s">
        <v>126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2226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95</v>
      </c>
      <c r="C69" s="5" t="s">
        <v>72</v>
      </c>
      <c r="D69" s="5" t="s">
        <v>127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2226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128</v>
      </c>
      <c r="C70" s="5" t="s">
        <v>72</v>
      </c>
      <c r="D70" s="5" t="s">
        <v>129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2226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133</v>
      </c>
      <c r="C71" s="5" t="s">
        <v>72</v>
      </c>
      <c r="D71" s="5" t="s">
        <v>134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2226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135</v>
      </c>
      <c r="C72" s="5" t="s">
        <v>72</v>
      </c>
      <c r="D72" s="5" t="s">
        <v>136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2226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135</v>
      </c>
      <c r="C73" s="5" t="s">
        <v>72</v>
      </c>
      <c r="D73" s="5" t="s">
        <v>137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2226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135</v>
      </c>
      <c r="C74" s="5" t="s">
        <v>72</v>
      </c>
      <c r="D74" s="5" t="s">
        <v>138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2226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135</v>
      </c>
      <c r="C75" s="5" t="s">
        <v>72</v>
      </c>
      <c r="D75" s="5" t="s">
        <v>140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2226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539</v>
      </c>
      <c r="C76" s="5" t="s">
        <v>72</v>
      </c>
      <c r="D76" s="5" t="s">
        <v>615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2226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133</v>
      </c>
      <c r="C77" s="5" t="s">
        <v>72</v>
      </c>
      <c r="D77" s="5" t="s">
        <v>142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2226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135</v>
      </c>
      <c r="C78" s="5" t="s">
        <v>72</v>
      </c>
      <c r="D78" s="5" t="s">
        <v>144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2226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120</v>
      </c>
      <c r="C79" s="5" t="s">
        <v>2233</v>
      </c>
      <c r="D79" s="5" t="s">
        <v>122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2226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120</v>
      </c>
      <c r="C80" s="5" t="s">
        <v>2233</v>
      </c>
      <c r="D80" s="5" t="s">
        <v>123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2226</v>
      </c>
      <c r="J80" s="5" t="s">
        <v>109</v>
      </c>
      <c r="K80" s="6">
        <f t="shared" si="2"/>
        <v>0</v>
      </c>
    </row>
    <row r="81" spans="1:11" ht="30" customHeight="1">
      <c r="A81" s="4">
        <v>73</v>
      </c>
      <c r="B81" s="5" t="s">
        <v>124</v>
      </c>
      <c r="C81" s="5" t="s">
        <v>2233</v>
      </c>
      <c r="D81" s="5" t="s">
        <v>125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2226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124</v>
      </c>
      <c r="C82" s="5" t="s">
        <v>2233</v>
      </c>
      <c r="D82" s="5" t="s">
        <v>126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2226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95</v>
      </c>
      <c r="C83" s="5" t="s">
        <v>2233</v>
      </c>
      <c r="D83" s="5" t="s">
        <v>127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2226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128</v>
      </c>
      <c r="C84" s="5" t="s">
        <v>2233</v>
      </c>
      <c r="D84" s="5" t="s">
        <v>129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2226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135</v>
      </c>
      <c r="C85" s="5" t="s">
        <v>2233</v>
      </c>
      <c r="D85" s="5" t="s">
        <v>136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2226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135</v>
      </c>
      <c r="C86" s="5" t="s">
        <v>2233</v>
      </c>
      <c r="D86" s="5" t="s">
        <v>140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2226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539</v>
      </c>
      <c r="C87" s="5" t="s">
        <v>2233</v>
      </c>
      <c r="D87" s="5" t="s">
        <v>615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2226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133</v>
      </c>
      <c r="C88" s="5" t="s">
        <v>2233</v>
      </c>
      <c r="D88" s="5" t="s">
        <v>142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2226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133</v>
      </c>
      <c r="C89" s="5" t="s">
        <v>2233</v>
      </c>
      <c r="D89" s="5" t="s">
        <v>146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2226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135</v>
      </c>
      <c r="C90" s="5" t="s">
        <v>2233</v>
      </c>
      <c r="D90" s="5" t="s">
        <v>544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2226</v>
      </c>
      <c r="J90" s="5" t="s">
        <v>109</v>
      </c>
      <c r="K90" s="6">
        <f t="shared" si="2"/>
        <v>0</v>
      </c>
    </row>
    <row r="91" spans="1:11" ht="30" customHeight="1">
      <c r="A91" s="4">
        <v>83</v>
      </c>
      <c r="B91" s="5" t="s">
        <v>135</v>
      </c>
      <c r="C91" s="5" t="s">
        <v>2233</v>
      </c>
      <c r="D91" s="5" t="s">
        <v>144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2226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153</v>
      </c>
      <c r="C92" s="5" t="s">
        <v>154</v>
      </c>
      <c r="D92" s="5" t="s">
        <v>156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2226</v>
      </c>
      <c r="J92" s="5" t="s">
        <v>109</v>
      </c>
      <c r="K92" s="6">
        <f t="shared" si="2"/>
        <v>0</v>
      </c>
    </row>
    <row r="93" spans="1:11" ht="30" customHeight="1">
      <c r="A93" s="4">
        <v>85</v>
      </c>
      <c r="B93" s="5" t="s">
        <v>153</v>
      </c>
      <c r="C93" s="5" t="s">
        <v>154</v>
      </c>
      <c r="D93" s="5" t="s">
        <v>438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2234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153</v>
      </c>
      <c r="C94" s="5" t="s">
        <v>154</v>
      </c>
      <c r="D94" s="5" t="s">
        <v>1107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2226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153</v>
      </c>
      <c r="C95" s="5" t="s">
        <v>154</v>
      </c>
      <c r="D95" s="5" t="s">
        <v>2235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2234</v>
      </c>
      <c r="J95" s="5" t="s">
        <v>109</v>
      </c>
      <c r="K95" s="6">
        <f t="shared" si="2"/>
        <v>0</v>
      </c>
    </row>
    <row r="96" spans="1:11" ht="30" customHeight="1">
      <c r="A96" s="4">
        <v>88</v>
      </c>
      <c r="B96" s="5" t="s">
        <v>159</v>
      </c>
      <c r="C96" s="5" t="s">
        <v>154</v>
      </c>
      <c r="D96" s="5" t="s">
        <v>160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2226</v>
      </c>
      <c r="J96" s="5" t="s">
        <v>109</v>
      </c>
      <c r="K96" s="6">
        <f t="shared" si="2"/>
        <v>0</v>
      </c>
    </row>
    <row r="97" spans="1:11" ht="30" customHeight="1">
      <c r="A97" s="4">
        <v>89</v>
      </c>
      <c r="B97" s="5" t="s">
        <v>159</v>
      </c>
      <c r="C97" s="5" t="s">
        <v>154</v>
      </c>
      <c r="D97" s="5" t="s">
        <v>161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2226</v>
      </c>
      <c r="J97" s="5" t="s">
        <v>109</v>
      </c>
      <c r="K97" s="6">
        <f t="shared" si="2"/>
        <v>0</v>
      </c>
    </row>
    <row r="98" spans="1:11" ht="30" customHeight="1">
      <c r="A98" s="4">
        <v>90</v>
      </c>
      <c r="B98" s="5" t="s">
        <v>159</v>
      </c>
      <c r="C98" s="5" t="s">
        <v>154</v>
      </c>
      <c r="D98" s="5" t="s">
        <v>162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2234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159</v>
      </c>
      <c r="C99" s="5" t="s">
        <v>154</v>
      </c>
      <c r="D99" s="5" t="s">
        <v>163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2234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159</v>
      </c>
      <c r="C100" s="5" t="s">
        <v>154</v>
      </c>
      <c r="D100" s="5" t="s">
        <v>551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2234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135</v>
      </c>
      <c r="C101" s="5" t="s">
        <v>121</v>
      </c>
      <c r="D101" s="5" t="s">
        <v>169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2226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135</v>
      </c>
      <c r="C102" s="5" t="s">
        <v>121</v>
      </c>
      <c r="D102" s="5" t="s">
        <v>170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2226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135</v>
      </c>
      <c r="C103" s="5" t="s">
        <v>121</v>
      </c>
      <c r="D103" s="5" t="s">
        <v>171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2226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179</v>
      </c>
      <c r="C104" s="5" t="s">
        <v>73</v>
      </c>
      <c r="D104" s="5" t="s">
        <v>2236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2226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179</v>
      </c>
      <c r="C105" s="5" t="s">
        <v>73</v>
      </c>
      <c r="D105" s="5" t="s">
        <v>1559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2226</v>
      </c>
      <c r="J105" s="5" t="s">
        <v>109</v>
      </c>
      <c r="K105" s="6">
        <f t="shared" ref="K105:K118" si="3">IF(AND(E105="yes",F105="yes",H105="covered"),1,IF(H105="partial",0.5,0))</f>
        <v>0</v>
      </c>
    </row>
    <row r="106" spans="1:11" ht="15" customHeight="1">
      <c r="A106" s="4">
        <v>98</v>
      </c>
      <c r="B106" s="5" t="s">
        <v>179</v>
      </c>
      <c r="C106" s="5" t="s">
        <v>73</v>
      </c>
      <c r="D106" s="5" t="s">
        <v>1560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2226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179</v>
      </c>
      <c r="C107" s="5" t="s">
        <v>73</v>
      </c>
      <c r="D107" s="5" t="s">
        <v>2237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2226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179</v>
      </c>
      <c r="C108" s="5" t="s">
        <v>73</v>
      </c>
      <c r="D108" s="5" t="s">
        <v>180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2226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179</v>
      </c>
      <c r="C109" s="5" t="s">
        <v>73</v>
      </c>
      <c r="D109" s="5" t="s">
        <v>181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2226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179</v>
      </c>
      <c r="C110" s="5" t="s">
        <v>73</v>
      </c>
      <c r="D110" s="5" t="s">
        <v>182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2226</v>
      </c>
      <c r="J110" s="5" t="s">
        <v>109</v>
      </c>
      <c r="K110" s="6">
        <f t="shared" si="3"/>
        <v>0</v>
      </c>
    </row>
    <row r="111" spans="1:11" ht="45" customHeight="1">
      <c r="A111" s="4">
        <v>103</v>
      </c>
      <c r="B111" s="5" t="s">
        <v>179</v>
      </c>
      <c r="C111" s="5" t="s">
        <v>73</v>
      </c>
      <c r="D111" s="5" t="s">
        <v>183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2226</v>
      </c>
      <c r="J111" s="5" t="s">
        <v>109</v>
      </c>
      <c r="K111" s="6">
        <f t="shared" si="3"/>
        <v>0</v>
      </c>
    </row>
    <row r="112" spans="1:11" ht="15" customHeight="1">
      <c r="A112" s="4">
        <v>104</v>
      </c>
      <c r="B112" s="5" t="s">
        <v>179</v>
      </c>
      <c r="C112" s="5" t="s">
        <v>73</v>
      </c>
      <c r="D112" s="5" t="s">
        <v>184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2226</v>
      </c>
      <c r="J112" s="5" t="s">
        <v>109</v>
      </c>
      <c r="K112" s="6">
        <f t="shared" si="3"/>
        <v>0</v>
      </c>
    </row>
    <row r="113" spans="1:11" ht="30" customHeight="1">
      <c r="A113" s="4">
        <v>105</v>
      </c>
      <c r="B113" s="5" t="s">
        <v>179</v>
      </c>
      <c r="C113" s="5" t="s">
        <v>73</v>
      </c>
      <c r="D113" s="5" t="s">
        <v>185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2231</v>
      </c>
      <c r="J113" s="5" t="s">
        <v>109</v>
      </c>
      <c r="K113" s="6">
        <f t="shared" si="3"/>
        <v>0</v>
      </c>
    </row>
    <row r="114" spans="1:11" ht="30" customHeight="1">
      <c r="A114" s="4">
        <v>106</v>
      </c>
      <c r="B114" s="5" t="s">
        <v>177</v>
      </c>
      <c r="C114" s="5" t="s">
        <v>73</v>
      </c>
      <c r="D114" s="5" t="s">
        <v>186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2226</v>
      </c>
      <c r="J114" s="5" t="s">
        <v>109</v>
      </c>
      <c r="K114" s="6">
        <f t="shared" si="3"/>
        <v>0</v>
      </c>
    </row>
    <row r="115" spans="1:11" ht="30" customHeight="1">
      <c r="A115" s="4">
        <v>107</v>
      </c>
      <c r="B115" s="5" t="s">
        <v>31</v>
      </c>
      <c r="C115" s="5" t="s">
        <v>121</v>
      </c>
      <c r="D115" s="5" t="s">
        <v>1662</v>
      </c>
      <c r="E115" s="10" t="s">
        <v>97</v>
      </c>
      <c r="F115" s="8" t="s">
        <v>97</v>
      </c>
      <c r="G115" s="4" t="s">
        <v>99</v>
      </c>
      <c r="H115" s="10" t="s">
        <v>99</v>
      </c>
      <c r="I115" s="5"/>
      <c r="J115" s="5" t="s">
        <v>2238</v>
      </c>
      <c r="K115" s="6">
        <f t="shared" si="3"/>
        <v>0</v>
      </c>
    </row>
    <row r="116" spans="1:11" ht="30" customHeight="1">
      <c r="A116" s="4">
        <v>108</v>
      </c>
      <c r="B116" s="5" t="s">
        <v>31</v>
      </c>
      <c r="C116" s="5" t="s">
        <v>121</v>
      </c>
      <c r="D116" s="5" t="s">
        <v>1664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1665</v>
      </c>
      <c r="J116" s="5" t="s">
        <v>109</v>
      </c>
      <c r="K116" s="6">
        <f t="shared" si="3"/>
        <v>0</v>
      </c>
    </row>
    <row r="117" spans="1:11" ht="30" customHeight="1">
      <c r="A117" s="4">
        <v>109</v>
      </c>
      <c r="B117" s="5" t="s">
        <v>31</v>
      </c>
      <c r="C117" s="5" t="s">
        <v>121</v>
      </c>
      <c r="D117" s="5" t="s">
        <v>189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1665</v>
      </c>
      <c r="J117" s="5" t="s">
        <v>109</v>
      </c>
      <c r="K117" s="6">
        <f t="shared" si="3"/>
        <v>0</v>
      </c>
    </row>
    <row r="118" spans="1:11" ht="30" customHeight="1">
      <c r="A118" s="4">
        <v>110</v>
      </c>
      <c r="B118" s="5" t="s">
        <v>94</v>
      </c>
      <c r="C118" s="5" t="s">
        <v>191</v>
      </c>
      <c r="D118" s="5" t="s">
        <v>1667</v>
      </c>
      <c r="E118" s="10" t="s">
        <v>97</v>
      </c>
      <c r="F118" s="8" t="s">
        <v>97</v>
      </c>
      <c r="G118" s="4" t="s">
        <v>99</v>
      </c>
      <c r="H118" s="10" t="s">
        <v>99</v>
      </c>
      <c r="I118" s="5"/>
      <c r="J118" s="5" t="s">
        <v>1668</v>
      </c>
      <c r="K118" s="6">
        <f t="shared" si="3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K11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2239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0</v>
      </c>
      <c r="I4" s="1" t="s">
        <v>11</v>
      </c>
      <c r="J4" s="2">
        <f>COUNTIFS(A9:A1000,"&lt;&gt;",E9:E1000,"yes",F9:F1000,"&lt;&gt;yes")+COUNTIFS(A9:A1000,"&lt;&gt;",E9:E1000,"yes",F9:F1000,"yes",H9:H1000,"untested")</f>
        <v>107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105</v>
      </c>
      <c r="F9" s="8" t="s">
        <v>97</v>
      </c>
      <c r="G9" s="4" t="s">
        <v>106</v>
      </c>
      <c r="H9" s="9" t="s">
        <v>1402</v>
      </c>
      <c r="I9" s="5" t="s">
        <v>2240</v>
      </c>
      <c r="J9" s="5" t="s">
        <v>109</v>
      </c>
      <c r="K9" s="6">
        <f t="shared" ref="K9:K40" si="0">IF(AND(E9="yes",F9="yes",H9="covered"),1,IF(H9="partial",0.5,0))</f>
        <v>0</v>
      </c>
    </row>
    <row r="10" spans="1:11" ht="4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105</v>
      </c>
      <c r="F10" s="8" t="s">
        <v>97</v>
      </c>
      <c r="G10" s="4" t="s">
        <v>106</v>
      </c>
      <c r="H10" s="9" t="s">
        <v>1402</v>
      </c>
      <c r="I10" s="5" t="s">
        <v>2241</v>
      </c>
      <c r="J10" s="5" t="s">
        <v>109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74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2242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74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2243</v>
      </c>
      <c r="J12" s="5" t="s">
        <v>109</v>
      </c>
      <c r="K12" s="6">
        <f t="shared" si="0"/>
        <v>0</v>
      </c>
    </row>
    <row r="13" spans="1:11" ht="15" customHeight="1">
      <c r="A13" s="4">
        <v>5</v>
      </c>
      <c r="B13" s="5" t="s">
        <v>94</v>
      </c>
      <c r="C13" s="5" t="s">
        <v>74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2242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74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2242</v>
      </c>
      <c r="J14" s="5" t="s">
        <v>109</v>
      </c>
      <c r="K14" s="6">
        <f t="shared" si="0"/>
        <v>0</v>
      </c>
    </row>
    <row r="15" spans="1:11" ht="45" customHeight="1">
      <c r="A15" s="4">
        <v>7</v>
      </c>
      <c r="B15" s="5" t="s">
        <v>113</v>
      </c>
      <c r="C15" s="5" t="s">
        <v>74</v>
      </c>
      <c r="D15" s="5" t="s">
        <v>2244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2242</v>
      </c>
      <c r="J15" s="5" t="s">
        <v>109</v>
      </c>
      <c r="K15" s="6">
        <f t="shared" si="0"/>
        <v>0</v>
      </c>
    </row>
    <row r="16" spans="1:11" ht="45" customHeight="1">
      <c r="A16" s="4">
        <v>8</v>
      </c>
      <c r="B16" s="5" t="s">
        <v>113</v>
      </c>
      <c r="C16" s="5" t="s">
        <v>74</v>
      </c>
      <c r="D16" s="5" t="s">
        <v>701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2242</v>
      </c>
      <c r="J16" s="5" t="s">
        <v>109</v>
      </c>
      <c r="K16" s="6">
        <f t="shared" si="0"/>
        <v>0</v>
      </c>
    </row>
    <row r="17" spans="1:11" ht="30" customHeight="1">
      <c r="A17" s="4">
        <v>9</v>
      </c>
      <c r="B17" s="5" t="s">
        <v>113</v>
      </c>
      <c r="C17" s="5" t="s">
        <v>74</v>
      </c>
      <c r="D17" s="5" t="s">
        <v>2245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2246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74</v>
      </c>
      <c r="D18" s="5" t="s">
        <v>1408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2246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74</v>
      </c>
      <c r="D19" s="5" t="s">
        <v>2247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2242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74</v>
      </c>
      <c r="D20" s="5" t="s">
        <v>1410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2242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2242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2242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2242</v>
      </c>
      <c r="J23" s="5" t="s">
        <v>109</v>
      </c>
      <c r="K23" s="6">
        <f t="shared" si="0"/>
        <v>0</v>
      </c>
    </row>
    <row r="24" spans="1:11" ht="4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2242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2242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2248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657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2242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658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2242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659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2242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135</v>
      </c>
      <c r="C30" s="5" t="s">
        <v>121</v>
      </c>
      <c r="D30" s="5" t="s">
        <v>140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2242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120</v>
      </c>
      <c r="C31" s="5" t="s">
        <v>1096</v>
      </c>
      <c r="D31" s="5" t="s">
        <v>122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2242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120</v>
      </c>
      <c r="C32" s="5" t="s">
        <v>1096</v>
      </c>
      <c r="D32" s="5" t="s">
        <v>123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2242</v>
      </c>
      <c r="J32" s="5" t="s">
        <v>109</v>
      </c>
      <c r="K32" s="6">
        <f t="shared" si="0"/>
        <v>0</v>
      </c>
    </row>
    <row r="33" spans="1:11" ht="30" customHeight="1">
      <c r="A33" s="4">
        <v>25</v>
      </c>
      <c r="B33" s="5" t="s">
        <v>124</v>
      </c>
      <c r="C33" s="5" t="s">
        <v>1096</v>
      </c>
      <c r="D33" s="5" t="s">
        <v>125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2242</v>
      </c>
      <c r="J33" s="5" t="s">
        <v>109</v>
      </c>
      <c r="K33" s="6">
        <f t="shared" si="0"/>
        <v>0</v>
      </c>
    </row>
    <row r="34" spans="1:11" ht="45" customHeight="1">
      <c r="A34" s="4">
        <v>26</v>
      </c>
      <c r="B34" s="5" t="s">
        <v>124</v>
      </c>
      <c r="C34" s="5" t="s">
        <v>1096</v>
      </c>
      <c r="D34" s="5" t="s">
        <v>126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2242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95</v>
      </c>
      <c r="C35" s="5" t="s">
        <v>1096</v>
      </c>
      <c r="D35" s="5" t="s">
        <v>127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2242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128</v>
      </c>
      <c r="C36" s="5" t="s">
        <v>1096</v>
      </c>
      <c r="D36" s="5" t="s">
        <v>129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2248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135</v>
      </c>
      <c r="C37" s="5" t="s">
        <v>1096</v>
      </c>
      <c r="D37" s="5" t="s">
        <v>1413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2242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133</v>
      </c>
      <c r="C38" s="5" t="s">
        <v>1096</v>
      </c>
      <c r="D38" s="5" t="s">
        <v>1414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2242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133</v>
      </c>
      <c r="C39" s="5" t="s">
        <v>1096</v>
      </c>
      <c r="D39" s="5" t="s">
        <v>1641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2242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120</v>
      </c>
      <c r="C40" s="5" t="s">
        <v>55</v>
      </c>
      <c r="D40" s="5" t="s">
        <v>122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2242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120</v>
      </c>
      <c r="C41" s="5" t="s">
        <v>55</v>
      </c>
      <c r="D41" s="5" t="s">
        <v>123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2242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30" customHeight="1">
      <c r="A42" s="4">
        <v>34</v>
      </c>
      <c r="B42" s="5" t="s">
        <v>124</v>
      </c>
      <c r="C42" s="5" t="s">
        <v>55</v>
      </c>
      <c r="D42" s="5" t="s">
        <v>125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2242</v>
      </c>
      <c r="J42" s="5" t="s">
        <v>109</v>
      </c>
      <c r="K42" s="6">
        <f t="shared" si="1"/>
        <v>0</v>
      </c>
    </row>
    <row r="43" spans="1:11" ht="45" customHeight="1">
      <c r="A43" s="4">
        <v>35</v>
      </c>
      <c r="B43" s="5" t="s">
        <v>124</v>
      </c>
      <c r="C43" s="5" t="s">
        <v>55</v>
      </c>
      <c r="D43" s="5" t="s">
        <v>126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2242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95</v>
      </c>
      <c r="C44" s="5" t="s">
        <v>55</v>
      </c>
      <c r="D44" s="5" t="s">
        <v>127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2242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128</v>
      </c>
      <c r="C45" s="5" t="s">
        <v>55</v>
      </c>
      <c r="D45" s="5" t="s">
        <v>129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2248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713</v>
      </c>
      <c r="C46" s="5" t="s">
        <v>55</v>
      </c>
      <c r="D46" s="5" t="s">
        <v>714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2242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135</v>
      </c>
      <c r="C47" s="5" t="s">
        <v>55</v>
      </c>
      <c r="D47" s="5" t="s">
        <v>140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2242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145</v>
      </c>
      <c r="D48" s="5" t="s">
        <v>122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2242</v>
      </c>
      <c r="J48" s="5" t="s">
        <v>109</v>
      </c>
      <c r="K48" s="6">
        <f t="shared" si="1"/>
        <v>0</v>
      </c>
    </row>
    <row r="49" spans="1:11" ht="15" customHeight="1">
      <c r="A49" s="4">
        <v>41</v>
      </c>
      <c r="B49" s="5" t="s">
        <v>120</v>
      </c>
      <c r="C49" s="5" t="s">
        <v>145</v>
      </c>
      <c r="D49" s="5" t="s">
        <v>123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2242</v>
      </c>
      <c r="J49" s="5" t="s">
        <v>109</v>
      </c>
      <c r="K49" s="6">
        <f t="shared" si="1"/>
        <v>0</v>
      </c>
    </row>
    <row r="50" spans="1:11" ht="30" customHeight="1">
      <c r="A50" s="4">
        <v>42</v>
      </c>
      <c r="B50" s="5" t="s">
        <v>124</v>
      </c>
      <c r="C50" s="5" t="s">
        <v>145</v>
      </c>
      <c r="D50" s="5" t="s">
        <v>125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2242</v>
      </c>
      <c r="J50" s="5" t="s">
        <v>109</v>
      </c>
      <c r="K50" s="6">
        <f t="shared" si="1"/>
        <v>0</v>
      </c>
    </row>
    <row r="51" spans="1:11" ht="45" customHeight="1">
      <c r="A51" s="4">
        <v>43</v>
      </c>
      <c r="B51" s="5" t="s">
        <v>124</v>
      </c>
      <c r="C51" s="5" t="s">
        <v>145</v>
      </c>
      <c r="D51" s="5" t="s">
        <v>126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2242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95</v>
      </c>
      <c r="C52" s="5" t="s">
        <v>145</v>
      </c>
      <c r="D52" s="5" t="s">
        <v>127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2242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128</v>
      </c>
      <c r="C53" s="5" t="s">
        <v>145</v>
      </c>
      <c r="D53" s="5" t="s">
        <v>129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2248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130</v>
      </c>
      <c r="C54" s="5" t="s">
        <v>145</v>
      </c>
      <c r="D54" s="5" t="s">
        <v>131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2242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130</v>
      </c>
      <c r="C55" s="5" t="s">
        <v>145</v>
      </c>
      <c r="D55" s="5" t="s">
        <v>132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2242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133</v>
      </c>
      <c r="C56" s="5" t="s">
        <v>145</v>
      </c>
      <c r="D56" s="5" t="s">
        <v>719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2242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133</v>
      </c>
      <c r="C57" s="5" t="s">
        <v>145</v>
      </c>
      <c r="D57" s="5" t="s">
        <v>142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2242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120</v>
      </c>
      <c r="C58" s="5" t="s">
        <v>147</v>
      </c>
      <c r="D58" s="5" t="s">
        <v>122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2242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120</v>
      </c>
      <c r="C59" s="5" t="s">
        <v>147</v>
      </c>
      <c r="D59" s="5" t="s">
        <v>123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2242</v>
      </c>
      <c r="J59" s="5" t="s">
        <v>109</v>
      </c>
      <c r="K59" s="6">
        <f t="shared" si="1"/>
        <v>0</v>
      </c>
    </row>
    <row r="60" spans="1:11" ht="30" customHeight="1">
      <c r="A60" s="4">
        <v>52</v>
      </c>
      <c r="B60" s="5" t="s">
        <v>124</v>
      </c>
      <c r="C60" s="5" t="s">
        <v>147</v>
      </c>
      <c r="D60" s="5" t="s">
        <v>125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2242</v>
      </c>
      <c r="J60" s="5" t="s">
        <v>109</v>
      </c>
      <c r="K60" s="6">
        <f t="shared" si="1"/>
        <v>0</v>
      </c>
    </row>
    <row r="61" spans="1:11" ht="45" customHeight="1">
      <c r="A61" s="4">
        <v>53</v>
      </c>
      <c r="B61" s="5" t="s">
        <v>124</v>
      </c>
      <c r="C61" s="5" t="s">
        <v>147</v>
      </c>
      <c r="D61" s="5" t="s">
        <v>126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2242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95</v>
      </c>
      <c r="C62" s="5" t="s">
        <v>147</v>
      </c>
      <c r="D62" s="5" t="s">
        <v>127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2242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128</v>
      </c>
      <c r="C63" s="5" t="s">
        <v>147</v>
      </c>
      <c r="D63" s="5" t="s">
        <v>129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2248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713</v>
      </c>
      <c r="C64" s="5" t="s">
        <v>147</v>
      </c>
      <c r="D64" s="5" t="s">
        <v>1415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2242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713</v>
      </c>
      <c r="C65" s="5" t="s">
        <v>147</v>
      </c>
      <c r="D65" s="5" t="s">
        <v>1416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2242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713</v>
      </c>
      <c r="C66" s="5" t="s">
        <v>147</v>
      </c>
      <c r="D66" s="5" t="s">
        <v>1417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2242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539</v>
      </c>
      <c r="C67" s="5" t="s">
        <v>147</v>
      </c>
      <c r="D67" s="5" t="s">
        <v>615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2242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133</v>
      </c>
      <c r="C68" s="5" t="s">
        <v>147</v>
      </c>
      <c r="D68" s="5" t="s">
        <v>719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2242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133</v>
      </c>
      <c r="C69" s="5" t="s">
        <v>147</v>
      </c>
      <c r="D69" s="5" t="s">
        <v>142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2242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133</v>
      </c>
      <c r="C70" s="5" t="s">
        <v>147</v>
      </c>
      <c r="D70" s="5" t="s">
        <v>146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2242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713</v>
      </c>
      <c r="C71" s="5" t="s">
        <v>147</v>
      </c>
      <c r="D71" s="5" t="s">
        <v>1418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2242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133</v>
      </c>
      <c r="C72" s="5" t="s">
        <v>147</v>
      </c>
      <c r="D72" s="5" t="s">
        <v>1118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2242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120</v>
      </c>
      <c r="C73" s="5" t="s">
        <v>1419</v>
      </c>
      <c r="D73" s="5" t="s">
        <v>122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2242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120</v>
      </c>
      <c r="C74" s="5" t="s">
        <v>1419</v>
      </c>
      <c r="D74" s="5" t="s">
        <v>123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2242</v>
      </c>
      <c r="J74" s="5" t="s">
        <v>109</v>
      </c>
      <c r="K74" s="6">
        <f t="shared" si="2"/>
        <v>0</v>
      </c>
    </row>
    <row r="75" spans="1:11" ht="30" customHeight="1">
      <c r="A75" s="4">
        <v>67</v>
      </c>
      <c r="B75" s="5" t="s">
        <v>124</v>
      </c>
      <c r="C75" s="5" t="s">
        <v>1419</v>
      </c>
      <c r="D75" s="5" t="s">
        <v>125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2242</v>
      </c>
      <c r="J75" s="5" t="s">
        <v>109</v>
      </c>
      <c r="K75" s="6">
        <f t="shared" si="2"/>
        <v>0</v>
      </c>
    </row>
    <row r="76" spans="1:11" ht="45" customHeight="1">
      <c r="A76" s="4">
        <v>68</v>
      </c>
      <c r="B76" s="5" t="s">
        <v>124</v>
      </c>
      <c r="C76" s="5" t="s">
        <v>1419</v>
      </c>
      <c r="D76" s="5" t="s">
        <v>126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2242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95</v>
      </c>
      <c r="C77" s="5" t="s">
        <v>1419</v>
      </c>
      <c r="D77" s="5" t="s">
        <v>127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2242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128</v>
      </c>
      <c r="C78" s="5" t="s">
        <v>1419</v>
      </c>
      <c r="D78" s="5" t="s">
        <v>129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2248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133</v>
      </c>
      <c r="C79" s="5" t="s">
        <v>1419</v>
      </c>
      <c r="D79" s="5" t="s">
        <v>1420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2242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133</v>
      </c>
      <c r="C80" s="5" t="s">
        <v>1419</v>
      </c>
      <c r="D80" s="5" t="s">
        <v>1421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2242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133</v>
      </c>
      <c r="C81" s="5" t="s">
        <v>1419</v>
      </c>
      <c r="D81" s="5" t="s">
        <v>719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2242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133</v>
      </c>
      <c r="C82" s="5" t="s">
        <v>1419</v>
      </c>
      <c r="D82" s="5" t="s">
        <v>142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2242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713</v>
      </c>
      <c r="C83" s="5" t="s">
        <v>1419</v>
      </c>
      <c r="D83" s="5" t="s">
        <v>1418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2242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153</v>
      </c>
      <c r="C84" s="5" t="s">
        <v>154</v>
      </c>
      <c r="D84" s="5" t="s">
        <v>1303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2242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153</v>
      </c>
      <c r="C85" s="5" t="s">
        <v>154</v>
      </c>
      <c r="D85" s="5" t="s">
        <v>438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2242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159</v>
      </c>
      <c r="C86" s="5" t="s">
        <v>154</v>
      </c>
      <c r="D86" s="5" t="s">
        <v>730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2242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159</v>
      </c>
      <c r="C87" s="5" t="s">
        <v>154</v>
      </c>
      <c r="D87" s="5" t="s">
        <v>1425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2242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159</v>
      </c>
      <c r="C88" s="5" t="s">
        <v>154</v>
      </c>
      <c r="D88" s="5" t="s">
        <v>162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2242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159</v>
      </c>
      <c r="C89" s="5" t="s">
        <v>154</v>
      </c>
      <c r="D89" s="5" t="s">
        <v>163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2242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159</v>
      </c>
      <c r="C90" s="5" t="s">
        <v>154</v>
      </c>
      <c r="D90" s="5" t="s">
        <v>1781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2242</v>
      </c>
      <c r="J90" s="5" t="s">
        <v>109</v>
      </c>
      <c r="K90" s="6">
        <f t="shared" si="2"/>
        <v>0</v>
      </c>
    </row>
    <row r="91" spans="1:11" ht="30" customHeight="1">
      <c r="A91" s="4">
        <v>83</v>
      </c>
      <c r="B91" s="5" t="s">
        <v>130</v>
      </c>
      <c r="C91" s="5" t="s">
        <v>74</v>
      </c>
      <c r="D91" s="5" t="s">
        <v>164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2242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130</v>
      </c>
      <c r="C92" s="5" t="s">
        <v>74</v>
      </c>
      <c r="D92" s="5" t="s">
        <v>165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2242</v>
      </c>
      <c r="J92" s="5" t="s">
        <v>109</v>
      </c>
      <c r="K92" s="6">
        <f t="shared" si="2"/>
        <v>0</v>
      </c>
    </row>
    <row r="93" spans="1:11" ht="45" customHeight="1">
      <c r="A93" s="4">
        <v>85</v>
      </c>
      <c r="B93" s="5" t="s">
        <v>130</v>
      </c>
      <c r="C93" s="5" t="s">
        <v>74</v>
      </c>
      <c r="D93" s="5" t="s">
        <v>166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2242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130</v>
      </c>
      <c r="C94" s="5" t="s">
        <v>74</v>
      </c>
      <c r="D94" s="5" t="s">
        <v>167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2242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130</v>
      </c>
      <c r="C95" s="5" t="s">
        <v>74</v>
      </c>
      <c r="D95" s="5" t="s">
        <v>168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2249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135</v>
      </c>
      <c r="C96" s="5" t="s">
        <v>121</v>
      </c>
      <c r="D96" s="5" t="s">
        <v>169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2242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135</v>
      </c>
      <c r="C97" s="5" t="s">
        <v>121</v>
      </c>
      <c r="D97" s="5" t="s">
        <v>170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2242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135</v>
      </c>
      <c r="C98" s="5" t="s">
        <v>121</v>
      </c>
      <c r="D98" s="5" t="s">
        <v>171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2242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172</v>
      </c>
      <c r="C99" s="5" t="s">
        <v>145</v>
      </c>
      <c r="D99" s="5" t="s">
        <v>173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2242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172</v>
      </c>
      <c r="C100" s="5" t="s">
        <v>145</v>
      </c>
      <c r="D100" s="5" t="s">
        <v>174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2242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172</v>
      </c>
      <c r="C101" s="5" t="s">
        <v>145</v>
      </c>
      <c r="D101" s="5" t="s">
        <v>175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2242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172</v>
      </c>
      <c r="C102" s="5" t="s">
        <v>145</v>
      </c>
      <c r="D102" s="5" t="s">
        <v>176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2242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177</v>
      </c>
      <c r="C103" s="5" t="s">
        <v>145</v>
      </c>
      <c r="D103" s="5" t="s">
        <v>178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2242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405</v>
      </c>
      <c r="C104" s="5" t="s">
        <v>74</v>
      </c>
      <c r="D104" s="5" t="s">
        <v>1122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2242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405</v>
      </c>
      <c r="C105" s="5" t="s">
        <v>74</v>
      </c>
      <c r="D105" s="5" t="s">
        <v>1123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2242</v>
      </c>
      <c r="J105" s="5" t="s">
        <v>109</v>
      </c>
      <c r="K105" s="6">
        <f t="shared" ref="K105:K115" si="3">IF(AND(E105="yes",F105="yes",H105="covered"),1,IF(H105="partial",0.5,0))</f>
        <v>0</v>
      </c>
    </row>
    <row r="106" spans="1:11" ht="15" customHeight="1">
      <c r="A106" s="4">
        <v>98</v>
      </c>
      <c r="B106" s="5" t="s">
        <v>405</v>
      </c>
      <c r="C106" s="5" t="s">
        <v>74</v>
      </c>
      <c r="D106" s="5" t="s">
        <v>1124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2242</v>
      </c>
      <c r="J106" s="5" t="s">
        <v>109</v>
      </c>
      <c r="K106" s="6">
        <f t="shared" si="3"/>
        <v>0</v>
      </c>
    </row>
    <row r="107" spans="1:11" ht="45" customHeight="1">
      <c r="A107" s="4">
        <v>99</v>
      </c>
      <c r="B107" s="5" t="s">
        <v>177</v>
      </c>
      <c r="C107" s="5" t="s">
        <v>74</v>
      </c>
      <c r="D107" s="5" t="s">
        <v>1125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2242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177</v>
      </c>
      <c r="C108" s="5" t="s">
        <v>74</v>
      </c>
      <c r="D108" s="5" t="s">
        <v>1126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2242</v>
      </c>
      <c r="J108" s="5" t="s">
        <v>109</v>
      </c>
      <c r="K108" s="6">
        <f t="shared" si="3"/>
        <v>0</v>
      </c>
    </row>
    <row r="109" spans="1:11" ht="15" customHeight="1">
      <c r="A109" s="4">
        <v>101</v>
      </c>
      <c r="B109" s="5" t="s">
        <v>927</v>
      </c>
      <c r="C109" s="5" t="s">
        <v>74</v>
      </c>
      <c r="D109" s="5" t="s">
        <v>1127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2246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55</v>
      </c>
      <c r="C110" s="5" t="s">
        <v>74</v>
      </c>
      <c r="D110" s="5" t="s">
        <v>731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2242</v>
      </c>
      <c r="J110" s="5" t="s">
        <v>109</v>
      </c>
      <c r="K110" s="6">
        <f t="shared" si="3"/>
        <v>0</v>
      </c>
    </row>
    <row r="111" spans="1:11" ht="15" customHeight="1">
      <c r="A111" s="4">
        <v>103</v>
      </c>
      <c r="B111" s="5" t="s">
        <v>55</v>
      </c>
      <c r="C111" s="5" t="s">
        <v>74</v>
      </c>
      <c r="D111" s="5" t="s">
        <v>732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2242</v>
      </c>
      <c r="J111" s="5" t="s">
        <v>109</v>
      </c>
      <c r="K111" s="6">
        <f t="shared" si="3"/>
        <v>0</v>
      </c>
    </row>
    <row r="112" spans="1:11" ht="45" customHeight="1">
      <c r="A112" s="4">
        <v>104</v>
      </c>
      <c r="B112" s="5" t="s">
        <v>713</v>
      </c>
      <c r="C112" s="5" t="s">
        <v>74</v>
      </c>
      <c r="D112" s="5" t="s">
        <v>733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2242</v>
      </c>
      <c r="J112" s="5" t="s">
        <v>109</v>
      </c>
      <c r="K112" s="6">
        <f t="shared" si="3"/>
        <v>0</v>
      </c>
    </row>
    <row r="113" spans="1:11" ht="30" customHeight="1">
      <c r="A113" s="4">
        <v>105</v>
      </c>
      <c r="B113" s="5" t="s">
        <v>713</v>
      </c>
      <c r="C113" s="5" t="s">
        <v>74</v>
      </c>
      <c r="D113" s="5" t="s">
        <v>734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2242</v>
      </c>
      <c r="J113" s="5" t="s">
        <v>109</v>
      </c>
      <c r="K113" s="6">
        <f t="shared" si="3"/>
        <v>0</v>
      </c>
    </row>
    <row r="114" spans="1:11" ht="45" customHeight="1">
      <c r="A114" s="4">
        <v>106</v>
      </c>
      <c r="B114" s="5" t="s">
        <v>713</v>
      </c>
      <c r="C114" s="5" t="s">
        <v>74</v>
      </c>
      <c r="D114" s="5" t="s">
        <v>735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2246</v>
      </c>
      <c r="J114" s="5" t="s">
        <v>109</v>
      </c>
      <c r="K114" s="6">
        <f t="shared" si="3"/>
        <v>0</v>
      </c>
    </row>
    <row r="115" spans="1:11" ht="15" customHeight="1">
      <c r="A115" s="4">
        <v>107</v>
      </c>
      <c r="B115" s="5" t="s">
        <v>713</v>
      </c>
      <c r="C115" s="5" t="s">
        <v>74</v>
      </c>
      <c r="D115" s="5" t="s">
        <v>736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2242</v>
      </c>
      <c r="J115" s="5" t="s">
        <v>109</v>
      </c>
      <c r="K115" s="6">
        <f t="shared" si="3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K111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2250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5</v>
      </c>
      <c r="I4" s="1" t="s">
        <v>11</v>
      </c>
      <c r="J4" s="2">
        <f>COUNTIFS(A9:A1000,"&lt;&gt;",E9:E1000,"yes",F9:F1000,"&lt;&gt;yes")+COUNTIFS(A9:A1000,"&lt;&gt;",E9:E1000,"yes",F9:F1000,"yes",H9:H1000,"untested")</f>
        <v>98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75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2251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75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2251</v>
      </c>
      <c r="J12" s="5" t="s">
        <v>109</v>
      </c>
      <c r="K12" s="6">
        <f t="shared" si="0"/>
        <v>0</v>
      </c>
    </row>
    <row r="13" spans="1:11" ht="30" customHeight="1">
      <c r="A13" s="4">
        <v>5</v>
      </c>
      <c r="B13" s="5" t="s">
        <v>94</v>
      </c>
      <c r="C13" s="5" t="s">
        <v>75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2251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75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2251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75</v>
      </c>
      <c r="D15" s="5" t="s">
        <v>2252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2251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75</v>
      </c>
      <c r="D16" s="5" t="s">
        <v>2253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2251</v>
      </c>
      <c r="J16" s="5" t="s">
        <v>109</v>
      </c>
      <c r="K16" s="6">
        <f t="shared" si="0"/>
        <v>0</v>
      </c>
    </row>
    <row r="17" spans="1:11" ht="30" customHeight="1">
      <c r="A17" s="4">
        <v>9</v>
      </c>
      <c r="B17" s="5" t="s">
        <v>113</v>
      </c>
      <c r="C17" s="5" t="s">
        <v>75</v>
      </c>
      <c r="D17" s="5" t="s">
        <v>2254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2251</v>
      </c>
      <c r="J17" s="5" t="s">
        <v>109</v>
      </c>
      <c r="K17" s="6">
        <f t="shared" si="0"/>
        <v>0</v>
      </c>
    </row>
    <row r="18" spans="1:11" ht="15" customHeight="1">
      <c r="A18" s="4">
        <v>10</v>
      </c>
      <c r="B18" s="5" t="s">
        <v>113</v>
      </c>
      <c r="C18" s="5" t="s">
        <v>75</v>
      </c>
      <c r="D18" s="5" t="s">
        <v>1517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2251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75</v>
      </c>
      <c r="D19" s="5" t="s">
        <v>2255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2251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75</v>
      </c>
      <c r="D20" s="5" t="s">
        <v>2256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2251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2251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2251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2251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2251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2251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2251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2251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2251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2251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2257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2251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2258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2251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2259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2251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1330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2251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140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2251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135</v>
      </c>
      <c r="C35" s="5" t="s">
        <v>121</v>
      </c>
      <c r="D35" s="5" t="s">
        <v>610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2251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135</v>
      </c>
      <c r="C36" s="5" t="s">
        <v>121</v>
      </c>
      <c r="D36" s="5" t="s">
        <v>612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2251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135</v>
      </c>
      <c r="C37" s="5" t="s">
        <v>121</v>
      </c>
      <c r="D37" s="5" t="s">
        <v>611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2251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141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2251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955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2251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120</v>
      </c>
      <c r="C40" s="5" t="s">
        <v>482</v>
      </c>
      <c r="D40" s="5" t="s">
        <v>122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2251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120</v>
      </c>
      <c r="C41" s="5" t="s">
        <v>482</v>
      </c>
      <c r="D41" s="5" t="s">
        <v>123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2251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30" customHeight="1">
      <c r="A42" s="4">
        <v>34</v>
      </c>
      <c r="B42" s="5" t="s">
        <v>124</v>
      </c>
      <c r="C42" s="5" t="s">
        <v>482</v>
      </c>
      <c r="D42" s="5" t="s">
        <v>125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2251</v>
      </c>
      <c r="J42" s="5" t="s">
        <v>109</v>
      </c>
      <c r="K42" s="6">
        <f t="shared" si="1"/>
        <v>0</v>
      </c>
    </row>
    <row r="43" spans="1:11" ht="15" customHeight="1">
      <c r="A43" s="4">
        <v>35</v>
      </c>
      <c r="B43" s="5" t="s">
        <v>124</v>
      </c>
      <c r="C43" s="5" t="s">
        <v>482</v>
      </c>
      <c r="D43" s="5" t="s">
        <v>126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2251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95</v>
      </c>
      <c r="C44" s="5" t="s">
        <v>482</v>
      </c>
      <c r="D44" s="5" t="s">
        <v>127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2251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128</v>
      </c>
      <c r="C45" s="5" t="s">
        <v>482</v>
      </c>
      <c r="D45" s="5" t="s">
        <v>129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2251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133</v>
      </c>
      <c r="C46" s="5" t="s">
        <v>482</v>
      </c>
      <c r="D46" s="5" t="s">
        <v>619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2251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120</v>
      </c>
      <c r="C47" s="5" t="s">
        <v>150</v>
      </c>
      <c r="D47" s="5" t="s">
        <v>122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2251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150</v>
      </c>
      <c r="D48" s="5" t="s">
        <v>123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2251</v>
      </c>
      <c r="J48" s="5" t="s">
        <v>109</v>
      </c>
      <c r="K48" s="6">
        <f t="shared" si="1"/>
        <v>0</v>
      </c>
    </row>
    <row r="49" spans="1:11" ht="30" customHeight="1">
      <c r="A49" s="4">
        <v>41</v>
      </c>
      <c r="B49" s="5" t="s">
        <v>124</v>
      </c>
      <c r="C49" s="5" t="s">
        <v>150</v>
      </c>
      <c r="D49" s="5" t="s">
        <v>125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2251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124</v>
      </c>
      <c r="C50" s="5" t="s">
        <v>150</v>
      </c>
      <c r="D50" s="5" t="s">
        <v>126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2251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95</v>
      </c>
      <c r="C51" s="5" t="s">
        <v>150</v>
      </c>
      <c r="D51" s="5" t="s">
        <v>127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2251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128</v>
      </c>
      <c r="C52" s="5" t="s">
        <v>150</v>
      </c>
      <c r="D52" s="5" t="s">
        <v>129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2251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135</v>
      </c>
      <c r="C53" s="5" t="s">
        <v>150</v>
      </c>
      <c r="D53" s="5" t="s">
        <v>136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2251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133</v>
      </c>
      <c r="C54" s="5" t="s">
        <v>150</v>
      </c>
      <c r="D54" s="5" t="s">
        <v>716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2251</v>
      </c>
      <c r="J54" s="5" t="s">
        <v>109</v>
      </c>
      <c r="K54" s="6">
        <f t="shared" si="1"/>
        <v>0</v>
      </c>
    </row>
    <row r="55" spans="1:11" ht="15" customHeight="1">
      <c r="A55" s="4">
        <v>47</v>
      </c>
      <c r="B55" s="5" t="s">
        <v>135</v>
      </c>
      <c r="C55" s="5" t="s">
        <v>150</v>
      </c>
      <c r="D55" s="5" t="s">
        <v>140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2251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133</v>
      </c>
      <c r="C56" s="5" t="s">
        <v>150</v>
      </c>
      <c r="D56" s="5" t="s">
        <v>2260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2251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130</v>
      </c>
      <c r="C57" s="5" t="s">
        <v>150</v>
      </c>
      <c r="D57" s="5" t="s">
        <v>131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2251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130</v>
      </c>
      <c r="C58" s="5" t="s">
        <v>150</v>
      </c>
      <c r="D58" s="5" t="s">
        <v>132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2251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133</v>
      </c>
      <c r="C59" s="5" t="s">
        <v>150</v>
      </c>
      <c r="D59" s="5" t="s">
        <v>142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2251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133</v>
      </c>
      <c r="C60" s="5" t="s">
        <v>150</v>
      </c>
      <c r="D60" s="5" t="s">
        <v>146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2251</v>
      </c>
      <c r="J60" s="5" t="s">
        <v>109</v>
      </c>
      <c r="K60" s="6">
        <f t="shared" si="1"/>
        <v>0</v>
      </c>
    </row>
    <row r="61" spans="1:11" ht="15" customHeight="1">
      <c r="A61" s="4">
        <v>53</v>
      </c>
      <c r="B61" s="5" t="s">
        <v>135</v>
      </c>
      <c r="C61" s="5" t="s">
        <v>150</v>
      </c>
      <c r="D61" s="5" t="s">
        <v>967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2251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133</v>
      </c>
      <c r="C62" s="5" t="s">
        <v>150</v>
      </c>
      <c r="D62" s="5" t="s">
        <v>545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2251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135</v>
      </c>
      <c r="C63" s="5" t="s">
        <v>150</v>
      </c>
      <c r="D63" s="5" t="s">
        <v>144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2251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120</v>
      </c>
      <c r="C64" s="5" t="s">
        <v>1970</v>
      </c>
      <c r="D64" s="5" t="s">
        <v>122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2251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120</v>
      </c>
      <c r="C65" s="5" t="s">
        <v>1970</v>
      </c>
      <c r="D65" s="5" t="s">
        <v>123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2251</v>
      </c>
      <c r="J65" s="5" t="s">
        <v>109</v>
      </c>
      <c r="K65" s="6">
        <f t="shared" si="1"/>
        <v>0</v>
      </c>
    </row>
    <row r="66" spans="1:11" ht="30" customHeight="1">
      <c r="A66" s="4">
        <v>58</v>
      </c>
      <c r="B66" s="5" t="s">
        <v>124</v>
      </c>
      <c r="C66" s="5" t="s">
        <v>1970</v>
      </c>
      <c r="D66" s="5" t="s">
        <v>125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2251</v>
      </c>
      <c r="J66" s="5" t="s">
        <v>109</v>
      </c>
      <c r="K66" s="6">
        <f t="shared" si="1"/>
        <v>0</v>
      </c>
    </row>
    <row r="67" spans="1:11" ht="15" customHeight="1">
      <c r="A67" s="4">
        <v>59</v>
      </c>
      <c r="B67" s="5" t="s">
        <v>124</v>
      </c>
      <c r="C67" s="5" t="s">
        <v>1970</v>
      </c>
      <c r="D67" s="5" t="s">
        <v>126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2251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95</v>
      </c>
      <c r="C68" s="5" t="s">
        <v>1970</v>
      </c>
      <c r="D68" s="5" t="s">
        <v>127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2251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128</v>
      </c>
      <c r="C69" s="5" t="s">
        <v>1970</v>
      </c>
      <c r="D69" s="5" t="s">
        <v>129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2251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153</v>
      </c>
      <c r="C70" s="5" t="s">
        <v>154</v>
      </c>
      <c r="D70" s="5" t="s">
        <v>724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2251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153</v>
      </c>
      <c r="C71" s="5" t="s">
        <v>154</v>
      </c>
      <c r="D71" s="5" t="s">
        <v>1303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2251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153</v>
      </c>
      <c r="C72" s="5" t="s">
        <v>154</v>
      </c>
      <c r="D72" s="5" t="s">
        <v>156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2251</v>
      </c>
      <c r="J72" s="5" t="s">
        <v>109</v>
      </c>
      <c r="K72" s="6">
        <f t="shared" si="1"/>
        <v>0</v>
      </c>
    </row>
    <row r="73" spans="1:11" ht="15" customHeight="1">
      <c r="A73" s="4">
        <v>65</v>
      </c>
      <c r="B73" s="5" t="s">
        <v>153</v>
      </c>
      <c r="C73" s="5" t="s">
        <v>154</v>
      </c>
      <c r="D73" s="5" t="s">
        <v>157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2251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153</v>
      </c>
      <c r="C74" s="5" t="s">
        <v>154</v>
      </c>
      <c r="D74" s="5" t="s">
        <v>562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2251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153</v>
      </c>
      <c r="C75" s="5" t="s">
        <v>154</v>
      </c>
      <c r="D75" s="5" t="s">
        <v>621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2251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153</v>
      </c>
      <c r="C76" s="5" t="s">
        <v>154</v>
      </c>
      <c r="D76" s="5" t="s">
        <v>158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2251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153</v>
      </c>
      <c r="C77" s="5" t="s">
        <v>154</v>
      </c>
      <c r="D77" s="5" t="s">
        <v>2261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2251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153</v>
      </c>
      <c r="C78" s="5" t="s">
        <v>154</v>
      </c>
      <c r="D78" s="5" t="s">
        <v>983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2251</v>
      </c>
      <c r="J78" s="5" t="s">
        <v>109</v>
      </c>
      <c r="K78" s="6">
        <f t="shared" si="2"/>
        <v>0</v>
      </c>
    </row>
    <row r="79" spans="1:11" ht="15" customHeight="1">
      <c r="A79" s="4">
        <v>71</v>
      </c>
      <c r="B79" s="5" t="s">
        <v>153</v>
      </c>
      <c r="C79" s="5" t="s">
        <v>154</v>
      </c>
      <c r="D79" s="5" t="s">
        <v>1107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2251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153</v>
      </c>
      <c r="C80" s="5" t="s">
        <v>154</v>
      </c>
      <c r="D80" s="5" t="s">
        <v>622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2251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153</v>
      </c>
      <c r="C81" s="5" t="s">
        <v>154</v>
      </c>
      <c r="D81" s="5" t="s">
        <v>623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2251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153</v>
      </c>
      <c r="C82" s="5" t="s">
        <v>154</v>
      </c>
      <c r="D82" s="5" t="s">
        <v>727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2251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159</v>
      </c>
      <c r="C83" s="5" t="s">
        <v>154</v>
      </c>
      <c r="D83" s="5" t="s">
        <v>549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2251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159</v>
      </c>
      <c r="C84" s="5" t="s">
        <v>154</v>
      </c>
      <c r="D84" s="5" t="s">
        <v>160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2251</v>
      </c>
      <c r="J84" s="5" t="s">
        <v>109</v>
      </c>
      <c r="K84" s="6">
        <f t="shared" si="2"/>
        <v>0</v>
      </c>
    </row>
    <row r="85" spans="1:11" ht="15" customHeight="1">
      <c r="A85" s="4">
        <v>77</v>
      </c>
      <c r="B85" s="5" t="s">
        <v>159</v>
      </c>
      <c r="C85" s="5" t="s">
        <v>154</v>
      </c>
      <c r="D85" s="5" t="s">
        <v>2262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2251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159</v>
      </c>
      <c r="C86" s="5" t="s">
        <v>154</v>
      </c>
      <c r="D86" s="5" t="s">
        <v>2133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2251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159</v>
      </c>
      <c r="C87" s="5" t="s">
        <v>154</v>
      </c>
      <c r="D87" s="5" t="s">
        <v>1364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2251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159</v>
      </c>
      <c r="C88" s="5" t="s">
        <v>154</v>
      </c>
      <c r="D88" s="5" t="s">
        <v>624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2251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159</v>
      </c>
      <c r="C89" s="5" t="s">
        <v>154</v>
      </c>
      <c r="D89" s="5" t="s">
        <v>2263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2251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159</v>
      </c>
      <c r="C90" s="5" t="s">
        <v>154</v>
      </c>
      <c r="D90" s="5" t="s">
        <v>1527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2251</v>
      </c>
      <c r="J90" s="5" t="s">
        <v>109</v>
      </c>
      <c r="K90" s="6">
        <f t="shared" si="2"/>
        <v>0</v>
      </c>
    </row>
    <row r="91" spans="1:11" ht="15" customHeight="1">
      <c r="A91" s="4">
        <v>83</v>
      </c>
      <c r="B91" s="5" t="s">
        <v>159</v>
      </c>
      <c r="C91" s="5" t="s">
        <v>154</v>
      </c>
      <c r="D91" s="5" t="s">
        <v>625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2251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159</v>
      </c>
      <c r="C92" s="5" t="s">
        <v>154</v>
      </c>
      <c r="D92" s="5" t="s">
        <v>1001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2251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159</v>
      </c>
      <c r="C93" s="5" t="s">
        <v>154</v>
      </c>
      <c r="D93" s="5" t="s">
        <v>162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2251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159</v>
      </c>
      <c r="C94" s="5" t="s">
        <v>154</v>
      </c>
      <c r="D94" s="5" t="s">
        <v>163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2251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159</v>
      </c>
      <c r="C95" s="5" t="s">
        <v>154</v>
      </c>
      <c r="D95" s="5" t="s">
        <v>551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2251</v>
      </c>
      <c r="J95" s="5" t="s">
        <v>109</v>
      </c>
      <c r="K95" s="6">
        <f t="shared" si="2"/>
        <v>0</v>
      </c>
    </row>
    <row r="96" spans="1:11" ht="30" customHeight="1">
      <c r="A96" s="4">
        <v>88</v>
      </c>
      <c r="B96" s="5" t="s">
        <v>130</v>
      </c>
      <c r="C96" s="5" t="s">
        <v>75</v>
      </c>
      <c r="D96" s="5" t="s">
        <v>164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2251</v>
      </c>
      <c r="J96" s="5" t="s">
        <v>109</v>
      </c>
      <c r="K96" s="6">
        <f t="shared" si="2"/>
        <v>0</v>
      </c>
    </row>
    <row r="97" spans="1:11" ht="15" customHeight="1">
      <c r="A97" s="4">
        <v>89</v>
      </c>
      <c r="B97" s="5" t="s">
        <v>130</v>
      </c>
      <c r="C97" s="5" t="s">
        <v>75</v>
      </c>
      <c r="D97" s="5" t="s">
        <v>165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2251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130</v>
      </c>
      <c r="C98" s="5" t="s">
        <v>75</v>
      </c>
      <c r="D98" s="5" t="s">
        <v>166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2251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130</v>
      </c>
      <c r="C99" s="5" t="s">
        <v>75</v>
      </c>
      <c r="D99" s="5" t="s">
        <v>167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2251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130</v>
      </c>
      <c r="C100" s="5" t="s">
        <v>75</v>
      </c>
      <c r="D100" s="5" t="s">
        <v>168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2251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135</v>
      </c>
      <c r="C101" s="5" t="s">
        <v>121</v>
      </c>
      <c r="D101" s="5" t="s">
        <v>169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2251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135</v>
      </c>
      <c r="C102" s="5" t="s">
        <v>121</v>
      </c>
      <c r="D102" s="5" t="s">
        <v>170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2251</v>
      </c>
      <c r="J102" s="5" t="s">
        <v>109</v>
      </c>
      <c r="K102" s="6">
        <f t="shared" si="2"/>
        <v>0</v>
      </c>
    </row>
    <row r="103" spans="1:11" ht="15" customHeight="1">
      <c r="A103" s="4">
        <v>95</v>
      </c>
      <c r="B103" s="5" t="s">
        <v>135</v>
      </c>
      <c r="C103" s="5" t="s">
        <v>121</v>
      </c>
      <c r="D103" s="5" t="s">
        <v>171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2251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179</v>
      </c>
      <c r="C104" s="5" t="s">
        <v>75</v>
      </c>
      <c r="D104" s="5" t="s">
        <v>182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2251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179</v>
      </c>
      <c r="C105" s="5" t="s">
        <v>75</v>
      </c>
      <c r="D105" s="5" t="s">
        <v>183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2251</v>
      </c>
      <c r="J105" s="5" t="s">
        <v>109</v>
      </c>
      <c r="K105" s="6">
        <f t="shared" ref="K105:K111" si="3">IF(AND(E105="yes",F105="yes",H105="covered"),1,IF(H105="partial",0.5,0))</f>
        <v>0</v>
      </c>
    </row>
    <row r="106" spans="1:11" ht="15" customHeight="1">
      <c r="A106" s="4">
        <v>98</v>
      </c>
      <c r="B106" s="5" t="s">
        <v>179</v>
      </c>
      <c r="C106" s="5" t="s">
        <v>75</v>
      </c>
      <c r="D106" s="5" t="s">
        <v>184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2251</v>
      </c>
      <c r="J106" s="5" t="s">
        <v>109</v>
      </c>
      <c r="K106" s="6">
        <f t="shared" si="3"/>
        <v>0</v>
      </c>
    </row>
    <row r="107" spans="1:11" ht="30" customHeight="1">
      <c r="A107" s="4">
        <v>99</v>
      </c>
      <c r="B107" s="5" t="s">
        <v>179</v>
      </c>
      <c r="C107" s="5" t="s">
        <v>75</v>
      </c>
      <c r="D107" s="5" t="s">
        <v>185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2251</v>
      </c>
      <c r="J107" s="5" t="s">
        <v>109</v>
      </c>
      <c r="K107" s="6">
        <f t="shared" si="3"/>
        <v>0</v>
      </c>
    </row>
    <row r="108" spans="1:11" ht="30" customHeight="1">
      <c r="A108" s="4">
        <v>100</v>
      </c>
      <c r="B108" s="5" t="s">
        <v>177</v>
      </c>
      <c r="C108" s="5" t="s">
        <v>75</v>
      </c>
      <c r="D108" s="5" t="s">
        <v>186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2251</v>
      </c>
      <c r="J108" s="5" t="s">
        <v>109</v>
      </c>
      <c r="K108" s="6">
        <f t="shared" si="3"/>
        <v>0</v>
      </c>
    </row>
    <row r="109" spans="1:11" ht="30" customHeight="1">
      <c r="A109" s="4">
        <v>101</v>
      </c>
      <c r="B109" s="5" t="s">
        <v>31</v>
      </c>
      <c r="C109" s="5" t="s">
        <v>121</v>
      </c>
      <c r="D109" s="5" t="s">
        <v>2264</v>
      </c>
      <c r="E109" s="10" t="s">
        <v>97</v>
      </c>
      <c r="F109" s="8" t="s">
        <v>97</v>
      </c>
      <c r="G109" s="4" t="s">
        <v>99</v>
      </c>
      <c r="H109" s="10" t="s">
        <v>99</v>
      </c>
      <c r="I109" s="5"/>
      <c r="J109" s="5" t="s">
        <v>2265</v>
      </c>
      <c r="K109" s="6">
        <f t="shared" si="3"/>
        <v>0</v>
      </c>
    </row>
    <row r="110" spans="1:11" ht="30" customHeight="1">
      <c r="A110" s="4">
        <v>102</v>
      </c>
      <c r="B110" s="5" t="s">
        <v>31</v>
      </c>
      <c r="C110" s="5" t="s">
        <v>150</v>
      </c>
      <c r="D110" s="5" t="s">
        <v>2266</v>
      </c>
      <c r="E110" s="10" t="s">
        <v>97</v>
      </c>
      <c r="F110" s="8" t="s">
        <v>97</v>
      </c>
      <c r="G110" s="4" t="s">
        <v>99</v>
      </c>
      <c r="H110" s="10" t="s">
        <v>99</v>
      </c>
      <c r="I110" s="5"/>
      <c r="J110" s="5" t="s">
        <v>2267</v>
      </c>
      <c r="K110" s="6">
        <f t="shared" si="3"/>
        <v>0</v>
      </c>
    </row>
    <row r="111" spans="1:11" ht="30" customHeight="1">
      <c r="A111" s="4">
        <v>103</v>
      </c>
      <c r="B111" s="5" t="s">
        <v>94</v>
      </c>
      <c r="C111" s="5" t="s">
        <v>191</v>
      </c>
      <c r="D111" s="5" t="s">
        <v>192</v>
      </c>
      <c r="E111" s="10" t="s">
        <v>97</v>
      </c>
      <c r="F111" s="8" t="s">
        <v>97</v>
      </c>
      <c r="G111" s="4" t="s">
        <v>99</v>
      </c>
      <c r="H111" s="10" t="s">
        <v>99</v>
      </c>
      <c r="I111" s="5"/>
      <c r="J111" s="5" t="s">
        <v>193</v>
      </c>
      <c r="K111" s="6">
        <f t="shared" si="3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K194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2268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IFERROR(D4/COUNTA(A9:A1000),0)</f>
        <v>0</v>
      </c>
      <c r="C4" s="1" t="s">
        <v>8</v>
      </c>
      <c r="D4" s="2">
        <f>COUNTIFS(A9:A1000,"&lt;&gt;",E9:E1000,"yes",F9:F1000,"yes",H9:H1000,"covered")</f>
        <v>0</v>
      </c>
      <c r="E4" s="1" t="s">
        <v>9</v>
      </c>
      <c r="F4" s="2">
        <f>COUNTIFS(A9:A1000,"&lt;&gt;",H9:H1000,"partial")</f>
        <v>0</v>
      </c>
      <c r="G4" s="1" t="s">
        <v>10</v>
      </c>
      <c r="H4" s="2">
        <f>COUNTIFS(A9:A1000,"&lt;&gt;",E9:E1000,"&lt;&gt;yes")+COUNTIFS(A9:A1000,"&lt;&gt;",E9:E1000,"yes",H9:H1000,"missing")</f>
        <v>6</v>
      </c>
      <c r="I4" s="1" t="s">
        <v>11</v>
      </c>
      <c r="J4" s="2">
        <f>COUNTIFS(A9:A1000,"&lt;&gt;",E9:E1000,"yes",F9:F1000,"&lt;&gt;yes")+COUNTIFS(A9:A1000,"&lt;&gt;",E9:E1000,"yes",F9:F1000,"yes",H9:H1000,"untested")</f>
        <v>180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4">
        <v>1</v>
      </c>
      <c r="B9" s="5" t="s">
        <v>94</v>
      </c>
      <c r="C9" s="5" t="s">
        <v>95</v>
      </c>
      <c r="D9" s="5" t="s">
        <v>96</v>
      </c>
      <c r="E9" s="7" t="s">
        <v>97</v>
      </c>
      <c r="F9" s="8" t="s">
        <v>97</v>
      </c>
      <c r="G9" s="4" t="s">
        <v>98</v>
      </c>
      <c r="H9" s="9" t="s">
        <v>99</v>
      </c>
      <c r="I9" s="5" t="s">
        <v>100</v>
      </c>
      <c r="J9" s="5" t="s">
        <v>101</v>
      </c>
      <c r="K9" s="6">
        <f t="shared" ref="K9:K40" si="0">IF(AND(E9="yes",F9="yes",H9="covered"),1,IF(H9="partial",0.5,0))</f>
        <v>0</v>
      </c>
    </row>
    <row r="10" spans="1:11" ht="15" customHeight="1">
      <c r="A10" s="4">
        <v>2</v>
      </c>
      <c r="B10" s="5" t="s">
        <v>94</v>
      </c>
      <c r="C10" s="5" t="s">
        <v>95</v>
      </c>
      <c r="D10" s="5" t="s">
        <v>102</v>
      </c>
      <c r="E10" s="7" t="s">
        <v>97</v>
      </c>
      <c r="F10" s="8" t="s">
        <v>97</v>
      </c>
      <c r="G10" s="4" t="s">
        <v>98</v>
      </c>
      <c r="H10" s="9" t="s">
        <v>99</v>
      </c>
      <c r="I10" s="5" t="s">
        <v>100</v>
      </c>
      <c r="J10" s="5" t="s">
        <v>103</v>
      </c>
      <c r="K10" s="6">
        <f t="shared" si="0"/>
        <v>0</v>
      </c>
    </row>
    <row r="11" spans="1:11" ht="15" customHeight="1">
      <c r="A11" s="4">
        <v>3</v>
      </c>
      <c r="B11" s="5" t="s">
        <v>94</v>
      </c>
      <c r="C11" s="5" t="s">
        <v>76</v>
      </c>
      <c r="D11" s="5" t="s">
        <v>104</v>
      </c>
      <c r="E11" s="7" t="s">
        <v>105</v>
      </c>
      <c r="F11" s="8" t="s">
        <v>97</v>
      </c>
      <c r="G11" s="4" t="s">
        <v>106</v>
      </c>
      <c r="H11" s="9" t="s">
        <v>107</v>
      </c>
      <c r="I11" s="5" t="s">
        <v>2269</v>
      </c>
      <c r="J11" s="5" t="s">
        <v>109</v>
      </c>
      <c r="K11" s="6">
        <f t="shared" si="0"/>
        <v>0</v>
      </c>
    </row>
    <row r="12" spans="1:11" ht="15" customHeight="1">
      <c r="A12" s="4">
        <v>4</v>
      </c>
      <c r="B12" s="5" t="s">
        <v>94</v>
      </c>
      <c r="C12" s="5" t="s">
        <v>76</v>
      </c>
      <c r="D12" s="5" t="s">
        <v>110</v>
      </c>
      <c r="E12" s="7" t="s">
        <v>105</v>
      </c>
      <c r="F12" s="8" t="s">
        <v>97</v>
      </c>
      <c r="G12" s="4" t="s">
        <v>106</v>
      </c>
      <c r="H12" s="9" t="s">
        <v>107</v>
      </c>
      <c r="I12" s="5" t="s">
        <v>2269</v>
      </c>
      <c r="J12" s="5" t="s">
        <v>109</v>
      </c>
      <c r="K12" s="6">
        <f t="shared" si="0"/>
        <v>0</v>
      </c>
    </row>
    <row r="13" spans="1:11" ht="30" customHeight="1">
      <c r="A13" s="4">
        <v>5</v>
      </c>
      <c r="B13" s="5" t="s">
        <v>94</v>
      </c>
      <c r="C13" s="5" t="s">
        <v>76</v>
      </c>
      <c r="D13" s="5" t="s">
        <v>111</v>
      </c>
      <c r="E13" s="7" t="s">
        <v>105</v>
      </c>
      <c r="F13" s="8" t="s">
        <v>97</v>
      </c>
      <c r="G13" s="4" t="s">
        <v>106</v>
      </c>
      <c r="H13" s="9" t="s">
        <v>107</v>
      </c>
      <c r="I13" s="5" t="s">
        <v>2269</v>
      </c>
      <c r="J13" s="5" t="s">
        <v>109</v>
      </c>
      <c r="K13" s="6">
        <f t="shared" si="0"/>
        <v>0</v>
      </c>
    </row>
    <row r="14" spans="1:11" ht="15" customHeight="1">
      <c r="A14" s="4">
        <v>6</v>
      </c>
      <c r="B14" s="5" t="s">
        <v>94</v>
      </c>
      <c r="C14" s="5" t="s">
        <v>76</v>
      </c>
      <c r="D14" s="5" t="s">
        <v>112</v>
      </c>
      <c r="E14" s="7" t="s">
        <v>105</v>
      </c>
      <c r="F14" s="8" t="s">
        <v>97</v>
      </c>
      <c r="G14" s="4" t="s">
        <v>106</v>
      </c>
      <c r="H14" s="9" t="s">
        <v>107</v>
      </c>
      <c r="I14" s="5" t="s">
        <v>2269</v>
      </c>
      <c r="J14" s="5" t="s">
        <v>109</v>
      </c>
      <c r="K14" s="6">
        <f t="shared" si="0"/>
        <v>0</v>
      </c>
    </row>
    <row r="15" spans="1:11" ht="15" customHeight="1">
      <c r="A15" s="4">
        <v>7</v>
      </c>
      <c r="B15" s="5" t="s">
        <v>113</v>
      </c>
      <c r="C15" s="5" t="s">
        <v>76</v>
      </c>
      <c r="D15" s="5" t="s">
        <v>2270</v>
      </c>
      <c r="E15" s="7" t="s">
        <v>105</v>
      </c>
      <c r="F15" s="8" t="s">
        <v>97</v>
      </c>
      <c r="G15" s="4" t="s">
        <v>106</v>
      </c>
      <c r="H15" s="9" t="s">
        <v>107</v>
      </c>
      <c r="I15" s="5" t="s">
        <v>2269</v>
      </c>
      <c r="J15" s="5" t="s">
        <v>109</v>
      </c>
      <c r="K15" s="6">
        <f t="shared" si="0"/>
        <v>0</v>
      </c>
    </row>
    <row r="16" spans="1:11" ht="15" customHeight="1">
      <c r="A16" s="4">
        <v>8</v>
      </c>
      <c r="B16" s="5" t="s">
        <v>113</v>
      </c>
      <c r="C16" s="5" t="s">
        <v>76</v>
      </c>
      <c r="D16" s="5" t="s">
        <v>2254</v>
      </c>
      <c r="E16" s="7" t="s">
        <v>105</v>
      </c>
      <c r="F16" s="8" t="s">
        <v>97</v>
      </c>
      <c r="G16" s="4" t="s">
        <v>106</v>
      </c>
      <c r="H16" s="9" t="s">
        <v>107</v>
      </c>
      <c r="I16" s="5" t="s">
        <v>2269</v>
      </c>
      <c r="J16" s="5" t="s">
        <v>109</v>
      </c>
      <c r="K16" s="6">
        <f t="shared" si="0"/>
        <v>0</v>
      </c>
    </row>
    <row r="17" spans="1:11" ht="15" customHeight="1">
      <c r="A17" s="4">
        <v>9</v>
      </c>
      <c r="B17" s="5" t="s">
        <v>113</v>
      </c>
      <c r="C17" s="5" t="s">
        <v>76</v>
      </c>
      <c r="D17" s="5" t="s">
        <v>947</v>
      </c>
      <c r="E17" s="7" t="s">
        <v>105</v>
      </c>
      <c r="F17" s="8" t="s">
        <v>97</v>
      </c>
      <c r="G17" s="4" t="s">
        <v>106</v>
      </c>
      <c r="H17" s="9" t="s">
        <v>107</v>
      </c>
      <c r="I17" s="5" t="s">
        <v>2269</v>
      </c>
      <c r="J17" s="5" t="s">
        <v>109</v>
      </c>
      <c r="K17" s="6">
        <f t="shared" si="0"/>
        <v>0</v>
      </c>
    </row>
    <row r="18" spans="1:11" ht="30" customHeight="1">
      <c r="A18" s="4">
        <v>10</v>
      </c>
      <c r="B18" s="5" t="s">
        <v>113</v>
      </c>
      <c r="C18" s="5" t="s">
        <v>76</v>
      </c>
      <c r="D18" s="5" t="s">
        <v>2271</v>
      </c>
      <c r="E18" s="7" t="s">
        <v>105</v>
      </c>
      <c r="F18" s="8" t="s">
        <v>97</v>
      </c>
      <c r="G18" s="4" t="s">
        <v>106</v>
      </c>
      <c r="H18" s="9" t="s">
        <v>107</v>
      </c>
      <c r="I18" s="5" t="s">
        <v>2269</v>
      </c>
      <c r="J18" s="5" t="s">
        <v>109</v>
      </c>
      <c r="K18" s="6">
        <f t="shared" si="0"/>
        <v>0</v>
      </c>
    </row>
    <row r="19" spans="1:11" ht="15" customHeight="1">
      <c r="A19" s="4">
        <v>11</v>
      </c>
      <c r="B19" s="5" t="s">
        <v>113</v>
      </c>
      <c r="C19" s="5" t="s">
        <v>76</v>
      </c>
      <c r="D19" s="5" t="s">
        <v>2272</v>
      </c>
      <c r="E19" s="7" t="s">
        <v>105</v>
      </c>
      <c r="F19" s="8" t="s">
        <v>97</v>
      </c>
      <c r="G19" s="4" t="s">
        <v>106</v>
      </c>
      <c r="H19" s="9" t="s">
        <v>107</v>
      </c>
      <c r="I19" s="5" t="s">
        <v>2269</v>
      </c>
      <c r="J19" s="5" t="s">
        <v>109</v>
      </c>
      <c r="K19" s="6">
        <f t="shared" si="0"/>
        <v>0</v>
      </c>
    </row>
    <row r="20" spans="1:11" ht="15" customHeight="1">
      <c r="A20" s="4">
        <v>12</v>
      </c>
      <c r="B20" s="5" t="s">
        <v>113</v>
      </c>
      <c r="C20" s="5" t="s">
        <v>76</v>
      </c>
      <c r="D20" s="5" t="s">
        <v>2273</v>
      </c>
      <c r="E20" s="7" t="s">
        <v>105</v>
      </c>
      <c r="F20" s="8" t="s">
        <v>97</v>
      </c>
      <c r="G20" s="4" t="s">
        <v>106</v>
      </c>
      <c r="H20" s="9" t="s">
        <v>107</v>
      </c>
      <c r="I20" s="5" t="s">
        <v>2269</v>
      </c>
      <c r="J20" s="5" t="s">
        <v>109</v>
      </c>
      <c r="K20" s="6">
        <f t="shared" si="0"/>
        <v>0</v>
      </c>
    </row>
    <row r="21" spans="1:11" ht="15" customHeight="1">
      <c r="A21" s="4">
        <v>13</v>
      </c>
      <c r="B21" s="5" t="s">
        <v>120</v>
      </c>
      <c r="C21" s="5" t="s">
        <v>121</v>
      </c>
      <c r="D21" s="5" t="s">
        <v>122</v>
      </c>
      <c r="E21" s="7" t="s">
        <v>105</v>
      </c>
      <c r="F21" s="8" t="s">
        <v>97</v>
      </c>
      <c r="G21" s="4" t="s">
        <v>106</v>
      </c>
      <c r="H21" s="9" t="s">
        <v>107</v>
      </c>
      <c r="I21" s="5" t="s">
        <v>2269</v>
      </c>
      <c r="J21" s="5" t="s">
        <v>109</v>
      </c>
      <c r="K21" s="6">
        <f t="shared" si="0"/>
        <v>0</v>
      </c>
    </row>
    <row r="22" spans="1:11" ht="15" customHeight="1">
      <c r="A22" s="4">
        <v>14</v>
      </c>
      <c r="B22" s="5" t="s">
        <v>120</v>
      </c>
      <c r="C22" s="5" t="s">
        <v>121</v>
      </c>
      <c r="D22" s="5" t="s">
        <v>123</v>
      </c>
      <c r="E22" s="7" t="s">
        <v>105</v>
      </c>
      <c r="F22" s="8" t="s">
        <v>97</v>
      </c>
      <c r="G22" s="4" t="s">
        <v>106</v>
      </c>
      <c r="H22" s="9" t="s">
        <v>107</v>
      </c>
      <c r="I22" s="5" t="s">
        <v>2269</v>
      </c>
      <c r="J22" s="5" t="s">
        <v>109</v>
      </c>
      <c r="K22" s="6">
        <f t="shared" si="0"/>
        <v>0</v>
      </c>
    </row>
    <row r="23" spans="1:11" ht="30" customHeight="1">
      <c r="A23" s="4">
        <v>15</v>
      </c>
      <c r="B23" s="5" t="s">
        <v>124</v>
      </c>
      <c r="C23" s="5" t="s">
        <v>121</v>
      </c>
      <c r="D23" s="5" t="s">
        <v>125</v>
      </c>
      <c r="E23" s="7" t="s">
        <v>105</v>
      </c>
      <c r="F23" s="8" t="s">
        <v>97</v>
      </c>
      <c r="G23" s="4" t="s">
        <v>106</v>
      </c>
      <c r="H23" s="9" t="s">
        <v>107</v>
      </c>
      <c r="I23" s="5" t="s">
        <v>2269</v>
      </c>
      <c r="J23" s="5" t="s">
        <v>109</v>
      </c>
      <c r="K23" s="6">
        <f t="shared" si="0"/>
        <v>0</v>
      </c>
    </row>
    <row r="24" spans="1:11" ht="15" customHeight="1">
      <c r="A24" s="4">
        <v>16</v>
      </c>
      <c r="B24" s="5" t="s">
        <v>124</v>
      </c>
      <c r="C24" s="5" t="s">
        <v>121</v>
      </c>
      <c r="D24" s="5" t="s">
        <v>126</v>
      </c>
      <c r="E24" s="7" t="s">
        <v>105</v>
      </c>
      <c r="F24" s="8" t="s">
        <v>97</v>
      </c>
      <c r="G24" s="4" t="s">
        <v>106</v>
      </c>
      <c r="H24" s="9" t="s">
        <v>107</v>
      </c>
      <c r="I24" s="5" t="s">
        <v>2269</v>
      </c>
      <c r="J24" s="5" t="s">
        <v>109</v>
      </c>
      <c r="K24" s="6">
        <f t="shared" si="0"/>
        <v>0</v>
      </c>
    </row>
    <row r="25" spans="1:11" ht="15" customHeight="1">
      <c r="A25" s="4">
        <v>17</v>
      </c>
      <c r="B25" s="5" t="s">
        <v>95</v>
      </c>
      <c r="C25" s="5" t="s">
        <v>121</v>
      </c>
      <c r="D25" s="5" t="s">
        <v>127</v>
      </c>
      <c r="E25" s="7" t="s">
        <v>105</v>
      </c>
      <c r="F25" s="8" t="s">
        <v>97</v>
      </c>
      <c r="G25" s="4" t="s">
        <v>106</v>
      </c>
      <c r="H25" s="9" t="s">
        <v>107</v>
      </c>
      <c r="I25" s="5" t="s">
        <v>2269</v>
      </c>
      <c r="J25" s="5" t="s">
        <v>109</v>
      </c>
      <c r="K25" s="6">
        <f t="shared" si="0"/>
        <v>0</v>
      </c>
    </row>
    <row r="26" spans="1:11" ht="15" customHeight="1">
      <c r="A26" s="4">
        <v>18</v>
      </c>
      <c r="B26" s="5" t="s">
        <v>128</v>
      </c>
      <c r="C26" s="5" t="s">
        <v>121</v>
      </c>
      <c r="D26" s="5" t="s">
        <v>129</v>
      </c>
      <c r="E26" s="7" t="s">
        <v>105</v>
      </c>
      <c r="F26" s="8" t="s">
        <v>97</v>
      </c>
      <c r="G26" s="4" t="s">
        <v>106</v>
      </c>
      <c r="H26" s="9" t="s">
        <v>107</v>
      </c>
      <c r="I26" s="5" t="s">
        <v>2269</v>
      </c>
      <c r="J26" s="5" t="s">
        <v>109</v>
      </c>
      <c r="K26" s="6">
        <f t="shared" si="0"/>
        <v>0</v>
      </c>
    </row>
    <row r="27" spans="1:11" ht="15" customHeight="1">
      <c r="A27" s="4">
        <v>19</v>
      </c>
      <c r="B27" s="5" t="s">
        <v>135</v>
      </c>
      <c r="C27" s="5" t="s">
        <v>121</v>
      </c>
      <c r="D27" s="5" t="s">
        <v>136</v>
      </c>
      <c r="E27" s="7" t="s">
        <v>105</v>
      </c>
      <c r="F27" s="8" t="s">
        <v>97</v>
      </c>
      <c r="G27" s="4" t="s">
        <v>106</v>
      </c>
      <c r="H27" s="9" t="s">
        <v>107</v>
      </c>
      <c r="I27" s="5" t="s">
        <v>2269</v>
      </c>
      <c r="J27" s="5" t="s">
        <v>109</v>
      </c>
      <c r="K27" s="6">
        <f t="shared" si="0"/>
        <v>0</v>
      </c>
    </row>
    <row r="28" spans="1:11" ht="15" customHeight="1">
      <c r="A28" s="4">
        <v>20</v>
      </c>
      <c r="B28" s="5" t="s">
        <v>135</v>
      </c>
      <c r="C28" s="5" t="s">
        <v>121</v>
      </c>
      <c r="D28" s="5" t="s">
        <v>137</v>
      </c>
      <c r="E28" s="7" t="s">
        <v>105</v>
      </c>
      <c r="F28" s="8" t="s">
        <v>97</v>
      </c>
      <c r="G28" s="4" t="s">
        <v>106</v>
      </c>
      <c r="H28" s="9" t="s">
        <v>107</v>
      </c>
      <c r="I28" s="5" t="s">
        <v>2269</v>
      </c>
      <c r="J28" s="5" t="s">
        <v>109</v>
      </c>
      <c r="K28" s="6">
        <f t="shared" si="0"/>
        <v>0</v>
      </c>
    </row>
    <row r="29" spans="1:11" ht="15" customHeight="1">
      <c r="A29" s="4">
        <v>21</v>
      </c>
      <c r="B29" s="5" t="s">
        <v>135</v>
      </c>
      <c r="C29" s="5" t="s">
        <v>121</v>
      </c>
      <c r="D29" s="5" t="s">
        <v>138</v>
      </c>
      <c r="E29" s="7" t="s">
        <v>105</v>
      </c>
      <c r="F29" s="8" t="s">
        <v>97</v>
      </c>
      <c r="G29" s="4" t="s">
        <v>106</v>
      </c>
      <c r="H29" s="9" t="s">
        <v>107</v>
      </c>
      <c r="I29" s="5" t="s">
        <v>2269</v>
      </c>
      <c r="J29" s="5" t="s">
        <v>109</v>
      </c>
      <c r="K29" s="6">
        <f t="shared" si="0"/>
        <v>0</v>
      </c>
    </row>
    <row r="30" spans="1:11" ht="15" customHeight="1">
      <c r="A30" s="4">
        <v>22</v>
      </c>
      <c r="B30" s="5" t="s">
        <v>133</v>
      </c>
      <c r="C30" s="5" t="s">
        <v>121</v>
      </c>
      <c r="D30" s="5" t="s">
        <v>2257</v>
      </c>
      <c r="E30" s="7" t="s">
        <v>105</v>
      </c>
      <c r="F30" s="8" t="s">
        <v>97</v>
      </c>
      <c r="G30" s="4" t="s">
        <v>106</v>
      </c>
      <c r="H30" s="9" t="s">
        <v>107</v>
      </c>
      <c r="I30" s="5" t="s">
        <v>2269</v>
      </c>
      <c r="J30" s="5" t="s">
        <v>109</v>
      </c>
      <c r="K30" s="6">
        <f t="shared" si="0"/>
        <v>0</v>
      </c>
    </row>
    <row r="31" spans="1:11" ht="15" customHeight="1">
      <c r="A31" s="4">
        <v>23</v>
      </c>
      <c r="B31" s="5" t="s">
        <v>135</v>
      </c>
      <c r="C31" s="5" t="s">
        <v>121</v>
      </c>
      <c r="D31" s="5" t="s">
        <v>2258</v>
      </c>
      <c r="E31" s="7" t="s">
        <v>105</v>
      </c>
      <c r="F31" s="8" t="s">
        <v>97</v>
      </c>
      <c r="G31" s="4" t="s">
        <v>106</v>
      </c>
      <c r="H31" s="9" t="s">
        <v>107</v>
      </c>
      <c r="I31" s="5" t="s">
        <v>2269</v>
      </c>
      <c r="J31" s="5" t="s">
        <v>109</v>
      </c>
      <c r="K31" s="6">
        <f t="shared" si="0"/>
        <v>0</v>
      </c>
    </row>
    <row r="32" spans="1:11" ht="15" customHeight="1">
      <c r="A32" s="4">
        <v>24</v>
      </c>
      <c r="B32" s="5" t="s">
        <v>135</v>
      </c>
      <c r="C32" s="5" t="s">
        <v>121</v>
      </c>
      <c r="D32" s="5" t="s">
        <v>2259</v>
      </c>
      <c r="E32" s="7" t="s">
        <v>105</v>
      </c>
      <c r="F32" s="8" t="s">
        <v>97</v>
      </c>
      <c r="G32" s="4" t="s">
        <v>106</v>
      </c>
      <c r="H32" s="9" t="s">
        <v>107</v>
      </c>
      <c r="I32" s="5" t="s">
        <v>2269</v>
      </c>
      <c r="J32" s="5" t="s">
        <v>109</v>
      </c>
      <c r="K32" s="6">
        <f t="shared" si="0"/>
        <v>0</v>
      </c>
    </row>
    <row r="33" spans="1:11" ht="15" customHeight="1">
      <c r="A33" s="4">
        <v>25</v>
      </c>
      <c r="B33" s="5" t="s">
        <v>133</v>
      </c>
      <c r="C33" s="5" t="s">
        <v>121</v>
      </c>
      <c r="D33" s="5" t="s">
        <v>951</v>
      </c>
      <c r="E33" s="7" t="s">
        <v>105</v>
      </c>
      <c r="F33" s="8" t="s">
        <v>97</v>
      </c>
      <c r="G33" s="4" t="s">
        <v>106</v>
      </c>
      <c r="H33" s="9" t="s">
        <v>107</v>
      </c>
      <c r="I33" s="5" t="s">
        <v>2269</v>
      </c>
      <c r="J33" s="5" t="s">
        <v>109</v>
      </c>
      <c r="K33" s="6">
        <f t="shared" si="0"/>
        <v>0</v>
      </c>
    </row>
    <row r="34" spans="1:11" ht="15" customHeight="1">
      <c r="A34" s="4">
        <v>26</v>
      </c>
      <c r="B34" s="5" t="s">
        <v>135</v>
      </c>
      <c r="C34" s="5" t="s">
        <v>121</v>
      </c>
      <c r="D34" s="5" t="s">
        <v>952</v>
      </c>
      <c r="E34" s="7" t="s">
        <v>105</v>
      </c>
      <c r="F34" s="8" t="s">
        <v>97</v>
      </c>
      <c r="G34" s="4" t="s">
        <v>106</v>
      </c>
      <c r="H34" s="9" t="s">
        <v>107</v>
      </c>
      <c r="I34" s="5" t="s">
        <v>2269</v>
      </c>
      <c r="J34" s="5" t="s">
        <v>109</v>
      </c>
      <c r="K34" s="6">
        <f t="shared" si="0"/>
        <v>0</v>
      </c>
    </row>
    <row r="35" spans="1:11" ht="15" customHeight="1">
      <c r="A35" s="4">
        <v>27</v>
      </c>
      <c r="B35" s="5" t="s">
        <v>135</v>
      </c>
      <c r="C35" s="5" t="s">
        <v>121</v>
      </c>
      <c r="D35" s="5" t="s">
        <v>954</v>
      </c>
      <c r="E35" s="7" t="s">
        <v>105</v>
      </c>
      <c r="F35" s="8" t="s">
        <v>97</v>
      </c>
      <c r="G35" s="4" t="s">
        <v>106</v>
      </c>
      <c r="H35" s="9" t="s">
        <v>107</v>
      </c>
      <c r="I35" s="5" t="s">
        <v>2269</v>
      </c>
      <c r="J35" s="5" t="s">
        <v>109</v>
      </c>
      <c r="K35" s="6">
        <f t="shared" si="0"/>
        <v>0</v>
      </c>
    </row>
    <row r="36" spans="1:11" ht="15" customHeight="1">
      <c r="A36" s="4">
        <v>28</v>
      </c>
      <c r="B36" s="5" t="s">
        <v>135</v>
      </c>
      <c r="C36" s="5" t="s">
        <v>121</v>
      </c>
      <c r="D36" s="5" t="s">
        <v>140</v>
      </c>
      <c r="E36" s="7" t="s">
        <v>105</v>
      </c>
      <c r="F36" s="8" t="s">
        <v>97</v>
      </c>
      <c r="G36" s="4" t="s">
        <v>106</v>
      </c>
      <c r="H36" s="9" t="s">
        <v>107</v>
      </c>
      <c r="I36" s="5" t="s">
        <v>2269</v>
      </c>
      <c r="J36" s="5" t="s">
        <v>109</v>
      </c>
      <c r="K36" s="6">
        <f t="shared" si="0"/>
        <v>0</v>
      </c>
    </row>
    <row r="37" spans="1:11" ht="15" customHeight="1">
      <c r="A37" s="4">
        <v>29</v>
      </c>
      <c r="B37" s="5" t="s">
        <v>135</v>
      </c>
      <c r="C37" s="5" t="s">
        <v>121</v>
      </c>
      <c r="D37" s="5" t="s">
        <v>610</v>
      </c>
      <c r="E37" s="7" t="s">
        <v>105</v>
      </c>
      <c r="F37" s="8" t="s">
        <v>97</v>
      </c>
      <c r="G37" s="4" t="s">
        <v>106</v>
      </c>
      <c r="H37" s="9" t="s">
        <v>107</v>
      </c>
      <c r="I37" s="5" t="s">
        <v>2269</v>
      </c>
      <c r="J37" s="5" t="s">
        <v>109</v>
      </c>
      <c r="K37" s="6">
        <f t="shared" si="0"/>
        <v>0</v>
      </c>
    </row>
    <row r="38" spans="1:11" ht="15" customHeight="1">
      <c r="A38" s="4">
        <v>30</v>
      </c>
      <c r="B38" s="5" t="s">
        <v>133</v>
      </c>
      <c r="C38" s="5" t="s">
        <v>121</v>
      </c>
      <c r="D38" s="5" t="s">
        <v>955</v>
      </c>
      <c r="E38" s="7" t="s">
        <v>105</v>
      </c>
      <c r="F38" s="8" t="s">
        <v>97</v>
      </c>
      <c r="G38" s="4" t="s">
        <v>106</v>
      </c>
      <c r="H38" s="9" t="s">
        <v>107</v>
      </c>
      <c r="I38" s="5" t="s">
        <v>2269</v>
      </c>
      <c r="J38" s="5" t="s">
        <v>109</v>
      </c>
      <c r="K38" s="6">
        <f t="shared" si="0"/>
        <v>0</v>
      </c>
    </row>
    <row r="39" spans="1:11" ht="15" customHeight="1">
      <c r="A39" s="4">
        <v>31</v>
      </c>
      <c r="B39" s="5" t="s">
        <v>133</v>
      </c>
      <c r="C39" s="5" t="s">
        <v>121</v>
      </c>
      <c r="D39" s="5" t="s">
        <v>957</v>
      </c>
      <c r="E39" s="7" t="s">
        <v>105</v>
      </c>
      <c r="F39" s="8" t="s">
        <v>97</v>
      </c>
      <c r="G39" s="4" t="s">
        <v>106</v>
      </c>
      <c r="H39" s="9" t="s">
        <v>107</v>
      </c>
      <c r="I39" s="5" t="s">
        <v>2269</v>
      </c>
      <c r="J39" s="5" t="s">
        <v>109</v>
      </c>
      <c r="K39" s="6">
        <f t="shared" si="0"/>
        <v>0</v>
      </c>
    </row>
    <row r="40" spans="1:11" ht="15" customHeight="1">
      <c r="A40" s="4">
        <v>32</v>
      </c>
      <c r="B40" s="5" t="s">
        <v>133</v>
      </c>
      <c r="C40" s="5" t="s">
        <v>121</v>
      </c>
      <c r="D40" s="5" t="s">
        <v>958</v>
      </c>
      <c r="E40" s="7" t="s">
        <v>105</v>
      </c>
      <c r="F40" s="8" t="s">
        <v>97</v>
      </c>
      <c r="G40" s="4" t="s">
        <v>106</v>
      </c>
      <c r="H40" s="9" t="s">
        <v>107</v>
      </c>
      <c r="I40" s="5" t="s">
        <v>2269</v>
      </c>
      <c r="J40" s="5" t="s">
        <v>109</v>
      </c>
      <c r="K40" s="6">
        <f t="shared" si="0"/>
        <v>0</v>
      </c>
    </row>
    <row r="41" spans="1:11" ht="15" customHeight="1">
      <c r="A41" s="4">
        <v>33</v>
      </c>
      <c r="B41" s="5" t="s">
        <v>120</v>
      </c>
      <c r="C41" s="5" t="s">
        <v>962</v>
      </c>
      <c r="D41" s="5" t="s">
        <v>122</v>
      </c>
      <c r="E41" s="7" t="s">
        <v>105</v>
      </c>
      <c r="F41" s="8" t="s">
        <v>97</v>
      </c>
      <c r="G41" s="4" t="s">
        <v>106</v>
      </c>
      <c r="H41" s="9" t="s">
        <v>107</v>
      </c>
      <c r="I41" s="5" t="s">
        <v>2269</v>
      </c>
      <c r="J41" s="5" t="s">
        <v>109</v>
      </c>
      <c r="K41" s="6">
        <f t="shared" ref="K41:K72" si="1">IF(AND(E41="yes",F41="yes",H41="covered"),1,IF(H41="partial",0.5,0))</f>
        <v>0</v>
      </c>
    </row>
    <row r="42" spans="1:11" ht="15" customHeight="1">
      <c r="A42" s="4">
        <v>34</v>
      </c>
      <c r="B42" s="5" t="s">
        <v>120</v>
      </c>
      <c r="C42" s="5" t="s">
        <v>962</v>
      </c>
      <c r="D42" s="5" t="s">
        <v>123</v>
      </c>
      <c r="E42" s="7" t="s">
        <v>105</v>
      </c>
      <c r="F42" s="8" t="s">
        <v>97</v>
      </c>
      <c r="G42" s="4" t="s">
        <v>106</v>
      </c>
      <c r="H42" s="9" t="s">
        <v>107</v>
      </c>
      <c r="I42" s="5" t="s">
        <v>2269</v>
      </c>
      <c r="J42" s="5" t="s">
        <v>109</v>
      </c>
      <c r="K42" s="6">
        <f t="shared" si="1"/>
        <v>0</v>
      </c>
    </row>
    <row r="43" spans="1:11" ht="30" customHeight="1">
      <c r="A43" s="4">
        <v>35</v>
      </c>
      <c r="B43" s="5" t="s">
        <v>124</v>
      </c>
      <c r="C43" s="5" t="s">
        <v>962</v>
      </c>
      <c r="D43" s="5" t="s">
        <v>125</v>
      </c>
      <c r="E43" s="7" t="s">
        <v>105</v>
      </c>
      <c r="F43" s="8" t="s">
        <v>97</v>
      </c>
      <c r="G43" s="4" t="s">
        <v>106</v>
      </c>
      <c r="H43" s="9" t="s">
        <v>107</v>
      </c>
      <c r="I43" s="5" t="s">
        <v>2269</v>
      </c>
      <c r="J43" s="5" t="s">
        <v>109</v>
      </c>
      <c r="K43" s="6">
        <f t="shared" si="1"/>
        <v>0</v>
      </c>
    </row>
    <row r="44" spans="1:11" ht="15" customHeight="1">
      <c r="A44" s="4">
        <v>36</v>
      </c>
      <c r="B44" s="5" t="s">
        <v>124</v>
      </c>
      <c r="C44" s="5" t="s">
        <v>962</v>
      </c>
      <c r="D44" s="5" t="s">
        <v>126</v>
      </c>
      <c r="E44" s="7" t="s">
        <v>105</v>
      </c>
      <c r="F44" s="8" t="s">
        <v>97</v>
      </c>
      <c r="G44" s="4" t="s">
        <v>106</v>
      </c>
      <c r="H44" s="9" t="s">
        <v>107</v>
      </c>
      <c r="I44" s="5" t="s">
        <v>2269</v>
      </c>
      <c r="J44" s="5" t="s">
        <v>109</v>
      </c>
      <c r="K44" s="6">
        <f t="shared" si="1"/>
        <v>0</v>
      </c>
    </row>
    <row r="45" spans="1:11" ht="15" customHeight="1">
      <c r="A45" s="4">
        <v>37</v>
      </c>
      <c r="B45" s="5" t="s">
        <v>95</v>
      </c>
      <c r="C45" s="5" t="s">
        <v>962</v>
      </c>
      <c r="D45" s="5" t="s">
        <v>127</v>
      </c>
      <c r="E45" s="7" t="s">
        <v>105</v>
      </c>
      <c r="F45" s="8" t="s">
        <v>97</v>
      </c>
      <c r="G45" s="4" t="s">
        <v>106</v>
      </c>
      <c r="H45" s="9" t="s">
        <v>107</v>
      </c>
      <c r="I45" s="5" t="s">
        <v>2269</v>
      </c>
      <c r="J45" s="5" t="s">
        <v>109</v>
      </c>
      <c r="K45" s="6">
        <f t="shared" si="1"/>
        <v>0</v>
      </c>
    </row>
    <row r="46" spans="1:11" ht="15" customHeight="1">
      <c r="A46" s="4">
        <v>38</v>
      </c>
      <c r="B46" s="5" t="s">
        <v>128</v>
      </c>
      <c r="C46" s="5" t="s">
        <v>962</v>
      </c>
      <c r="D46" s="5" t="s">
        <v>129</v>
      </c>
      <c r="E46" s="7" t="s">
        <v>105</v>
      </c>
      <c r="F46" s="8" t="s">
        <v>97</v>
      </c>
      <c r="G46" s="4" t="s">
        <v>106</v>
      </c>
      <c r="H46" s="9" t="s">
        <v>107</v>
      </c>
      <c r="I46" s="5" t="s">
        <v>2269</v>
      </c>
      <c r="J46" s="5" t="s">
        <v>109</v>
      </c>
      <c r="K46" s="6">
        <f t="shared" si="1"/>
        <v>0</v>
      </c>
    </row>
    <row r="47" spans="1:11" ht="15" customHeight="1">
      <c r="A47" s="4">
        <v>39</v>
      </c>
      <c r="B47" s="5" t="s">
        <v>120</v>
      </c>
      <c r="C47" s="5" t="s">
        <v>963</v>
      </c>
      <c r="D47" s="5" t="s">
        <v>122</v>
      </c>
      <c r="E47" s="7" t="s">
        <v>105</v>
      </c>
      <c r="F47" s="8" t="s">
        <v>97</v>
      </c>
      <c r="G47" s="4" t="s">
        <v>106</v>
      </c>
      <c r="H47" s="9" t="s">
        <v>107</v>
      </c>
      <c r="I47" s="5" t="s">
        <v>2269</v>
      </c>
      <c r="J47" s="5" t="s">
        <v>109</v>
      </c>
      <c r="K47" s="6">
        <f t="shared" si="1"/>
        <v>0</v>
      </c>
    </row>
    <row r="48" spans="1:11" ht="15" customHeight="1">
      <c r="A48" s="4">
        <v>40</v>
      </c>
      <c r="B48" s="5" t="s">
        <v>120</v>
      </c>
      <c r="C48" s="5" t="s">
        <v>963</v>
      </c>
      <c r="D48" s="5" t="s">
        <v>123</v>
      </c>
      <c r="E48" s="7" t="s">
        <v>105</v>
      </c>
      <c r="F48" s="8" t="s">
        <v>97</v>
      </c>
      <c r="G48" s="4" t="s">
        <v>106</v>
      </c>
      <c r="H48" s="9" t="s">
        <v>107</v>
      </c>
      <c r="I48" s="5" t="s">
        <v>2269</v>
      </c>
      <c r="J48" s="5" t="s">
        <v>109</v>
      </c>
      <c r="K48" s="6">
        <f t="shared" si="1"/>
        <v>0</v>
      </c>
    </row>
    <row r="49" spans="1:11" ht="30" customHeight="1">
      <c r="A49" s="4">
        <v>41</v>
      </c>
      <c r="B49" s="5" t="s">
        <v>124</v>
      </c>
      <c r="C49" s="5" t="s">
        <v>963</v>
      </c>
      <c r="D49" s="5" t="s">
        <v>125</v>
      </c>
      <c r="E49" s="7" t="s">
        <v>105</v>
      </c>
      <c r="F49" s="8" t="s">
        <v>97</v>
      </c>
      <c r="G49" s="4" t="s">
        <v>106</v>
      </c>
      <c r="H49" s="9" t="s">
        <v>107</v>
      </c>
      <c r="I49" s="5" t="s">
        <v>2269</v>
      </c>
      <c r="J49" s="5" t="s">
        <v>109</v>
      </c>
      <c r="K49" s="6">
        <f t="shared" si="1"/>
        <v>0</v>
      </c>
    </row>
    <row r="50" spans="1:11" ht="15" customHeight="1">
      <c r="A50" s="4">
        <v>42</v>
      </c>
      <c r="B50" s="5" t="s">
        <v>124</v>
      </c>
      <c r="C50" s="5" t="s">
        <v>963</v>
      </c>
      <c r="D50" s="5" t="s">
        <v>126</v>
      </c>
      <c r="E50" s="7" t="s">
        <v>105</v>
      </c>
      <c r="F50" s="8" t="s">
        <v>97</v>
      </c>
      <c r="G50" s="4" t="s">
        <v>106</v>
      </c>
      <c r="H50" s="9" t="s">
        <v>107</v>
      </c>
      <c r="I50" s="5" t="s">
        <v>2269</v>
      </c>
      <c r="J50" s="5" t="s">
        <v>109</v>
      </c>
      <c r="K50" s="6">
        <f t="shared" si="1"/>
        <v>0</v>
      </c>
    </row>
    <row r="51" spans="1:11" ht="15" customHeight="1">
      <c r="A51" s="4">
        <v>43</v>
      </c>
      <c r="B51" s="5" t="s">
        <v>95</v>
      </c>
      <c r="C51" s="5" t="s">
        <v>963</v>
      </c>
      <c r="D51" s="5" t="s">
        <v>127</v>
      </c>
      <c r="E51" s="7" t="s">
        <v>105</v>
      </c>
      <c r="F51" s="8" t="s">
        <v>97</v>
      </c>
      <c r="G51" s="4" t="s">
        <v>106</v>
      </c>
      <c r="H51" s="9" t="s">
        <v>107</v>
      </c>
      <c r="I51" s="5" t="s">
        <v>2269</v>
      </c>
      <c r="J51" s="5" t="s">
        <v>109</v>
      </c>
      <c r="K51" s="6">
        <f t="shared" si="1"/>
        <v>0</v>
      </c>
    </row>
    <row r="52" spans="1:11" ht="15" customHeight="1">
      <c r="A52" s="4">
        <v>44</v>
      </c>
      <c r="B52" s="5" t="s">
        <v>128</v>
      </c>
      <c r="C52" s="5" t="s">
        <v>963</v>
      </c>
      <c r="D52" s="5" t="s">
        <v>129</v>
      </c>
      <c r="E52" s="7" t="s">
        <v>105</v>
      </c>
      <c r="F52" s="8" t="s">
        <v>97</v>
      </c>
      <c r="G52" s="4" t="s">
        <v>106</v>
      </c>
      <c r="H52" s="9" t="s">
        <v>107</v>
      </c>
      <c r="I52" s="5" t="s">
        <v>2269</v>
      </c>
      <c r="J52" s="5" t="s">
        <v>109</v>
      </c>
      <c r="K52" s="6">
        <f t="shared" si="1"/>
        <v>0</v>
      </c>
    </row>
    <row r="53" spans="1:11" ht="15" customHeight="1">
      <c r="A53" s="4">
        <v>45</v>
      </c>
      <c r="B53" s="5" t="s">
        <v>120</v>
      </c>
      <c r="C53" s="5" t="s">
        <v>964</v>
      </c>
      <c r="D53" s="5" t="s">
        <v>122</v>
      </c>
      <c r="E53" s="7" t="s">
        <v>105</v>
      </c>
      <c r="F53" s="8" t="s">
        <v>97</v>
      </c>
      <c r="G53" s="4" t="s">
        <v>106</v>
      </c>
      <c r="H53" s="9" t="s">
        <v>107</v>
      </c>
      <c r="I53" s="5" t="s">
        <v>2269</v>
      </c>
      <c r="J53" s="5" t="s">
        <v>109</v>
      </c>
      <c r="K53" s="6">
        <f t="shared" si="1"/>
        <v>0</v>
      </c>
    </row>
    <row r="54" spans="1:11" ht="15" customHeight="1">
      <c r="A54" s="4">
        <v>46</v>
      </c>
      <c r="B54" s="5" t="s">
        <v>120</v>
      </c>
      <c r="C54" s="5" t="s">
        <v>964</v>
      </c>
      <c r="D54" s="5" t="s">
        <v>123</v>
      </c>
      <c r="E54" s="7" t="s">
        <v>105</v>
      </c>
      <c r="F54" s="8" t="s">
        <v>97</v>
      </c>
      <c r="G54" s="4" t="s">
        <v>106</v>
      </c>
      <c r="H54" s="9" t="s">
        <v>107</v>
      </c>
      <c r="I54" s="5" t="s">
        <v>2269</v>
      </c>
      <c r="J54" s="5" t="s">
        <v>109</v>
      </c>
      <c r="K54" s="6">
        <f t="shared" si="1"/>
        <v>0</v>
      </c>
    </row>
    <row r="55" spans="1:11" ht="30" customHeight="1">
      <c r="A55" s="4">
        <v>47</v>
      </c>
      <c r="B55" s="5" t="s">
        <v>124</v>
      </c>
      <c r="C55" s="5" t="s">
        <v>964</v>
      </c>
      <c r="D55" s="5" t="s">
        <v>125</v>
      </c>
      <c r="E55" s="7" t="s">
        <v>105</v>
      </c>
      <c r="F55" s="8" t="s">
        <v>97</v>
      </c>
      <c r="G55" s="4" t="s">
        <v>106</v>
      </c>
      <c r="H55" s="9" t="s">
        <v>107</v>
      </c>
      <c r="I55" s="5" t="s">
        <v>2269</v>
      </c>
      <c r="J55" s="5" t="s">
        <v>109</v>
      </c>
      <c r="K55" s="6">
        <f t="shared" si="1"/>
        <v>0</v>
      </c>
    </row>
    <row r="56" spans="1:11" ht="15" customHeight="1">
      <c r="A56" s="4">
        <v>48</v>
      </c>
      <c r="B56" s="5" t="s">
        <v>124</v>
      </c>
      <c r="C56" s="5" t="s">
        <v>964</v>
      </c>
      <c r="D56" s="5" t="s">
        <v>126</v>
      </c>
      <c r="E56" s="7" t="s">
        <v>105</v>
      </c>
      <c r="F56" s="8" t="s">
        <v>97</v>
      </c>
      <c r="G56" s="4" t="s">
        <v>106</v>
      </c>
      <c r="H56" s="9" t="s">
        <v>107</v>
      </c>
      <c r="I56" s="5" t="s">
        <v>2269</v>
      </c>
      <c r="J56" s="5" t="s">
        <v>109</v>
      </c>
      <c r="K56" s="6">
        <f t="shared" si="1"/>
        <v>0</v>
      </c>
    </row>
    <row r="57" spans="1:11" ht="15" customHeight="1">
      <c r="A57" s="4">
        <v>49</v>
      </c>
      <c r="B57" s="5" t="s">
        <v>95</v>
      </c>
      <c r="C57" s="5" t="s">
        <v>964</v>
      </c>
      <c r="D57" s="5" t="s">
        <v>127</v>
      </c>
      <c r="E57" s="7" t="s">
        <v>105</v>
      </c>
      <c r="F57" s="8" t="s">
        <v>97</v>
      </c>
      <c r="G57" s="4" t="s">
        <v>106</v>
      </c>
      <c r="H57" s="9" t="s">
        <v>107</v>
      </c>
      <c r="I57" s="5" t="s">
        <v>2269</v>
      </c>
      <c r="J57" s="5" t="s">
        <v>109</v>
      </c>
      <c r="K57" s="6">
        <f t="shared" si="1"/>
        <v>0</v>
      </c>
    </row>
    <row r="58" spans="1:11" ht="15" customHeight="1">
      <c r="A58" s="4">
        <v>50</v>
      </c>
      <c r="B58" s="5" t="s">
        <v>128</v>
      </c>
      <c r="C58" s="5" t="s">
        <v>964</v>
      </c>
      <c r="D58" s="5" t="s">
        <v>129</v>
      </c>
      <c r="E58" s="7" t="s">
        <v>105</v>
      </c>
      <c r="F58" s="8" t="s">
        <v>97</v>
      </c>
      <c r="G58" s="4" t="s">
        <v>106</v>
      </c>
      <c r="H58" s="9" t="s">
        <v>107</v>
      </c>
      <c r="I58" s="5" t="s">
        <v>2269</v>
      </c>
      <c r="J58" s="5" t="s">
        <v>109</v>
      </c>
      <c r="K58" s="6">
        <f t="shared" si="1"/>
        <v>0</v>
      </c>
    </row>
    <row r="59" spans="1:11" ht="15" customHeight="1">
      <c r="A59" s="4">
        <v>51</v>
      </c>
      <c r="B59" s="5" t="s">
        <v>120</v>
      </c>
      <c r="C59" s="5" t="s">
        <v>968</v>
      </c>
      <c r="D59" s="5" t="s">
        <v>122</v>
      </c>
      <c r="E59" s="7" t="s">
        <v>105</v>
      </c>
      <c r="F59" s="8" t="s">
        <v>97</v>
      </c>
      <c r="G59" s="4" t="s">
        <v>106</v>
      </c>
      <c r="H59" s="9" t="s">
        <v>107</v>
      </c>
      <c r="I59" s="5" t="s">
        <v>2269</v>
      </c>
      <c r="J59" s="5" t="s">
        <v>109</v>
      </c>
      <c r="K59" s="6">
        <f t="shared" si="1"/>
        <v>0</v>
      </c>
    </row>
    <row r="60" spans="1:11" ht="15" customHeight="1">
      <c r="A60" s="4">
        <v>52</v>
      </c>
      <c r="B60" s="5" t="s">
        <v>120</v>
      </c>
      <c r="C60" s="5" t="s">
        <v>968</v>
      </c>
      <c r="D60" s="5" t="s">
        <v>123</v>
      </c>
      <c r="E60" s="7" t="s">
        <v>105</v>
      </c>
      <c r="F60" s="8" t="s">
        <v>97</v>
      </c>
      <c r="G60" s="4" t="s">
        <v>106</v>
      </c>
      <c r="H60" s="9" t="s">
        <v>107</v>
      </c>
      <c r="I60" s="5" t="s">
        <v>2269</v>
      </c>
      <c r="J60" s="5" t="s">
        <v>109</v>
      </c>
      <c r="K60" s="6">
        <f t="shared" si="1"/>
        <v>0</v>
      </c>
    </row>
    <row r="61" spans="1:11" ht="30" customHeight="1">
      <c r="A61" s="4">
        <v>53</v>
      </c>
      <c r="B61" s="5" t="s">
        <v>124</v>
      </c>
      <c r="C61" s="5" t="s">
        <v>968</v>
      </c>
      <c r="D61" s="5" t="s">
        <v>125</v>
      </c>
      <c r="E61" s="7" t="s">
        <v>105</v>
      </c>
      <c r="F61" s="8" t="s">
        <v>97</v>
      </c>
      <c r="G61" s="4" t="s">
        <v>106</v>
      </c>
      <c r="H61" s="9" t="s">
        <v>107</v>
      </c>
      <c r="I61" s="5" t="s">
        <v>2269</v>
      </c>
      <c r="J61" s="5" t="s">
        <v>109</v>
      </c>
      <c r="K61" s="6">
        <f t="shared" si="1"/>
        <v>0</v>
      </c>
    </row>
    <row r="62" spans="1:11" ht="15" customHeight="1">
      <c r="A62" s="4">
        <v>54</v>
      </c>
      <c r="B62" s="5" t="s">
        <v>124</v>
      </c>
      <c r="C62" s="5" t="s">
        <v>968</v>
      </c>
      <c r="D62" s="5" t="s">
        <v>126</v>
      </c>
      <c r="E62" s="7" t="s">
        <v>105</v>
      </c>
      <c r="F62" s="8" t="s">
        <v>97</v>
      </c>
      <c r="G62" s="4" t="s">
        <v>106</v>
      </c>
      <c r="H62" s="9" t="s">
        <v>107</v>
      </c>
      <c r="I62" s="5" t="s">
        <v>2269</v>
      </c>
      <c r="J62" s="5" t="s">
        <v>109</v>
      </c>
      <c r="K62" s="6">
        <f t="shared" si="1"/>
        <v>0</v>
      </c>
    </row>
    <row r="63" spans="1:11" ht="15" customHeight="1">
      <c r="A63" s="4">
        <v>55</v>
      </c>
      <c r="B63" s="5" t="s">
        <v>95</v>
      </c>
      <c r="C63" s="5" t="s">
        <v>968</v>
      </c>
      <c r="D63" s="5" t="s">
        <v>127</v>
      </c>
      <c r="E63" s="7" t="s">
        <v>105</v>
      </c>
      <c r="F63" s="8" t="s">
        <v>97</v>
      </c>
      <c r="G63" s="4" t="s">
        <v>106</v>
      </c>
      <c r="H63" s="9" t="s">
        <v>107</v>
      </c>
      <c r="I63" s="5" t="s">
        <v>2269</v>
      </c>
      <c r="J63" s="5" t="s">
        <v>109</v>
      </c>
      <c r="K63" s="6">
        <f t="shared" si="1"/>
        <v>0</v>
      </c>
    </row>
    <row r="64" spans="1:11" ht="15" customHeight="1">
      <c r="A64" s="4">
        <v>56</v>
      </c>
      <c r="B64" s="5" t="s">
        <v>128</v>
      </c>
      <c r="C64" s="5" t="s">
        <v>968</v>
      </c>
      <c r="D64" s="5" t="s">
        <v>129</v>
      </c>
      <c r="E64" s="7" t="s">
        <v>105</v>
      </c>
      <c r="F64" s="8" t="s">
        <v>97</v>
      </c>
      <c r="G64" s="4" t="s">
        <v>106</v>
      </c>
      <c r="H64" s="9" t="s">
        <v>107</v>
      </c>
      <c r="I64" s="5" t="s">
        <v>2269</v>
      </c>
      <c r="J64" s="5" t="s">
        <v>109</v>
      </c>
      <c r="K64" s="6">
        <f t="shared" si="1"/>
        <v>0</v>
      </c>
    </row>
    <row r="65" spans="1:11" ht="15" customHeight="1">
      <c r="A65" s="4">
        <v>57</v>
      </c>
      <c r="B65" s="5" t="s">
        <v>120</v>
      </c>
      <c r="C65" s="5" t="s">
        <v>970</v>
      </c>
      <c r="D65" s="5" t="s">
        <v>122</v>
      </c>
      <c r="E65" s="7" t="s">
        <v>105</v>
      </c>
      <c r="F65" s="8" t="s">
        <v>97</v>
      </c>
      <c r="G65" s="4" t="s">
        <v>106</v>
      </c>
      <c r="H65" s="9" t="s">
        <v>107</v>
      </c>
      <c r="I65" s="5" t="s">
        <v>2269</v>
      </c>
      <c r="J65" s="5" t="s">
        <v>109</v>
      </c>
      <c r="K65" s="6">
        <f t="shared" si="1"/>
        <v>0</v>
      </c>
    </row>
    <row r="66" spans="1:11" ht="15" customHeight="1">
      <c r="A66" s="4">
        <v>58</v>
      </c>
      <c r="B66" s="5" t="s">
        <v>120</v>
      </c>
      <c r="C66" s="5" t="s">
        <v>970</v>
      </c>
      <c r="D66" s="5" t="s">
        <v>123</v>
      </c>
      <c r="E66" s="7" t="s">
        <v>105</v>
      </c>
      <c r="F66" s="8" t="s">
        <v>97</v>
      </c>
      <c r="G66" s="4" t="s">
        <v>106</v>
      </c>
      <c r="H66" s="9" t="s">
        <v>107</v>
      </c>
      <c r="I66" s="5" t="s">
        <v>2269</v>
      </c>
      <c r="J66" s="5" t="s">
        <v>109</v>
      </c>
      <c r="K66" s="6">
        <f t="shared" si="1"/>
        <v>0</v>
      </c>
    </row>
    <row r="67" spans="1:11" ht="30" customHeight="1">
      <c r="A67" s="4">
        <v>59</v>
      </c>
      <c r="B67" s="5" t="s">
        <v>124</v>
      </c>
      <c r="C67" s="5" t="s">
        <v>970</v>
      </c>
      <c r="D67" s="5" t="s">
        <v>125</v>
      </c>
      <c r="E67" s="7" t="s">
        <v>105</v>
      </c>
      <c r="F67" s="8" t="s">
        <v>97</v>
      </c>
      <c r="G67" s="4" t="s">
        <v>106</v>
      </c>
      <c r="H67" s="9" t="s">
        <v>107</v>
      </c>
      <c r="I67" s="5" t="s">
        <v>2269</v>
      </c>
      <c r="J67" s="5" t="s">
        <v>109</v>
      </c>
      <c r="K67" s="6">
        <f t="shared" si="1"/>
        <v>0</v>
      </c>
    </row>
    <row r="68" spans="1:11" ht="15" customHeight="1">
      <c r="A68" s="4">
        <v>60</v>
      </c>
      <c r="B68" s="5" t="s">
        <v>124</v>
      </c>
      <c r="C68" s="5" t="s">
        <v>970</v>
      </c>
      <c r="D68" s="5" t="s">
        <v>126</v>
      </c>
      <c r="E68" s="7" t="s">
        <v>105</v>
      </c>
      <c r="F68" s="8" t="s">
        <v>97</v>
      </c>
      <c r="G68" s="4" t="s">
        <v>106</v>
      </c>
      <c r="H68" s="9" t="s">
        <v>107</v>
      </c>
      <c r="I68" s="5" t="s">
        <v>2269</v>
      </c>
      <c r="J68" s="5" t="s">
        <v>109</v>
      </c>
      <c r="K68" s="6">
        <f t="shared" si="1"/>
        <v>0</v>
      </c>
    </row>
    <row r="69" spans="1:11" ht="15" customHeight="1">
      <c r="A69" s="4">
        <v>61</v>
      </c>
      <c r="B69" s="5" t="s">
        <v>95</v>
      </c>
      <c r="C69" s="5" t="s">
        <v>970</v>
      </c>
      <c r="D69" s="5" t="s">
        <v>127</v>
      </c>
      <c r="E69" s="7" t="s">
        <v>105</v>
      </c>
      <c r="F69" s="8" t="s">
        <v>97</v>
      </c>
      <c r="G69" s="4" t="s">
        <v>106</v>
      </c>
      <c r="H69" s="9" t="s">
        <v>107</v>
      </c>
      <c r="I69" s="5" t="s">
        <v>2269</v>
      </c>
      <c r="J69" s="5" t="s">
        <v>109</v>
      </c>
      <c r="K69" s="6">
        <f t="shared" si="1"/>
        <v>0</v>
      </c>
    </row>
    <row r="70" spans="1:11" ht="15" customHeight="1">
      <c r="A70" s="4">
        <v>62</v>
      </c>
      <c r="B70" s="5" t="s">
        <v>128</v>
      </c>
      <c r="C70" s="5" t="s">
        <v>970</v>
      </c>
      <c r="D70" s="5" t="s">
        <v>129</v>
      </c>
      <c r="E70" s="7" t="s">
        <v>105</v>
      </c>
      <c r="F70" s="8" t="s">
        <v>97</v>
      </c>
      <c r="G70" s="4" t="s">
        <v>106</v>
      </c>
      <c r="H70" s="9" t="s">
        <v>107</v>
      </c>
      <c r="I70" s="5" t="s">
        <v>2269</v>
      </c>
      <c r="J70" s="5" t="s">
        <v>109</v>
      </c>
      <c r="K70" s="6">
        <f t="shared" si="1"/>
        <v>0</v>
      </c>
    </row>
    <row r="71" spans="1:11" ht="15" customHeight="1">
      <c r="A71" s="4">
        <v>63</v>
      </c>
      <c r="B71" s="5" t="s">
        <v>120</v>
      </c>
      <c r="C71" s="5" t="s">
        <v>971</v>
      </c>
      <c r="D71" s="5" t="s">
        <v>122</v>
      </c>
      <c r="E71" s="7" t="s">
        <v>105</v>
      </c>
      <c r="F71" s="8" t="s">
        <v>97</v>
      </c>
      <c r="G71" s="4" t="s">
        <v>106</v>
      </c>
      <c r="H71" s="9" t="s">
        <v>107</v>
      </c>
      <c r="I71" s="5" t="s">
        <v>2269</v>
      </c>
      <c r="J71" s="5" t="s">
        <v>109</v>
      </c>
      <c r="K71" s="6">
        <f t="shared" si="1"/>
        <v>0</v>
      </c>
    </row>
    <row r="72" spans="1:11" ht="15" customHeight="1">
      <c r="A72" s="4">
        <v>64</v>
      </c>
      <c r="B72" s="5" t="s">
        <v>120</v>
      </c>
      <c r="C72" s="5" t="s">
        <v>971</v>
      </c>
      <c r="D72" s="5" t="s">
        <v>123</v>
      </c>
      <c r="E72" s="7" t="s">
        <v>105</v>
      </c>
      <c r="F72" s="8" t="s">
        <v>97</v>
      </c>
      <c r="G72" s="4" t="s">
        <v>106</v>
      </c>
      <c r="H72" s="9" t="s">
        <v>107</v>
      </c>
      <c r="I72" s="5" t="s">
        <v>2269</v>
      </c>
      <c r="J72" s="5" t="s">
        <v>109</v>
      </c>
      <c r="K72" s="6">
        <f t="shared" si="1"/>
        <v>0</v>
      </c>
    </row>
    <row r="73" spans="1:11" ht="30" customHeight="1">
      <c r="A73" s="4">
        <v>65</v>
      </c>
      <c r="B73" s="5" t="s">
        <v>124</v>
      </c>
      <c r="C73" s="5" t="s">
        <v>971</v>
      </c>
      <c r="D73" s="5" t="s">
        <v>125</v>
      </c>
      <c r="E73" s="7" t="s">
        <v>105</v>
      </c>
      <c r="F73" s="8" t="s">
        <v>97</v>
      </c>
      <c r="G73" s="4" t="s">
        <v>106</v>
      </c>
      <c r="H73" s="9" t="s">
        <v>107</v>
      </c>
      <c r="I73" s="5" t="s">
        <v>2269</v>
      </c>
      <c r="J73" s="5" t="s">
        <v>109</v>
      </c>
      <c r="K73" s="6">
        <f t="shared" ref="K73:K104" si="2">IF(AND(E73="yes",F73="yes",H73="covered"),1,IF(H73="partial",0.5,0))</f>
        <v>0</v>
      </c>
    </row>
    <row r="74" spans="1:11" ht="15" customHeight="1">
      <c r="A74" s="4">
        <v>66</v>
      </c>
      <c r="B74" s="5" t="s">
        <v>124</v>
      </c>
      <c r="C74" s="5" t="s">
        <v>971</v>
      </c>
      <c r="D74" s="5" t="s">
        <v>126</v>
      </c>
      <c r="E74" s="7" t="s">
        <v>105</v>
      </c>
      <c r="F74" s="8" t="s">
        <v>97</v>
      </c>
      <c r="G74" s="4" t="s">
        <v>106</v>
      </c>
      <c r="H74" s="9" t="s">
        <v>107</v>
      </c>
      <c r="I74" s="5" t="s">
        <v>2269</v>
      </c>
      <c r="J74" s="5" t="s">
        <v>109</v>
      </c>
      <c r="K74" s="6">
        <f t="shared" si="2"/>
        <v>0</v>
      </c>
    </row>
    <row r="75" spans="1:11" ht="15" customHeight="1">
      <c r="A75" s="4">
        <v>67</v>
      </c>
      <c r="B75" s="5" t="s">
        <v>95</v>
      </c>
      <c r="C75" s="5" t="s">
        <v>971</v>
      </c>
      <c r="D75" s="5" t="s">
        <v>127</v>
      </c>
      <c r="E75" s="7" t="s">
        <v>105</v>
      </c>
      <c r="F75" s="8" t="s">
        <v>97</v>
      </c>
      <c r="G75" s="4" t="s">
        <v>106</v>
      </c>
      <c r="H75" s="9" t="s">
        <v>107</v>
      </c>
      <c r="I75" s="5" t="s">
        <v>2269</v>
      </c>
      <c r="J75" s="5" t="s">
        <v>109</v>
      </c>
      <c r="K75" s="6">
        <f t="shared" si="2"/>
        <v>0</v>
      </c>
    </row>
    <row r="76" spans="1:11" ht="15" customHeight="1">
      <c r="A76" s="4">
        <v>68</v>
      </c>
      <c r="B76" s="5" t="s">
        <v>128</v>
      </c>
      <c r="C76" s="5" t="s">
        <v>971</v>
      </c>
      <c r="D76" s="5" t="s">
        <v>129</v>
      </c>
      <c r="E76" s="7" t="s">
        <v>105</v>
      </c>
      <c r="F76" s="8" t="s">
        <v>97</v>
      </c>
      <c r="G76" s="4" t="s">
        <v>106</v>
      </c>
      <c r="H76" s="9" t="s">
        <v>107</v>
      </c>
      <c r="I76" s="5" t="s">
        <v>2269</v>
      </c>
      <c r="J76" s="5" t="s">
        <v>109</v>
      </c>
      <c r="K76" s="6">
        <f t="shared" si="2"/>
        <v>0</v>
      </c>
    </row>
    <row r="77" spans="1:11" ht="15" customHeight="1">
      <c r="A77" s="4">
        <v>69</v>
      </c>
      <c r="B77" s="5" t="s">
        <v>120</v>
      </c>
      <c r="C77" s="5" t="s">
        <v>972</v>
      </c>
      <c r="D77" s="5" t="s">
        <v>122</v>
      </c>
      <c r="E77" s="7" t="s">
        <v>105</v>
      </c>
      <c r="F77" s="8" t="s">
        <v>97</v>
      </c>
      <c r="G77" s="4" t="s">
        <v>106</v>
      </c>
      <c r="H77" s="9" t="s">
        <v>107</v>
      </c>
      <c r="I77" s="5" t="s">
        <v>2269</v>
      </c>
      <c r="J77" s="5" t="s">
        <v>109</v>
      </c>
      <c r="K77" s="6">
        <f t="shared" si="2"/>
        <v>0</v>
      </c>
    </row>
    <row r="78" spans="1:11" ht="15" customHeight="1">
      <c r="A78" s="4">
        <v>70</v>
      </c>
      <c r="B78" s="5" t="s">
        <v>120</v>
      </c>
      <c r="C78" s="5" t="s">
        <v>972</v>
      </c>
      <c r="D78" s="5" t="s">
        <v>123</v>
      </c>
      <c r="E78" s="7" t="s">
        <v>105</v>
      </c>
      <c r="F78" s="8" t="s">
        <v>97</v>
      </c>
      <c r="G78" s="4" t="s">
        <v>106</v>
      </c>
      <c r="H78" s="9" t="s">
        <v>107</v>
      </c>
      <c r="I78" s="5" t="s">
        <v>2269</v>
      </c>
      <c r="J78" s="5" t="s">
        <v>109</v>
      </c>
      <c r="K78" s="6">
        <f t="shared" si="2"/>
        <v>0</v>
      </c>
    </row>
    <row r="79" spans="1:11" ht="30" customHeight="1">
      <c r="A79" s="4">
        <v>71</v>
      </c>
      <c r="B79" s="5" t="s">
        <v>124</v>
      </c>
      <c r="C79" s="5" t="s">
        <v>972</v>
      </c>
      <c r="D79" s="5" t="s">
        <v>125</v>
      </c>
      <c r="E79" s="7" t="s">
        <v>105</v>
      </c>
      <c r="F79" s="8" t="s">
        <v>97</v>
      </c>
      <c r="G79" s="4" t="s">
        <v>106</v>
      </c>
      <c r="H79" s="9" t="s">
        <v>107</v>
      </c>
      <c r="I79" s="5" t="s">
        <v>2269</v>
      </c>
      <c r="J79" s="5" t="s">
        <v>109</v>
      </c>
      <c r="K79" s="6">
        <f t="shared" si="2"/>
        <v>0</v>
      </c>
    </row>
    <row r="80" spans="1:11" ht="15" customHeight="1">
      <c r="A80" s="4">
        <v>72</v>
      </c>
      <c r="B80" s="5" t="s">
        <v>124</v>
      </c>
      <c r="C80" s="5" t="s">
        <v>972</v>
      </c>
      <c r="D80" s="5" t="s">
        <v>126</v>
      </c>
      <c r="E80" s="7" t="s">
        <v>105</v>
      </c>
      <c r="F80" s="8" t="s">
        <v>97</v>
      </c>
      <c r="G80" s="4" t="s">
        <v>106</v>
      </c>
      <c r="H80" s="9" t="s">
        <v>107</v>
      </c>
      <c r="I80" s="5" t="s">
        <v>2269</v>
      </c>
      <c r="J80" s="5" t="s">
        <v>109</v>
      </c>
      <c r="K80" s="6">
        <f t="shared" si="2"/>
        <v>0</v>
      </c>
    </row>
    <row r="81" spans="1:11" ht="15" customHeight="1">
      <c r="A81" s="4">
        <v>73</v>
      </c>
      <c r="B81" s="5" t="s">
        <v>95</v>
      </c>
      <c r="C81" s="5" t="s">
        <v>972</v>
      </c>
      <c r="D81" s="5" t="s">
        <v>127</v>
      </c>
      <c r="E81" s="7" t="s">
        <v>105</v>
      </c>
      <c r="F81" s="8" t="s">
        <v>97</v>
      </c>
      <c r="G81" s="4" t="s">
        <v>106</v>
      </c>
      <c r="H81" s="9" t="s">
        <v>107</v>
      </c>
      <c r="I81" s="5" t="s">
        <v>2269</v>
      </c>
      <c r="J81" s="5" t="s">
        <v>109</v>
      </c>
      <c r="K81" s="6">
        <f t="shared" si="2"/>
        <v>0</v>
      </c>
    </row>
    <row r="82" spans="1:11" ht="15" customHeight="1">
      <c r="A82" s="4">
        <v>74</v>
      </c>
      <c r="B82" s="5" t="s">
        <v>128</v>
      </c>
      <c r="C82" s="5" t="s">
        <v>972</v>
      </c>
      <c r="D82" s="5" t="s">
        <v>129</v>
      </c>
      <c r="E82" s="7" t="s">
        <v>105</v>
      </c>
      <c r="F82" s="8" t="s">
        <v>97</v>
      </c>
      <c r="G82" s="4" t="s">
        <v>106</v>
      </c>
      <c r="H82" s="9" t="s">
        <v>107</v>
      </c>
      <c r="I82" s="5" t="s">
        <v>2269</v>
      </c>
      <c r="J82" s="5" t="s">
        <v>109</v>
      </c>
      <c r="K82" s="6">
        <f t="shared" si="2"/>
        <v>0</v>
      </c>
    </row>
    <row r="83" spans="1:11" ht="15" customHeight="1">
      <c r="A83" s="4">
        <v>75</v>
      </c>
      <c r="B83" s="5" t="s">
        <v>120</v>
      </c>
      <c r="C83" s="5" t="s">
        <v>973</v>
      </c>
      <c r="D83" s="5" t="s">
        <v>122</v>
      </c>
      <c r="E83" s="7" t="s">
        <v>105</v>
      </c>
      <c r="F83" s="8" t="s">
        <v>97</v>
      </c>
      <c r="G83" s="4" t="s">
        <v>106</v>
      </c>
      <c r="H83" s="9" t="s">
        <v>107</v>
      </c>
      <c r="I83" s="5" t="s">
        <v>2269</v>
      </c>
      <c r="J83" s="5" t="s">
        <v>109</v>
      </c>
      <c r="K83" s="6">
        <f t="shared" si="2"/>
        <v>0</v>
      </c>
    </row>
    <row r="84" spans="1:11" ht="15" customHeight="1">
      <c r="A84" s="4">
        <v>76</v>
      </c>
      <c r="B84" s="5" t="s">
        <v>120</v>
      </c>
      <c r="C84" s="5" t="s">
        <v>973</v>
      </c>
      <c r="D84" s="5" t="s">
        <v>123</v>
      </c>
      <c r="E84" s="7" t="s">
        <v>105</v>
      </c>
      <c r="F84" s="8" t="s">
        <v>97</v>
      </c>
      <c r="G84" s="4" t="s">
        <v>106</v>
      </c>
      <c r="H84" s="9" t="s">
        <v>107</v>
      </c>
      <c r="I84" s="5" t="s">
        <v>2269</v>
      </c>
      <c r="J84" s="5" t="s">
        <v>109</v>
      </c>
      <c r="K84" s="6">
        <f t="shared" si="2"/>
        <v>0</v>
      </c>
    </row>
    <row r="85" spans="1:11" ht="30" customHeight="1">
      <c r="A85" s="4">
        <v>77</v>
      </c>
      <c r="B85" s="5" t="s">
        <v>124</v>
      </c>
      <c r="C85" s="5" t="s">
        <v>973</v>
      </c>
      <c r="D85" s="5" t="s">
        <v>125</v>
      </c>
      <c r="E85" s="7" t="s">
        <v>105</v>
      </c>
      <c r="F85" s="8" t="s">
        <v>97</v>
      </c>
      <c r="G85" s="4" t="s">
        <v>106</v>
      </c>
      <c r="H85" s="9" t="s">
        <v>107</v>
      </c>
      <c r="I85" s="5" t="s">
        <v>2269</v>
      </c>
      <c r="J85" s="5" t="s">
        <v>109</v>
      </c>
      <c r="K85" s="6">
        <f t="shared" si="2"/>
        <v>0</v>
      </c>
    </row>
    <row r="86" spans="1:11" ht="15" customHeight="1">
      <c r="A86" s="4">
        <v>78</v>
      </c>
      <c r="B86" s="5" t="s">
        <v>124</v>
      </c>
      <c r="C86" s="5" t="s">
        <v>973</v>
      </c>
      <c r="D86" s="5" t="s">
        <v>126</v>
      </c>
      <c r="E86" s="7" t="s">
        <v>105</v>
      </c>
      <c r="F86" s="8" t="s">
        <v>97</v>
      </c>
      <c r="G86" s="4" t="s">
        <v>106</v>
      </c>
      <c r="H86" s="9" t="s">
        <v>107</v>
      </c>
      <c r="I86" s="5" t="s">
        <v>2269</v>
      </c>
      <c r="J86" s="5" t="s">
        <v>109</v>
      </c>
      <c r="K86" s="6">
        <f t="shared" si="2"/>
        <v>0</v>
      </c>
    </row>
    <row r="87" spans="1:11" ht="15" customHeight="1">
      <c r="A87" s="4">
        <v>79</v>
      </c>
      <c r="B87" s="5" t="s">
        <v>95</v>
      </c>
      <c r="C87" s="5" t="s">
        <v>973</v>
      </c>
      <c r="D87" s="5" t="s">
        <v>127</v>
      </c>
      <c r="E87" s="7" t="s">
        <v>105</v>
      </c>
      <c r="F87" s="8" t="s">
        <v>97</v>
      </c>
      <c r="G87" s="4" t="s">
        <v>106</v>
      </c>
      <c r="H87" s="9" t="s">
        <v>107</v>
      </c>
      <c r="I87" s="5" t="s">
        <v>2269</v>
      </c>
      <c r="J87" s="5" t="s">
        <v>109</v>
      </c>
      <c r="K87" s="6">
        <f t="shared" si="2"/>
        <v>0</v>
      </c>
    </row>
    <row r="88" spans="1:11" ht="15" customHeight="1">
      <c r="A88" s="4">
        <v>80</v>
      </c>
      <c r="B88" s="5" t="s">
        <v>128</v>
      </c>
      <c r="C88" s="5" t="s">
        <v>973</v>
      </c>
      <c r="D88" s="5" t="s">
        <v>129</v>
      </c>
      <c r="E88" s="7" t="s">
        <v>105</v>
      </c>
      <c r="F88" s="8" t="s">
        <v>97</v>
      </c>
      <c r="G88" s="4" t="s">
        <v>106</v>
      </c>
      <c r="H88" s="9" t="s">
        <v>107</v>
      </c>
      <c r="I88" s="5" t="s">
        <v>2269</v>
      </c>
      <c r="J88" s="5" t="s">
        <v>109</v>
      </c>
      <c r="K88" s="6">
        <f t="shared" si="2"/>
        <v>0</v>
      </c>
    </row>
    <row r="89" spans="1:11" ht="15" customHeight="1">
      <c r="A89" s="4">
        <v>81</v>
      </c>
      <c r="B89" s="5" t="s">
        <v>120</v>
      </c>
      <c r="C89" s="5" t="s">
        <v>974</v>
      </c>
      <c r="D89" s="5" t="s">
        <v>122</v>
      </c>
      <c r="E89" s="7" t="s">
        <v>105</v>
      </c>
      <c r="F89" s="8" t="s">
        <v>97</v>
      </c>
      <c r="G89" s="4" t="s">
        <v>106</v>
      </c>
      <c r="H89" s="9" t="s">
        <v>107</v>
      </c>
      <c r="I89" s="5" t="s">
        <v>2269</v>
      </c>
      <c r="J89" s="5" t="s">
        <v>109</v>
      </c>
      <c r="K89" s="6">
        <f t="shared" si="2"/>
        <v>0</v>
      </c>
    </row>
    <row r="90" spans="1:11" ht="15" customHeight="1">
      <c r="A90" s="4">
        <v>82</v>
      </c>
      <c r="B90" s="5" t="s">
        <v>120</v>
      </c>
      <c r="C90" s="5" t="s">
        <v>974</v>
      </c>
      <c r="D90" s="5" t="s">
        <v>123</v>
      </c>
      <c r="E90" s="7" t="s">
        <v>105</v>
      </c>
      <c r="F90" s="8" t="s">
        <v>97</v>
      </c>
      <c r="G90" s="4" t="s">
        <v>106</v>
      </c>
      <c r="H90" s="9" t="s">
        <v>107</v>
      </c>
      <c r="I90" s="5" t="s">
        <v>2269</v>
      </c>
      <c r="J90" s="5" t="s">
        <v>109</v>
      </c>
      <c r="K90" s="6">
        <f t="shared" si="2"/>
        <v>0</v>
      </c>
    </row>
    <row r="91" spans="1:11" ht="30" customHeight="1">
      <c r="A91" s="4">
        <v>83</v>
      </c>
      <c r="B91" s="5" t="s">
        <v>124</v>
      </c>
      <c r="C91" s="5" t="s">
        <v>974</v>
      </c>
      <c r="D91" s="5" t="s">
        <v>125</v>
      </c>
      <c r="E91" s="7" t="s">
        <v>105</v>
      </c>
      <c r="F91" s="8" t="s">
        <v>97</v>
      </c>
      <c r="G91" s="4" t="s">
        <v>106</v>
      </c>
      <c r="H91" s="9" t="s">
        <v>107</v>
      </c>
      <c r="I91" s="5" t="s">
        <v>2269</v>
      </c>
      <c r="J91" s="5" t="s">
        <v>109</v>
      </c>
      <c r="K91" s="6">
        <f t="shared" si="2"/>
        <v>0</v>
      </c>
    </row>
    <row r="92" spans="1:11" ht="15" customHeight="1">
      <c r="A92" s="4">
        <v>84</v>
      </c>
      <c r="B92" s="5" t="s">
        <v>124</v>
      </c>
      <c r="C92" s="5" t="s">
        <v>974</v>
      </c>
      <c r="D92" s="5" t="s">
        <v>126</v>
      </c>
      <c r="E92" s="7" t="s">
        <v>105</v>
      </c>
      <c r="F92" s="8" t="s">
        <v>97</v>
      </c>
      <c r="G92" s="4" t="s">
        <v>106</v>
      </c>
      <c r="H92" s="9" t="s">
        <v>107</v>
      </c>
      <c r="I92" s="5" t="s">
        <v>2269</v>
      </c>
      <c r="J92" s="5" t="s">
        <v>109</v>
      </c>
      <c r="K92" s="6">
        <f t="shared" si="2"/>
        <v>0</v>
      </c>
    </row>
    <row r="93" spans="1:11" ht="15" customHeight="1">
      <c r="A93" s="4">
        <v>85</v>
      </c>
      <c r="B93" s="5" t="s">
        <v>95</v>
      </c>
      <c r="C93" s="5" t="s">
        <v>974</v>
      </c>
      <c r="D93" s="5" t="s">
        <v>127</v>
      </c>
      <c r="E93" s="7" t="s">
        <v>105</v>
      </c>
      <c r="F93" s="8" t="s">
        <v>97</v>
      </c>
      <c r="G93" s="4" t="s">
        <v>106</v>
      </c>
      <c r="H93" s="9" t="s">
        <v>107</v>
      </c>
      <c r="I93" s="5" t="s">
        <v>2269</v>
      </c>
      <c r="J93" s="5" t="s">
        <v>109</v>
      </c>
      <c r="K93" s="6">
        <f t="shared" si="2"/>
        <v>0</v>
      </c>
    </row>
    <row r="94" spans="1:11" ht="15" customHeight="1">
      <c r="A94" s="4">
        <v>86</v>
      </c>
      <c r="B94" s="5" t="s">
        <v>128</v>
      </c>
      <c r="C94" s="5" t="s">
        <v>974</v>
      </c>
      <c r="D94" s="5" t="s">
        <v>129</v>
      </c>
      <c r="E94" s="7" t="s">
        <v>105</v>
      </c>
      <c r="F94" s="8" t="s">
        <v>97</v>
      </c>
      <c r="G94" s="4" t="s">
        <v>106</v>
      </c>
      <c r="H94" s="9" t="s">
        <v>107</v>
      </c>
      <c r="I94" s="5" t="s">
        <v>2269</v>
      </c>
      <c r="J94" s="5" t="s">
        <v>109</v>
      </c>
      <c r="K94" s="6">
        <f t="shared" si="2"/>
        <v>0</v>
      </c>
    </row>
    <row r="95" spans="1:11" ht="15" customHeight="1">
      <c r="A95" s="4">
        <v>87</v>
      </c>
      <c r="B95" s="5" t="s">
        <v>120</v>
      </c>
      <c r="C95" s="5" t="s">
        <v>975</v>
      </c>
      <c r="D95" s="5" t="s">
        <v>122</v>
      </c>
      <c r="E95" s="7" t="s">
        <v>105</v>
      </c>
      <c r="F95" s="8" t="s">
        <v>97</v>
      </c>
      <c r="G95" s="4" t="s">
        <v>106</v>
      </c>
      <c r="H95" s="9" t="s">
        <v>107</v>
      </c>
      <c r="I95" s="5" t="s">
        <v>2269</v>
      </c>
      <c r="J95" s="5" t="s">
        <v>109</v>
      </c>
      <c r="K95" s="6">
        <f t="shared" si="2"/>
        <v>0</v>
      </c>
    </row>
    <row r="96" spans="1:11" ht="15" customHeight="1">
      <c r="A96" s="4">
        <v>88</v>
      </c>
      <c r="B96" s="5" t="s">
        <v>120</v>
      </c>
      <c r="C96" s="5" t="s">
        <v>975</v>
      </c>
      <c r="D96" s="5" t="s">
        <v>123</v>
      </c>
      <c r="E96" s="7" t="s">
        <v>105</v>
      </c>
      <c r="F96" s="8" t="s">
        <v>97</v>
      </c>
      <c r="G96" s="4" t="s">
        <v>106</v>
      </c>
      <c r="H96" s="9" t="s">
        <v>107</v>
      </c>
      <c r="I96" s="5" t="s">
        <v>2269</v>
      </c>
      <c r="J96" s="5" t="s">
        <v>109</v>
      </c>
      <c r="K96" s="6">
        <f t="shared" si="2"/>
        <v>0</v>
      </c>
    </row>
    <row r="97" spans="1:11" ht="30" customHeight="1">
      <c r="A97" s="4">
        <v>89</v>
      </c>
      <c r="B97" s="5" t="s">
        <v>124</v>
      </c>
      <c r="C97" s="5" t="s">
        <v>975</v>
      </c>
      <c r="D97" s="5" t="s">
        <v>125</v>
      </c>
      <c r="E97" s="7" t="s">
        <v>105</v>
      </c>
      <c r="F97" s="8" t="s">
        <v>97</v>
      </c>
      <c r="G97" s="4" t="s">
        <v>106</v>
      </c>
      <c r="H97" s="9" t="s">
        <v>107</v>
      </c>
      <c r="I97" s="5" t="s">
        <v>2269</v>
      </c>
      <c r="J97" s="5" t="s">
        <v>109</v>
      </c>
      <c r="K97" s="6">
        <f t="shared" si="2"/>
        <v>0</v>
      </c>
    </row>
    <row r="98" spans="1:11" ht="15" customHeight="1">
      <c r="A98" s="4">
        <v>90</v>
      </c>
      <c r="B98" s="5" t="s">
        <v>124</v>
      </c>
      <c r="C98" s="5" t="s">
        <v>975</v>
      </c>
      <c r="D98" s="5" t="s">
        <v>126</v>
      </c>
      <c r="E98" s="7" t="s">
        <v>105</v>
      </c>
      <c r="F98" s="8" t="s">
        <v>97</v>
      </c>
      <c r="G98" s="4" t="s">
        <v>106</v>
      </c>
      <c r="H98" s="9" t="s">
        <v>107</v>
      </c>
      <c r="I98" s="5" t="s">
        <v>2269</v>
      </c>
      <c r="J98" s="5" t="s">
        <v>109</v>
      </c>
      <c r="K98" s="6">
        <f t="shared" si="2"/>
        <v>0</v>
      </c>
    </row>
    <row r="99" spans="1:11" ht="15" customHeight="1">
      <c r="A99" s="4">
        <v>91</v>
      </c>
      <c r="B99" s="5" t="s">
        <v>95</v>
      </c>
      <c r="C99" s="5" t="s">
        <v>975</v>
      </c>
      <c r="D99" s="5" t="s">
        <v>127</v>
      </c>
      <c r="E99" s="7" t="s">
        <v>105</v>
      </c>
      <c r="F99" s="8" t="s">
        <v>97</v>
      </c>
      <c r="G99" s="4" t="s">
        <v>106</v>
      </c>
      <c r="H99" s="9" t="s">
        <v>107</v>
      </c>
      <c r="I99" s="5" t="s">
        <v>2269</v>
      </c>
      <c r="J99" s="5" t="s">
        <v>109</v>
      </c>
      <c r="K99" s="6">
        <f t="shared" si="2"/>
        <v>0</v>
      </c>
    </row>
    <row r="100" spans="1:11" ht="15" customHeight="1">
      <c r="A100" s="4">
        <v>92</v>
      </c>
      <c r="B100" s="5" t="s">
        <v>128</v>
      </c>
      <c r="C100" s="5" t="s">
        <v>975</v>
      </c>
      <c r="D100" s="5" t="s">
        <v>129</v>
      </c>
      <c r="E100" s="7" t="s">
        <v>105</v>
      </c>
      <c r="F100" s="8" t="s">
        <v>97</v>
      </c>
      <c r="G100" s="4" t="s">
        <v>106</v>
      </c>
      <c r="H100" s="9" t="s">
        <v>107</v>
      </c>
      <c r="I100" s="5" t="s">
        <v>2269</v>
      </c>
      <c r="J100" s="5" t="s">
        <v>109</v>
      </c>
      <c r="K100" s="6">
        <f t="shared" si="2"/>
        <v>0</v>
      </c>
    </row>
    <row r="101" spans="1:11" ht="15" customHeight="1">
      <c r="A101" s="4">
        <v>93</v>
      </c>
      <c r="B101" s="5" t="s">
        <v>120</v>
      </c>
      <c r="C101" s="5" t="s">
        <v>976</v>
      </c>
      <c r="D101" s="5" t="s">
        <v>122</v>
      </c>
      <c r="E101" s="7" t="s">
        <v>105</v>
      </c>
      <c r="F101" s="8" t="s">
        <v>97</v>
      </c>
      <c r="G101" s="4" t="s">
        <v>106</v>
      </c>
      <c r="H101" s="9" t="s">
        <v>107</v>
      </c>
      <c r="I101" s="5" t="s">
        <v>2269</v>
      </c>
      <c r="J101" s="5" t="s">
        <v>109</v>
      </c>
      <c r="K101" s="6">
        <f t="shared" si="2"/>
        <v>0</v>
      </c>
    </row>
    <row r="102" spans="1:11" ht="15" customHeight="1">
      <c r="A102" s="4">
        <v>94</v>
      </c>
      <c r="B102" s="5" t="s">
        <v>120</v>
      </c>
      <c r="C102" s="5" t="s">
        <v>976</v>
      </c>
      <c r="D102" s="5" t="s">
        <v>123</v>
      </c>
      <c r="E102" s="7" t="s">
        <v>105</v>
      </c>
      <c r="F102" s="8" t="s">
        <v>97</v>
      </c>
      <c r="G102" s="4" t="s">
        <v>106</v>
      </c>
      <c r="H102" s="9" t="s">
        <v>107</v>
      </c>
      <c r="I102" s="5" t="s">
        <v>2269</v>
      </c>
      <c r="J102" s="5" t="s">
        <v>109</v>
      </c>
      <c r="K102" s="6">
        <f t="shared" si="2"/>
        <v>0</v>
      </c>
    </row>
    <row r="103" spans="1:11" ht="30" customHeight="1">
      <c r="A103" s="4">
        <v>95</v>
      </c>
      <c r="B103" s="5" t="s">
        <v>124</v>
      </c>
      <c r="C103" s="5" t="s">
        <v>976</v>
      </c>
      <c r="D103" s="5" t="s">
        <v>125</v>
      </c>
      <c r="E103" s="7" t="s">
        <v>105</v>
      </c>
      <c r="F103" s="8" t="s">
        <v>97</v>
      </c>
      <c r="G103" s="4" t="s">
        <v>106</v>
      </c>
      <c r="H103" s="9" t="s">
        <v>107</v>
      </c>
      <c r="I103" s="5" t="s">
        <v>2269</v>
      </c>
      <c r="J103" s="5" t="s">
        <v>109</v>
      </c>
      <c r="K103" s="6">
        <f t="shared" si="2"/>
        <v>0</v>
      </c>
    </row>
    <row r="104" spans="1:11" ht="15" customHeight="1">
      <c r="A104" s="4">
        <v>96</v>
      </c>
      <c r="B104" s="5" t="s">
        <v>124</v>
      </c>
      <c r="C104" s="5" t="s">
        <v>976</v>
      </c>
      <c r="D104" s="5" t="s">
        <v>126</v>
      </c>
      <c r="E104" s="7" t="s">
        <v>105</v>
      </c>
      <c r="F104" s="8" t="s">
        <v>97</v>
      </c>
      <c r="G104" s="4" t="s">
        <v>106</v>
      </c>
      <c r="H104" s="9" t="s">
        <v>107</v>
      </c>
      <c r="I104" s="5" t="s">
        <v>2269</v>
      </c>
      <c r="J104" s="5" t="s">
        <v>109</v>
      </c>
      <c r="K104" s="6">
        <f t="shared" si="2"/>
        <v>0</v>
      </c>
    </row>
    <row r="105" spans="1:11" ht="15" customHeight="1">
      <c r="A105" s="4">
        <v>97</v>
      </c>
      <c r="B105" s="5" t="s">
        <v>95</v>
      </c>
      <c r="C105" s="5" t="s">
        <v>976</v>
      </c>
      <c r="D105" s="5" t="s">
        <v>127</v>
      </c>
      <c r="E105" s="7" t="s">
        <v>105</v>
      </c>
      <c r="F105" s="8" t="s">
        <v>97</v>
      </c>
      <c r="G105" s="4" t="s">
        <v>106</v>
      </c>
      <c r="H105" s="9" t="s">
        <v>107</v>
      </c>
      <c r="I105" s="5" t="s">
        <v>2269</v>
      </c>
      <c r="J105" s="5" t="s">
        <v>109</v>
      </c>
      <c r="K105" s="6">
        <f t="shared" ref="K105:K136" si="3">IF(AND(E105="yes",F105="yes",H105="covered"),1,IF(H105="partial",0.5,0))</f>
        <v>0</v>
      </c>
    </row>
    <row r="106" spans="1:11" ht="15" customHeight="1">
      <c r="A106" s="4">
        <v>98</v>
      </c>
      <c r="B106" s="5" t="s">
        <v>128</v>
      </c>
      <c r="C106" s="5" t="s">
        <v>976</v>
      </c>
      <c r="D106" s="5" t="s">
        <v>129</v>
      </c>
      <c r="E106" s="7" t="s">
        <v>105</v>
      </c>
      <c r="F106" s="8" t="s">
        <v>97</v>
      </c>
      <c r="G106" s="4" t="s">
        <v>106</v>
      </c>
      <c r="H106" s="9" t="s">
        <v>107</v>
      </c>
      <c r="I106" s="5" t="s">
        <v>2269</v>
      </c>
      <c r="J106" s="5" t="s">
        <v>109</v>
      </c>
      <c r="K106" s="6">
        <f t="shared" si="3"/>
        <v>0</v>
      </c>
    </row>
    <row r="107" spans="1:11" ht="15" customHeight="1">
      <c r="A107" s="4">
        <v>99</v>
      </c>
      <c r="B107" s="5" t="s">
        <v>120</v>
      </c>
      <c r="C107" s="5" t="s">
        <v>977</v>
      </c>
      <c r="D107" s="5" t="s">
        <v>122</v>
      </c>
      <c r="E107" s="7" t="s">
        <v>105</v>
      </c>
      <c r="F107" s="8" t="s">
        <v>97</v>
      </c>
      <c r="G107" s="4" t="s">
        <v>106</v>
      </c>
      <c r="H107" s="9" t="s">
        <v>107</v>
      </c>
      <c r="I107" s="5" t="s">
        <v>2269</v>
      </c>
      <c r="J107" s="5" t="s">
        <v>109</v>
      </c>
      <c r="K107" s="6">
        <f t="shared" si="3"/>
        <v>0</v>
      </c>
    </row>
    <row r="108" spans="1:11" ht="15" customHeight="1">
      <c r="A108" s="4">
        <v>100</v>
      </c>
      <c r="B108" s="5" t="s">
        <v>120</v>
      </c>
      <c r="C108" s="5" t="s">
        <v>977</v>
      </c>
      <c r="D108" s="5" t="s">
        <v>123</v>
      </c>
      <c r="E108" s="7" t="s">
        <v>105</v>
      </c>
      <c r="F108" s="8" t="s">
        <v>97</v>
      </c>
      <c r="G108" s="4" t="s">
        <v>106</v>
      </c>
      <c r="H108" s="9" t="s">
        <v>107</v>
      </c>
      <c r="I108" s="5" t="s">
        <v>2269</v>
      </c>
      <c r="J108" s="5" t="s">
        <v>109</v>
      </c>
      <c r="K108" s="6">
        <f t="shared" si="3"/>
        <v>0</v>
      </c>
    </row>
    <row r="109" spans="1:11" ht="30" customHeight="1">
      <c r="A109" s="4">
        <v>101</v>
      </c>
      <c r="B109" s="5" t="s">
        <v>124</v>
      </c>
      <c r="C109" s="5" t="s">
        <v>977</v>
      </c>
      <c r="D109" s="5" t="s">
        <v>125</v>
      </c>
      <c r="E109" s="7" t="s">
        <v>105</v>
      </c>
      <c r="F109" s="8" t="s">
        <v>97</v>
      </c>
      <c r="G109" s="4" t="s">
        <v>106</v>
      </c>
      <c r="H109" s="9" t="s">
        <v>107</v>
      </c>
      <c r="I109" s="5" t="s">
        <v>2269</v>
      </c>
      <c r="J109" s="5" t="s">
        <v>109</v>
      </c>
      <c r="K109" s="6">
        <f t="shared" si="3"/>
        <v>0</v>
      </c>
    </row>
    <row r="110" spans="1:11" ht="15" customHeight="1">
      <c r="A110" s="4">
        <v>102</v>
      </c>
      <c r="B110" s="5" t="s">
        <v>124</v>
      </c>
      <c r="C110" s="5" t="s">
        <v>977</v>
      </c>
      <c r="D110" s="5" t="s">
        <v>126</v>
      </c>
      <c r="E110" s="7" t="s">
        <v>105</v>
      </c>
      <c r="F110" s="8" t="s">
        <v>97</v>
      </c>
      <c r="G110" s="4" t="s">
        <v>106</v>
      </c>
      <c r="H110" s="9" t="s">
        <v>107</v>
      </c>
      <c r="I110" s="5" t="s">
        <v>2269</v>
      </c>
      <c r="J110" s="5" t="s">
        <v>109</v>
      </c>
      <c r="K110" s="6">
        <f t="shared" si="3"/>
        <v>0</v>
      </c>
    </row>
    <row r="111" spans="1:11" ht="15" customHeight="1">
      <c r="A111" s="4">
        <v>103</v>
      </c>
      <c r="B111" s="5" t="s">
        <v>95</v>
      </c>
      <c r="C111" s="5" t="s">
        <v>977</v>
      </c>
      <c r="D111" s="5" t="s">
        <v>127</v>
      </c>
      <c r="E111" s="7" t="s">
        <v>105</v>
      </c>
      <c r="F111" s="8" t="s">
        <v>97</v>
      </c>
      <c r="G111" s="4" t="s">
        <v>106</v>
      </c>
      <c r="H111" s="9" t="s">
        <v>107</v>
      </c>
      <c r="I111" s="5" t="s">
        <v>2269</v>
      </c>
      <c r="J111" s="5" t="s">
        <v>109</v>
      </c>
      <c r="K111" s="6">
        <f t="shared" si="3"/>
        <v>0</v>
      </c>
    </row>
    <row r="112" spans="1:11" ht="15" customHeight="1">
      <c r="A112" s="4">
        <v>104</v>
      </c>
      <c r="B112" s="5" t="s">
        <v>128</v>
      </c>
      <c r="C112" s="5" t="s">
        <v>977</v>
      </c>
      <c r="D112" s="5" t="s">
        <v>129</v>
      </c>
      <c r="E112" s="7" t="s">
        <v>105</v>
      </c>
      <c r="F112" s="8" t="s">
        <v>97</v>
      </c>
      <c r="G112" s="4" t="s">
        <v>106</v>
      </c>
      <c r="H112" s="9" t="s">
        <v>107</v>
      </c>
      <c r="I112" s="5" t="s">
        <v>2269</v>
      </c>
      <c r="J112" s="5" t="s">
        <v>109</v>
      </c>
      <c r="K112" s="6">
        <f t="shared" si="3"/>
        <v>0</v>
      </c>
    </row>
    <row r="113" spans="1:11" ht="15" customHeight="1">
      <c r="A113" s="4">
        <v>105</v>
      </c>
      <c r="B113" s="5" t="s">
        <v>120</v>
      </c>
      <c r="C113" s="5" t="s">
        <v>2274</v>
      </c>
      <c r="D113" s="5" t="s">
        <v>122</v>
      </c>
      <c r="E113" s="7" t="s">
        <v>105</v>
      </c>
      <c r="F113" s="8" t="s">
        <v>97</v>
      </c>
      <c r="G113" s="4" t="s">
        <v>106</v>
      </c>
      <c r="H113" s="9" t="s">
        <v>107</v>
      </c>
      <c r="I113" s="5" t="s">
        <v>2269</v>
      </c>
      <c r="J113" s="5" t="s">
        <v>109</v>
      </c>
      <c r="K113" s="6">
        <f t="shared" si="3"/>
        <v>0</v>
      </c>
    </row>
    <row r="114" spans="1:11" ht="15" customHeight="1">
      <c r="A114" s="4">
        <v>106</v>
      </c>
      <c r="B114" s="5" t="s">
        <v>120</v>
      </c>
      <c r="C114" s="5" t="s">
        <v>2274</v>
      </c>
      <c r="D114" s="5" t="s">
        <v>123</v>
      </c>
      <c r="E114" s="7" t="s">
        <v>105</v>
      </c>
      <c r="F114" s="8" t="s">
        <v>97</v>
      </c>
      <c r="G114" s="4" t="s">
        <v>106</v>
      </c>
      <c r="H114" s="9" t="s">
        <v>107</v>
      </c>
      <c r="I114" s="5" t="s">
        <v>2269</v>
      </c>
      <c r="J114" s="5" t="s">
        <v>109</v>
      </c>
      <c r="K114" s="6">
        <f t="shared" si="3"/>
        <v>0</v>
      </c>
    </row>
    <row r="115" spans="1:11" ht="30" customHeight="1">
      <c r="A115" s="4">
        <v>107</v>
      </c>
      <c r="B115" s="5" t="s">
        <v>124</v>
      </c>
      <c r="C115" s="5" t="s">
        <v>2274</v>
      </c>
      <c r="D115" s="5" t="s">
        <v>125</v>
      </c>
      <c r="E115" s="7" t="s">
        <v>105</v>
      </c>
      <c r="F115" s="8" t="s">
        <v>97</v>
      </c>
      <c r="G115" s="4" t="s">
        <v>106</v>
      </c>
      <c r="H115" s="9" t="s">
        <v>107</v>
      </c>
      <c r="I115" s="5" t="s">
        <v>2269</v>
      </c>
      <c r="J115" s="5" t="s">
        <v>109</v>
      </c>
      <c r="K115" s="6">
        <f t="shared" si="3"/>
        <v>0</v>
      </c>
    </row>
    <row r="116" spans="1:11" ht="15" customHeight="1">
      <c r="A116" s="4">
        <v>108</v>
      </c>
      <c r="B116" s="5" t="s">
        <v>124</v>
      </c>
      <c r="C116" s="5" t="s">
        <v>2274</v>
      </c>
      <c r="D116" s="5" t="s">
        <v>126</v>
      </c>
      <c r="E116" s="7" t="s">
        <v>105</v>
      </c>
      <c r="F116" s="8" t="s">
        <v>97</v>
      </c>
      <c r="G116" s="4" t="s">
        <v>106</v>
      </c>
      <c r="H116" s="9" t="s">
        <v>107</v>
      </c>
      <c r="I116" s="5" t="s">
        <v>2269</v>
      </c>
      <c r="J116" s="5" t="s">
        <v>109</v>
      </c>
      <c r="K116" s="6">
        <f t="shared" si="3"/>
        <v>0</v>
      </c>
    </row>
    <row r="117" spans="1:11" ht="15" customHeight="1">
      <c r="A117" s="4">
        <v>109</v>
      </c>
      <c r="B117" s="5" t="s">
        <v>95</v>
      </c>
      <c r="C117" s="5" t="s">
        <v>2274</v>
      </c>
      <c r="D117" s="5" t="s">
        <v>127</v>
      </c>
      <c r="E117" s="7" t="s">
        <v>105</v>
      </c>
      <c r="F117" s="8" t="s">
        <v>97</v>
      </c>
      <c r="G117" s="4" t="s">
        <v>106</v>
      </c>
      <c r="H117" s="9" t="s">
        <v>107</v>
      </c>
      <c r="I117" s="5" t="s">
        <v>2269</v>
      </c>
      <c r="J117" s="5" t="s">
        <v>109</v>
      </c>
      <c r="K117" s="6">
        <f t="shared" si="3"/>
        <v>0</v>
      </c>
    </row>
    <row r="118" spans="1:11" ht="15" customHeight="1">
      <c r="A118" s="4">
        <v>110</v>
      </c>
      <c r="B118" s="5" t="s">
        <v>128</v>
      </c>
      <c r="C118" s="5" t="s">
        <v>2274</v>
      </c>
      <c r="D118" s="5" t="s">
        <v>129</v>
      </c>
      <c r="E118" s="7" t="s">
        <v>105</v>
      </c>
      <c r="F118" s="8" t="s">
        <v>97</v>
      </c>
      <c r="G118" s="4" t="s">
        <v>106</v>
      </c>
      <c r="H118" s="9" t="s">
        <v>107</v>
      </c>
      <c r="I118" s="5" t="s">
        <v>2269</v>
      </c>
      <c r="J118" s="5" t="s">
        <v>109</v>
      </c>
      <c r="K118" s="6">
        <f t="shared" si="3"/>
        <v>0</v>
      </c>
    </row>
    <row r="119" spans="1:11" ht="15" customHeight="1">
      <c r="A119" s="4">
        <v>111</v>
      </c>
      <c r="B119" s="5" t="s">
        <v>120</v>
      </c>
      <c r="C119" s="5" t="s">
        <v>151</v>
      </c>
      <c r="D119" s="5" t="s">
        <v>122</v>
      </c>
      <c r="E119" s="7" t="s">
        <v>105</v>
      </c>
      <c r="F119" s="8" t="s">
        <v>97</v>
      </c>
      <c r="G119" s="4" t="s">
        <v>106</v>
      </c>
      <c r="H119" s="9" t="s">
        <v>107</v>
      </c>
      <c r="I119" s="5" t="s">
        <v>2269</v>
      </c>
      <c r="J119" s="5" t="s">
        <v>109</v>
      </c>
      <c r="K119" s="6">
        <f t="shared" si="3"/>
        <v>0</v>
      </c>
    </row>
    <row r="120" spans="1:11" ht="15" customHeight="1">
      <c r="A120" s="4">
        <v>112</v>
      </c>
      <c r="B120" s="5" t="s">
        <v>120</v>
      </c>
      <c r="C120" s="5" t="s">
        <v>151</v>
      </c>
      <c r="D120" s="5" t="s">
        <v>123</v>
      </c>
      <c r="E120" s="7" t="s">
        <v>105</v>
      </c>
      <c r="F120" s="8" t="s">
        <v>97</v>
      </c>
      <c r="G120" s="4" t="s">
        <v>106</v>
      </c>
      <c r="H120" s="9" t="s">
        <v>107</v>
      </c>
      <c r="I120" s="5" t="s">
        <v>2269</v>
      </c>
      <c r="J120" s="5" t="s">
        <v>109</v>
      </c>
      <c r="K120" s="6">
        <f t="shared" si="3"/>
        <v>0</v>
      </c>
    </row>
    <row r="121" spans="1:11" ht="30" customHeight="1">
      <c r="A121" s="4">
        <v>113</v>
      </c>
      <c r="B121" s="5" t="s">
        <v>124</v>
      </c>
      <c r="C121" s="5" t="s">
        <v>151</v>
      </c>
      <c r="D121" s="5" t="s">
        <v>125</v>
      </c>
      <c r="E121" s="7" t="s">
        <v>105</v>
      </c>
      <c r="F121" s="8" t="s">
        <v>97</v>
      </c>
      <c r="G121" s="4" t="s">
        <v>106</v>
      </c>
      <c r="H121" s="9" t="s">
        <v>107</v>
      </c>
      <c r="I121" s="5" t="s">
        <v>2269</v>
      </c>
      <c r="J121" s="5" t="s">
        <v>109</v>
      </c>
      <c r="K121" s="6">
        <f t="shared" si="3"/>
        <v>0</v>
      </c>
    </row>
    <row r="122" spans="1:11" ht="15" customHeight="1">
      <c r="A122" s="4">
        <v>114</v>
      </c>
      <c r="B122" s="5" t="s">
        <v>124</v>
      </c>
      <c r="C122" s="5" t="s">
        <v>151</v>
      </c>
      <c r="D122" s="5" t="s">
        <v>126</v>
      </c>
      <c r="E122" s="7" t="s">
        <v>105</v>
      </c>
      <c r="F122" s="8" t="s">
        <v>97</v>
      </c>
      <c r="G122" s="4" t="s">
        <v>106</v>
      </c>
      <c r="H122" s="9" t="s">
        <v>107</v>
      </c>
      <c r="I122" s="5" t="s">
        <v>2269</v>
      </c>
      <c r="J122" s="5" t="s">
        <v>109</v>
      </c>
      <c r="K122" s="6">
        <f t="shared" si="3"/>
        <v>0</v>
      </c>
    </row>
    <row r="123" spans="1:11" ht="15" customHeight="1">
      <c r="A123" s="4">
        <v>115</v>
      </c>
      <c r="B123" s="5" t="s">
        <v>95</v>
      </c>
      <c r="C123" s="5" t="s">
        <v>151</v>
      </c>
      <c r="D123" s="5" t="s">
        <v>127</v>
      </c>
      <c r="E123" s="7" t="s">
        <v>105</v>
      </c>
      <c r="F123" s="8" t="s">
        <v>97</v>
      </c>
      <c r="G123" s="4" t="s">
        <v>106</v>
      </c>
      <c r="H123" s="9" t="s">
        <v>107</v>
      </c>
      <c r="I123" s="5" t="s">
        <v>2269</v>
      </c>
      <c r="J123" s="5" t="s">
        <v>109</v>
      </c>
      <c r="K123" s="6">
        <f t="shared" si="3"/>
        <v>0</v>
      </c>
    </row>
    <row r="124" spans="1:11" ht="15" customHeight="1">
      <c r="A124" s="4">
        <v>116</v>
      </c>
      <c r="B124" s="5" t="s">
        <v>128</v>
      </c>
      <c r="C124" s="5" t="s">
        <v>151</v>
      </c>
      <c r="D124" s="5" t="s">
        <v>129</v>
      </c>
      <c r="E124" s="7" t="s">
        <v>105</v>
      </c>
      <c r="F124" s="8" t="s">
        <v>97</v>
      </c>
      <c r="G124" s="4" t="s">
        <v>106</v>
      </c>
      <c r="H124" s="9" t="s">
        <v>107</v>
      </c>
      <c r="I124" s="5" t="s">
        <v>2269</v>
      </c>
      <c r="J124" s="5" t="s">
        <v>109</v>
      </c>
      <c r="K124" s="6">
        <f t="shared" si="3"/>
        <v>0</v>
      </c>
    </row>
    <row r="125" spans="1:11" ht="15" customHeight="1">
      <c r="A125" s="4">
        <v>117</v>
      </c>
      <c r="B125" s="5" t="s">
        <v>120</v>
      </c>
      <c r="C125" s="5" t="s">
        <v>978</v>
      </c>
      <c r="D125" s="5" t="s">
        <v>122</v>
      </c>
      <c r="E125" s="7" t="s">
        <v>105</v>
      </c>
      <c r="F125" s="8" t="s">
        <v>97</v>
      </c>
      <c r="G125" s="4" t="s">
        <v>106</v>
      </c>
      <c r="H125" s="9" t="s">
        <v>107</v>
      </c>
      <c r="I125" s="5" t="s">
        <v>2269</v>
      </c>
      <c r="J125" s="5" t="s">
        <v>109</v>
      </c>
      <c r="K125" s="6">
        <f t="shared" si="3"/>
        <v>0</v>
      </c>
    </row>
    <row r="126" spans="1:11" ht="15" customHeight="1">
      <c r="A126" s="4">
        <v>118</v>
      </c>
      <c r="B126" s="5" t="s">
        <v>120</v>
      </c>
      <c r="C126" s="5" t="s">
        <v>978</v>
      </c>
      <c r="D126" s="5" t="s">
        <v>123</v>
      </c>
      <c r="E126" s="7" t="s">
        <v>105</v>
      </c>
      <c r="F126" s="8" t="s">
        <v>97</v>
      </c>
      <c r="G126" s="4" t="s">
        <v>106</v>
      </c>
      <c r="H126" s="9" t="s">
        <v>107</v>
      </c>
      <c r="I126" s="5" t="s">
        <v>2269</v>
      </c>
      <c r="J126" s="5" t="s">
        <v>109</v>
      </c>
      <c r="K126" s="6">
        <f t="shared" si="3"/>
        <v>0</v>
      </c>
    </row>
    <row r="127" spans="1:11" ht="30" customHeight="1">
      <c r="A127" s="4">
        <v>119</v>
      </c>
      <c r="B127" s="5" t="s">
        <v>124</v>
      </c>
      <c r="C127" s="5" t="s">
        <v>978</v>
      </c>
      <c r="D127" s="5" t="s">
        <v>125</v>
      </c>
      <c r="E127" s="7" t="s">
        <v>105</v>
      </c>
      <c r="F127" s="8" t="s">
        <v>97</v>
      </c>
      <c r="G127" s="4" t="s">
        <v>106</v>
      </c>
      <c r="H127" s="9" t="s">
        <v>107</v>
      </c>
      <c r="I127" s="5" t="s">
        <v>2269</v>
      </c>
      <c r="J127" s="5" t="s">
        <v>109</v>
      </c>
      <c r="K127" s="6">
        <f t="shared" si="3"/>
        <v>0</v>
      </c>
    </row>
    <row r="128" spans="1:11" ht="15" customHeight="1">
      <c r="A128" s="4">
        <v>120</v>
      </c>
      <c r="B128" s="5" t="s">
        <v>124</v>
      </c>
      <c r="C128" s="5" t="s">
        <v>978</v>
      </c>
      <c r="D128" s="5" t="s">
        <v>126</v>
      </c>
      <c r="E128" s="7" t="s">
        <v>105</v>
      </c>
      <c r="F128" s="8" t="s">
        <v>97</v>
      </c>
      <c r="G128" s="4" t="s">
        <v>106</v>
      </c>
      <c r="H128" s="9" t="s">
        <v>107</v>
      </c>
      <c r="I128" s="5" t="s">
        <v>2269</v>
      </c>
      <c r="J128" s="5" t="s">
        <v>109</v>
      </c>
      <c r="K128" s="6">
        <f t="shared" si="3"/>
        <v>0</v>
      </c>
    </row>
    <row r="129" spans="1:11" ht="15" customHeight="1">
      <c r="A129" s="4">
        <v>121</v>
      </c>
      <c r="B129" s="5" t="s">
        <v>95</v>
      </c>
      <c r="C129" s="5" t="s">
        <v>978</v>
      </c>
      <c r="D129" s="5" t="s">
        <v>127</v>
      </c>
      <c r="E129" s="7" t="s">
        <v>105</v>
      </c>
      <c r="F129" s="8" t="s">
        <v>97</v>
      </c>
      <c r="G129" s="4" t="s">
        <v>106</v>
      </c>
      <c r="H129" s="9" t="s">
        <v>107</v>
      </c>
      <c r="I129" s="5" t="s">
        <v>2269</v>
      </c>
      <c r="J129" s="5" t="s">
        <v>109</v>
      </c>
      <c r="K129" s="6">
        <f t="shared" si="3"/>
        <v>0</v>
      </c>
    </row>
    <row r="130" spans="1:11" ht="15" customHeight="1">
      <c r="A130" s="4">
        <v>122</v>
      </c>
      <c r="B130" s="5" t="s">
        <v>128</v>
      </c>
      <c r="C130" s="5" t="s">
        <v>978</v>
      </c>
      <c r="D130" s="5" t="s">
        <v>129</v>
      </c>
      <c r="E130" s="7" t="s">
        <v>105</v>
      </c>
      <c r="F130" s="8" t="s">
        <v>97</v>
      </c>
      <c r="G130" s="4" t="s">
        <v>106</v>
      </c>
      <c r="H130" s="9" t="s">
        <v>107</v>
      </c>
      <c r="I130" s="5" t="s">
        <v>2269</v>
      </c>
      <c r="J130" s="5" t="s">
        <v>109</v>
      </c>
      <c r="K130" s="6">
        <f t="shared" si="3"/>
        <v>0</v>
      </c>
    </row>
    <row r="131" spans="1:11" ht="15" customHeight="1">
      <c r="A131" s="4">
        <v>123</v>
      </c>
      <c r="B131" s="5" t="s">
        <v>133</v>
      </c>
      <c r="C131" s="5" t="s">
        <v>978</v>
      </c>
      <c r="D131" s="5" t="s">
        <v>979</v>
      </c>
      <c r="E131" s="7" t="s">
        <v>105</v>
      </c>
      <c r="F131" s="8" t="s">
        <v>97</v>
      </c>
      <c r="G131" s="4" t="s">
        <v>106</v>
      </c>
      <c r="H131" s="9" t="s">
        <v>107</v>
      </c>
      <c r="I131" s="5" t="s">
        <v>2269</v>
      </c>
      <c r="J131" s="5" t="s">
        <v>109</v>
      </c>
      <c r="K131" s="6">
        <f t="shared" si="3"/>
        <v>0</v>
      </c>
    </row>
    <row r="132" spans="1:11" ht="15" customHeight="1">
      <c r="A132" s="4">
        <v>124</v>
      </c>
      <c r="B132" s="5" t="s">
        <v>133</v>
      </c>
      <c r="C132" s="5" t="s">
        <v>978</v>
      </c>
      <c r="D132" s="5" t="s">
        <v>966</v>
      </c>
      <c r="E132" s="7" t="s">
        <v>105</v>
      </c>
      <c r="F132" s="8" t="s">
        <v>97</v>
      </c>
      <c r="G132" s="4" t="s">
        <v>106</v>
      </c>
      <c r="H132" s="9" t="s">
        <v>107</v>
      </c>
      <c r="I132" s="5" t="s">
        <v>2269</v>
      </c>
      <c r="J132" s="5" t="s">
        <v>109</v>
      </c>
      <c r="K132" s="6">
        <f t="shared" si="3"/>
        <v>0</v>
      </c>
    </row>
    <row r="133" spans="1:11" ht="15" customHeight="1">
      <c r="A133" s="4">
        <v>125</v>
      </c>
      <c r="B133" s="5" t="s">
        <v>135</v>
      </c>
      <c r="C133" s="5" t="s">
        <v>978</v>
      </c>
      <c r="D133" s="5" t="s">
        <v>136</v>
      </c>
      <c r="E133" s="7" t="s">
        <v>105</v>
      </c>
      <c r="F133" s="8" t="s">
        <v>97</v>
      </c>
      <c r="G133" s="4" t="s">
        <v>106</v>
      </c>
      <c r="H133" s="9" t="s">
        <v>107</v>
      </c>
      <c r="I133" s="5" t="s">
        <v>2269</v>
      </c>
      <c r="J133" s="5" t="s">
        <v>109</v>
      </c>
      <c r="K133" s="6">
        <f t="shared" si="3"/>
        <v>0</v>
      </c>
    </row>
    <row r="134" spans="1:11" ht="15" customHeight="1">
      <c r="A134" s="4">
        <v>126</v>
      </c>
      <c r="B134" s="5" t="s">
        <v>133</v>
      </c>
      <c r="C134" s="5" t="s">
        <v>978</v>
      </c>
      <c r="D134" s="5" t="s">
        <v>2275</v>
      </c>
      <c r="E134" s="7" t="s">
        <v>105</v>
      </c>
      <c r="F134" s="8" t="s">
        <v>97</v>
      </c>
      <c r="G134" s="4" t="s">
        <v>106</v>
      </c>
      <c r="H134" s="9" t="s">
        <v>107</v>
      </c>
      <c r="I134" s="5" t="s">
        <v>2269</v>
      </c>
      <c r="J134" s="5" t="s">
        <v>109</v>
      </c>
      <c r="K134" s="6">
        <f t="shared" si="3"/>
        <v>0</v>
      </c>
    </row>
    <row r="135" spans="1:11" ht="15" customHeight="1">
      <c r="A135" s="4">
        <v>127</v>
      </c>
      <c r="B135" s="5" t="s">
        <v>133</v>
      </c>
      <c r="C135" s="5" t="s">
        <v>978</v>
      </c>
      <c r="D135" s="5" t="s">
        <v>2276</v>
      </c>
      <c r="E135" s="7" t="s">
        <v>105</v>
      </c>
      <c r="F135" s="8" t="s">
        <v>97</v>
      </c>
      <c r="G135" s="4" t="s">
        <v>106</v>
      </c>
      <c r="H135" s="9" t="s">
        <v>107</v>
      </c>
      <c r="I135" s="5" t="s">
        <v>2269</v>
      </c>
      <c r="J135" s="5" t="s">
        <v>109</v>
      </c>
      <c r="K135" s="6">
        <f t="shared" si="3"/>
        <v>0</v>
      </c>
    </row>
    <row r="136" spans="1:11" ht="15" customHeight="1">
      <c r="A136" s="4">
        <v>128</v>
      </c>
      <c r="B136" s="5" t="s">
        <v>133</v>
      </c>
      <c r="C136" s="5" t="s">
        <v>978</v>
      </c>
      <c r="D136" s="5" t="s">
        <v>2260</v>
      </c>
      <c r="E136" s="7" t="s">
        <v>105</v>
      </c>
      <c r="F136" s="8" t="s">
        <v>97</v>
      </c>
      <c r="G136" s="4" t="s">
        <v>106</v>
      </c>
      <c r="H136" s="9" t="s">
        <v>107</v>
      </c>
      <c r="I136" s="5" t="s">
        <v>2269</v>
      </c>
      <c r="J136" s="5" t="s">
        <v>109</v>
      </c>
      <c r="K136" s="6">
        <f t="shared" si="3"/>
        <v>0</v>
      </c>
    </row>
    <row r="137" spans="1:11" ht="15" customHeight="1">
      <c r="A137" s="4">
        <v>129</v>
      </c>
      <c r="B137" s="5" t="s">
        <v>133</v>
      </c>
      <c r="C137" s="5" t="s">
        <v>978</v>
      </c>
      <c r="D137" s="5" t="s">
        <v>980</v>
      </c>
      <c r="E137" s="7" t="s">
        <v>105</v>
      </c>
      <c r="F137" s="8" t="s">
        <v>97</v>
      </c>
      <c r="G137" s="4" t="s">
        <v>106</v>
      </c>
      <c r="H137" s="9" t="s">
        <v>107</v>
      </c>
      <c r="I137" s="5" t="s">
        <v>2269</v>
      </c>
      <c r="J137" s="5" t="s">
        <v>109</v>
      </c>
      <c r="K137" s="6">
        <f t="shared" ref="K137:K168" si="4">IF(AND(E137="yes",F137="yes",H137="covered"),1,IF(H137="partial",0.5,0))</f>
        <v>0</v>
      </c>
    </row>
    <row r="138" spans="1:11" ht="15" customHeight="1">
      <c r="A138" s="4">
        <v>130</v>
      </c>
      <c r="B138" s="5" t="s">
        <v>135</v>
      </c>
      <c r="C138" s="5" t="s">
        <v>978</v>
      </c>
      <c r="D138" s="5" t="s">
        <v>140</v>
      </c>
      <c r="E138" s="7" t="s">
        <v>105</v>
      </c>
      <c r="F138" s="8" t="s">
        <v>97</v>
      </c>
      <c r="G138" s="4" t="s">
        <v>106</v>
      </c>
      <c r="H138" s="9" t="s">
        <v>107</v>
      </c>
      <c r="I138" s="5" t="s">
        <v>2269</v>
      </c>
      <c r="J138" s="5" t="s">
        <v>109</v>
      </c>
      <c r="K138" s="6">
        <f t="shared" si="4"/>
        <v>0</v>
      </c>
    </row>
    <row r="139" spans="1:11" ht="15" customHeight="1">
      <c r="A139" s="4">
        <v>131</v>
      </c>
      <c r="B139" s="5" t="s">
        <v>120</v>
      </c>
      <c r="C139" s="5" t="s">
        <v>2277</v>
      </c>
      <c r="D139" s="5" t="s">
        <v>122</v>
      </c>
      <c r="E139" s="7" t="s">
        <v>105</v>
      </c>
      <c r="F139" s="8" t="s">
        <v>97</v>
      </c>
      <c r="G139" s="4" t="s">
        <v>106</v>
      </c>
      <c r="H139" s="9" t="s">
        <v>107</v>
      </c>
      <c r="I139" s="5" t="s">
        <v>2269</v>
      </c>
      <c r="J139" s="5" t="s">
        <v>109</v>
      </c>
      <c r="K139" s="6">
        <f t="shared" si="4"/>
        <v>0</v>
      </c>
    </row>
    <row r="140" spans="1:11" ht="15" customHeight="1">
      <c r="A140" s="4">
        <v>132</v>
      </c>
      <c r="B140" s="5" t="s">
        <v>120</v>
      </c>
      <c r="C140" s="5" t="s">
        <v>2277</v>
      </c>
      <c r="D140" s="5" t="s">
        <v>123</v>
      </c>
      <c r="E140" s="7" t="s">
        <v>105</v>
      </c>
      <c r="F140" s="8" t="s">
        <v>97</v>
      </c>
      <c r="G140" s="4" t="s">
        <v>106</v>
      </c>
      <c r="H140" s="9" t="s">
        <v>107</v>
      </c>
      <c r="I140" s="5" t="s">
        <v>2269</v>
      </c>
      <c r="J140" s="5" t="s">
        <v>109</v>
      </c>
      <c r="K140" s="6">
        <f t="shared" si="4"/>
        <v>0</v>
      </c>
    </row>
    <row r="141" spans="1:11" ht="30" customHeight="1">
      <c r="A141" s="4">
        <v>133</v>
      </c>
      <c r="B141" s="5" t="s">
        <v>124</v>
      </c>
      <c r="C141" s="5" t="s">
        <v>2277</v>
      </c>
      <c r="D141" s="5" t="s">
        <v>125</v>
      </c>
      <c r="E141" s="7" t="s">
        <v>105</v>
      </c>
      <c r="F141" s="8" t="s">
        <v>97</v>
      </c>
      <c r="G141" s="4" t="s">
        <v>106</v>
      </c>
      <c r="H141" s="9" t="s">
        <v>107</v>
      </c>
      <c r="I141" s="5" t="s">
        <v>2269</v>
      </c>
      <c r="J141" s="5" t="s">
        <v>109</v>
      </c>
      <c r="K141" s="6">
        <f t="shared" si="4"/>
        <v>0</v>
      </c>
    </row>
    <row r="142" spans="1:11" ht="15" customHeight="1">
      <c r="A142" s="4">
        <v>134</v>
      </c>
      <c r="B142" s="5" t="s">
        <v>124</v>
      </c>
      <c r="C142" s="5" t="s">
        <v>2277</v>
      </c>
      <c r="D142" s="5" t="s">
        <v>126</v>
      </c>
      <c r="E142" s="7" t="s">
        <v>105</v>
      </c>
      <c r="F142" s="8" t="s">
        <v>97</v>
      </c>
      <c r="G142" s="4" t="s">
        <v>106</v>
      </c>
      <c r="H142" s="9" t="s">
        <v>107</v>
      </c>
      <c r="I142" s="5" t="s">
        <v>2269</v>
      </c>
      <c r="J142" s="5" t="s">
        <v>109</v>
      </c>
      <c r="K142" s="6">
        <f t="shared" si="4"/>
        <v>0</v>
      </c>
    </row>
    <row r="143" spans="1:11" ht="15" customHeight="1">
      <c r="A143" s="4">
        <v>135</v>
      </c>
      <c r="B143" s="5" t="s">
        <v>95</v>
      </c>
      <c r="C143" s="5" t="s">
        <v>2277</v>
      </c>
      <c r="D143" s="5" t="s">
        <v>127</v>
      </c>
      <c r="E143" s="7" t="s">
        <v>105</v>
      </c>
      <c r="F143" s="8" t="s">
        <v>97</v>
      </c>
      <c r="G143" s="4" t="s">
        <v>106</v>
      </c>
      <c r="H143" s="9" t="s">
        <v>107</v>
      </c>
      <c r="I143" s="5" t="s">
        <v>2269</v>
      </c>
      <c r="J143" s="5" t="s">
        <v>109</v>
      </c>
      <c r="K143" s="6">
        <f t="shared" si="4"/>
        <v>0</v>
      </c>
    </row>
    <row r="144" spans="1:11" ht="15" customHeight="1">
      <c r="A144" s="4">
        <v>136</v>
      </c>
      <c r="B144" s="5" t="s">
        <v>128</v>
      </c>
      <c r="C144" s="5" t="s">
        <v>2277</v>
      </c>
      <c r="D144" s="5" t="s">
        <v>129</v>
      </c>
      <c r="E144" s="7" t="s">
        <v>105</v>
      </c>
      <c r="F144" s="8" t="s">
        <v>97</v>
      </c>
      <c r="G144" s="4" t="s">
        <v>106</v>
      </c>
      <c r="H144" s="9" t="s">
        <v>107</v>
      </c>
      <c r="I144" s="5" t="s">
        <v>2269</v>
      </c>
      <c r="J144" s="5" t="s">
        <v>109</v>
      </c>
      <c r="K144" s="6">
        <f t="shared" si="4"/>
        <v>0</v>
      </c>
    </row>
    <row r="145" spans="1:11" ht="15" customHeight="1">
      <c r="A145" s="4">
        <v>137</v>
      </c>
      <c r="B145" s="5" t="s">
        <v>153</v>
      </c>
      <c r="C145" s="5" t="s">
        <v>154</v>
      </c>
      <c r="D145" s="5" t="s">
        <v>724</v>
      </c>
      <c r="E145" s="7" t="s">
        <v>105</v>
      </c>
      <c r="F145" s="8" t="s">
        <v>97</v>
      </c>
      <c r="G145" s="4" t="s">
        <v>106</v>
      </c>
      <c r="H145" s="9" t="s">
        <v>107</v>
      </c>
      <c r="I145" s="5" t="s">
        <v>2269</v>
      </c>
      <c r="J145" s="5" t="s">
        <v>109</v>
      </c>
      <c r="K145" s="6">
        <f t="shared" si="4"/>
        <v>0</v>
      </c>
    </row>
    <row r="146" spans="1:11" ht="15" customHeight="1">
      <c r="A146" s="4">
        <v>138</v>
      </c>
      <c r="B146" s="5" t="s">
        <v>153</v>
      </c>
      <c r="C146" s="5" t="s">
        <v>154</v>
      </c>
      <c r="D146" s="5" t="s">
        <v>981</v>
      </c>
      <c r="E146" s="7" t="s">
        <v>105</v>
      </c>
      <c r="F146" s="8" t="s">
        <v>97</v>
      </c>
      <c r="G146" s="4" t="s">
        <v>106</v>
      </c>
      <c r="H146" s="9" t="s">
        <v>107</v>
      </c>
      <c r="I146" s="5" t="s">
        <v>2269</v>
      </c>
      <c r="J146" s="5" t="s">
        <v>109</v>
      </c>
      <c r="K146" s="6">
        <f t="shared" si="4"/>
        <v>0</v>
      </c>
    </row>
    <row r="147" spans="1:11" ht="15" customHeight="1">
      <c r="A147" s="4">
        <v>139</v>
      </c>
      <c r="B147" s="5" t="s">
        <v>153</v>
      </c>
      <c r="C147" s="5" t="s">
        <v>154</v>
      </c>
      <c r="D147" s="5" t="s">
        <v>982</v>
      </c>
      <c r="E147" s="7" t="s">
        <v>105</v>
      </c>
      <c r="F147" s="8" t="s">
        <v>97</v>
      </c>
      <c r="G147" s="4" t="s">
        <v>106</v>
      </c>
      <c r="H147" s="9" t="s">
        <v>107</v>
      </c>
      <c r="I147" s="5" t="s">
        <v>2269</v>
      </c>
      <c r="J147" s="5" t="s">
        <v>109</v>
      </c>
      <c r="K147" s="6">
        <f t="shared" si="4"/>
        <v>0</v>
      </c>
    </row>
    <row r="148" spans="1:11" ht="15" customHeight="1">
      <c r="A148" s="4">
        <v>140</v>
      </c>
      <c r="B148" s="5" t="s">
        <v>153</v>
      </c>
      <c r="C148" s="5" t="s">
        <v>154</v>
      </c>
      <c r="D148" s="5" t="s">
        <v>156</v>
      </c>
      <c r="E148" s="7" t="s">
        <v>105</v>
      </c>
      <c r="F148" s="8" t="s">
        <v>97</v>
      </c>
      <c r="G148" s="4" t="s">
        <v>106</v>
      </c>
      <c r="H148" s="9" t="s">
        <v>107</v>
      </c>
      <c r="I148" s="5" t="s">
        <v>2269</v>
      </c>
      <c r="J148" s="5" t="s">
        <v>109</v>
      </c>
      <c r="K148" s="6">
        <f t="shared" si="4"/>
        <v>0</v>
      </c>
    </row>
    <row r="149" spans="1:11" ht="15" customHeight="1">
      <c r="A149" s="4">
        <v>141</v>
      </c>
      <c r="B149" s="5" t="s">
        <v>153</v>
      </c>
      <c r="C149" s="5" t="s">
        <v>154</v>
      </c>
      <c r="D149" s="5" t="s">
        <v>157</v>
      </c>
      <c r="E149" s="7" t="s">
        <v>105</v>
      </c>
      <c r="F149" s="8" t="s">
        <v>97</v>
      </c>
      <c r="G149" s="4" t="s">
        <v>106</v>
      </c>
      <c r="H149" s="9" t="s">
        <v>107</v>
      </c>
      <c r="I149" s="5" t="s">
        <v>2269</v>
      </c>
      <c r="J149" s="5" t="s">
        <v>109</v>
      </c>
      <c r="K149" s="6">
        <f t="shared" si="4"/>
        <v>0</v>
      </c>
    </row>
    <row r="150" spans="1:11" ht="15" customHeight="1">
      <c r="A150" s="4">
        <v>142</v>
      </c>
      <c r="B150" s="5" t="s">
        <v>153</v>
      </c>
      <c r="C150" s="5" t="s">
        <v>154</v>
      </c>
      <c r="D150" s="5" t="s">
        <v>562</v>
      </c>
      <c r="E150" s="7" t="s">
        <v>105</v>
      </c>
      <c r="F150" s="8" t="s">
        <v>97</v>
      </c>
      <c r="G150" s="4" t="s">
        <v>106</v>
      </c>
      <c r="H150" s="9" t="s">
        <v>107</v>
      </c>
      <c r="I150" s="5" t="s">
        <v>2269</v>
      </c>
      <c r="J150" s="5" t="s">
        <v>109</v>
      </c>
      <c r="K150" s="6">
        <f t="shared" si="4"/>
        <v>0</v>
      </c>
    </row>
    <row r="151" spans="1:11" ht="15" customHeight="1">
      <c r="A151" s="4">
        <v>143</v>
      </c>
      <c r="B151" s="5" t="s">
        <v>153</v>
      </c>
      <c r="C151" s="5" t="s">
        <v>154</v>
      </c>
      <c r="D151" s="5" t="s">
        <v>2261</v>
      </c>
      <c r="E151" s="7" t="s">
        <v>105</v>
      </c>
      <c r="F151" s="8" t="s">
        <v>97</v>
      </c>
      <c r="G151" s="4" t="s">
        <v>106</v>
      </c>
      <c r="H151" s="9" t="s">
        <v>107</v>
      </c>
      <c r="I151" s="5" t="s">
        <v>2269</v>
      </c>
      <c r="J151" s="5" t="s">
        <v>109</v>
      </c>
      <c r="K151" s="6">
        <f t="shared" si="4"/>
        <v>0</v>
      </c>
    </row>
    <row r="152" spans="1:11" ht="15" customHeight="1">
      <c r="A152" s="4">
        <v>144</v>
      </c>
      <c r="B152" s="5" t="s">
        <v>153</v>
      </c>
      <c r="C152" s="5" t="s">
        <v>154</v>
      </c>
      <c r="D152" s="5" t="s">
        <v>983</v>
      </c>
      <c r="E152" s="7" t="s">
        <v>105</v>
      </c>
      <c r="F152" s="8" t="s">
        <v>97</v>
      </c>
      <c r="G152" s="4" t="s">
        <v>106</v>
      </c>
      <c r="H152" s="9" t="s">
        <v>107</v>
      </c>
      <c r="I152" s="5" t="s">
        <v>2269</v>
      </c>
      <c r="J152" s="5" t="s">
        <v>109</v>
      </c>
      <c r="K152" s="6">
        <f t="shared" si="4"/>
        <v>0</v>
      </c>
    </row>
    <row r="153" spans="1:11" ht="15" customHeight="1">
      <c r="A153" s="4">
        <v>145</v>
      </c>
      <c r="B153" s="5" t="s">
        <v>153</v>
      </c>
      <c r="C153" s="5" t="s">
        <v>154</v>
      </c>
      <c r="D153" s="5" t="s">
        <v>622</v>
      </c>
      <c r="E153" s="7" t="s">
        <v>105</v>
      </c>
      <c r="F153" s="8" t="s">
        <v>97</v>
      </c>
      <c r="G153" s="4" t="s">
        <v>106</v>
      </c>
      <c r="H153" s="9" t="s">
        <v>107</v>
      </c>
      <c r="I153" s="5" t="s">
        <v>2269</v>
      </c>
      <c r="J153" s="5" t="s">
        <v>109</v>
      </c>
      <c r="K153" s="6">
        <f t="shared" si="4"/>
        <v>0</v>
      </c>
    </row>
    <row r="154" spans="1:11" ht="15" customHeight="1">
      <c r="A154" s="4">
        <v>146</v>
      </c>
      <c r="B154" s="5" t="s">
        <v>153</v>
      </c>
      <c r="C154" s="5" t="s">
        <v>154</v>
      </c>
      <c r="D154" s="5" t="s">
        <v>984</v>
      </c>
      <c r="E154" s="7" t="s">
        <v>105</v>
      </c>
      <c r="F154" s="8" t="s">
        <v>97</v>
      </c>
      <c r="G154" s="4" t="s">
        <v>106</v>
      </c>
      <c r="H154" s="9" t="s">
        <v>107</v>
      </c>
      <c r="I154" s="5" t="s">
        <v>2269</v>
      </c>
      <c r="J154" s="5" t="s">
        <v>109</v>
      </c>
      <c r="K154" s="6">
        <f t="shared" si="4"/>
        <v>0</v>
      </c>
    </row>
    <row r="155" spans="1:11" ht="15" customHeight="1">
      <c r="A155" s="4">
        <v>147</v>
      </c>
      <c r="B155" s="5" t="s">
        <v>153</v>
      </c>
      <c r="C155" s="5" t="s">
        <v>154</v>
      </c>
      <c r="D155" s="5" t="s">
        <v>985</v>
      </c>
      <c r="E155" s="7" t="s">
        <v>105</v>
      </c>
      <c r="F155" s="8" t="s">
        <v>97</v>
      </c>
      <c r="G155" s="4" t="s">
        <v>106</v>
      </c>
      <c r="H155" s="9" t="s">
        <v>107</v>
      </c>
      <c r="I155" s="5" t="s">
        <v>2269</v>
      </c>
      <c r="J155" s="5" t="s">
        <v>109</v>
      </c>
      <c r="K155" s="6">
        <f t="shared" si="4"/>
        <v>0</v>
      </c>
    </row>
    <row r="156" spans="1:11" ht="15" customHeight="1">
      <c r="A156" s="4">
        <v>148</v>
      </c>
      <c r="B156" s="5" t="s">
        <v>153</v>
      </c>
      <c r="C156" s="5" t="s">
        <v>154</v>
      </c>
      <c r="D156" s="5" t="s">
        <v>727</v>
      </c>
      <c r="E156" s="7" t="s">
        <v>105</v>
      </c>
      <c r="F156" s="8" t="s">
        <v>97</v>
      </c>
      <c r="G156" s="4" t="s">
        <v>106</v>
      </c>
      <c r="H156" s="9" t="s">
        <v>107</v>
      </c>
      <c r="I156" s="5" t="s">
        <v>2269</v>
      </c>
      <c r="J156" s="5" t="s">
        <v>109</v>
      </c>
      <c r="K156" s="6">
        <f t="shared" si="4"/>
        <v>0</v>
      </c>
    </row>
    <row r="157" spans="1:11" ht="15" customHeight="1">
      <c r="A157" s="4">
        <v>149</v>
      </c>
      <c r="B157" s="5" t="s">
        <v>153</v>
      </c>
      <c r="C157" s="5" t="s">
        <v>154</v>
      </c>
      <c r="D157" s="5" t="s">
        <v>986</v>
      </c>
      <c r="E157" s="7" t="s">
        <v>105</v>
      </c>
      <c r="F157" s="8" t="s">
        <v>97</v>
      </c>
      <c r="G157" s="4" t="s">
        <v>106</v>
      </c>
      <c r="H157" s="9" t="s">
        <v>107</v>
      </c>
      <c r="I157" s="5" t="s">
        <v>2269</v>
      </c>
      <c r="J157" s="5" t="s">
        <v>109</v>
      </c>
      <c r="K157" s="6">
        <f t="shared" si="4"/>
        <v>0</v>
      </c>
    </row>
    <row r="158" spans="1:11" ht="15" customHeight="1">
      <c r="A158" s="4">
        <v>150</v>
      </c>
      <c r="B158" s="5" t="s">
        <v>159</v>
      </c>
      <c r="C158" s="5" t="s">
        <v>154</v>
      </c>
      <c r="D158" s="5" t="s">
        <v>549</v>
      </c>
      <c r="E158" s="7" t="s">
        <v>105</v>
      </c>
      <c r="F158" s="8" t="s">
        <v>97</v>
      </c>
      <c r="G158" s="4" t="s">
        <v>106</v>
      </c>
      <c r="H158" s="9" t="s">
        <v>107</v>
      </c>
      <c r="I158" s="5" t="s">
        <v>2269</v>
      </c>
      <c r="J158" s="5" t="s">
        <v>109</v>
      </c>
      <c r="K158" s="6">
        <f t="shared" si="4"/>
        <v>0</v>
      </c>
    </row>
    <row r="159" spans="1:11" ht="15" customHeight="1">
      <c r="A159" s="4">
        <v>151</v>
      </c>
      <c r="B159" s="5" t="s">
        <v>159</v>
      </c>
      <c r="C159" s="5" t="s">
        <v>154</v>
      </c>
      <c r="D159" s="5" t="s">
        <v>987</v>
      </c>
      <c r="E159" s="7" t="s">
        <v>105</v>
      </c>
      <c r="F159" s="8" t="s">
        <v>97</v>
      </c>
      <c r="G159" s="4" t="s">
        <v>106</v>
      </c>
      <c r="H159" s="9" t="s">
        <v>107</v>
      </c>
      <c r="I159" s="5" t="s">
        <v>2269</v>
      </c>
      <c r="J159" s="5" t="s">
        <v>109</v>
      </c>
      <c r="K159" s="6">
        <f t="shared" si="4"/>
        <v>0</v>
      </c>
    </row>
    <row r="160" spans="1:11" ht="15" customHeight="1">
      <c r="A160" s="4">
        <v>152</v>
      </c>
      <c r="B160" s="5" t="s">
        <v>159</v>
      </c>
      <c r="C160" s="5" t="s">
        <v>154</v>
      </c>
      <c r="D160" s="5" t="s">
        <v>988</v>
      </c>
      <c r="E160" s="7" t="s">
        <v>105</v>
      </c>
      <c r="F160" s="8" t="s">
        <v>97</v>
      </c>
      <c r="G160" s="4" t="s">
        <v>106</v>
      </c>
      <c r="H160" s="9" t="s">
        <v>107</v>
      </c>
      <c r="I160" s="5" t="s">
        <v>2269</v>
      </c>
      <c r="J160" s="5" t="s">
        <v>109</v>
      </c>
      <c r="K160" s="6">
        <f t="shared" si="4"/>
        <v>0</v>
      </c>
    </row>
    <row r="161" spans="1:11" ht="15" customHeight="1">
      <c r="A161" s="4">
        <v>153</v>
      </c>
      <c r="B161" s="5" t="s">
        <v>159</v>
      </c>
      <c r="C161" s="5" t="s">
        <v>154</v>
      </c>
      <c r="D161" s="5" t="s">
        <v>160</v>
      </c>
      <c r="E161" s="7" t="s">
        <v>105</v>
      </c>
      <c r="F161" s="8" t="s">
        <v>97</v>
      </c>
      <c r="G161" s="4" t="s">
        <v>106</v>
      </c>
      <c r="H161" s="9" t="s">
        <v>107</v>
      </c>
      <c r="I161" s="5" t="s">
        <v>2269</v>
      </c>
      <c r="J161" s="5" t="s">
        <v>109</v>
      </c>
      <c r="K161" s="6">
        <f t="shared" si="4"/>
        <v>0</v>
      </c>
    </row>
    <row r="162" spans="1:11" ht="15" customHeight="1">
      <c r="A162" s="4">
        <v>154</v>
      </c>
      <c r="B162" s="5" t="s">
        <v>159</v>
      </c>
      <c r="C162" s="5" t="s">
        <v>154</v>
      </c>
      <c r="D162" s="5" t="s">
        <v>2262</v>
      </c>
      <c r="E162" s="7" t="s">
        <v>105</v>
      </c>
      <c r="F162" s="8" t="s">
        <v>97</v>
      </c>
      <c r="G162" s="4" t="s">
        <v>106</v>
      </c>
      <c r="H162" s="9" t="s">
        <v>107</v>
      </c>
      <c r="I162" s="5" t="s">
        <v>2269</v>
      </c>
      <c r="J162" s="5" t="s">
        <v>109</v>
      </c>
      <c r="K162" s="6">
        <f t="shared" si="4"/>
        <v>0</v>
      </c>
    </row>
    <row r="163" spans="1:11" ht="15" customHeight="1">
      <c r="A163" s="4">
        <v>155</v>
      </c>
      <c r="B163" s="5" t="s">
        <v>159</v>
      </c>
      <c r="C163" s="5" t="s">
        <v>154</v>
      </c>
      <c r="D163" s="5" t="s">
        <v>2133</v>
      </c>
      <c r="E163" s="7" t="s">
        <v>105</v>
      </c>
      <c r="F163" s="8" t="s">
        <v>97</v>
      </c>
      <c r="G163" s="4" t="s">
        <v>106</v>
      </c>
      <c r="H163" s="9" t="s">
        <v>107</v>
      </c>
      <c r="I163" s="5" t="s">
        <v>2269</v>
      </c>
      <c r="J163" s="5" t="s">
        <v>109</v>
      </c>
      <c r="K163" s="6">
        <f t="shared" si="4"/>
        <v>0</v>
      </c>
    </row>
    <row r="164" spans="1:11" ht="15" customHeight="1">
      <c r="A164" s="4">
        <v>156</v>
      </c>
      <c r="B164" s="5" t="s">
        <v>159</v>
      </c>
      <c r="C164" s="5" t="s">
        <v>154</v>
      </c>
      <c r="D164" s="5" t="s">
        <v>989</v>
      </c>
      <c r="E164" s="7" t="s">
        <v>105</v>
      </c>
      <c r="F164" s="8" t="s">
        <v>97</v>
      </c>
      <c r="G164" s="4" t="s">
        <v>106</v>
      </c>
      <c r="H164" s="9" t="s">
        <v>107</v>
      </c>
      <c r="I164" s="5" t="s">
        <v>2269</v>
      </c>
      <c r="J164" s="5" t="s">
        <v>109</v>
      </c>
      <c r="K164" s="6">
        <f t="shared" si="4"/>
        <v>0</v>
      </c>
    </row>
    <row r="165" spans="1:11" ht="15" customHeight="1">
      <c r="A165" s="4">
        <v>157</v>
      </c>
      <c r="B165" s="5" t="s">
        <v>159</v>
      </c>
      <c r="C165" s="5" t="s">
        <v>154</v>
      </c>
      <c r="D165" s="5" t="s">
        <v>728</v>
      </c>
      <c r="E165" s="7" t="s">
        <v>105</v>
      </c>
      <c r="F165" s="8" t="s">
        <v>97</v>
      </c>
      <c r="G165" s="4" t="s">
        <v>106</v>
      </c>
      <c r="H165" s="9" t="s">
        <v>107</v>
      </c>
      <c r="I165" s="5" t="s">
        <v>2269</v>
      </c>
      <c r="J165" s="5" t="s">
        <v>109</v>
      </c>
      <c r="K165" s="6">
        <f t="shared" si="4"/>
        <v>0</v>
      </c>
    </row>
    <row r="166" spans="1:11" ht="15" customHeight="1">
      <c r="A166" s="4">
        <v>158</v>
      </c>
      <c r="B166" s="5" t="s">
        <v>159</v>
      </c>
      <c r="C166" s="5" t="s">
        <v>154</v>
      </c>
      <c r="D166" s="5" t="s">
        <v>2263</v>
      </c>
      <c r="E166" s="7" t="s">
        <v>105</v>
      </c>
      <c r="F166" s="8" t="s">
        <v>97</v>
      </c>
      <c r="G166" s="4" t="s">
        <v>106</v>
      </c>
      <c r="H166" s="9" t="s">
        <v>107</v>
      </c>
      <c r="I166" s="5" t="s">
        <v>2269</v>
      </c>
      <c r="J166" s="5" t="s">
        <v>109</v>
      </c>
      <c r="K166" s="6">
        <f t="shared" si="4"/>
        <v>0</v>
      </c>
    </row>
    <row r="167" spans="1:11" ht="15" customHeight="1">
      <c r="A167" s="4">
        <v>159</v>
      </c>
      <c r="B167" s="5" t="s">
        <v>159</v>
      </c>
      <c r="C167" s="5" t="s">
        <v>154</v>
      </c>
      <c r="D167" s="5" t="s">
        <v>2278</v>
      </c>
      <c r="E167" s="7" t="s">
        <v>105</v>
      </c>
      <c r="F167" s="8" t="s">
        <v>97</v>
      </c>
      <c r="G167" s="4" t="s">
        <v>106</v>
      </c>
      <c r="H167" s="9" t="s">
        <v>107</v>
      </c>
      <c r="I167" s="5" t="s">
        <v>2269</v>
      </c>
      <c r="J167" s="5" t="s">
        <v>109</v>
      </c>
      <c r="K167" s="6">
        <f t="shared" si="4"/>
        <v>0</v>
      </c>
    </row>
    <row r="168" spans="1:11" ht="15" customHeight="1">
      <c r="A168" s="4">
        <v>160</v>
      </c>
      <c r="B168" s="5" t="s">
        <v>159</v>
      </c>
      <c r="C168" s="5" t="s">
        <v>154</v>
      </c>
      <c r="D168" s="5" t="s">
        <v>625</v>
      </c>
      <c r="E168" s="7" t="s">
        <v>105</v>
      </c>
      <c r="F168" s="8" t="s">
        <v>97</v>
      </c>
      <c r="G168" s="4" t="s">
        <v>106</v>
      </c>
      <c r="H168" s="9" t="s">
        <v>107</v>
      </c>
      <c r="I168" s="5" t="s">
        <v>2269</v>
      </c>
      <c r="J168" s="5" t="s">
        <v>109</v>
      </c>
      <c r="K168" s="6">
        <f t="shared" si="4"/>
        <v>0</v>
      </c>
    </row>
    <row r="169" spans="1:11" ht="15" customHeight="1">
      <c r="A169" s="4">
        <v>161</v>
      </c>
      <c r="B169" s="5" t="s">
        <v>159</v>
      </c>
      <c r="C169" s="5" t="s">
        <v>154</v>
      </c>
      <c r="D169" s="5" t="s">
        <v>999</v>
      </c>
      <c r="E169" s="7" t="s">
        <v>105</v>
      </c>
      <c r="F169" s="8" t="s">
        <v>97</v>
      </c>
      <c r="G169" s="4" t="s">
        <v>106</v>
      </c>
      <c r="H169" s="9" t="s">
        <v>107</v>
      </c>
      <c r="I169" s="5" t="s">
        <v>2269</v>
      </c>
      <c r="J169" s="5" t="s">
        <v>109</v>
      </c>
      <c r="K169" s="6">
        <f t="shared" ref="K169:K194" si="5">IF(AND(E169="yes",F169="yes",H169="covered"),1,IF(H169="partial",0.5,0))</f>
        <v>0</v>
      </c>
    </row>
    <row r="170" spans="1:11" ht="15" customHeight="1">
      <c r="A170" s="4">
        <v>162</v>
      </c>
      <c r="B170" s="5" t="s">
        <v>159</v>
      </c>
      <c r="C170" s="5" t="s">
        <v>154</v>
      </c>
      <c r="D170" s="5" t="s">
        <v>1000</v>
      </c>
      <c r="E170" s="7" t="s">
        <v>105</v>
      </c>
      <c r="F170" s="8" t="s">
        <v>97</v>
      </c>
      <c r="G170" s="4" t="s">
        <v>106</v>
      </c>
      <c r="H170" s="9" t="s">
        <v>107</v>
      </c>
      <c r="I170" s="5" t="s">
        <v>2269</v>
      </c>
      <c r="J170" s="5" t="s">
        <v>109</v>
      </c>
      <c r="K170" s="6">
        <f t="shared" si="5"/>
        <v>0</v>
      </c>
    </row>
    <row r="171" spans="1:11" ht="15" customHeight="1">
      <c r="A171" s="4">
        <v>163</v>
      </c>
      <c r="B171" s="5" t="s">
        <v>159</v>
      </c>
      <c r="C171" s="5" t="s">
        <v>154</v>
      </c>
      <c r="D171" s="5" t="s">
        <v>2279</v>
      </c>
      <c r="E171" s="7" t="s">
        <v>105</v>
      </c>
      <c r="F171" s="8" t="s">
        <v>97</v>
      </c>
      <c r="G171" s="4" t="s">
        <v>106</v>
      </c>
      <c r="H171" s="9" t="s">
        <v>107</v>
      </c>
      <c r="I171" s="5" t="s">
        <v>2269</v>
      </c>
      <c r="J171" s="5" t="s">
        <v>109</v>
      </c>
      <c r="K171" s="6">
        <f t="shared" si="5"/>
        <v>0</v>
      </c>
    </row>
    <row r="172" spans="1:11" ht="15" customHeight="1">
      <c r="A172" s="4">
        <v>164</v>
      </c>
      <c r="B172" s="5" t="s">
        <v>159</v>
      </c>
      <c r="C172" s="5" t="s">
        <v>154</v>
      </c>
      <c r="D172" s="5" t="s">
        <v>1001</v>
      </c>
      <c r="E172" s="7" t="s">
        <v>105</v>
      </c>
      <c r="F172" s="8" t="s">
        <v>97</v>
      </c>
      <c r="G172" s="4" t="s">
        <v>106</v>
      </c>
      <c r="H172" s="9" t="s">
        <v>107</v>
      </c>
      <c r="I172" s="5" t="s">
        <v>2269</v>
      </c>
      <c r="J172" s="5" t="s">
        <v>109</v>
      </c>
      <c r="K172" s="6">
        <f t="shared" si="5"/>
        <v>0</v>
      </c>
    </row>
    <row r="173" spans="1:11" ht="15" customHeight="1">
      <c r="A173" s="4">
        <v>165</v>
      </c>
      <c r="B173" s="5" t="s">
        <v>159</v>
      </c>
      <c r="C173" s="5" t="s">
        <v>154</v>
      </c>
      <c r="D173" s="5" t="s">
        <v>2280</v>
      </c>
      <c r="E173" s="7" t="s">
        <v>105</v>
      </c>
      <c r="F173" s="8" t="s">
        <v>97</v>
      </c>
      <c r="G173" s="4" t="s">
        <v>106</v>
      </c>
      <c r="H173" s="9" t="s">
        <v>107</v>
      </c>
      <c r="I173" s="5" t="s">
        <v>2269</v>
      </c>
      <c r="J173" s="5" t="s">
        <v>109</v>
      </c>
      <c r="K173" s="6">
        <f t="shared" si="5"/>
        <v>0</v>
      </c>
    </row>
    <row r="174" spans="1:11" ht="15" customHeight="1">
      <c r="A174" s="4">
        <v>166</v>
      </c>
      <c r="B174" s="5" t="s">
        <v>159</v>
      </c>
      <c r="C174" s="5" t="s">
        <v>154</v>
      </c>
      <c r="D174" s="5" t="s">
        <v>1002</v>
      </c>
      <c r="E174" s="7" t="s">
        <v>105</v>
      </c>
      <c r="F174" s="8" t="s">
        <v>97</v>
      </c>
      <c r="G174" s="4" t="s">
        <v>106</v>
      </c>
      <c r="H174" s="9" t="s">
        <v>107</v>
      </c>
      <c r="I174" s="5" t="s">
        <v>2269</v>
      </c>
      <c r="J174" s="5" t="s">
        <v>109</v>
      </c>
      <c r="K174" s="6">
        <f t="shared" si="5"/>
        <v>0</v>
      </c>
    </row>
    <row r="175" spans="1:11" ht="15" customHeight="1">
      <c r="A175" s="4">
        <v>167</v>
      </c>
      <c r="B175" s="5" t="s">
        <v>159</v>
      </c>
      <c r="C175" s="5" t="s">
        <v>154</v>
      </c>
      <c r="D175" s="5" t="s">
        <v>162</v>
      </c>
      <c r="E175" s="7" t="s">
        <v>105</v>
      </c>
      <c r="F175" s="8" t="s">
        <v>97</v>
      </c>
      <c r="G175" s="4" t="s">
        <v>106</v>
      </c>
      <c r="H175" s="9" t="s">
        <v>107</v>
      </c>
      <c r="I175" s="5" t="s">
        <v>2269</v>
      </c>
      <c r="J175" s="5" t="s">
        <v>109</v>
      </c>
      <c r="K175" s="6">
        <f t="shared" si="5"/>
        <v>0</v>
      </c>
    </row>
    <row r="176" spans="1:11" ht="15" customHeight="1">
      <c r="A176" s="4">
        <v>168</v>
      </c>
      <c r="B176" s="5" t="s">
        <v>159</v>
      </c>
      <c r="C176" s="5" t="s">
        <v>154</v>
      </c>
      <c r="D176" s="5" t="s">
        <v>1003</v>
      </c>
      <c r="E176" s="7" t="s">
        <v>105</v>
      </c>
      <c r="F176" s="8" t="s">
        <v>97</v>
      </c>
      <c r="G176" s="4" t="s">
        <v>106</v>
      </c>
      <c r="H176" s="9" t="s">
        <v>107</v>
      </c>
      <c r="I176" s="5" t="s">
        <v>2269</v>
      </c>
      <c r="J176" s="5" t="s">
        <v>109</v>
      </c>
      <c r="K176" s="6">
        <f t="shared" si="5"/>
        <v>0</v>
      </c>
    </row>
    <row r="177" spans="1:11" ht="15" customHeight="1">
      <c r="A177" s="4">
        <v>169</v>
      </c>
      <c r="B177" s="5" t="s">
        <v>159</v>
      </c>
      <c r="C177" s="5" t="s">
        <v>154</v>
      </c>
      <c r="D177" s="5" t="s">
        <v>551</v>
      </c>
      <c r="E177" s="7" t="s">
        <v>105</v>
      </c>
      <c r="F177" s="8" t="s">
        <v>97</v>
      </c>
      <c r="G177" s="4" t="s">
        <v>106</v>
      </c>
      <c r="H177" s="9" t="s">
        <v>107</v>
      </c>
      <c r="I177" s="5" t="s">
        <v>2269</v>
      </c>
      <c r="J177" s="5" t="s">
        <v>109</v>
      </c>
      <c r="K177" s="6">
        <f t="shared" si="5"/>
        <v>0</v>
      </c>
    </row>
    <row r="178" spans="1:11" ht="30" customHeight="1">
      <c r="A178" s="4">
        <v>170</v>
      </c>
      <c r="B178" s="5" t="s">
        <v>130</v>
      </c>
      <c r="C178" s="5" t="s">
        <v>76</v>
      </c>
      <c r="D178" s="5" t="s">
        <v>164</v>
      </c>
      <c r="E178" s="7" t="s">
        <v>105</v>
      </c>
      <c r="F178" s="8" t="s">
        <v>97</v>
      </c>
      <c r="G178" s="4" t="s">
        <v>106</v>
      </c>
      <c r="H178" s="9" t="s">
        <v>107</v>
      </c>
      <c r="I178" s="5" t="s">
        <v>2269</v>
      </c>
      <c r="J178" s="5" t="s">
        <v>109</v>
      </c>
      <c r="K178" s="6">
        <f t="shared" si="5"/>
        <v>0</v>
      </c>
    </row>
    <row r="179" spans="1:11" ht="15" customHeight="1">
      <c r="A179" s="4">
        <v>171</v>
      </c>
      <c r="B179" s="5" t="s">
        <v>130</v>
      </c>
      <c r="C179" s="5" t="s">
        <v>76</v>
      </c>
      <c r="D179" s="5" t="s">
        <v>165</v>
      </c>
      <c r="E179" s="7" t="s">
        <v>105</v>
      </c>
      <c r="F179" s="8" t="s">
        <v>97</v>
      </c>
      <c r="G179" s="4" t="s">
        <v>106</v>
      </c>
      <c r="H179" s="9" t="s">
        <v>107</v>
      </c>
      <c r="I179" s="5" t="s">
        <v>2269</v>
      </c>
      <c r="J179" s="5" t="s">
        <v>109</v>
      </c>
      <c r="K179" s="6">
        <f t="shared" si="5"/>
        <v>0</v>
      </c>
    </row>
    <row r="180" spans="1:11" ht="15" customHeight="1">
      <c r="A180" s="4">
        <v>172</v>
      </c>
      <c r="B180" s="5" t="s">
        <v>130</v>
      </c>
      <c r="C180" s="5" t="s">
        <v>76</v>
      </c>
      <c r="D180" s="5" t="s">
        <v>166</v>
      </c>
      <c r="E180" s="7" t="s">
        <v>105</v>
      </c>
      <c r="F180" s="8" t="s">
        <v>97</v>
      </c>
      <c r="G180" s="4" t="s">
        <v>106</v>
      </c>
      <c r="H180" s="9" t="s">
        <v>107</v>
      </c>
      <c r="I180" s="5" t="s">
        <v>2269</v>
      </c>
      <c r="J180" s="5" t="s">
        <v>109</v>
      </c>
      <c r="K180" s="6">
        <f t="shared" si="5"/>
        <v>0</v>
      </c>
    </row>
    <row r="181" spans="1:11" ht="15" customHeight="1">
      <c r="A181" s="4">
        <v>173</v>
      </c>
      <c r="B181" s="5" t="s">
        <v>130</v>
      </c>
      <c r="C181" s="5" t="s">
        <v>76</v>
      </c>
      <c r="D181" s="5" t="s">
        <v>167</v>
      </c>
      <c r="E181" s="7" t="s">
        <v>105</v>
      </c>
      <c r="F181" s="8" t="s">
        <v>97</v>
      </c>
      <c r="G181" s="4" t="s">
        <v>106</v>
      </c>
      <c r="H181" s="9" t="s">
        <v>107</v>
      </c>
      <c r="I181" s="5" t="s">
        <v>2269</v>
      </c>
      <c r="J181" s="5" t="s">
        <v>109</v>
      </c>
      <c r="K181" s="6">
        <f t="shared" si="5"/>
        <v>0</v>
      </c>
    </row>
    <row r="182" spans="1:11" ht="15" customHeight="1">
      <c r="A182" s="4">
        <v>174</v>
      </c>
      <c r="B182" s="5" t="s">
        <v>130</v>
      </c>
      <c r="C182" s="5" t="s">
        <v>76</v>
      </c>
      <c r="D182" s="5" t="s">
        <v>168</v>
      </c>
      <c r="E182" s="7" t="s">
        <v>105</v>
      </c>
      <c r="F182" s="8" t="s">
        <v>97</v>
      </c>
      <c r="G182" s="4" t="s">
        <v>106</v>
      </c>
      <c r="H182" s="9" t="s">
        <v>107</v>
      </c>
      <c r="I182" s="5" t="s">
        <v>2269</v>
      </c>
      <c r="J182" s="5" t="s">
        <v>109</v>
      </c>
      <c r="K182" s="6">
        <f t="shared" si="5"/>
        <v>0</v>
      </c>
    </row>
    <row r="183" spans="1:11" ht="15" customHeight="1">
      <c r="A183" s="4">
        <v>175</v>
      </c>
      <c r="B183" s="5" t="s">
        <v>135</v>
      </c>
      <c r="C183" s="5" t="s">
        <v>121</v>
      </c>
      <c r="D183" s="5" t="s">
        <v>169</v>
      </c>
      <c r="E183" s="7" t="s">
        <v>105</v>
      </c>
      <c r="F183" s="8" t="s">
        <v>97</v>
      </c>
      <c r="G183" s="4" t="s">
        <v>106</v>
      </c>
      <c r="H183" s="9" t="s">
        <v>107</v>
      </c>
      <c r="I183" s="5" t="s">
        <v>2269</v>
      </c>
      <c r="J183" s="5" t="s">
        <v>109</v>
      </c>
      <c r="K183" s="6">
        <f t="shared" si="5"/>
        <v>0</v>
      </c>
    </row>
    <row r="184" spans="1:11" ht="15" customHeight="1">
      <c r="A184" s="4">
        <v>176</v>
      </c>
      <c r="B184" s="5" t="s">
        <v>135</v>
      </c>
      <c r="C184" s="5" t="s">
        <v>121</v>
      </c>
      <c r="D184" s="5" t="s">
        <v>170</v>
      </c>
      <c r="E184" s="7" t="s">
        <v>105</v>
      </c>
      <c r="F184" s="8" t="s">
        <v>97</v>
      </c>
      <c r="G184" s="4" t="s">
        <v>106</v>
      </c>
      <c r="H184" s="9" t="s">
        <v>107</v>
      </c>
      <c r="I184" s="5" t="s">
        <v>2269</v>
      </c>
      <c r="J184" s="5" t="s">
        <v>109</v>
      </c>
      <c r="K184" s="6">
        <f t="shared" si="5"/>
        <v>0</v>
      </c>
    </row>
    <row r="185" spans="1:11" ht="15" customHeight="1">
      <c r="A185" s="4">
        <v>177</v>
      </c>
      <c r="B185" s="5" t="s">
        <v>135</v>
      </c>
      <c r="C185" s="5" t="s">
        <v>121</v>
      </c>
      <c r="D185" s="5" t="s">
        <v>171</v>
      </c>
      <c r="E185" s="7" t="s">
        <v>105</v>
      </c>
      <c r="F185" s="8" t="s">
        <v>97</v>
      </c>
      <c r="G185" s="4" t="s">
        <v>106</v>
      </c>
      <c r="H185" s="9" t="s">
        <v>107</v>
      </c>
      <c r="I185" s="5" t="s">
        <v>2269</v>
      </c>
      <c r="J185" s="5" t="s">
        <v>109</v>
      </c>
      <c r="K185" s="6">
        <f t="shared" si="5"/>
        <v>0</v>
      </c>
    </row>
    <row r="186" spans="1:11" ht="15" customHeight="1">
      <c r="A186" s="4">
        <v>178</v>
      </c>
      <c r="B186" s="5" t="s">
        <v>179</v>
      </c>
      <c r="C186" s="5" t="s">
        <v>76</v>
      </c>
      <c r="D186" s="5" t="s">
        <v>182</v>
      </c>
      <c r="E186" s="7" t="s">
        <v>105</v>
      </c>
      <c r="F186" s="8" t="s">
        <v>97</v>
      </c>
      <c r="G186" s="4" t="s">
        <v>106</v>
      </c>
      <c r="H186" s="9" t="s">
        <v>107</v>
      </c>
      <c r="I186" s="5" t="s">
        <v>2269</v>
      </c>
      <c r="J186" s="5" t="s">
        <v>109</v>
      </c>
      <c r="K186" s="6">
        <f t="shared" si="5"/>
        <v>0</v>
      </c>
    </row>
    <row r="187" spans="1:11" ht="15" customHeight="1">
      <c r="A187" s="4">
        <v>179</v>
      </c>
      <c r="B187" s="5" t="s">
        <v>179</v>
      </c>
      <c r="C187" s="5" t="s">
        <v>76</v>
      </c>
      <c r="D187" s="5" t="s">
        <v>183</v>
      </c>
      <c r="E187" s="7" t="s">
        <v>105</v>
      </c>
      <c r="F187" s="8" t="s">
        <v>97</v>
      </c>
      <c r="G187" s="4" t="s">
        <v>106</v>
      </c>
      <c r="H187" s="9" t="s">
        <v>107</v>
      </c>
      <c r="I187" s="5" t="s">
        <v>2269</v>
      </c>
      <c r="J187" s="5" t="s">
        <v>109</v>
      </c>
      <c r="K187" s="6">
        <f t="shared" si="5"/>
        <v>0</v>
      </c>
    </row>
    <row r="188" spans="1:11" ht="15" customHeight="1">
      <c r="A188" s="4">
        <v>180</v>
      </c>
      <c r="B188" s="5" t="s">
        <v>179</v>
      </c>
      <c r="C188" s="5" t="s">
        <v>76</v>
      </c>
      <c r="D188" s="5" t="s">
        <v>184</v>
      </c>
      <c r="E188" s="7" t="s">
        <v>105</v>
      </c>
      <c r="F188" s="8" t="s">
        <v>97</v>
      </c>
      <c r="G188" s="4" t="s">
        <v>106</v>
      </c>
      <c r="H188" s="9" t="s">
        <v>107</v>
      </c>
      <c r="I188" s="5" t="s">
        <v>2269</v>
      </c>
      <c r="J188" s="5" t="s">
        <v>109</v>
      </c>
      <c r="K188" s="6">
        <f t="shared" si="5"/>
        <v>0</v>
      </c>
    </row>
    <row r="189" spans="1:11" ht="30" customHeight="1">
      <c r="A189" s="4">
        <v>181</v>
      </c>
      <c r="B189" s="5" t="s">
        <v>179</v>
      </c>
      <c r="C189" s="5" t="s">
        <v>76</v>
      </c>
      <c r="D189" s="5" t="s">
        <v>185</v>
      </c>
      <c r="E189" s="7" t="s">
        <v>105</v>
      </c>
      <c r="F189" s="8" t="s">
        <v>97</v>
      </c>
      <c r="G189" s="4" t="s">
        <v>106</v>
      </c>
      <c r="H189" s="9" t="s">
        <v>107</v>
      </c>
      <c r="I189" s="5" t="s">
        <v>2269</v>
      </c>
      <c r="J189" s="5" t="s">
        <v>109</v>
      </c>
      <c r="K189" s="6">
        <f t="shared" si="5"/>
        <v>0</v>
      </c>
    </row>
    <row r="190" spans="1:11" ht="15" customHeight="1">
      <c r="A190" s="4">
        <v>182</v>
      </c>
      <c r="B190" s="5" t="s">
        <v>177</v>
      </c>
      <c r="C190" s="5" t="s">
        <v>76</v>
      </c>
      <c r="D190" s="5" t="s">
        <v>186</v>
      </c>
      <c r="E190" s="7" t="s">
        <v>105</v>
      </c>
      <c r="F190" s="8" t="s">
        <v>97</v>
      </c>
      <c r="G190" s="4" t="s">
        <v>106</v>
      </c>
      <c r="H190" s="9" t="s">
        <v>107</v>
      </c>
      <c r="I190" s="5" t="s">
        <v>2269</v>
      </c>
      <c r="J190" s="5" t="s">
        <v>109</v>
      </c>
      <c r="K190" s="6">
        <f t="shared" si="5"/>
        <v>0</v>
      </c>
    </row>
    <row r="191" spans="1:11" ht="30" customHeight="1">
      <c r="A191" s="4">
        <v>183</v>
      </c>
      <c r="B191" s="5" t="s">
        <v>31</v>
      </c>
      <c r="C191" s="5" t="s">
        <v>1004</v>
      </c>
      <c r="D191" s="5" t="s">
        <v>1005</v>
      </c>
      <c r="E191" s="10" t="s">
        <v>97</v>
      </c>
      <c r="F191" s="8" t="s">
        <v>97</v>
      </c>
      <c r="G191" s="4" t="s">
        <v>99</v>
      </c>
      <c r="H191" s="10" t="s">
        <v>99</v>
      </c>
      <c r="I191" s="5"/>
      <c r="J191" s="5" t="s">
        <v>1006</v>
      </c>
      <c r="K191" s="6">
        <f t="shared" si="5"/>
        <v>0</v>
      </c>
    </row>
    <row r="192" spans="1:11" ht="30" customHeight="1">
      <c r="A192" s="4">
        <v>184</v>
      </c>
      <c r="B192" s="5" t="s">
        <v>31</v>
      </c>
      <c r="C192" s="5" t="s">
        <v>1004</v>
      </c>
      <c r="D192" s="5" t="s">
        <v>1007</v>
      </c>
      <c r="E192" s="10" t="s">
        <v>97</v>
      </c>
      <c r="F192" s="8" t="s">
        <v>97</v>
      </c>
      <c r="G192" s="4" t="s">
        <v>99</v>
      </c>
      <c r="H192" s="10" t="s">
        <v>99</v>
      </c>
      <c r="I192" s="5"/>
      <c r="J192" s="5" t="s">
        <v>1008</v>
      </c>
      <c r="K192" s="6">
        <f t="shared" si="5"/>
        <v>0</v>
      </c>
    </row>
    <row r="193" spans="1:11" ht="30" customHeight="1">
      <c r="A193" s="4">
        <v>185</v>
      </c>
      <c r="B193" s="5" t="s">
        <v>31</v>
      </c>
      <c r="C193" s="5" t="s">
        <v>1004</v>
      </c>
      <c r="D193" s="5" t="s">
        <v>1009</v>
      </c>
      <c r="E193" s="10" t="s">
        <v>97</v>
      </c>
      <c r="F193" s="8" t="s">
        <v>97</v>
      </c>
      <c r="G193" s="4" t="s">
        <v>99</v>
      </c>
      <c r="H193" s="10" t="s">
        <v>99</v>
      </c>
      <c r="I193" s="5"/>
      <c r="J193" s="5" t="s">
        <v>1010</v>
      </c>
      <c r="K193" s="6">
        <f t="shared" si="5"/>
        <v>0</v>
      </c>
    </row>
    <row r="194" spans="1:11" ht="30" customHeight="1">
      <c r="A194" s="4">
        <v>186</v>
      </c>
      <c r="B194" s="5" t="s">
        <v>94</v>
      </c>
      <c r="C194" s="5" t="s">
        <v>191</v>
      </c>
      <c r="D194" s="5" t="s">
        <v>192</v>
      </c>
      <c r="E194" s="10" t="s">
        <v>97</v>
      </c>
      <c r="F194" s="8" t="s">
        <v>97</v>
      </c>
      <c r="G194" s="4" t="s">
        <v>99</v>
      </c>
      <c r="H194" s="10" t="s">
        <v>99</v>
      </c>
      <c r="I194" s="5"/>
      <c r="J194" s="5" t="s">
        <v>193</v>
      </c>
      <c r="K194" s="6">
        <f t="shared" si="5"/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K3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2281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IFERROR(SUM(K9:K33)/COUNTA(A9:A33),0)</f>
        <v>1</v>
      </c>
      <c r="C4" s="1" t="s">
        <v>8</v>
      </c>
      <c r="D4" s="2">
        <f>COUNTIF(H9:H33,"covered")</f>
        <v>25</v>
      </c>
      <c r="E4" s="1" t="s">
        <v>9</v>
      </c>
      <c r="F4" s="2">
        <f>COUNTIF(H9:H33,"partial")</f>
        <v>0</v>
      </c>
      <c r="G4" s="1" t="s">
        <v>10</v>
      </c>
      <c r="H4" s="2">
        <f>COUNTIF(H9:H33,"missing")</f>
        <v>0</v>
      </c>
      <c r="I4" s="1" t="s">
        <v>11</v>
      </c>
      <c r="J4" s="2">
        <f>COUNTIF(F9:F33,"no")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19">
        <v>1</v>
      </c>
      <c r="B9" s="20" t="s">
        <v>94</v>
      </c>
      <c r="C9" s="20" t="s">
        <v>77</v>
      </c>
      <c r="D9" s="20" t="s">
        <v>104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2282</v>
      </c>
      <c r="J9" s="20"/>
      <c r="K9" s="21">
        <f t="shared" ref="K9:K33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77</v>
      </c>
      <c r="D10" s="20" t="s">
        <v>110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2282</v>
      </c>
      <c r="J10" s="20"/>
      <c r="K10" s="21">
        <f t="shared" si="0"/>
        <v>1</v>
      </c>
    </row>
    <row r="11" spans="1:11" ht="15" customHeight="1">
      <c r="A11" s="19">
        <v>3</v>
      </c>
      <c r="B11" s="20" t="s">
        <v>94</v>
      </c>
      <c r="C11" s="20" t="s">
        <v>77</v>
      </c>
      <c r="D11" s="20" t="s">
        <v>111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2282</v>
      </c>
      <c r="J11" s="20"/>
      <c r="K11" s="21">
        <f t="shared" si="0"/>
        <v>1</v>
      </c>
    </row>
    <row r="12" spans="1:11" ht="15" customHeight="1">
      <c r="A12" s="19">
        <v>4</v>
      </c>
      <c r="B12" s="20" t="s">
        <v>94</v>
      </c>
      <c r="C12" s="20" t="s">
        <v>77</v>
      </c>
      <c r="D12" s="20" t="s">
        <v>112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2282</v>
      </c>
      <c r="J12" s="20"/>
      <c r="K12" s="21">
        <f t="shared" si="0"/>
        <v>1</v>
      </c>
    </row>
    <row r="13" spans="1:11" ht="30" customHeight="1">
      <c r="A13" s="19">
        <v>5</v>
      </c>
      <c r="B13" s="20" t="s">
        <v>113</v>
      </c>
      <c r="C13" s="20" t="s">
        <v>77</v>
      </c>
      <c r="D13" s="20" t="s">
        <v>2283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2282</v>
      </c>
      <c r="J13" s="20"/>
      <c r="K13" s="21">
        <f t="shared" si="0"/>
        <v>1</v>
      </c>
    </row>
    <row r="14" spans="1:11" ht="15" customHeight="1">
      <c r="A14" s="19">
        <v>6</v>
      </c>
      <c r="B14" s="20" t="s">
        <v>113</v>
      </c>
      <c r="C14" s="20" t="s">
        <v>77</v>
      </c>
      <c r="D14" s="20" t="s">
        <v>2284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2282</v>
      </c>
      <c r="J14" s="20"/>
      <c r="K14" s="21">
        <f t="shared" si="0"/>
        <v>1</v>
      </c>
    </row>
    <row r="15" spans="1:11" ht="15" customHeight="1">
      <c r="A15" s="19">
        <v>7</v>
      </c>
      <c r="B15" s="20" t="s">
        <v>113</v>
      </c>
      <c r="C15" s="20" t="s">
        <v>77</v>
      </c>
      <c r="D15" s="20" t="s">
        <v>2285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2282</v>
      </c>
      <c r="J15" s="20"/>
      <c r="K15" s="21">
        <f t="shared" si="0"/>
        <v>1</v>
      </c>
    </row>
    <row r="16" spans="1:11" ht="15" customHeight="1">
      <c r="A16" s="19">
        <v>8</v>
      </c>
      <c r="B16" s="20" t="s">
        <v>113</v>
      </c>
      <c r="C16" s="20" t="s">
        <v>77</v>
      </c>
      <c r="D16" s="20" t="s">
        <v>2286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2282</v>
      </c>
      <c r="J16" s="20"/>
      <c r="K16" s="21">
        <f t="shared" si="0"/>
        <v>1</v>
      </c>
    </row>
    <row r="17" spans="1:11" ht="30" customHeight="1">
      <c r="A17" s="19">
        <v>9</v>
      </c>
      <c r="B17" s="20" t="s">
        <v>113</v>
      </c>
      <c r="C17" s="20" t="s">
        <v>77</v>
      </c>
      <c r="D17" s="20" t="s">
        <v>2287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2282</v>
      </c>
      <c r="J17" s="20"/>
      <c r="K17" s="21">
        <f t="shared" si="0"/>
        <v>1</v>
      </c>
    </row>
    <row r="18" spans="1:11" ht="15" customHeight="1">
      <c r="A18" s="19">
        <v>10</v>
      </c>
      <c r="B18" s="20" t="s">
        <v>120</v>
      </c>
      <c r="C18" s="20" t="s">
        <v>682</v>
      </c>
      <c r="D18" s="20" t="s">
        <v>683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2282</v>
      </c>
      <c r="J18" s="20"/>
      <c r="K18" s="21">
        <f t="shared" si="0"/>
        <v>1</v>
      </c>
    </row>
    <row r="19" spans="1:11" ht="15" customHeight="1">
      <c r="A19" s="19">
        <v>11</v>
      </c>
      <c r="B19" s="20" t="s">
        <v>120</v>
      </c>
      <c r="C19" s="20" t="s">
        <v>682</v>
      </c>
      <c r="D19" s="20" t="s">
        <v>684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2282</v>
      </c>
      <c r="J19" s="20"/>
      <c r="K19" s="21">
        <f t="shared" si="0"/>
        <v>1</v>
      </c>
    </row>
    <row r="20" spans="1:11" ht="15" customHeight="1">
      <c r="A20" s="19">
        <v>12</v>
      </c>
      <c r="B20" s="20" t="s">
        <v>124</v>
      </c>
      <c r="C20" s="20" t="s">
        <v>685</v>
      </c>
      <c r="D20" s="20" t="s">
        <v>2288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2282</v>
      </c>
      <c r="J20" s="20"/>
      <c r="K20" s="21">
        <f t="shared" si="0"/>
        <v>1</v>
      </c>
    </row>
    <row r="21" spans="1:11" ht="15" customHeight="1">
      <c r="A21" s="19">
        <v>13</v>
      </c>
      <c r="B21" s="20" t="s">
        <v>124</v>
      </c>
      <c r="C21" s="20" t="s">
        <v>682</v>
      </c>
      <c r="D21" s="20" t="s">
        <v>2289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2282</v>
      </c>
      <c r="J21" s="20"/>
      <c r="K21" s="21">
        <f t="shared" si="0"/>
        <v>1</v>
      </c>
    </row>
    <row r="22" spans="1:11" ht="30" customHeight="1">
      <c r="A22" s="19">
        <v>14</v>
      </c>
      <c r="B22" s="20" t="s">
        <v>95</v>
      </c>
      <c r="C22" s="20" t="s">
        <v>685</v>
      </c>
      <c r="D22" s="20" t="s">
        <v>2290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2282</v>
      </c>
      <c r="J22" s="20"/>
      <c r="K22" s="21">
        <f t="shared" si="0"/>
        <v>1</v>
      </c>
    </row>
    <row r="23" spans="1:11" ht="15" customHeight="1">
      <c r="A23" s="19">
        <v>15</v>
      </c>
      <c r="B23" s="20" t="s">
        <v>120</v>
      </c>
      <c r="C23" s="20" t="s">
        <v>685</v>
      </c>
      <c r="D23" s="20" t="s">
        <v>2291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2282</v>
      </c>
      <c r="J23" s="20"/>
      <c r="K23" s="21">
        <f t="shared" si="0"/>
        <v>1</v>
      </c>
    </row>
    <row r="24" spans="1:11" ht="15" customHeight="1">
      <c r="A24" s="19">
        <v>16</v>
      </c>
      <c r="B24" s="20" t="s">
        <v>120</v>
      </c>
      <c r="C24" s="20" t="s">
        <v>685</v>
      </c>
      <c r="D24" s="20" t="s">
        <v>2292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2282</v>
      </c>
      <c r="J24" s="20"/>
      <c r="K24" s="21">
        <f t="shared" si="0"/>
        <v>1</v>
      </c>
    </row>
    <row r="25" spans="1:11" ht="15" customHeight="1">
      <c r="A25" s="19">
        <v>17</v>
      </c>
      <c r="B25" s="20" t="s">
        <v>124</v>
      </c>
      <c r="C25" s="20" t="s">
        <v>685</v>
      </c>
      <c r="D25" s="20" t="s">
        <v>2293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2282</v>
      </c>
      <c r="J25" s="20"/>
      <c r="K25" s="21">
        <f t="shared" si="0"/>
        <v>1</v>
      </c>
    </row>
    <row r="26" spans="1:11" ht="30" customHeight="1">
      <c r="A26" s="19">
        <v>18</v>
      </c>
      <c r="B26" s="20" t="s">
        <v>124</v>
      </c>
      <c r="C26" s="20" t="s">
        <v>682</v>
      </c>
      <c r="D26" s="20" t="s">
        <v>2294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2282</v>
      </c>
      <c r="J26" s="20"/>
      <c r="K26" s="21">
        <f t="shared" si="0"/>
        <v>1</v>
      </c>
    </row>
    <row r="27" spans="1:11" ht="15" customHeight="1">
      <c r="A27" s="19">
        <v>19</v>
      </c>
      <c r="B27" s="20" t="s">
        <v>95</v>
      </c>
      <c r="C27" s="20" t="s">
        <v>685</v>
      </c>
      <c r="D27" s="20" t="s">
        <v>2295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2282</v>
      </c>
      <c r="J27" s="20"/>
      <c r="K27" s="21">
        <f t="shared" si="0"/>
        <v>1</v>
      </c>
    </row>
    <row r="28" spans="1:11" ht="15" customHeight="1">
      <c r="A28" s="19">
        <v>20</v>
      </c>
      <c r="B28" s="20" t="s">
        <v>451</v>
      </c>
      <c r="C28" s="20" t="s">
        <v>77</v>
      </c>
      <c r="D28" s="20" t="s">
        <v>2296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2282</v>
      </c>
      <c r="J28" s="20"/>
      <c r="K28" s="21">
        <f t="shared" si="0"/>
        <v>1</v>
      </c>
    </row>
    <row r="29" spans="1:11" ht="15" customHeight="1">
      <c r="A29" s="19">
        <v>21</v>
      </c>
      <c r="B29" s="20" t="s">
        <v>451</v>
      </c>
      <c r="C29" s="20" t="s">
        <v>77</v>
      </c>
      <c r="D29" s="20" t="s">
        <v>2297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2282</v>
      </c>
      <c r="J29" s="20"/>
      <c r="K29" s="21">
        <f t="shared" si="0"/>
        <v>1</v>
      </c>
    </row>
    <row r="30" spans="1:11" ht="15" customHeight="1">
      <c r="A30" s="19">
        <v>22</v>
      </c>
      <c r="B30" s="20" t="s">
        <v>451</v>
      </c>
      <c r="C30" s="20" t="s">
        <v>77</v>
      </c>
      <c r="D30" s="20" t="s">
        <v>2298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2282</v>
      </c>
      <c r="J30" s="20"/>
      <c r="K30" s="21">
        <f t="shared" si="0"/>
        <v>1</v>
      </c>
    </row>
    <row r="31" spans="1:11" ht="30" customHeight="1">
      <c r="A31" s="19">
        <v>23</v>
      </c>
      <c r="B31" s="20" t="s">
        <v>133</v>
      </c>
      <c r="C31" s="20" t="s">
        <v>2299</v>
      </c>
      <c r="D31" s="20" t="s">
        <v>2300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2301</v>
      </c>
      <c r="J31" s="20" t="s">
        <v>444</v>
      </c>
      <c r="K31" s="21">
        <f t="shared" si="0"/>
        <v>1</v>
      </c>
    </row>
    <row r="32" spans="1:11" ht="30" customHeight="1">
      <c r="A32" s="19">
        <v>24</v>
      </c>
      <c r="B32" s="20" t="s">
        <v>133</v>
      </c>
      <c r="C32" s="20" t="s">
        <v>2299</v>
      </c>
      <c r="D32" s="20" t="s">
        <v>2302</v>
      </c>
      <c r="E32" s="19" t="s">
        <v>105</v>
      </c>
      <c r="F32" s="19" t="s">
        <v>105</v>
      </c>
      <c r="G32" s="19" t="s">
        <v>442</v>
      </c>
      <c r="H32" s="19" t="s">
        <v>196</v>
      </c>
      <c r="I32" s="20" t="s">
        <v>2303</v>
      </c>
      <c r="J32" s="20" t="s">
        <v>444</v>
      </c>
      <c r="K32" s="21">
        <f t="shared" si="0"/>
        <v>1</v>
      </c>
    </row>
    <row r="33" spans="1:11" ht="30" customHeight="1">
      <c r="A33" s="19">
        <v>25</v>
      </c>
      <c r="B33" s="20" t="s">
        <v>133</v>
      </c>
      <c r="C33" s="20" t="s">
        <v>2299</v>
      </c>
      <c r="D33" s="20" t="s">
        <v>2304</v>
      </c>
      <c r="E33" s="19" t="s">
        <v>105</v>
      </c>
      <c r="F33" s="19" t="s">
        <v>105</v>
      </c>
      <c r="G33" s="19" t="s">
        <v>442</v>
      </c>
      <c r="H33" s="19" t="s">
        <v>196</v>
      </c>
      <c r="I33" s="20" t="s">
        <v>2305</v>
      </c>
      <c r="J33" s="20" t="s">
        <v>444</v>
      </c>
      <c r="K33" s="21">
        <f t="shared" si="0"/>
        <v>1</v>
      </c>
    </row>
    <row r="34" spans="1:11">
      <c r="A34" s="4"/>
      <c r="B34" s="5"/>
      <c r="C34" s="5"/>
      <c r="D34" s="5"/>
      <c r="E34" s="7"/>
      <c r="F34" s="7"/>
      <c r="G34" s="4"/>
      <c r="H34" s="11"/>
      <c r="I34" s="5"/>
      <c r="J34" s="5"/>
      <c r="K34" s="6"/>
    </row>
    <row r="35" spans="1:11">
      <c r="A35" s="4"/>
      <c r="B35" s="5"/>
      <c r="C35" s="5"/>
      <c r="D35" s="5"/>
      <c r="E35" s="7"/>
      <c r="F35" s="7"/>
      <c r="G35" s="4"/>
      <c r="H35" s="11"/>
      <c r="I35" s="5"/>
      <c r="J35" s="5"/>
      <c r="K35" s="6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K35"/>
  <sheetViews>
    <sheetView showGridLines="0" workbookViewId="0"/>
  </sheetViews>
  <sheetFormatPr baseColWidth="10" defaultColWidth="8.83203125" defaultRowHeight="14"/>
  <cols>
    <col min="1" max="1" width="7" customWidth="1"/>
    <col min="2" max="2" width="16" customWidth="1"/>
    <col min="3" max="3" width="22" customWidth="1"/>
    <col min="4" max="4" width="48" customWidth="1"/>
    <col min="5" max="5" width="14" customWidth="1"/>
    <col min="6" max="6" width="12" customWidth="1"/>
    <col min="7" max="8" width="18" customWidth="1"/>
    <col min="9" max="9" width="42" customWidth="1"/>
    <col min="10" max="10" width="38" customWidth="1"/>
    <col min="11" max="11" width="10" customWidth="1"/>
  </cols>
  <sheetData>
    <row r="1" spans="1:11" ht="30" customHeight="1">
      <c r="A1" s="62" t="s">
        <v>2306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24" customHeight="1">
      <c r="A2" s="59" t="s">
        <v>80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4" customHeight="1">
      <c r="A4" s="1" t="s">
        <v>81</v>
      </c>
      <c r="B4" s="18">
        <f>IFERROR(SUM(K9:K35)/COUNTA(A9:A35),0)</f>
        <v>1</v>
      </c>
      <c r="C4" s="1" t="s">
        <v>8</v>
      </c>
      <c r="D4" s="2">
        <f>COUNTIF(H9:H35,"covered")</f>
        <v>27</v>
      </c>
      <c r="E4" s="1" t="s">
        <v>9</v>
      </c>
      <c r="F4" s="2">
        <f>COUNTIF(H9:H35,"partial")</f>
        <v>0</v>
      </c>
      <c r="G4" s="1" t="s">
        <v>10</v>
      </c>
      <c r="H4" s="2">
        <f>COUNTIF(H9:H35,"missing")</f>
        <v>0</v>
      </c>
      <c r="I4" s="1" t="s">
        <v>11</v>
      </c>
      <c r="J4" s="2">
        <f>COUNTIF(F9:F35,"no")</f>
        <v>0</v>
      </c>
    </row>
    <row r="6" spans="1:11" ht="24" customHeight="1">
      <c r="A6" s="61" t="s">
        <v>82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8" spans="1:11" ht="24" customHeight="1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</row>
    <row r="9" spans="1:11" ht="15" customHeight="1">
      <c r="A9" s="19">
        <v>1</v>
      </c>
      <c r="B9" s="20" t="s">
        <v>94</v>
      </c>
      <c r="C9" s="20" t="s">
        <v>95</v>
      </c>
      <c r="D9" s="20" t="s">
        <v>96</v>
      </c>
      <c r="E9" s="19" t="s">
        <v>105</v>
      </c>
      <c r="F9" s="19" t="s">
        <v>105</v>
      </c>
      <c r="G9" s="19" t="s">
        <v>442</v>
      </c>
      <c r="H9" s="19" t="s">
        <v>196</v>
      </c>
      <c r="I9" s="20" t="s">
        <v>100</v>
      </c>
      <c r="J9" s="20" t="s">
        <v>109</v>
      </c>
      <c r="K9" s="21">
        <f t="shared" ref="K9:K35" si="0">IF(H9="covered",1,IF(H9="partial",0.5,0))</f>
        <v>1</v>
      </c>
    </row>
    <row r="10" spans="1:11" ht="15" customHeight="1">
      <c r="A10" s="19">
        <v>2</v>
      </c>
      <c r="B10" s="20" t="s">
        <v>94</v>
      </c>
      <c r="C10" s="20" t="s">
        <v>95</v>
      </c>
      <c r="D10" s="20" t="s">
        <v>102</v>
      </c>
      <c r="E10" s="19" t="s">
        <v>105</v>
      </c>
      <c r="F10" s="19" t="s">
        <v>105</v>
      </c>
      <c r="G10" s="19" t="s">
        <v>442</v>
      </c>
      <c r="H10" s="19" t="s">
        <v>196</v>
      </c>
      <c r="I10" s="20" t="s">
        <v>100</v>
      </c>
      <c r="J10" s="20" t="s">
        <v>109</v>
      </c>
      <c r="K10" s="21">
        <f t="shared" si="0"/>
        <v>1</v>
      </c>
    </row>
    <row r="11" spans="1:11" ht="15" customHeight="1">
      <c r="A11" s="19">
        <v>3</v>
      </c>
      <c r="B11" s="20" t="s">
        <v>94</v>
      </c>
      <c r="C11" s="20" t="s">
        <v>78</v>
      </c>
      <c r="D11" s="20" t="s">
        <v>104</v>
      </c>
      <c r="E11" s="19" t="s">
        <v>105</v>
      </c>
      <c r="F11" s="19" t="s">
        <v>105</v>
      </c>
      <c r="G11" s="19" t="s">
        <v>442</v>
      </c>
      <c r="H11" s="19" t="s">
        <v>196</v>
      </c>
      <c r="I11" s="20" t="s">
        <v>2307</v>
      </c>
      <c r="J11" s="20" t="s">
        <v>444</v>
      </c>
      <c r="K11" s="21">
        <f t="shared" si="0"/>
        <v>1</v>
      </c>
    </row>
    <row r="12" spans="1:11" ht="15" customHeight="1">
      <c r="A12" s="19">
        <v>4</v>
      </c>
      <c r="B12" s="20" t="s">
        <v>94</v>
      </c>
      <c r="C12" s="20" t="s">
        <v>78</v>
      </c>
      <c r="D12" s="20" t="s">
        <v>110</v>
      </c>
      <c r="E12" s="19" t="s">
        <v>105</v>
      </c>
      <c r="F12" s="19" t="s">
        <v>105</v>
      </c>
      <c r="G12" s="19" t="s">
        <v>442</v>
      </c>
      <c r="H12" s="19" t="s">
        <v>196</v>
      </c>
      <c r="I12" s="20" t="s">
        <v>2307</v>
      </c>
      <c r="J12" s="20" t="s">
        <v>444</v>
      </c>
      <c r="K12" s="21">
        <f t="shared" si="0"/>
        <v>1</v>
      </c>
    </row>
    <row r="13" spans="1:11" ht="15" customHeight="1">
      <c r="A13" s="19">
        <v>5</v>
      </c>
      <c r="B13" s="20" t="s">
        <v>94</v>
      </c>
      <c r="C13" s="20" t="s">
        <v>78</v>
      </c>
      <c r="D13" s="20" t="s">
        <v>111</v>
      </c>
      <c r="E13" s="19" t="s">
        <v>105</v>
      </c>
      <c r="F13" s="19" t="s">
        <v>105</v>
      </c>
      <c r="G13" s="19" t="s">
        <v>442</v>
      </c>
      <c r="H13" s="19" t="s">
        <v>196</v>
      </c>
      <c r="I13" s="20" t="s">
        <v>2307</v>
      </c>
      <c r="J13" s="20" t="s">
        <v>444</v>
      </c>
      <c r="K13" s="21">
        <f t="shared" si="0"/>
        <v>1</v>
      </c>
    </row>
    <row r="14" spans="1:11" ht="15" customHeight="1">
      <c r="A14" s="19">
        <v>6</v>
      </c>
      <c r="B14" s="20" t="s">
        <v>94</v>
      </c>
      <c r="C14" s="20" t="s">
        <v>78</v>
      </c>
      <c r="D14" s="20" t="s">
        <v>112</v>
      </c>
      <c r="E14" s="19" t="s">
        <v>105</v>
      </c>
      <c r="F14" s="19" t="s">
        <v>105</v>
      </c>
      <c r="G14" s="19" t="s">
        <v>442</v>
      </c>
      <c r="H14" s="19" t="s">
        <v>196</v>
      </c>
      <c r="I14" s="20" t="s">
        <v>2307</v>
      </c>
      <c r="J14" s="20" t="s">
        <v>444</v>
      </c>
      <c r="K14" s="21">
        <f t="shared" si="0"/>
        <v>1</v>
      </c>
    </row>
    <row r="15" spans="1:11" ht="15" customHeight="1">
      <c r="A15" s="19">
        <v>7</v>
      </c>
      <c r="B15" s="20" t="s">
        <v>113</v>
      </c>
      <c r="C15" s="20" t="s">
        <v>78</v>
      </c>
      <c r="D15" s="20" t="s">
        <v>2308</v>
      </c>
      <c r="E15" s="19" t="s">
        <v>105</v>
      </c>
      <c r="F15" s="19" t="s">
        <v>105</v>
      </c>
      <c r="G15" s="19" t="s">
        <v>442</v>
      </c>
      <c r="H15" s="19" t="s">
        <v>196</v>
      </c>
      <c r="I15" s="20" t="s">
        <v>2307</v>
      </c>
      <c r="J15" s="20" t="s">
        <v>444</v>
      </c>
      <c r="K15" s="21">
        <f t="shared" si="0"/>
        <v>1</v>
      </c>
    </row>
    <row r="16" spans="1:11" ht="15" customHeight="1">
      <c r="A16" s="19">
        <v>8</v>
      </c>
      <c r="B16" s="20" t="s">
        <v>113</v>
      </c>
      <c r="C16" s="20" t="s">
        <v>78</v>
      </c>
      <c r="D16" s="20" t="s">
        <v>2309</v>
      </c>
      <c r="E16" s="19" t="s">
        <v>105</v>
      </c>
      <c r="F16" s="19" t="s">
        <v>105</v>
      </c>
      <c r="G16" s="19" t="s">
        <v>442</v>
      </c>
      <c r="H16" s="19" t="s">
        <v>196</v>
      </c>
      <c r="I16" s="20" t="s">
        <v>2307</v>
      </c>
      <c r="J16" s="20" t="s">
        <v>444</v>
      </c>
      <c r="K16" s="21">
        <f t="shared" si="0"/>
        <v>1</v>
      </c>
    </row>
    <row r="17" spans="1:11" ht="15" customHeight="1">
      <c r="A17" s="19">
        <v>9</v>
      </c>
      <c r="B17" s="20" t="s">
        <v>113</v>
      </c>
      <c r="C17" s="20" t="s">
        <v>78</v>
      </c>
      <c r="D17" s="20" t="s">
        <v>2310</v>
      </c>
      <c r="E17" s="19" t="s">
        <v>105</v>
      </c>
      <c r="F17" s="19" t="s">
        <v>105</v>
      </c>
      <c r="G17" s="19" t="s">
        <v>442</v>
      </c>
      <c r="H17" s="19" t="s">
        <v>196</v>
      </c>
      <c r="I17" s="20" t="s">
        <v>2307</v>
      </c>
      <c r="J17" s="20" t="s">
        <v>444</v>
      </c>
      <c r="K17" s="21">
        <f t="shared" si="0"/>
        <v>1</v>
      </c>
    </row>
    <row r="18" spans="1:11" ht="15" customHeight="1">
      <c r="A18" s="19">
        <v>10</v>
      </c>
      <c r="B18" s="20" t="s">
        <v>113</v>
      </c>
      <c r="C18" s="20" t="s">
        <v>78</v>
      </c>
      <c r="D18" s="20" t="s">
        <v>449</v>
      </c>
      <c r="E18" s="19" t="s">
        <v>105</v>
      </c>
      <c r="F18" s="19" t="s">
        <v>105</v>
      </c>
      <c r="G18" s="19" t="s">
        <v>442</v>
      </c>
      <c r="H18" s="19" t="s">
        <v>196</v>
      </c>
      <c r="I18" s="20" t="s">
        <v>2307</v>
      </c>
      <c r="J18" s="20" t="s">
        <v>444</v>
      </c>
      <c r="K18" s="21">
        <f t="shared" si="0"/>
        <v>1</v>
      </c>
    </row>
    <row r="19" spans="1:11" ht="15" customHeight="1">
      <c r="A19" s="19">
        <v>11</v>
      </c>
      <c r="B19" s="20" t="s">
        <v>120</v>
      </c>
      <c r="C19" s="20" t="s">
        <v>121</v>
      </c>
      <c r="D19" s="20" t="s">
        <v>122</v>
      </c>
      <c r="E19" s="19" t="s">
        <v>105</v>
      </c>
      <c r="F19" s="19" t="s">
        <v>105</v>
      </c>
      <c r="G19" s="19" t="s">
        <v>442</v>
      </c>
      <c r="H19" s="19" t="s">
        <v>196</v>
      </c>
      <c r="I19" s="20" t="s">
        <v>2307</v>
      </c>
      <c r="J19" s="20" t="s">
        <v>444</v>
      </c>
      <c r="K19" s="21">
        <f t="shared" si="0"/>
        <v>1</v>
      </c>
    </row>
    <row r="20" spans="1:11" ht="15" customHeight="1">
      <c r="A20" s="19">
        <v>12</v>
      </c>
      <c r="B20" s="20" t="s">
        <v>120</v>
      </c>
      <c r="C20" s="20" t="s">
        <v>121</v>
      </c>
      <c r="D20" s="20" t="s">
        <v>123</v>
      </c>
      <c r="E20" s="19" t="s">
        <v>105</v>
      </c>
      <c r="F20" s="19" t="s">
        <v>105</v>
      </c>
      <c r="G20" s="19" t="s">
        <v>442</v>
      </c>
      <c r="H20" s="19" t="s">
        <v>196</v>
      </c>
      <c r="I20" s="20" t="s">
        <v>2307</v>
      </c>
      <c r="J20" s="20" t="s">
        <v>444</v>
      </c>
      <c r="K20" s="21">
        <f t="shared" si="0"/>
        <v>1</v>
      </c>
    </row>
    <row r="21" spans="1:11" ht="30" customHeight="1">
      <c r="A21" s="19">
        <v>13</v>
      </c>
      <c r="B21" s="20" t="s">
        <v>124</v>
      </c>
      <c r="C21" s="20" t="s">
        <v>121</v>
      </c>
      <c r="D21" s="20" t="s">
        <v>125</v>
      </c>
      <c r="E21" s="19" t="s">
        <v>105</v>
      </c>
      <c r="F21" s="19" t="s">
        <v>105</v>
      </c>
      <c r="G21" s="19" t="s">
        <v>442</v>
      </c>
      <c r="H21" s="19" t="s">
        <v>196</v>
      </c>
      <c r="I21" s="20" t="s">
        <v>2307</v>
      </c>
      <c r="J21" s="20" t="s">
        <v>444</v>
      </c>
      <c r="K21" s="21">
        <f t="shared" si="0"/>
        <v>1</v>
      </c>
    </row>
    <row r="22" spans="1:11" ht="15" customHeight="1">
      <c r="A22" s="19">
        <v>14</v>
      </c>
      <c r="B22" s="20" t="s">
        <v>124</v>
      </c>
      <c r="C22" s="20" t="s">
        <v>121</v>
      </c>
      <c r="D22" s="20" t="s">
        <v>126</v>
      </c>
      <c r="E22" s="19" t="s">
        <v>105</v>
      </c>
      <c r="F22" s="19" t="s">
        <v>105</v>
      </c>
      <c r="G22" s="19" t="s">
        <v>442</v>
      </c>
      <c r="H22" s="19" t="s">
        <v>196</v>
      </c>
      <c r="I22" s="20" t="s">
        <v>2307</v>
      </c>
      <c r="J22" s="20" t="s">
        <v>444</v>
      </c>
      <c r="K22" s="21">
        <f t="shared" si="0"/>
        <v>1</v>
      </c>
    </row>
    <row r="23" spans="1:11" ht="15" customHeight="1">
      <c r="A23" s="19">
        <v>15</v>
      </c>
      <c r="B23" s="20" t="s">
        <v>95</v>
      </c>
      <c r="C23" s="20" t="s">
        <v>121</v>
      </c>
      <c r="D23" s="20" t="s">
        <v>127</v>
      </c>
      <c r="E23" s="19" t="s">
        <v>105</v>
      </c>
      <c r="F23" s="19" t="s">
        <v>105</v>
      </c>
      <c r="G23" s="19" t="s">
        <v>442</v>
      </c>
      <c r="H23" s="19" t="s">
        <v>196</v>
      </c>
      <c r="I23" s="20" t="s">
        <v>2307</v>
      </c>
      <c r="J23" s="20" t="s">
        <v>444</v>
      </c>
      <c r="K23" s="21">
        <f t="shared" si="0"/>
        <v>1</v>
      </c>
    </row>
    <row r="24" spans="1:11" ht="15" customHeight="1">
      <c r="A24" s="19">
        <v>16</v>
      </c>
      <c r="B24" s="20" t="s">
        <v>128</v>
      </c>
      <c r="C24" s="20" t="s">
        <v>121</v>
      </c>
      <c r="D24" s="20" t="s">
        <v>129</v>
      </c>
      <c r="E24" s="19" t="s">
        <v>105</v>
      </c>
      <c r="F24" s="19" t="s">
        <v>105</v>
      </c>
      <c r="G24" s="19" t="s">
        <v>442</v>
      </c>
      <c r="H24" s="19" t="s">
        <v>196</v>
      </c>
      <c r="I24" s="20" t="s">
        <v>2307</v>
      </c>
      <c r="J24" s="20" t="s">
        <v>444</v>
      </c>
      <c r="K24" s="21">
        <f t="shared" si="0"/>
        <v>1</v>
      </c>
    </row>
    <row r="25" spans="1:11" ht="15" customHeight="1">
      <c r="A25" s="19">
        <v>17</v>
      </c>
      <c r="B25" s="20" t="s">
        <v>130</v>
      </c>
      <c r="C25" s="20" t="s">
        <v>121</v>
      </c>
      <c r="D25" s="20" t="s">
        <v>131</v>
      </c>
      <c r="E25" s="19" t="s">
        <v>105</v>
      </c>
      <c r="F25" s="19" t="s">
        <v>105</v>
      </c>
      <c r="G25" s="19" t="s">
        <v>442</v>
      </c>
      <c r="H25" s="19" t="s">
        <v>196</v>
      </c>
      <c r="I25" s="20" t="s">
        <v>2307</v>
      </c>
      <c r="J25" s="20" t="s">
        <v>444</v>
      </c>
      <c r="K25" s="21">
        <f t="shared" si="0"/>
        <v>1</v>
      </c>
    </row>
    <row r="26" spans="1:11" ht="15" customHeight="1">
      <c r="A26" s="19">
        <v>18</v>
      </c>
      <c r="B26" s="20" t="s">
        <v>130</v>
      </c>
      <c r="C26" s="20" t="s">
        <v>121</v>
      </c>
      <c r="D26" s="20" t="s">
        <v>132</v>
      </c>
      <c r="E26" s="19" t="s">
        <v>105</v>
      </c>
      <c r="F26" s="19" t="s">
        <v>105</v>
      </c>
      <c r="G26" s="19" t="s">
        <v>442</v>
      </c>
      <c r="H26" s="19" t="s">
        <v>196</v>
      </c>
      <c r="I26" s="20" t="s">
        <v>2307</v>
      </c>
      <c r="J26" s="20" t="s">
        <v>444</v>
      </c>
      <c r="K26" s="21">
        <f t="shared" si="0"/>
        <v>1</v>
      </c>
    </row>
    <row r="27" spans="1:11" ht="15" customHeight="1">
      <c r="A27" s="19">
        <v>19</v>
      </c>
      <c r="B27" s="20" t="s">
        <v>133</v>
      </c>
      <c r="C27" s="20" t="s">
        <v>121</v>
      </c>
      <c r="D27" s="20" t="s">
        <v>142</v>
      </c>
      <c r="E27" s="19" t="s">
        <v>105</v>
      </c>
      <c r="F27" s="19" t="s">
        <v>105</v>
      </c>
      <c r="G27" s="19" t="s">
        <v>442</v>
      </c>
      <c r="H27" s="19" t="s">
        <v>196</v>
      </c>
      <c r="I27" s="20" t="s">
        <v>2307</v>
      </c>
      <c r="J27" s="20" t="s">
        <v>444</v>
      </c>
      <c r="K27" s="21">
        <f t="shared" si="0"/>
        <v>1</v>
      </c>
    </row>
    <row r="28" spans="1:11" ht="15" customHeight="1">
      <c r="A28" s="19">
        <v>20</v>
      </c>
      <c r="B28" s="20" t="s">
        <v>159</v>
      </c>
      <c r="C28" s="20" t="s">
        <v>154</v>
      </c>
      <c r="D28" s="20" t="s">
        <v>162</v>
      </c>
      <c r="E28" s="19" t="s">
        <v>105</v>
      </c>
      <c r="F28" s="19" t="s">
        <v>105</v>
      </c>
      <c r="G28" s="19" t="s">
        <v>442</v>
      </c>
      <c r="H28" s="19" t="s">
        <v>196</v>
      </c>
      <c r="I28" s="20" t="s">
        <v>2307</v>
      </c>
      <c r="J28" s="20" t="s">
        <v>444</v>
      </c>
      <c r="K28" s="21">
        <f t="shared" si="0"/>
        <v>1</v>
      </c>
    </row>
    <row r="29" spans="1:11" ht="30" customHeight="1">
      <c r="A29" s="19">
        <v>21</v>
      </c>
      <c r="B29" s="20" t="s">
        <v>130</v>
      </c>
      <c r="C29" s="20" t="s">
        <v>78</v>
      </c>
      <c r="D29" s="20" t="s">
        <v>164</v>
      </c>
      <c r="E29" s="19" t="s">
        <v>105</v>
      </c>
      <c r="F29" s="19" t="s">
        <v>105</v>
      </c>
      <c r="G29" s="19" t="s">
        <v>442</v>
      </c>
      <c r="H29" s="19" t="s">
        <v>196</v>
      </c>
      <c r="I29" s="20" t="s">
        <v>2307</v>
      </c>
      <c r="J29" s="20" t="s">
        <v>444</v>
      </c>
      <c r="K29" s="21">
        <f t="shared" si="0"/>
        <v>1</v>
      </c>
    </row>
    <row r="30" spans="1:11" ht="15" customHeight="1">
      <c r="A30" s="19">
        <v>22</v>
      </c>
      <c r="B30" s="20" t="s">
        <v>130</v>
      </c>
      <c r="C30" s="20" t="s">
        <v>78</v>
      </c>
      <c r="D30" s="20" t="s">
        <v>165</v>
      </c>
      <c r="E30" s="19" t="s">
        <v>105</v>
      </c>
      <c r="F30" s="19" t="s">
        <v>105</v>
      </c>
      <c r="G30" s="19" t="s">
        <v>442</v>
      </c>
      <c r="H30" s="19" t="s">
        <v>196</v>
      </c>
      <c r="I30" s="20" t="s">
        <v>2307</v>
      </c>
      <c r="J30" s="20" t="s">
        <v>444</v>
      </c>
      <c r="K30" s="21">
        <f t="shared" si="0"/>
        <v>1</v>
      </c>
    </row>
    <row r="31" spans="1:11" ht="15" customHeight="1">
      <c r="A31" s="19">
        <v>23</v>
      </c>
      <c r="B31" s="20" t="s">
        <v>130</v>
      </c>
      <c r="C31" s="20" t="s">
        <v>78</v>
      </c>
      <c r="D31" s="20" t="s">
        <v>166</v>
      </c>
      <c r="E31" s="19" t="s">
        <v>105</v>
      </c>
      <c r="F31" s="19" t="s">
        <v>105</v>
      </c>
      <c r="G31" s="19" t="s">
        <v>442</v>
      </c>
      <c r="H31" s="19" t="s">
        <v>196</v>
      </c>
      <c r="I31" s="20" t="s">
        <v>2307</v>
      </c>
      <c r="J31" s="20" t="s">
        <v>444</v>
      </c>
      <c r="K31" s="21">
        <f t="shared" si="0"/>
        <v>1</v>
      </c>
    </row>
    <row r="32" spans="1:11" ht="15" customHeight="1">
      <c r="A32" s="19">
        <v>24</v>
      </c>
      <c r="B32" s="20" t="s">
        <v>130</v>
      </c>
      <c r="C32" s="20" t="s">
        <v>78</v>
      </c>
      <c r="D32" s="20" t="s">
        <v>167</v>
      </c>
      <c r="E32" s="19" t="s">
        <v>105</v>
      </c>
      <c r="F32" s="19" t="s">
        <v>105</v>
      </c>
      <c r="G32" s="19" t="s">
        <v>442</v>
      </c>
      <c r="H32" s="19" t="s">
        <v>196</v>
      </c>
      <c r="I32" s="20" t="s">
        <v>2307</v>
      </c>
      <c r="J32" s="20" t="s">
        <v>444</v>
      </c>
      <c r="K32" s="21">
        <f t="shared" si="0"/>
        <v>1</v>
      </c>
    </row>
    <row r="33" spans="1:11" ht="15" customHeight="1">
      <c r="A33" s="19">
        <v>25</v>
      </c>
      <c r="B33" s="20" t="s">
        <v>130</v>
      </c>
      <c r="C33" s="20" t="s">
        <v>78</v>
      </c>
      <c r="D33" s="20" t="s">
        <v>168</v>
      </c>
      <c r="E33" s="19" t="s">
        <v>105</v>
      </c>
      <c r="F33" s="19" t="s">
        <v>105</v>
      </c>
      <c r="G33" s="19" t="s">
        <v>442</v>
      </c>
      <c r="H33" s="19" t="s">
        <v>196</v>
      </c>
      <c r="I33" s="20" t="s">
        <v>2307</v>
      </c>
      <c r="J33" s="20" t="s">
        <v>444</v>
      </c>
      <c r="K33" s="21">
        <f t="shared" si="0"/>
        <v>1</v>
      </c>
    </row>
    <row r="34" spans="1:11" ht="15" customHeight="1">
      <c r="A34" s="19">
        <v>26</v>
      </c>
      <c r="B34" s="20" t="s">
        <v>451</v>
      </c>
      <c r="C34" s="20" t="s">
        <v>78</v>
      </c>
      <c r="D34" s="20" t="s">
        <v>2311</v>
      </c>
      <c r="E34" s="19" t="s">
        <v>105</v>
      </c>
      <c r="F34" s="19" t="s">
        <v>105</v>
      </c>
      <c r="G34" s="19" t="s">
        <v>442</v>
      </c>
      <c r="H34" s="19" t="s">
        <v>196</v>
      </c>
      <c r="I34" s="20" t="s">
        <v>2307</v>
      </c>
      <c r="J34" s="20" t="s">
        <v>444</v>
      </c>
      <c r="K34" s="21">
        <f t="shared" si="0"/>
        <v>1</v>
      </c>
    </row>
    <row r="35" spans="1:11" ht="15" customHeight="1">
      <c r="A35" s="19">
        <v>27</v>
      </c>
      <c r="B35" s="20" t="s">
        <v>451</v>
      </c>
      <c r="C35" s="20" t="s">
        <v>78</v>
      </c>
      <c r="D35" s="20" t="s">
        <v>2312</v>
      </c>
      <c r="E35" s="19" t="s">
        <v>105</v>
      </c>
      <c r="F35" s="19" t="s">
        <v>105</v>
      </c>
      <c r="G35" s="19" t="s">
        <v>442</v>
      </c>
      <c r="H35" s="19" t="s">
        <v>196</v>
      </c>
      <c r="I35" s="20" t="s">
        <v>2307</v>
      </c>
      <c r="J35" s="20" t="s">
        <v>444</v>
      </c>
      <c r="K35" s="21">
        <f t="shared" si="0"/>
        <v>1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66</vt:i4>
      </vt:variant>
    </vt:vector>
  </HeadingPairs>
  <TitlesOfParts>
    <vt:vector size="66" baseType="lpstr">
      <vt:lpstr>Index</vt:lpstr>
      <vt:lpstr>Accordion</vt:lpstr>
      <vt:lpstr>AlertDialog</vt:lpstr>
      <vt:lpstr>AppBar</vt:lpstr>
      <vt:lpstr>AspectRatio</vt:lpstr>
      <vt:lpstr>Avatar</vt:lpstr>
      <vt:lpstr>Badge</vt:lpstr>
      <vt:lpstr>BottomNavigation</vt:lpstr>
      <vt:lpstr>Breadcrumb</vt:lpstr>
      <vt:lpstr>Button</vt:lpstr>
      <vt:lpstr>Checkbox</vt:lpstr>
      <vt:lpstr>CheckboxGroup</vt:lpstr>
      <vt:lpstr>Collapsible</vt:lpstr>
      <vt:lpstr>Collection</vt:lpstr>
      <vt:lpstr>Combobox</vt:lpstr>
      <vt:lpstr>ContextMenu</vt:lpstr>
      <vt:lpstr>DataGrid</vt:lpstr>
      <vt:lpstr>Dialog</vt:lpstr>
      <vt:lpstr>Direction</vt:lpstr>
      <vt:lpstr>Divider</vt:lpstr>
      <vt:lpstr>Drawer</vt:lpstr>
      <vt:lpstr>DropdownMenu</vt:lpstr>
      <vt:lpstr>Feed</vt:lpstr>
      <vt:lpstr>Field</vt:lpstr>
      <vt:lpstr>Fieldset</vt:lpstr>
      <vt:lpstr>FileUpload</vt:lpstr>
      <vt:lpstr>Form</vt:lpstr>
      <vt:lpstr>HoverCard</vt:lpstr>
      <vt:lpstr>Input</vt:lpstr>
      <vt:lpstr>Label</vt:lpstr>
      <vt:lpstr>List</vt:lpstr>
      <vt:lpstr>Listbox</vt:lpstr>
      <vt:lpstr>Menu</vt:lpstr>
      <vt:lpstr>Menubar</vt:lpstr>
      <vt:lpstr>Modal</vt:lpstr>
      <vt:lpstr>NavList</vt:lpstr>
      <vt:lpstr>NavigationMenu</vt:lpstr>
      <vt:lpstr>NumberInput</vt:lpstr>
      <vt:lpstr>OTPField</vt:lpstr>
      <vt:lpstr>Pagination</vt:lpstr>
      <vt:lpstr>PasswordToggleField</vt:lpstr>
      <vt:lpstr>Popover</vt:lpstr>
      <vt:lpstr>Portal</vt:lpstr>
      <vt:lpstr>Pressable</vt:lpstr>
      <vt:lpstr>Progress</vt:lpstr>
      <vt:lpstr>RadioGroup</vt:lpstr>
      <vt:lpstr>Rating</vt:lpstr>
      <vt:lpstr>ScrollArea</vt:lpstr>
      <vt:lpstr>Select</vt:lpstr>
      <vt:lpstr>Sidebar</vt:lpstr>
      <vt:lpstr>SkipLink</vt:lpstr>
      <vt:lpstr>Slider</vt:lpstr>
      <vt:lpstr>SwipeableItem</vt:lpstr>
      <vt:lpstr>Switch</vt:lpstr>
      <vt:lpstr>Table</vt:lpstr>
      <vt:lpstr>Tabs</vt:lpstr>
      <vt:lpstr>Textarea</vt:lpstr>
      <vt:lpstr>Toast</vt:lpstr>
      <vt:lpstr>Toggle</vt:lpstr>
      <vt:lpstr>ToggleGroup</vt:lpstr>
      <vt:lpstr>Toolbar</vt:lpstr>
      <vt:lpstr>Tooltip</vt:lpstr>
      <vt:lpstr>Tree</vt:lpstr>
      <vt:lpstr>TreeGrid</vt:lpstr>
      <vt:lpstr>Virtualizer</vt:lpstr>
      <vt:lpstr>VisuallyHidden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 Donin</cp:lastModifiedBy>
  <dcterms:created xsi:type="dcterms:W3CDTF">2026-07-07T14:45:33Z</dcterms:created>
  <dcterms:modified xsi:type="dcterms:W3CDTF">2026-07-08T06:32:15Z</dcterms:modified>
</cp:coreProperties>
</file>