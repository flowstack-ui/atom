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8400" windowHeight="20980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ccordion" sheetId="2" state="visible" r:id="rId2"/>
    <sheet xmlns:r="http://schemas.openxmlformats.org/officeDocument/2006/relationships" name="AlertDialog" sheetId="3" state="visible" r:id="rId3"/>
    <sheet xmlns:r="http://schemas.openxmlformats.org/officeDocument/2006/relationships" name="AppBar" sheetId="4" state="visible" r:id="rId4"/>
    <sheet xmlns:r="http://schemas.openxmlformats.org/officeDocument/2006/relationships" name="AspectRatio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ottomNavigation" sheetId="8" state="visible" r:id="rId8"/>
    <sheet xmlns:r="http://schemas.openxmlformats.org/officeDocument/2006/relationships" name="Breadcrumb" sheetId="9" state="visible" r:id="rId9"/>
    <sheet xmlns:r="http://schemas.openxmlformats.org/officeDocument/2006/relationships" name="Button" sheetId="10" state="visible" r:id="rId10"/>
    <sheet xmlns:r="http://schemas.openxmlformats.org/officeDocument/2006/relationships" name="Checkbox" sheetId="11" state="visible" r:id="rId11"/>
    <sheet xmlns:r="http://schemas.openxmlformats.org/officeDocument/2006/relationships" name="CheckboxGroup" sheetId="12" state="visible" r:id="rId12"/>
    <sheet xmlns:r="http://schemas.openxmlformats.org/officeDocument/2006/relationships" name="Collapsible" sheetId="13" state="visible" r:id="rId13"/>
    <sheet xmlns:r="http://schemas.openxmlformats.org/officeDocument/2006/relationships" name="Collection" sheetId="14" state="visible" r:id="rId14"/>
    <sheet xmlns:r="http://schemas.openxmlformats.org/officeDocument/2006/relationships" name="Combobox" sheetId="15" state="visible" r:id="rId15"/>
    <sheet xmlns:r="http://schemas.openxmlformats.org/officeDocument/2006/relationships" name="ContextMenu" sheetId="16" state="visible" r:id="rId16"/>
    <sheet xmlns:r="http://schemas.openxmlformats.org/officeDocument/2006/relationships" name="DataGrid" sheetId="17" state="visible" r:id="rId17"/>
    <sheet xmlns:r="http://schemas.openxmlformats.org/officeDocument/2006/relationships" name="Dialog" sheetId="18" state="visible" r:id="rId18"/>
    <sheet xmlns:r="http://schemas.openxmlformats.org/officeDocument/2006/relationships" name="Direction" sheetId="19" state="visible" r:id="rId19"/>
    <sheet xmlns:r="http://schemas.openxmlformats.org/officeDocument/2006/relationships" name="Divider" sheetId="20" state="visible" r:id="rId20"/>
    <sheet xmlns:r="http://schemas.openxmlformats.org/officeDocument/2006/relationships" name="Drawer" sheetId="21" state="visible" r:id="rId21"/>
    <sheet xmlns:r="http://schemas.openxmlformats.org/officeDocument/2006/relationships" name="DropdownMenu" sheetId="22" state="visible" r:id="rId22"/>
    <sheet xmlns:r="http://schemas.openxmlformats.org/officeDocument/2006/relationships" name="Feed" sheetId="23" state="visible" r:id="rId23"/>
    <sheet xmlns:r="http://schemas.openxmlformats.org/officeDocument/2006/relationships" name="Field" sheetId="24" state="visible" r:id="rId24"/>
    <sheet xmlns:r="http://schemas.openxmlformats.org/officeDocument/2006/relationships" name="Fieldset" sheetId="25" state="visible" r:id="rId25"/>
    <sheet xmlns:r="http://schemas.openxmlformats.org/officeDocument/2006/relationships" name="FileUpload" sheetId="26" state="visible" r:id="rId26"/>
    <sheet xmlns:r="http://schemas.openxmlformats.org/officeDocument/2006/relationships" name="Form" sheetId="27" state="visible" r:id="rId27"/>
    <sheet xmlns:r="http://schemas.openxmlformats.org/officeDocument/2006/relationships" name="HoverCard" sheetId="28" state="visible" r:id="rId28"/>
    <sheet xmlns:r="http://schemas.openxmlformats.org/officeDocument/2006/relationships" name="Input" sheetId="29" state="visible" r:id="rId29"/>
    <sheet xmlns:r="http://schemas.openxmlformats.org/officeDocument/2006/relationships" name="Label" sheetId="30" state="visible" r:id="rId30"/>
    <sheet xmlns:r="http://schemas.openxmlformats.org/officeDocument/2006/relationships" name="List" sheetId="31" state="visible" r:id="rId31"/>
    <sheet xmlns:r="http://schemas.openxmlformats.org/officeDocument/2006/relationships" name="Listbox" sheetId="32" state="visible" r:id="rId32"/>
    <sheet xmlns:r="http://schemas.openxmlformats.org/officeDocument/2006/relationships" name="Menu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List" sheetId="36" state="visible" r:id="rId36"/>
    <sheet xmlns:r="http://schemas.openxmlformats.org/officeDocument/2006/relationships" name="NavigationMenu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elect" sheetId="49" state="visible" r:id="rId49"/>
    <sheet xmlns:r="http://schemas.openxmlformats.org/officeDocument/2006/relationships" name="Sidebar" sheetId="50" state="visible" r:id="rId50"/>
    <sheet xmlns:r="http://schemas.openxmlformats.org/officeDocument/2006/relationships" name="SkipLink" sheetId="51" state="visible" r:id="rId51"/>
    <sheet xmlns:r="http://schemas.openxmlformats.org/officeDocument/2006/relationships" name="Slider" sheetId="52" state="visible" r:id="rId52"/>
    <sheet xmlns:r="http://schemas.openxmlformats.org/officeDocument/2006/relationships" name="SwipeableItem" sheetId="53" state="visible" r:id="rId53"/>
    <sheet xmlns:r="http://schemas.openxmlformats.org/officeDocument/2006/relationships" name="Switch" sheetId="54" state="visible" r:id="rId54"/>
    <sheet xmlns:r="http://schemas.openxmlformats.org/officeDocument/2006/relationships" name="Table" sheetId="55" state="visible" r:id="rId55"/>
    <sheet xmlns:r="http://schemas.openxmlformats.org/officeDocument/2006/relationships" name="Tabs" sheetId="56" state="visible" r:id="rId56"/>
    <sheet xmlns:r="http://schemas.openxmlformats.org/officeDocument/2006/relationships" name="Textarea" sheetId="57" state="visible" r:id="rId57"/>
    <sheet xmlns:r="http://schemas.openxmlformats.org/officeDocument/2006/relationships" name="Toast" sheetId="58" state="visible" r:id="rId58"/>
    <sheet xmlns:r="http://schemas.openxmlformats.org/officeDocument/2006/relationships" name="Toggle" sheetId="59" state="visible" r:id="rId59"/>
    <sheet xmlns:r="http://schemas.openxmlformats.org/officeDocument/2006/relationships" name="ToggleGroup" sheetId="60" state="visible" r:id="rId60"/>
    <sheet xmlns:r="http://schemas.openxmlformats.org/officeDocument/2006/relationships" name="Toolbar" sheetId="61" state="visible" r:id="rId61"/>
    <sheet xmlns:r="http://schemas.openxmlformats.org/officeDocument/2006/relationships" name="Tooltip" sheetId="62" state="visible" r:id="rId62"/>
    <sheet xmlns:r="http://schemas.openxmlformats.org/officeDocument/2006/relationships" name="Tree" sheetId="63" state="visible" r:id="rId63"/>
    <sheet xmlns:r="http://schemas.openxmlformats.org/officeDocument/2006/relationships" name="TreeGrid" sheetId="64" state="visible" r:id="rId64"/>
    <sheet xmlns:r="http://schemas.openxmlformats.org/officeDocument/2006/relationships" name="Virtualizer" sheetId="65" state="visible" r:id="rId65"/>
    <sheet xmlns:r="http://schemas.openxmlformats.org/officeDocument/2006/relationships" name="VisuallyHidden" sheetId="66" state="visible" r:id="rId6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color rgb="FF006100"/>
      <sz val="11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</cellXfs>
  <cellStyles count="1">
    <cellStyle name="Normal" xfId="0" builtin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tabSelected="1" zoomScale="230" zoomScaleNormal="230" workbookViewId="0">
      <selection activeCell="E41" sqref="E41"/>
    </sheetView>
  </sheetViews>
  <sheetFormatPr baseColWidth="10" defaultColWidth="8.83203125" defaultRowHeight="14"/>
  <cols>
    <col width="24" customWidth="1" style="60" min="1" max="1"/>
    <col width="12" customWidth="1" style="60" min="2" max="2"/>
    <col width="10" customWidth="1" style="60" min="3" max="6"/>
    <col width="12" customWidth="1" style="60" min="7" max="7"/>
    <col width="14" customWidth="1" style="60" min="8" max="8"/>
    <col width="10" customWidth="1" style="60" min="9" max="9"/>
  </cols>
  <sheetData>
    <row r="1" ht="23" customHeight="1" s="60">
      <c r="A1" s="56" t="inlineStr">
        <is>
          <t>Atom Playground Coverage Index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</row>
    <row r="2">
      <c r="A2" s="58" t="inlineStr">
        <is>
          <t>Formula-driven summary of component playground coverage. Component tabs are alphabetical; completion updates when each component table changes.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60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60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60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60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60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60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60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60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60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60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60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60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60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60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60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60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60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60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60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60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60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60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60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60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60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60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60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60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60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60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60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60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60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60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60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60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60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60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60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60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60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60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60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60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60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60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60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60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60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60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60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60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60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60">
      <c r="A58" s="48" t="inlineStr">
        <is>
          <t>SwipeableItem</t>
        </is>
      </c>
      <c r="B58" s="49">
        <f>COUNT(SwipeableItem!A9:A500)</f>
        <v/>
      </c>
      <c r="C58" s="49">
        <f>COUNTIF(SwipeableItem!H9:H500,"covered")</f>
        <v/>
      </c>
      <c r="D58" s="49">
        <f>COUNTIF(SwipeableItem!H9:H500,"partial")</f>
        <v/>
      </c>
      <c r="E58" s="49">
        <f>COUNTIF(SwipeableItem!H9:H500,"missing")</f>
        <v/>
      </c>
      <c r="F58" s="49">
        <f>COUNTIF(SwipeableItem!H9:H500,"untested")</f>
        <v/>
      </c>
      <c r="G58" s="50">
        <f>IFERROR(C58/B58,0)</f>
        <v/>
      </c>
      <c r="H58" s="51">
        <f>IF(AND(B58&gt;0,I58=0,G58=1),"Done","Open")</f>
        <v/>
      </c>
      <c r="I58" s="51">
        <f>MAX(0,B58-C58)</f>
        <v/>
      </c>
    </row>
    <row r="59" ht="15" customHeight="1" s="60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60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60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60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60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60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60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60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60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60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60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60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60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Accordion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manual-tests/accordion.md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manual-tests/accordion.md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manual-tests/accordion.md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manual-tests/accordion.md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manual-tests/accordion.md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manual-tests/accordion.md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manual-tests/accordion.md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manual-tests/accordion.md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manual-tests/accordion.md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manual-tests/accordion.md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manual-tests/accordion.md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manual-tests/accordion.md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manual-tests/accordion.md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manual-tests/accordion.md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manual-tests/accordion.md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manual-tests/accordion.md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manual-tests/accordion.md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manual-tests/accordion.md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manual-tests/accordion.md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type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manual-tests/accordion.md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manual-tests/accordion.md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manual-tests/accordion.md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manual-tests/accordion.md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collapsible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manual-tests/accordion.md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manual-tests/accordion.md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orientation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manual-tests/accordion.md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manual-tests/accordion.md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[data-orientation]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manual-tests/accordion.md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manual-tests/accordion.md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manual-tests/accordion.md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manual-tests/accordion.md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manual-tests/accordion.md</t>
        </is>
      </c>
      <c r="J40" s="5" t="inlineStr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manual-tests/accordion.md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Trigger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manual-tests/accordion.md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manual-tests/accordion.md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manual-tests/accordion.md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manual-tests/accordion.md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manual-tests/accordion.md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manual-tests/accordion.md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manual-tests/accordion.md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manual-tests/accordion.md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manual-tests/accordion.md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manual-tests/accordion.md</t>
        </is>
      </c>
      <c r="J51" s="5" t="inlineStr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manual-tests/accordion.md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manual-tests/accordion.md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Content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manual-tests/accordion.md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keepMounted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manual-tests/accordion.md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manual-tests/accordion.md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manual-tests/accordion.md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Item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manual-tests/accordion.md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Item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manual-tests/accordion.md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Item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manual-tests/accordion.md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Item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manual-tests/accordion.md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Item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manual-tests/accordion.md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manual-tests/accordion.md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Item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manual-tests/accordion.md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value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manual-tests/accordion.md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Item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manual-tests/accordion.md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manual-tests/accordion.md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manual-tests/accordion.md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manual-tests/accordion.md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manual-tests/accordion.md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manual-tests/accordion.md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Identity</t>
        </is>
      </c>
      <c r="C72" s="5" t="inlineStr">
        <is>
          <t>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manual-tests/accordion.md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manual-tests/accordion.md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manual-tests/accordion.md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Header</t>
        </is>
      </c>
      <c r="D75" s="5" t="inlineStr">
        <is>
          <t>asChild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manual-tests/accordion.md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Header</t>
        </is>
      </c>
      <c r="D76" s="5" t="inlineStr">
        <is>
          <t>render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manual-tests/accordion.md</t>
        </is>
      </c>
      <c r="J76" s="5" t="inlineStr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Public API</t>
        </is>
      </c>
      <c r="C77" s="5" t="inlineStr">
        <is>
          <t>Header</t>
        </is>
      </c>
      <c r="D77" s="5" t="inlineStr">
        <is>
          <t>as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manual-tests/accordion.md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Header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manual-tests/accordion.md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aria-controls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manual-tests/accordion.md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manual-tests/accordion.md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aria-expanded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manual-tests/accordion.md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aria-labelledby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manual-tests/accordion.md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manual-tests/accordion.md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data-orientation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manual-tests/accordion.md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data-slot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manual-tests/accordion.md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data-state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manual-tests/accordion.md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Accordion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manual-tests/accordion.md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Accordion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manual-tests/accordion.md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Accordion</t>
        </is>
      </c>
      <c r="D89" s="5" t="inlineStr">
        <is>
          <t>asChild lets preventDefault block Atom behavior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manual-tests/accordion.md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Accordion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manual-tests/accordion.md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Accordion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manual-tests/accordion.md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controlled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manual-tests/accordion.md</t>
        </is>
      </c>
      <c r="J92" s="5" t="inlineStr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uncontrolled default state path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manual-tests/accordion.md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state change callback fires once with correct value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manual-tests/accordion.md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mouse click or pointer activation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manual-tests/accordion.md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Enter key activation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manual-tests/accordion.md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Space key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manual-tests/accordion.md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disabled trigger blocks pointer and keyboard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manual-tests/accordion.md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Focus</t>
        </is>
      </c>
      <c r="C99" s="5" t="inlineStr">
        <is>
          <t>Trigger</t>
        </is>
      </c>
      <c r="D99" s="5" t="inlineStr">
        <is>
          <t>focus ring and focus restoration are correct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manual-tests/accordion.md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Accordion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manual-tests/accordion.md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Accordion</t>
        </is>
      </c>
      <c r="D101" s="5" t="inlineStr">
        <is>
          <t>Home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manual-tests/accordion.md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Accordion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manual-tests/accordion.md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Accordion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manual-tests/accordion.md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Accordion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manual-tests/accordion.md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Accordion</t>
        </is>
      </c>
      <c r="D105" s="5" t="inlineStr">
        <is>
          <t>roving focus or active descendant state is visible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manual-tests/accordion.md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reads Direction.Provider context for horizontal keyboard navigation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10" t="inlineStr">
        <is>
          <t>covered</t>
        </is>
      </c>
      <c r="I106" s="5" t="inlineStr">
        <is>
          <t>manual-tests/accordion.md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Direction</t>
        </is>
      </c>
      <c r="C107" s="5" t="inlineStr">
        <is>
          <t>Root</t>
        </is>
      </c>
      <c r="D107" s="5" t="inlineStr">
        <is>
          <t>RTL mirrors horizontal ArrowLeft and ArrowRight navigation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10" t="inlineStr">
        <is>
          <t>covered</t>
        </is>
      </c>
      <c r="I107" s="5" t="inlineStr">
        <is>
          <t>manual-tests/accordion.md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Playground</t>
        </is>
      </c>
      <c r="C108" s="5" t="inlineStr">
        <is>
          <t>Direction controls</t>
        </is>
      </c>
      <c r="D108" s="5" t="inlineStr">
        <is>
          <t>scenario exposes provider direction controls</t>
        </is>
      </c>
      <c r="E108" s="10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10" t="inlineStr">
        <is>
          <t>covered</t>
        </is>
      </c>
      <c r="I108" s="5" t="inlineStr">
        <is>
          <t>manual-tests/accordion.md</t>
        </is>
      </c>
      <c r="J108" s="5" t="inlineStr"/>
      <c r="K108" s="6">
        <f>IF(AND(E108="yes",F108="yes",H108="covered"),1,IF(H108="partial",0.5,0))</f>
        <v/>
      </c>
    </row>
    <row r="109" ht="15" customHeight="1" s="60"/>
    <row r="110" ht="15" customHeight="1" s="60"/>
    <row r="111" ht="30" customHeight="1" s="60"/>
    <row r="112" ht="30" customHeight="1" s="60"/>
    <row r="113" ht="30" customHeight="1" s="60"/>
    <row r="114" ht="30" customHeight="1" s="60"/>
    <row r="11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AlertDialog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AlertDialog</t>
        </is>
      </c>
      <c r="D9" s="5" t="inlineStr">
        <is>
          <t>scenario is reachable from top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Tester-first AlertDialog manual checklist.</t>
        </is>
      </c>
      <c r="J9" s="5" t="inlineStr"/>
      <c r="K9" s="6">
        <f>IF(AND(E9="yes",F9="yes",H9="covered"),1,IF(H9="partial",0.5,0))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AlertDialog</t>
        </is>
      </c>
      <c r="D10" s="5" t="inlineStr">
        <is>
          <t>layout renders Anatomy, Canvas toolbar, Canvas stage, footer, and Inspector in expected order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Tester-first AlertDialog manual checklist.</t>
        </is>
      </c>
      <c r="J10" s="5" t="inlineStr"/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Canvas toolbar exposes State, Popup, Dismiss, ARIA, Composition, and Props groups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Tester-first AlertDialog manual checklist.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Props</t>
        </is>
      </c>
      <c r="D12" s="5" t="inlineStr">
        <is>
          <t>Props toolbar keeps Prop Check off by default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Tester-first AlertDialog manual checklist.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Props</t>
        </is>
      </c>
      <c r="D13" s="5" t="inlineStr">
        <is>
          <t>custom slot toggles are off by default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Tester-first AlertDialog manual checklist.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Anatomy uses live DOM Attributes, ARIA, and Data groups for rendered parts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Tester-first AlertDialog manual checklist.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content forces role="alertdialog"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Content raw ARIA verified role="alertdialog".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backdrop/overlay click does not dismiss by design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Overlay click logged while AlertDialog stayed open.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public anatomy parts render in documented order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Anatomy order verified: Root, Trigger, Portal, Overlay, Content, Title, Description, Cancel, Action.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autofocus is enabled by default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Initial focus landed on Cancel with Cancel autofocus enabled.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distinguish cancel and action flows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Logs verified closed by cancelClick and closed by actionClick.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Escape dismissal follows closeOnEscape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Escape closed when enabled and did not close when disabled.</t>
        </is>
      </c>
      <c r="J20" s="5" t="inlineStr"/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focus containment and focus restore work while open/after close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Focus escape probe stayed inside; close restored focus to Trigger.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AlertDialog</t>
        </is>
      </c>
      <c r="D22" s="5" t="inlineStr">
        <is>
          <t>nested overlay Escape order closes nested layer before parent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Nested Select closed on first Escape; AlertDialog closed on second Escape.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provider has no DOM identity row to inspect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Root verified as behavior-only provider; no Root tag or data-slot expected.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uncontrolled default starts closed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Default Canvas starts closed with Trigger data-state="closed".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controlled open prop updates visible open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Controlled Open/Close controls opened and closed AlertDialog.</t>
        </is>
      </c>
      <c r="J25" s="5" t="inlineStr"/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reports open, cancelClick, actionClick, and Escape close changes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Logs verified open and close reasons from manual interactions.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prevents trigger activation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Disabled Trigger blocked pointer, Enter, and Space activation.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keepMounted keeps Overlay and Content mounted after close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Overlay and Content remained mounted with data-state="closed".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closeOnEscape=false prevents Escape dismissal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Escape did not close while Dismiss &gt; Escape closes was off.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backdrop dismissal remains disabled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Anatomy Root Backdrop closes row stayed no; overlay click did not close.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Tester-first AlertDialog manual checklist.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Trigger</t>
        </is>
      </c>
      <c r="D32" s="5" t="inlineStr">
        <is>
          <t>default tag is button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Trigger raw Attributes verified button tag.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consumer ref evidence records button in Anatomy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Anatomy Trigger Ref verified button.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Trigger</t>
        </is>
      </c>
      <c r="D34" s="5" t="inlineStr">
        <is>
          <t>default data-slot is alert-dialog-trigger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Trigger raw Data verified data-slot="alert-dialog-trigger".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Trigger</t>
        </is>
      </c>
      <c r="D35" s="5" t="inlineStr">
        <is>
          <t>closed state uses data-state="closed"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Trigger raw Data verified closed state.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Trigger</t>
        </is>
      </c>
      <c r="D36" s="5" t="inlineStr">
        <is>
          <t>open state uses data-state="open"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Trigger raw Data verified open state.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closed state uses aria-expanded="false"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Trigger raw ARIA verified aria-expanded="false".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ARIA</t>
        </is>
      </c>
      <c r="C38" s="5" t="inlineStr">
        <is>
          <t>Trigger</t>
        </is>
      </c>
      <c r="D38" s="5" t="inlineStr">
        <is>
          <t>open state uses aria-expanded="true"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Trigger raw ARIA verified aria-expanded="true".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ARIA</t>
        </is>
      </c>
      <c r="C39" s="5" t="inlineStr">
        <is>
          <t>Trigger</t>
        </is>
      </c>
      <c r="D39" s="5" t="inlineStr">
        <is>
          <t>aria-controls matches current Content id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Trigger aria-controls matched generated Content id.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disabled state blocks pointer and keyboard activation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Disabled Trigger probes blocked click, Enter, and Space.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Prop Check emits data-prop-check="trigger"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Trigger raw Data verified data-prop-check="trigger".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Slots</t>
        </is>
      </c>
      <c r="C42" s="5" t="inlineStr">
        <is>
          <t>Trigger</t>
        </is>
      </c>
      <c r="D42" s="5" t="inlineStr">
        <is>
          <t>custom slot emits data-slot="alert-dialog-trigger-custom"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Trigger custom slot raw Data verified.</t>
        </is>
      </c>
      <c r="J42" s="5" t="inlineStr"/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Default mode renders button and opens on click, Enter, and Space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Tester-first AlertDialog manual checklist.</t>
        </is>
      </c>
      <c r="J43" s="5" t="inlineStr"/>
      <c r="K43" s="6">
        <f>IF(AND(E43="yes",F43="yes",H43="covered"),1,IF(H43="partial",0.5,0))</f>
        <v/>
      </c>
    </row>
    <row r="44" ht="30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 Child mode merges Trigger props into single child without duplicate control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Tester-first AlertDialog manual checklist.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mode renders button through render={(props) =&gt; &lt;button {...props} /&gt;}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Tester-first AlertDialog manual checklist.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Interaction</t>
        </is>
      </c>
      <c r="C46" s="5" t="inlineStr">
        <is>
          <t>Trigger</t>
        </is>
      </c>
      <c r="D46" s="5" t="inlineStr">
        <is>
          <t>preventDefault handler blocks Trigger open when Block trigger event is enabled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Block trigger event kept dialog closed and logged blocked trigger text.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Focus</t>
        </is>
      </c>
      <c r="C47" s="5" t="inlineStr">
        <is>
          <t>Trigger</t>
        </is>
      </c>
      <c r="D47" s="5" t="inlineStr">
        <is>
          <t>focus is restored to Trigger after close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Focus restored after Cancel, Action, and Escape closes.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after Trigger in public anatomy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Tester-first AlertDialog manual checklist.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Portal</t>
        </is>
      </c>
      <c r="C49" s="5" t="inlineStr">
        <is>
          <t>Portal</t>
        </is>
      </c>
      <c r="D49" s="5" t="inlineStr">
        <is>
          <t>provider has no DOM identity row to inspect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Portal verified as behavior-only portal; no Portal tag or data-slot expected.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Portal</t>
        </is>
      </c>
      <c r="C50" s="5" t="inlineStr">
        <is>
          <t>Portal</t>
        </is>
      </c>
      <c r="D50" s="5" t="inlineStr">
        <is>
          <t>default portal renders Content outside .canvas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Anatomy Portal Inside canvas verified no by default.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Portal</t>
        </is>
      </c>
      <c r="C51" s="5" t="inlineStr">
        <is>
          <t>Portal</t>
        </is>
      </c>
      <c r="D51" s="5" t="inlineStr">
        <is>
          <t>disabled portal renders Content inside .canvas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Popup &gt; Disable portal changed Inside canvas to yes.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Overlay</t>
        </is>
      </c>
      <c r="D52" s="5" t="inlineStr">
        <is>
          <t>appears after Portal in public anatomy order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Tester-first AlertDialog manual checklist.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Overlay</t>
        </is>
      </c>
      <c r="D53" s="5" t="inlineStr">
        <is>
          <t>default tag is div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Overlay raw Attributes verified div tag.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Overlay</t>
        </is>
      </c>
      <c r="D54" s="5" t="inlineStr">
        <is>
          <t>consumer ref evidence records div in Anatomy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Anatomy Overlay Ref verified div.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Data</t>
        </is>
      </c>
      <c r="C55" s="5" t="inlineStr">
        <is>
          <t>Overlay</t>
        </is>
      </c>
      <c r="D55" s="5" t="inlineStr">
        <is>
          <t>default data-slot is alert-dialog-overlay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Overlay raw Data verified data-slot="alert-dialog-overlay".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Overlay</t>
        </is>
      </c>
      <c r="D56" s="5" t="inlineStr">
        <is>
          <t>open state uses data-state="open" after positioning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Overlay raw Data verified open state.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Overlay</t>
        </is>
      </c>
      <c r="D57" s="5" t="inlineStr">
        <is>
          <t>closed keepMounted state uses data-state="closed"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Overlay raw Data verified closed state after close with keepMounted.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Overlay</t>
        </is>
      </c>
      <c r="D58" s="5" t="inlineStr">
        <is>
          <t>data-positioned appears after positioning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Overlay raw Data verified data-positioned present.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Overlay</t>
        </is>
      </c>
      <c r="D59" s="5" t="inlineStr">
        <is>
          <t>aria-hidden="true" is present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Overlay raw ARIA verified aria-hidden="true".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Overlay</t>
        </is>
      </c>
      <c r="D60" s="5" t="inlineStr">
        <is>
          <t>Prop Check emits data-prop-check="overlay"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Overlay raw Data verified data-prop-check="overlay".</t>
        </is>
      </c>
      <c r="J60" s="5" t="inlineStr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Props</t>
        </is>
      </c>
      <c r="C61" s="5" t="inlineStr">
        <is>
          <t>Overlay</t>
        </is>
      </c>
      <c r="D61" s="5" t="inlineStr">
        <is>
          <t>disabled prop is exposed without enabling AlertDialog dismissal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Popup &gt; Disable overlay updated Anatomy/Source; overlay click still did not close.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Slots</t>
        </is>
      </c>
      <c r="C62" s="5" t="inlineStr">
        <is>
          <t>Overlay</t>
        </is>
      </c>
      <c r="D62" s="5" t="inlineStr">
        <is>
          <t>custom slot emits data-slot="alert-dialog-overlay-custom"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Overlay custom slot raw Data verified.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Overlay</t>
        </is>
      </c>
      <c r="D63" s="5" t="inlineStr">
        <is>
          <t>click logs overlay click and does not close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Overlay click logged and AlertDialog stayed open.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Content</t>
        </is>
      </c>
      <c r="D64" s="5" t="inlineStr">
        <is>
          <t>appears after Overlay in public anatomy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Tester-first AlertDialog manual checklist.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Content</t>
        </is>
      </c>
      <c r="D65" s="5" t="inlineStr">
        <is>
          <t>default tag is div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Content raw Attributes verified div tag.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Content</t>
        </is>
      </c>
      <c r="D66" s="5" t="inlineStr">
        <is>
          <t>consumer ref evidence records div in Anatomy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Anatomy Content Ref verified div.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generated id remains stable while mounted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Content id stayed stable for mounted instance.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Content</t>
        </is>
      </c>
      <c r="D68" s="5" t="inlineStr">
        <is>
          <t>default data-slot is alert-dialog-content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Content raw Data verified data-slot="alert-dialog-content".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Content</t>
        </is>
      </c>
      <c r="D69" s="5" t="inlineStr">
        <is>
          <t>open state uses data-state="open" after positioning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Content raw Data verified open state.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Content</t>
        </is>
      </c>
      <c r="D70" s="5" t="inlineStr">
        <is>
          <t>closed keepMounted state uses data-state="closed"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Content raw Data verified closed state after close with keepMounted.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Content</t>
        </is>
      </c>
      <c r="D71" s="5" t="inlineStr">
        <is>
          <t>data-positioned appears after positioning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Content raw Data verified data-positioned present.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Content</t>
        </is>
      </c>
      <c r="D72" s="5" t="inlineStr">
        <is>
          <t>role is alertdialog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Content raw ARIA verified role="alertdialog".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Content</t>
        </is>
      </c>
      <c r="D73" s="5" t="inlineStr">
        <is>
          <t>aria-modal is true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Content raw ARIA verified aria-modal="true".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Content</t>
        </is>
      </c>
      <c r="D74" s="5" t="inlineStr">
        <is>
          <t>aria-labelledby matches rendered Title id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Content aria-labelledby matched generated Title id.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Content</t>
        </is>
      </c>
      <c r="D75" s="5" t="inlineStr">
        <is>
          <t>aria-describedby matches rendered Description id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Content aria-describedby matched generated Description id.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ARIA</t>
        </is>
      </c>
      <c r="C76" s="5" t="inlineStr">
        <is>
          <t>Content</t>
        </is>
      </c>
      <c r="D76" s="5" t="inlineStr">
        <is>
          <t>ariaLabel mode uses aria-label="Delete project confirmation" and omits Title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ARIA &gt; Use ariaLabel verified aria-label and Title not rendered.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Content</t>
        </is>
      </c>
      <c r="D77" s="5" t="inlineStr">
        <is>
          <t>Prop Check emits data-prop-check="content"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Content raw Data verified data-prop-check="content".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Slots</t>
        </is>
      </c>
      <c r="C78" s="5" t="inlineStr">
        <is>
          <t>Content</t>
        </is>
      </c>
      <c r="D78" s="5" t="inlineStr">
        <is>
          <t>custom slot emits data-slot="alert-dialog-content-custom"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Content custom slot raw Data verified.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Focus</t>
        </is>
      </c>
      <c r="C79" s="5" t="inlineStr">
        <is>
          <t>Content</t>
        </is>
      </c>
      <c r="D79" s="5" t="inlineStr">
        <is>
          <t>focus escape probe remains inside AlertDialog content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Test focus escape logged focus stayed inside alert dialog: yes.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after Content in public anatomy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Tester-first AlertDialog manual checklist.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h2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Title raw Attributes verified h2 by default.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as prop renders h1 through h6 when selected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ARIA &gt; Title as verified h1-h6 tags.</t>
        </is>
      </c>
      <c r="J82" s="5" t="inlineStr"/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Title</t>
        </is>
      </c>
      <c r="D83" s="5" t="inlineStr">
        <is>
          <t>consumer ref evidence records selected heading tag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Anatomy Title Ref matched selected heading tag.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Title</t>
        </is>
      </c>
      <c r="D84" s="5" t="inlineStr">
        <is>
          <t>generated id remains stable while mounted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Title id stayed stable for mounted instance.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Title</t>
        </is>
      </c>
      <c r="D85" s="5" t="inlineStr">
        <is>
          <t>default data-slot is alert-dialog-title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Title raw Data verified data-slot="alert-dialog-title".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Title</t>
        </is>
      </c>
      <c r="D86" s="5" t="inlineStr">
        <is>
          <t>Content aria-labelledby matches Title id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Content aria-labelledby matched generated Title id.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Title</t>
        </is>
      </c>
      <c r="D87" s="5" t="inlineStr">
        <is>
          <t>Title is omitted when Content ariaLabel is used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ARIA &gt; Use ariaLabel removed Title from DOM/Anatomy.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Props</t>
        </is>
      </c>
      <c r="C88" s="5" t="inlineStr">
        <is>
          <t>Title</t>
        </is>
      </c>
      <c r="D88" s="5" t="inlineStr">
        <is>
          <t>Prop Check emits data-prop-check="title" when Title renders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Title raw Data verified data-prop-check="title".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Slots</t>
        </is>
      </c>
      <c r="C89" s="5" t="inlineStr">
        <is>
          <t>Title</t>
        </is>
      </c>
      <c r="D89" s="5" t="inlineStr">
        <is>
          <t>custom slot emits data-slot="alert-dialog-title-custom" when Title renders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Title custom slot raw Data verified.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Description</t>
        </is>
      </c>
      <c r="D90" s="5" t="inlineStr">
        <is>
          <t>appears after Title in public anatomy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Tester-first AlertDialog manual checklist.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Description</t>
        </is>
      </c>
      <c r="D91" s="5" t="inlineStr">
        <is>
          <t>default tag is p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Description raw Attributes verified p tag.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Description</t>
        </is>
      </c>
      <c r="D92" s="5" t="inlineStr">
        <is>
          <t>consumer ref evidence records p in Anatomy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Anatomy Description Ref verified p.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Identity</t>
        </is>
      </c>
      <c r="C93" s="5" t="inlineStr">
        <is>
          <t>Description</t>
        </is>
      </c>
      <c r="D93" s="5" t="inlineStr">
        <is>
          <t>generated id remains stable while mounted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Description id stayed stable for mounted instance.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Description</t>
        </is>
      </c>
      <c r="D94" s="5" t="inlineStr">
        <is>
          <t>default data-slot is alert-dialog-description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Description raw Data verified data-slot="alert-dialog-description".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Description</t>
        </is>
      </c>
      <c r="D95" s="5" t="inlineStr">
        <is>
          <t>Content aria-describedby matches Description id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Content aria-describedby matched generated Description id.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Description</t>
        </is>
      </c>
      <c r="D96" s="5" t="inlineStr">
        <is>
          <t>Prop Check emits data-prop-check="description"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Description raw Data verified data-prop-check="description".</t>
        </is>
      </c>
      <c r="J96" s="5" t="inlineStr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Slots</t>
        </is>
      </c>
      <c r="C97" s="5" t="inlineStr">
        <is>
          <t>Description</t>
        </is>
      </c>
      <c r="D97" s="5" t="inlineStr">
        <is>
          <t>custom slot emits data-slot="alert-dialog-description-custom"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Description custom slot raw Data verified.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Cancel</t>
        </is>
      </c>
      <c r="D98" s="5" t="inlineStr">
        <is>
          <t>appears after Description in public anatomy order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Tester-first AlertDialog manual checklist.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Identity</t>
        </is>
      </c>
      <c r="C99" s="5" t="inlineStr">
        <is>
          <t>Cancel</t>
        </is>
      </c>
      <c r="D99" s="5" t="inlineStr">
        <is>
          <t>default tag is button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Cancel raw Attributes verified button tag.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Identity</t>
        </is>
      </c>
      <c r="C100" s="5" t="inlineStr">
        <is>
          <t>Cancel</t>
        </is>
      </c>
      <c r="D100" s="5" t="inlineStr">
        <is>
          <t>default/render mode has type="button"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Cancel raw Attributes verified type="button" in default/render modes.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Cancel</t>
        </is>
      </c>
      <c r="D101" s="5" t="inlineStr">
        <is>
          <t>consumer ref evidence records button in Anatomy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Anatomy Cancel Ref verified button in default mode.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Cancel</t>
        </is>
      </c>
      <c r="D102" s="5" t="inlineStr">
        <is>
          <t>default data-slot is alert-dialog-cancel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Cancel raw Data verified data-slot="alert-dialog-cancel".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Cancel</t>
        </is>
      </c>
      <c r="D103" s="5" t="inlineStr">
        <is>
          <t>Prop Check emits data-prop-check="cancel"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Cancel raw Data verified data-prop-check="cancel".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Slots</t>
        </is>
      </c>
      <c r="C104" s="5" t="inlineStr">
        <is>
          <t>Cancel</t>
        </is>
      </c>
      <c r="D104" s="5" t="inlineStr">
        <is>
          <t>custom slot emits data-slot="alert-dialog-cancel-custom"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Cancel custom slot raw Data verified.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Composition</t>
        </is>
      </c>
      <c r="C105" s="5" t="inlineStr">
        <is>
          <t>Cancel</t>
        </is>
      </c>
      <c r="D105" s="5" t="inlineStr">
        <is>
          <t>Default mode renders button and closes with cancelClick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Tester-first AlertDialog manual checklist.</t>
        </is>
      </c>
      <c r="J105" s="5" t="inlineStr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 Child mode merges Cancel props into single child without duplicate control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Tester-first AlertDialog manual checklist.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mode renders button and receives type="button" through spread props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Tester-first AlertDialog manual checklist.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Cancel</t>
        </is>
      </c>
      <c r="D108" s="5" t="inlineStr">
        <is>
          <t>autoFocus defaults to true and initially focuses Cancel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Initial focus landed on Cancel with Cancel autofocus on.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Interaction</t>
        </is>
      </c>
      <c r="C109" s="5" t="inlineStr">
        <is>
          <t>Cancel</t>
        </is>
      </c>
      <c r="D109" s="5" t="inlineStr">
        <is>
          <t>click closes and logs cancelClick reason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Cancel click closed and log included closed by cancelClick.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Interaction</t>
        </is>
      </c>
      <c r="C110" s="5" t="inlineStr">
        <is>
          <t>Cancel</t>
        </is>
      </c>
      <c r="D110" s="5" t="inlineStr">
        <is>
          <t>preventDefault handler blocks close when Block cancel close is enabled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Block cancel close kept dialog open and logged blocked cancel text.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Action</t>
        </is>
      </c>
      <c r="D111" s="5" t="inlineStr">
        <is>
          <t>appears after Cancel in public anatomy order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Tester-first AlertDialog manual checklist.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Action</t>
        </is>
      </c>
      <c r="D112" s="5" t="inlineStr">
        <is>
          <t>default tag is button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Action raw Attributes verified button tag.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Action</t>
        </is>
      </c>
      <c r="D113" s="5" t="inlineStr">
        <is>
          <t>default/render mode has type="button"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Action raw Attributes verified type="button" in default/render modes.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Action</t>
        </is>
      </c>
      <c r="D114" s="5" t="inlineStr">
        <is>
          <t>consumer ref evidence records button in Anatomy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Anatomy Action Ref verified button in default mode.</t>
        </is>
      </c>
      <c r="J114" s="5" t="inlineStr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Data</t>
        </is>
      </c>
      <c r="C115" s="5" t="inlineStr">
        <is>
          <t>Action</t>
        </is>
      </c>
      <c r="D115" s="5" t="inlineStr">
        <is>
          <t>default data-slot is alert-dialog-action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Action raw Data verified data-slot="alert-dialog-action".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Props</t>
        </is>
      </c>
      <c r="C116" s="5" t="inlineStr">
        <is>
          <t>Action</t>
        </is>
      </c>
      <c r="D116" s="5" t="inlineStr">
        <is>
          <t>Prop Check emits data-prop-check="action"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Action raw Data verified data-prop-check="action".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Slots</t>
        </is>
      </c>
      <c r="C117" s="5" t="inlineStr">
        <is>
          <t>Action</t>
        </is>
      </c>
      <c r="D117" s="5" t="inlineStr">
        <is>
          <t>custom slot emits data-slot="alert-dialog-action-custom"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Action custom slot raw Data verified.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Action</t>
        </is>
      </c>
      <c r="D118" s="5" t="inlineStr">
        <is>
          <t>Default mode renders button and closes with actionClick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Tester-first AlertDialog manual checklist.</t>
        </is>
      </c>
      <c r="J118" s="5" t="inlineStr"/>
      <c r="K118" s="6">
        <f>IF(AND(E118="yes",F118="yes",H118="covered"),1,IF(H118="partial",0.5,0))</f>
        <v/>
      </c>
    </row>
    <row r="119" ht="30" customHeight="1" s="60">
      <c r="A119" s="4" t="n">
        <v>111</v>
      </c>
      <c r="B119" s="5" t="inlineStr">
        <is>
          <t>Composition</t>
        </is>
      </c>
      <c r="C119" s="5" t="inlineStr">
        <is>
          <t>Action</t>
        </is>
      </c>
      <c r="D119" s="5" t="inlineStr">
        <is>
          <t>As Child mode merges Action props into single child without duplicate control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Tester-first AlertDialog manual checklist.</t>
        </is>
      </c>
      <c r="J119" s="5" t="inlineStr"/>
      <c r="K119" s="6">
        <f>IF(AND(E119="yes",F119="yes",H119="covered"),1,IF(H119="partial",0.5,0))</f>
        <v/>
      </c>
    </row>
    <row r="120" ht="30" customHeight="1" s="60">
      <c r="A120" s="4" t="n">
        <v>112</v>
      </c>
      <c r="B120" s="5" t="inlineStr">
        <is>
          <t>Composition</t>
        </is>
      </c>
      <c r="C120" s="5" t="inlineStr">
        <is>
          <t>Action</t>
        </is>
      </c>
      <c r="D120" s="5" t="inlineStr">
        <is>
          <t>Render mode renders button and receives type="button" through spread props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Tester-first AlertDialog manual checklist.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Action</t>
        </is>
      </c>
      <c r="D121" s="5" t="inlineStr">
        <is>
          <t>click closes and logs actionClick reason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Action click closed and log included closed by actionClick.</t>
        </is>
      </c>
      <c r="J121" s="5" t="inlineStr"/>
      <c r="K121" s="6">
        <f>IF(AND(E121="yes",F121="yes",H121="covered"),1,IF(H121="partial",0.5,0))</f>
        <v/>
      </c>
    </row>
    <row r="122" ht="30" customHeight="1" s="60">
      <c r="A122" s="4" t="n">
        <v>114</v>
      </c>
      <c r="B122" s="5" t="inlineStr">
        <is>
          <t>Interaction</t>
        </is>
      </c>
      <c r="C122" s="5" t="inlineStr">
        <is>
          <t>Action</t>
        </is>
      </c>
      <c r="D122" s="5" t="inlineStr">
        <is>
          <t>preventDefault handler blocks close when Block action close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Block action close kept dialog open and logged blocked action text.</t>
        </is>
      </c>
      <c r="J122" s="5" t="inlineStr"/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Source</t>
        </is>
      </c>
      <c r="C123" s="5" t="inlineStr">
        <is>
          <t>AlertDialog</t>
        </is>
      </c>
      <c r="D123" s="5" t="inlineStr">
        <is>
          <t>default Source omits false/default props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Source omitted disabled={false}, keepMounted={false}, and default false booleans.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Source</t>
        </is>
      </c>
      <c r="C124" s="5" t="inlineStr">
        <is>
          <t>Root</t>
        </is>
      </c>
      <c r="D124" s="5" t="inlineStr">
        <is>
          <t>controlled mode Source shows open={open}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Source verified controlled open prop appears only in controlled mode.</t>
        </is>
      </c>
      <c r="J124" s="5" t="inlineStr"/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Source</t>
        </is>
      </c>
      <c r="C125" s="5" t="inlineStr">
        <is>
          <t>Root</t>
        </is>
      </c>
      <c r="D125" s="5" t="inlineStr">
        <is>
          <t>disabled, keepMounted, and closeOnEscape={false} appear only when active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Tester-first AlertDialog manual checklist.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Source</t>
        </is>
      </c>
      <c r="C126" s="5" t="inlineStr">
        <is>
          <t>Portal</t>
        </is>
      </c>
      <c r="D126" s="5" t="inlineStr">
        <is>
          <t>disabled portal Source shows &lt;AlertDialog.Portal disabled&gt;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Tester-first AlertDialog manual checklist.</t>
        </is>
      </c>
      <c r="J126" s="5" t="inlineStr"/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Source</t>
        </is>
      </c>
      <c r="C127" s="5" t="inlineStr">
        <is>
          <t>Overlay</t>
        </is>
      </c>
      <c r="D127" s="5" t="inlineStr">
        <is>
          <t>disabled overlay Source shows disabled on AlertDialog.Overlay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Tester-first AlertDialog manual checklist.</t>
        </is>
      </c>
      <c r="J127" s="5" t="inlineStr"/>
      <c r="K127" s="6">
        <f>IF(AND(E127="yes",F127="yes",H127="covered"),1,IF(H127="partial",0.5,0))</f>
        <v/>
      </c>
    </row>
    <row r="128" ht="30" customHeight="1" s="60">
      <c r="A128" s="4" t="n">
        <v>120</v>
      </c>
      <c r="B128" s="5" t="inlineStr">
        <is>
          <t>Source</t>
        </is>
      </c>
      <c r="C128" s="5" t="inlineStr">
        <is>
          <t>Content</t>
        </is>
      </c>
      <c r="D128" s="5" t="inlineStr">
        <is>
          <t>ariaLabel Source omits Title and shows ariaLabel="Delete project confirmation"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Tester-first AlertDialog manual checklist.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Source</t>
        </is>
      </c>
      <c r="C129" s="5" t="inlineStr">
        <is>
          <t>Title</t>
        </is>
      </c>
      <c r="D129" s="5" t="inlineStr">
        <is>
          <t>heading Source shows selected as="h1" through as="h6"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Tester-first AlertDialog manual checklist.</t>
        </is>
      </c>
      <c r="J129" s="5" t="inlineStr"/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Source</t>
        </is>
      </c>
      <c r="C130" s="5" t="inlineStr">
        <is>
          <t>Props</t>
        </is>
      </c>
      <c r="D130" s="5" t="inlineStr">
        <is>
          <t>Prop Check Source shows exact data-prop-check values for rendered parts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Tester-first AlertDialog manual checklist.</t>
        </is>
      </c>
      <c r="J130" s="5" t="inlineStr"/>
      <c r="K130" s="6">
        <f>IF(AND(E130="yes",F130="yes",H130="covered"),1,IF(H130="partial",0.5,0))</f>
        <v/>
      </c>
    </row>
    <row r="131" ht="30" customHeight="1" s="60">
      <c r="A131" s="4" t="n">
        <v>123</v>
      </c>
      <c r="B131" s="5" t="inlineStr">
        <is>
          <t>Source</t>
        </is>
      </c>
      <c r="C131" s="5" t="inlineStr">
        <is>
          <t>Slots</t>
        </is>
      </c>
      <c r="D131" s="5" t="inlineStr">
        <is>
          <t>custom slot Source shows exact custom data-slot values for rendered parts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Tester-first AlertDialog manual checklist.</t>
        </is>
      </c>
      <c r="J131" s="5" t="inlineStr"/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Source</t>
        </is>
      </c>
      <c r="C132" s="5" t="inlineStr">
        <is>
          <t>Composition</t>
        </is>
      </c>
      <c r="D132" s="5" t="inlineStr">
        <is>
          <t>render composition Source uses render={(props) =&gt; &lt;button {...props} /&gt;} for Trigger, Cancel, and Action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Tester-first AlertDialog manual checklist.</t>
        </is>
      </c>
      <c r="J132" s="5" t="inlineStr"/>
      <c r="K132" s="6">
        <f>IF(AND(E132="yes",F132="yes",H132="covered"),1,IF(H132="partial",0.5,0))</f>
        <v/>
      </c>
    </row>
    <row r="133" ht="30" customHeight="1" s="60">
      <c r="A133" s="4" t="n">
        <v>125</v>
      </c>
      <c r="B133" s="5" t="inlineStr">
        <is>
          <t>Source</t>
        </is>
      </c>
      <c r="C133" s="5" t="inlineStr">
        <is>
          <t>Dismiss</t>
        </is>
      </c>
      <c r="D133" s="5" t="inlineStr">
        <is>
          <t>blocked event Source shows preventDefault handlers for Trigger, Cancel, and Action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Tester-first AlertDialog manual checklist.</t>
        </is>
      </c>
      <c r="J133" s="5" t="inlineStr"/>
      <c r="K133" s="6">
        <f>IF(AND(E133="yes",F133="yes",H133="covered"),1,IF(H133="partial",0.5,0))</f>
        <v/>
      </c>
    </row>
    <row r="134" ht="30" customHeight="1" s="60">
      <c r="A134" s="4" t="n">
        <v>126</v>
      </c>
      <c r="B134" s="5" t="inlineStr">
        <is>
          <t>Source</t>
        </is>
      </c>
      <c r="C134" s="5" t="inlineStr">
        <is>
          <t>Nested Select</t>
        </is>
      </c>
      <c r="D134" s="5" t="inlineStr">
        <is>
          <t>nested Select Source includes Select.Root, Trigger, Content, Viewport, Item, and ItemText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Tester-first AlertDialog manual checklist.</t>
        </is>
      </c>
      <c r="J134" s="5" t="inlineStr"/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Inspector</t>
        </is>
      </c>
      <c r="C135" s="5" t="inlineStr">
        <is>
          <t>Selected</t>
        </is>
      </c>
      <c r="D135" s="5" t="inlineStr">
        <is>
          <t>clicking rendered parts updates Selected raw Attributes, ARIA, and Data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Tester-first AlertDialog manual checklist.</t>
        </is>
      </c>
      <c r="J135" s="5" t="inlineStr"/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Inspector</t>
        </is>
      </c>
      <c r="C136" s="5" t="inlineStr">
        <is>
          <t>Focused</t>
        </is>
      </c>
      <c r="D136" s="5" t="inlineStr">
        <is>
          <t>focusing controls updates Focused raw Attributes, ARIA, and Data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Tester-first AlertDialog manual checklist.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Logs</t>
        </is>
      </c>
      <c r="C137" s="5" t="inlineStr">
        <is>
          <t>AlertDialog</t>
        </is>
      </c>
      <c r="D137" s="5" t="inlineStr">
        <is>
          <t>logs record trigger click/key, overlay, cancel, action, blocked events, and controlled open/close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Tester-first AlertDialog manual checklist.</t>
        </is>
      </c>
      <c r="J137" s="5" t="inlineStr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Logs</t>
        </is>
      </c>
      <c r="C138" s="5" t="inlineStr">
        <is>
          <t>AlertDialog</t>
        </is>
      </c>
      <c r="D138" s="5" t="inlineStr">
        <is>
          <t>logs persist after AlertDialog closes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Tester-first AlertDialog manual checklist.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Logs</t>
        </is>
      </c>
      <c r="C139" s="5" t="inlineStr">
        <is>
          <t>AlertDialog</t>
        </is>
      </c>
      <c r="D139" s="5" t="inlineStr">
        <is>
          <t>logs use compact timestamp rows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Tester-first AlertDialog manual checklist.</t>
        </is>
      </c>
      <c r="J139" s="5" t="inlineStr"/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Portal</t>
        </is>
      </c>
      <c r="C140" s="5" t="inlineStr">
        <is>
          <t>AlertDialog</t>
        </is>
      </c>
      <c r="D140" s="5" t="inlineStr">
        <is>
          <t>default portal path and disabled portal path are both manually verified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Tester-first AlertDialog manual checklist.</t>
        </is>
      </c>
      <c r="J140" s="5" t="inlineStr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Nesting</t>
        </is>
      </c>
      <c r="C141" s="5" t="inlineStr">
        <is>
          <t>AlertDialog</t>
        </is>
      </c>
      <c r="D141" s="5" t="inlineStr">
        <is>
          <t>Nested Select remains within AlertDialog layer stack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Tester-first AlertDialog manual checklist.</t>
        </is>
      </c>
      <c r="J141" s="5" t="inlineStr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Dismiss</t>
        </is>
      </c>
      <c r="C142" s="5" t="inlineStr">
        <is>
          <t>AlertDialog</t>
        </is>
      </c>
      <c r="D142" s="5" t="inlineStr">
        <is>
          <t>Escape closes Nested Select before parent AlertDialog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Tester-first AlertDialog manual checklist.</t>
        </is>
      </c>
      <c r="J142" s="5" t="inlineStr"/>
      <c r="K142" s="6">
        <f>IF(AND(E142="yes",F142="yes",H142="covered"),1,IF(H142="partial",0.5,0))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AppBar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AppBar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AppBar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AppBar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AppBar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AppBar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AppBar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AppBar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AppBar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AppBar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AppBar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AppBar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AppBar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AppBar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AppBar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AppBar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AppBar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AppBar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AppBar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AppBar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AppBar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BarCenter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AppBar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BarCenter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AppBar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BarCenter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AppBar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BarCenter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AppBar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BarCenter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AppBar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BarCenter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AppBar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BarToolbar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AppBar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BarToolbar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AppBar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BarToolbar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AppBar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BarToolbar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AppBar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BarToolbar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AppBar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BarToolbar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AppBar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Center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AppBar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Center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AppBar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Center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AppBar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Center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AppBar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Center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AppBar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Center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AppBar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Center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AppBar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Center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AppBar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Center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AppBar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End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AppBar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End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AppBar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End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AppBar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End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AppBar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End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AppBar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End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AppBar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End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AppBar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End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AppBar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End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AppBar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Section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AppBar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Section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AppBar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Identity</t>
        </is>
      </c>
      <c r="C63" s="5" t="inlineStr">
        <is>
          <t>Section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AppBar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Section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AppBar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Props</t>
        </is>
      </c>
      <c r="C65" s="5" t="inlineStr">
        <is>
          <t>Section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AppBar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Refs</t>
        </is>
      </c>
      <c r="C66" s="5" t="inlineStr">
        <is>
          <t>Section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AppBar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Start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AppBar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Start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AppBar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Start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AppBar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Start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AppBar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Start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AppBar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Start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AppBar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Start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AppBar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Start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AppBar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Start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AppBar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Toolbar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AppBar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Toolbar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AppBar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Toolbar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AppBar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Toolbar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AppBar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Toolbar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AppBar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Toolbar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AppBar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Toolbar</t>
        </is>
      </c>
      <c r="D82" s="5" t="inlineStr">
        <is>
          <t>asChild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AppBar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Toolbar</t>
        </is>
      </c>
      <c r="D83" s="5" t="inlineStr">
        <is>
          <t>render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AppBar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Toolbar</t>
        </is>
      </c>
      <c r="D84" s="5" t="inlineStr">
        <is>
          <t>density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AppBar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Toolbar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AppBar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Toolbar</t>
        </is>
      </c>
      <c r="D86" s="5" t="inlineStr">
        <is>
          <t>[data-density]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AppBar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AppBar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data-density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AppBar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data-position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AppBar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AppBar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AppBar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AppBar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AppBar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AppBar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AppBar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AppBar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AppBar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AppBar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AppBar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AppBar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AspectRatio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60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60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Avatar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60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60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60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60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60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60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60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60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60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60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60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60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60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Badge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BottomNavigation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BottomNavigation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BottomNavigation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BottomNavigation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BottomNavigation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BottomNavigation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BottomNavigation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BottomNavigation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BottomNavigation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BottomNavigation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BottomNavigation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BottomNavigation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BottomNavigation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BottomNavigation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BottomNavigation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BottomNavigation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BottomNavigation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BottomNavigation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BottomNavigation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BottomNavigation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BottomNavigation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BottomNavigation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BottomNavigation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BottomNavigation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BottomNavigation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BottomNavigation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BottomNavigation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BottomNavigation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BottomNavigation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BottomNavigation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BottomNavigation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BottomNavigation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BottomNavigation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BottomNavigation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BottomNavigation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BottomNavigation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BottomNavigation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BottomNavigation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BottomNavigation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BottomNavigation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BottomNavigation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BottomNavigation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BottomNavigation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NavigationItem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BottomNavigation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NavigationItem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BottomNavigation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NavigationItem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BottomNavigation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NavigationItem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BottomNavigation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NavigationItem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BottomNavigation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NavigationItem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BottomNavigation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aria-current is present at the correct time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BottomNavigation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aria-disabled is present at the correct time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BottomNavigation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 is present at the correct time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BottomNavigation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data-active is present at the correct time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BottomNavigation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data-disabled is present at the correct time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BottomNavigation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data-label-visible is present at the correct time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BottomNavigation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BottomNavigation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BottomNavigation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data-value is present at the correct time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BottomNavigation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Composition</t>
        </is>
      </c>
      <c r="C68" s="5" t="inlineStr">
        <is>
          <t>BottomNavigation</t>
        </is>
      </c>
      <c r="D68" s="5" t="inlineStr">
        <is>
          <t>asChild preserves child content without double nesting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BottomNavigation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BottomNavigation</t>
        </is>
      </c>
      <c r="D69" s="5" t="inlineStr">
        <is>
          <t>asChild merges Atom props and consumer props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BottomNavigation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BottomNavigation</t>
        </is>
      </c>
      <c r="D70" s="5" t="inlineStr">
        <is>
          <t>asChild lets preventDefault block Atom behavior where supported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BottomNavigation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BottomNavigation</t>
        </is>
      </c>
      <c r="D71" s="5" t="inlineStr">
        <is>
          <t>render prop renders custom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BottomNavigation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BottomNavigation</t>
        </is>
      </c>
      <c r="D72" s="5" t="inlineStr">
        <is>
          <t>render prop preserves refs and behavior props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BottomNavigation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controlled state path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BottomNavigation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uncontrolled default state path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BottomNavigation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Root</t>
        </is>
      </c>
      <c r="D75" s="5" t="inlineStr">
        <is>
          <t>state change callback fires once with correct value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BottomNavigation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Keyboard</t>
        </is>
      </c>
      <c r="C76" s="5" t="inlineStr">
        <is>
          <t>BottomNavigation</t>
        </is>
      </c>
      <c r="D76" s="5" t="inlineStr">
        <is>
          <t>Arrow key navigation follows documented orientation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BottomNavigation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Keyboard</t>
        </is>
      </c>
      <c r="C77" s="5" t="inlineStr">
        <is>
          <t>BottomNavigation</t>
        </is>
      </c>
      <c r="D77" s="5" t="inlineStr">
        <is>
          <t>Home and End navigation where supported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BottomNavigation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Keyboard</t>
        </is>
      </c>
      <c r="C78" s="5" t="inlineStr">
        <is>
          <t>BottomNavigation</t>
        </is>
      </c>
      <c r="D78" s="5" t="inlineStr">
        <is>
          <t>disabled items are skipped or exposed according to pattern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BottomNavigation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Keyboard</t>
        </is>
      </c>
      <c r="C79" s="5" t="inlineStr">
        <is>
          <t>BottomNavigation</t>
        </is>
      </c>
      <c r="D79" s="5" t="inlineStr">
        <is>
          <t>typeahead/search behavior where supported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BottomNavigation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Focus</t>
        </is>
      </c>
      <c r="C80" s="5" t="inlineStr">
        <is>
          <t>BottomNavigation</t>
        </is>
      </c>
      <c r="D80" s="5" t="inlineStr">
        <is>
          <t>roving focus or active descendant state is visible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BottomNavigation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Breadcrumb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Breadcrumb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Breadcrumb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Breadcrumb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Breadcrumb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Breadcrumb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Breadcrumb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Breadcrumb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Breadcrumb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Breadcrumb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Breadcrumb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Breadcrumb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Breadcrumb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Breadcrumb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Breadcrumb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Breadcrumb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Breadcrumb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Breadcrumb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aria-label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Breadcrumb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Breadcrumb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Breadcrumb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Breadcrumb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Breadcrumb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Breadcrumb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Breadcrumb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Breadcrumb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Breadcrumb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Breadcrumb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Breadcrumb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Breadcrumb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Breadcrumb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Breadcrumb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Breadcrumb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Breadcrumb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Breadcrumb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Breadcrumb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Breadcrumb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Breadcrumb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Breadcrumb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Breadcrumb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Breadcrumb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Breadcrumb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Breadcrumb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Breadcrumb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Breadcrumb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Breadcrumb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Breadcrumb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Breadcrumb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Breadcrumb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Breadcrumb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Breadcrumb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Breadcrumb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Breadcrumb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Breadcrumb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Breadcrumb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Breadcrumb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Breadcrumb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Breadcrumb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Breadcrumb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Breadcrumb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Breadcrumb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Breadcrumb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Breadcrumb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Breadcrumb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Breadcrumb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Breadcrumb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Breadcrumb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Breadcrumb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Breadcrumb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Breadcrumb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Breadcrumb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Breadcrumb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Breadcrumb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Breadcrumb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Breadcrumb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Breadcrumb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Breadcrumb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Breadcrumb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Breadcrumb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Breadcrumb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asChild lets preventDefault block Atom behavior where supported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Breadcrumb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renders custom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Breadcrumb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Breadcrumb</t>
        </is>
      </c>
      <c r="D92" s="5" t="inlineStr">
        <is>
          <t>render prop preserves refs and behavior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Breadcrumb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Keyboard</t>
        </is>
      </c>
      <c r="C93" s="5" t="inlineStr">
        <is>
          <t>Breadcrumb</t>
        </is>
      </c>
      <c r="D93" s="5" t="inlineStr">
        <is>
          <t>Arrow key navigation follows documented orientation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Breadcrumb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Keyboard</t>
        </is>
      </c>
      <c r="C94" s="5" t="inlineStr">
        <is>
          <t>Breadcrumb</t>
        </is>
      </c>
      <c r="D94" s="5" t="inlineStr">
        <is>
          <t>Home and End navigation where supported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Breadcrumb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Keyboard</t>
        </is>
      </c>
      <c r="C95" s="5" t="inlineStr">
        <is>
          <t>Breadcrumb</t>
        </is>
      </c>
      <c r="D95" s="5" t="inlineStr">
        <is>
          <t>disabled items are skipped or exposed according to pattern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Breadcrumb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Keyboard</t>
        </is>
      </c>
      <c r="C96" s="5" t="inlineStr">
        <is>
          <t>Breadcrumb</t>
        </is>
      </c>
      <c r="D96" s="5" t="inlineStr">
        <is>
          <t>typeahead/search behavior where supported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Breadcrumb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Focus</t>
        </is>
      </c>
      <c r="C97" s="5" t="inlineStr">
        <is>
          <t>Breadcrumb</t>
        </is>
      </c>
      <c r="D97" s="5" t="inlineStr">
        <is>
          <t>roving focus or active descendant state is visible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Breadcrumb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Button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60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60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60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60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Collapsible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Props toolbar exposes Prop Check; raw Data verifies data-prop-check is absent by default and present when enabled.</t>
        </is>
      </c>
      <c r="J9" s="20" t="inlineStr">
        <is>
          <t>Manual verification passed.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Props toolbar exposes Root, Trigger, and Content custom slot toggles; raw Data verifies custom data-slot values.</t>
        </is>
      </c>
      <c r="J10" s="20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Step 0 smoke check verified top menu reachability.</t>
        </is>
      </c>
      <c r="J11" s="20" t="inlineStr">
        <is>
          <t>Manual verification passed.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Step 5 verified Source updates for state, composition, props, slots, and blocked trigger behavior.</t>
        </is>
      </c>
      <c r="J12" s="20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Anatomy exposes live Attributes, ARIA, and Data groups for Root, Trigger, and Content.</t>
        </is>
      </c>
      <c r="J13" s="20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Inspector Selected, Focused, and Logs verified for Collapsible.</t>
        </is>
      </c>
      <c r="J14" s="20" t="inlineStr">
        <is>
          <t>Manual verification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Collapsible manual protocol in .manual-tests/collapsible.md.</t>
        </is>
      </c>
      <c r="J15" s="20" t="inlineStr">
        <is>
          <t>Manual verification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Trigger aria-controls matches rendered Content id; Content aria-labelledby matches Trigger id.</t>
        </is>
      </c>
      <c r="J16" s="20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Collapsible manual protocol in .manual-tests/collapsible.md.</t>
        </is>
      </c>
      <c r="J17" s="20" t="inlineStr">
        <is>
          <t>Manual verification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Content exposes --content-height as a measured pixel value related to rendered content height.</t>
        </is>
      </c>
      <c r="J18" s="20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Collapsible manual protocol in .manual-tests/collapsible.md.</t>
        </is>
      </c>
      <c r="J19" s="20" t="inlineStr">
        <is>
          <t>Manual verification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Collapsible manual protocol in .manual-tests/collapsible.md.</t>
        </is>
      </c>
      <c r="J20" s="20" t="inlineStr">
        <is>
          <t>Manual verification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Collapsible manual protocol in .manual-tests/collapsible.md.</t>
        </is>
      </c>
      <c r="J21" s="20" t="inlineStr">
        <is>
          <t>Manual verification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Collapsible manual protocol in .manual-tests/collapsible.md.</t>
        </is>
      </c>
      <c r="J22" s="20" t="inlineStr">
        <is>
          <t>Manual verification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Collapsible manual protocol in .manual-tests/collapsible.md.</t>
        </is>
      </c>
      <c r="J23" s="20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Root data-prop-check verified in raw Data only when Prop Check is enabled.</t>
        </is>
      </c>
      <c r="J24" s="20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Root ref verified through Anatomy Ref target row.</t>
        </is>
      </c>
      <c r="J25" s="20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Collapsible manual protocol in .manual-tests/collapsible.md.</t>
        </is>
      </c>
      <c r="J26" s="20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Collapsible manual protocol in .manual-tests/collapsible.md.</t>
        </is>
      </c>
      <c r="J27" s="20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Collapsible manual protocol in .manual-tests/collapsible.md.</t>
        </is>
      </c>
      <c r="J28" s="20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Collapsible manual protocol in .manual-tests/collapsible.md.</t>
        </is>
      </c>
      <c r="J29" s="20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Collapsible manual protocol in .manual-tests/collapsible.md.</t>
        </is>
      </c>
      <c r="J30" s="20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Collapsible manual protocol in .manual-tests/collapsible.md.</t>
        </is>
      </c>
      <c r="J31" s="20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Collapsible manual protocol in .manual-tests/collapsible.md.</t>
        </is>
      </c>
      <c r="J32" s="20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Collapsible manual protocol in .manual-tests/collapsible.md.</t>
        </is>
      </c>
      <c r="J33" s="20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Collapsible manual protocol in .manual-tests/collapsible.md.</t>
        </is>
      </c>
      <c r="J34" s="20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Collapsible manual protocol in .manual-tests/collapsible.md.</t>
        </is>
      </c>
      <c r="J35" s="20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Collapsible manual protocol in .manual-tests/collapsible.md.</t>
        </is>
      </c>
      <c r="J36" s="20" t="inlineStr">
        <is>
          <t>Manual verification passed.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Collapsible manual protocol in .manual-tests/collapsible.md.</t>
        </is>
      </c>
      <c r="J37" s="20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Collapsible manual protocol in .manual-tests/collapsible.md.</t>
        </is>
      </c>
      <c r="J38" s="20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Trigger data-prop-check verified in raw Data only when Prop Check is enabled.</t>
        </is>
      </c>
      <c r="J39" s="20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Trigger ref verified through Anatomy Ref target row.</t>
        </is>
      </c>
      <c r="J40" s="20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Collapsible manual protocol in .manual-tests/collapsible.md.</t>
        </is>
      </c>
      <c r="J41" s="20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Collapsible manual protocol in .manual-tests/collapsible.md.</t>
        </is>
      </c>
      <c r="J42" s="20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Collapsible manual protocol in .manual-tests/collapsible.md.</t>
        </is>
      </c>
      <c r="J43" s="20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Collapsible manual protocol in .manual-tests/collapsible.md.</t>
        </is>
      </c>
      <c r="J44" s="20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Collapsible manual protocol in .manual-tests/collapsible.md.</t>
        </is>
      </c>
      <c r="J45" s="20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Collapsible manual protocol in .manual-tests/collapsible.md.</t>
        </is>
      </c>
      <c r="J46" s="20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Collapsible manual protocol in .manual-tests/collapsible.md.</t>
        </is>
      </c>
      <c r="J47" s="20" t="inlineStr">
        <is>
          <t>Manual verification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Collapsible manual protocol in .manual-tests/collapsible.md.</t>
        </is>
      </c>
      <c r="J48" s="20" t="inlineStr">
        <is>
          <t>Manual verification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Collapsible manual protocol in .manual-tests/collapsible.md.</t>
        </is>
      </c>
      <c r="J49" s="20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Content data-prop-check verified in raw Data only when Prop Check is enabled.</t>
        </is>
      </c>
      <c r="J50" s="20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Content ref verified through Anatomy Ref target row.</t>
        </is>
      </c>
      <c r="J51" s="20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Collapsible manual protocol in .manual-tests/collapsible.md.</t>
        </is>
      </c>
      <c r="J52" s="20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Collapsible manual protocol in .manual-tests/collapsible.md.</t>
        </is>
      </c>
      <c r="J53" s="20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Collapsible manual protocol in .manual-tests/collapsible.md.</t>
        </is>
      </c>
      <c r="J54" s="20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19" t="inlineStr">
        <is>
          <t>yes</t>
        </is>
      </c>
      <c r="F55" s="19" t="inlineStr">
        <is>
          <t>yes</t>
        </is>
      </c>
      <c r="G55" s="19" t="inlineStr">
        <is>
          <t>passed</t>
        </is>
      </c>
      <c r="H55" s="19" t="inlineStr">
        <is>
          <t>covered</t>
        </is>
      </c>
      <c r="I55" s="20" t="inlineStr">
        <is>
          <t>Collapsible manual protocol in .manual-tests/collapsible.md.</t>
        </is>
      </c>
      <c r="J55" s="20" t="inlineStr">
        <is>
          <t>Manual verification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19" t="inlineStr">
        <is>
          <t>yes</t>
        </is>
      </c>
      <c r="F56" s="19" t="inlineStr">
        <is>
          <t>yes</t>
        </is>
      </c>
      <c r="G56" s="19" t="inlineStr">
        <is>
          <t>passed</t>
        </is>
      </c>
      <c r="H56" s="19" t="inlineStr">
        <is>
          <t>covered</t>
        </is>
      </c>
      <c r="I56" s="20" t="inlineStr">
        <is>
          <t>Collapsible manual protocol in .manual-tests/collapsible.md.</t>
        </is>
      </c>
      <c r="J56" s="20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19" t="inlineStr">
        <is>
          <t>yes</t>
        </is>
      </c>
      <c r="F57" s="19" t="inlineStr">
        <is>
          <t>yes</t>
        </is>
      </c>
      <c r="G57" s="19" t="inlineStr">
        <is>
          <t>passed</t>
        </is>
      </c>
      <c r="H57" s="19" t="inlineStr">
        <is>
          <t>covered</t>
        </is>
      </c>
      <c r="I57" s="20" t="inlineStr">
        <is>
          <t>Content --content-height verified as a dynamic measured pixel value.</t>
        </is>
      </c>
      <c r="J57" s="20" t="inlineStr">
        <is>
          <t>Manual verification passed.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19" t="inlineStr">
        <is>
          <t>yes</t>
        </is>
      </c>
      <c r="F58" s="19" t="inlineStr">
        <is>
          <t>yes</t>
        </is>
      </c>
      <c r="G58" s="19" t="inlineStr">
        <is>
          <t>passed</t>
        </is>
      </c>
      <c r="H58" s="19" t="inlineStr">
        <is>
          <t>covered</t>
        </is>
      </c>
      <c r="I58" s="20" t="inlineStr">
        <is>
          <t>aria-controls verified as a generated relationship matching Content id when Content is rendered.</t>
        </is>
      </c>
      <c r="J58" s="20" t="inlineStr">
        <is>
          <t>Manual verification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19" t="inlineStr">
        <is>
          <t>yes</t>
        </is>
      </c>
      <c r="F59" s="19" t="inlineStr">
        <is>
          <t>yes</t>
        </is>
      </c>
      <c r="G59" s="19" t="inlineStr">
        <is>
          <t>passed</t>
        </is>
      </c>
      <c r="H59" s="19" t="inlineStr">
        <is>
          <t>covered</t>
        </is>
      </c>
      <c r="I59" s="20" t="inlineStr">
        <is>
          <t>Collapsible manual protocol in .manual-tests/collapsible.md.</t>
        </is>
      </c>
      <c r="J59" s="20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19" t="inlineStr">
        <is>
          <t>yes</t>
        </is>
      </c>
      <c r="F60" s="19" t="inlineStr">
        <is>
          <t>yes</t>
        </is>
      </c>
      <c r="G60" s="19" t="inlineStr">
        <is>
          <t>passed</t>
        </is>
      </c>
      <c r="H60" s="19" t="inlineStr">
        <is>
          <t>covered</t>
        </is>
      </c>
      <c r="I60" s="20" t="inlineStr">
        <is>
          <t>Collapsible manual protocol in .manual-tests/collapsible.md.</t>
        </is>
      </c>
      <c r="J60" s="20" t="inlineStr">
        <is>
          <t>Manual verification passed.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19" t="inlineStr">
        <is>
          <t>yes</t>
        </is>
      </c>
      <c r="F61" s="19" t="inlineStr">
        <is>
          <t>yes</t>
        </is>
      </c>
      <c r="G61" s="19" t="inlineStr">
        <is>
          <t>passed</t>
        </is>
      </c>
      <c r="H61" s="19" t="inlineStr">
        <is>
          <t>covered</t>
        </is>
      </c>
      <c r="I61" s="20" t="inlineStr">
        <is>
          <t>aria-labelledby verified as a generated relationship matching Trigger id.</t>
        </is>
      </c>
      <c r="J61" s="20" t="inlineStr">
        <is>
          <t>Manual verification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19" t="inlineStr">
        <is>
          <t>yes</t>
        </is>
      </c>
      <c r="F62" s="19" t="inlineStr">
        <is>
          <t>yes</t>
        </is>
      </c>
      <c r="G62" s="19" t="inlineStr">
        <is>
          <t>passed</t>
        </is>
      </c>
      <c r="H62" s="19" t="inlineStr">
        <is>
          <t>covered</t>
        </is>
      </c>
      <c r="I62" s="20" t="inlineStr">
        <is>
          <t>Collapsible manual protocol in .manual-tests/collapsible.md.</t>
        </is>
      </c>
      <c r="J62" s="20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19" t="inlineStr">
        <is>
          <t>yes</t>
        </is>
      </c>
      <c r="F63" s="19" t="inlineStr">
        <is>
          <t>yes</t>
        </is>
      </c>
      <c r="G63" s="19" t="inlineStr">
        <is>
          <t>passed</t>
        </is>
      </c>
      <c r="H63" s="19" t="inlineStr">
        <is>
          <t>covered</t>
        </is>
      </c>
      <c r="I63" s="20" t="inlineStr">
        <is>
          <t>Collapsible manual protocol in .manual-tests/collapsible.md.</t>
        </is>
      </c>
      <c r="J63" s="20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19" t="inlineStr">
        <is>
          <t>yes</t>
        </is>
      </c>
      <c r="F64" s="19" t="inlineStr">
        <is>
          <t>yes</t>
        </is>
      </c>
      <c r="G64" s="19" t="inlineStr">
        <is>
          <t>passed</t>
        </is>
      </c>
      <c r="H64" s="19" t="inlineStr">
        <is>
          <t>covered</t>
        </is>
      </c>
      <c r="I64" s="20" t="inlineStr">
        <is>
          <t>Collapsible manual protocol in .manual-tests/collapsible.md.</t>
        </is>
      </c>
      <c r="J64" s="20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19" t="inlineStr">
        <is>
          <t>yes</t>
        </is>
      </c>
      <c r="F65" s="19" t="inlineStr">
        <is>
          <t>yes</t>
        </is>
      </c>
      <c r="G65" s="19" t="inlineStr">
        <is>
          <t>passed</t>
        </is>
      </c>
      <c r="H65" s="19" t="inlineStr">
        <is>
          <t>covered</t>
        </is>
      </c>
      <c r="I65" s="20" t="inlineStr">
        <is>
          <t>Root, Trigger, and Content asChild modes verified without extra wrappers.</t>
        </is>
      </c>
      <c r="J65" s="20" t="inlineStr">
        <is>
          <t>Manual verification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19" t="inlineStr">
        <is>
          <t>yes</t>
        </is>
      </c>
      <c r="F66" s="19" t="inlineStr">
        <is>
          <t>yes</t>
        </is>
      </c>
      <c r="G66" s="19" t="inlineStr">
        <is>
          <t>passed</t>
        </is>
      </c>
      <c r="H66" s="19" t="inlineStr">
        <is>
          <t>covered</t>
        </is>
      </c>
      <c r="I66" s="20" t="inlineStr">
        <is>
          <t>asChild modes verified with Atom data/ARIA behavior and consumer props merged.</t>
        </is>
      </c>
      <c r="J66" s="20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19" t="inlineStr">
        <is>
          <t>yes</t>
        </is>
      </c>
      <c r="F67" s="19" t="inlineStr">
        <is>
          <t>yes</t>
        </is>
      </c>
      <c r="G67" s="19" t="inlineStr">
        <is>
          <t>passed</t>
        </is>
      </c>
      <c r="H67" s="19" t="inlineStr">
        <is>
          <t>covered</t>
        </is>
      </c>
      <c r="I67" s="20" t="inlineStr">
        <is>
          <t>Block trigger control verifies consumer preventDefault blocks Atom trigger behavior.</t>
        </is>
      </c>
      <c r="J67" s="20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19" t="inlineStr">
        <is>
          <t>yes</t>
        </is>
      </c>
      <c r="F68" s="19" t="inlineStr">
        <is>
          <t>yes</t>
        </is>
      </c>
      <c r="G68" s="19" t="inlineStr">
        <is>
          <t>passed</t>
        </is>
      </c>
      <c r="H68" s="19" t="inlineStr">
        <is>
          <t>covered</t>
        </is>
      </c>
      <c r="I68" s="20" t="inlineStr">
        <is>
          <t>Root, Trigger, and Content render modes verified with custom elements.</t>
        </is>
      </c>
      <c r="J68" s="20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19" t="inlineStr">
        <is>
          <t>yes</t>
        </is>
      </c>
      <c r="F69" s="19" t="inlineStr">
        <is>
          <t>yes</t>
        </is>
      </c>
      <c r="G69" s="19" t="inlineStr">
        <is>
          <t>passed</t>
        </is>
      </c>
      <c r="H69" s="19" t="inlineStr">
        <is>
          <t>covered</t>
        </is>
      </c>
      <c r="I69" s="20" t="inlineStr">
        <is>
          <t>Render modes verified with behavior props and Ref target evidence.</t>
        </is>
      </c>
      <c r="J69" s="20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19" t="inlineStr">
        <is>
          <t>yes</t>
        </is>
      </c>
      <c r="F70" s="19" t="inlineStr">
        <is>
          <t>yes</t>
        </is>
      </c>
      <c r="G70" s="19" t="inlineStr">
        <is>
          <t>passed</t>
        </is>
      </c>
      <c r="H70" s="19" t="inlineStr">
        <is>
          <t>covered</t>
        </is>
      </c>
      <c r="I70" s="20" t="inlineStr">
        <is>
          <t>Collapsible manual protocol in .manual-tests/collapsible.md.</t>
        </is>
      </c>
      <c r="J70" s="20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19" t="inlineStr">
        <is>
          <t>yes</t>
        </is>
      </c>
      <c r="F71" s="19" t="inlineStr">
        <is>
          <t>yes</t>
        </is>
      </c>
      <c r="G71" s="19" t="inlineStr">
        <is>
          <t>passed</t>
        </is>
      </c>
      <c r="H71" s="19" t="inlineStr">
        <is>
          <t>covered</t>
        </is>
      </c>
      <c r="I71" s="20" t="inlineStr">
        <is>
          <t>Collapsible manual protocol in .manual-tests/collapsible.md.</t>
        </is>
      </c>
      <c r="J71" s="20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19" t="inlineStr">
        <is>
          <t>yes</t>
        </is>
      </c>
      <c r="F72" s="19" t="inlineStr">
        <is>
          <t>yes</t>
        </is>
      </c>
      <c r="G72" s="19" t="inlineStr">
        <is>
          <t>passed</t>
        </is>
      </c>
      <c r="H72" s="19" t="inlineStr">
        <is>
          <t>covered</t>
        </is>
      </c>
      <c r="I72" s="20" t="inlineStr">
        <is>
          <t>Collapsible manual protocol in .manual-tests/collapsible.md.</t>
        </is>
      </c>
      <c r="J72" s="20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19" t="inlineStr">
        <is>
          <t>yes</t>
        </is>
      </c>
      <c r="F73" s="19" t="inlineStr">
        <is>
          <t>yes</t>
        </is>
      </c>
      <c r="G73" s="19" t="inlineStr">
        <is>
          <t>passed</t>
        </is>
      </c>
      <c r="H73" s="19" t="inlineStr">
        <is>
          <t>covered</t>
        </is>
      </c>
      <c r="I73" s="20" t="inlineStr">
        <is>
          <t>Collapsible manual protocol in .manual-tests/collapsible.md.</t>
        </is>
      </c>
      <c r="J73" s="20" t="inlineStr">
        <is>
          <t>Manual verification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19" t="inlineStr">
        <is>
          <t>yes</t>
        </is>
      </c>
      <c r="F74" s="19" t="inlineStr">
        <is>
          <t>yes</t>
        </is>
      </c>
      <c r="G74" s="19" t="inlineStr">
        <is>
          <t>passed</t>
        </is>
      </c>
      <c r="H74" s="19" t="inlineStr">
        <is>
          <t>covered</t>
        </is>
      </c>
      <c r="I74" s="20" t="inlineStr">
        <is>
          <t>Collapsible manual protocol in .manual-tests/collapsible.md.</t>
        </is>
      </c>
      <c r="J74" s="20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19" t="inlineStr">
        <is>
          <t>yes</t>
        </is>
      </c>
      <c r="F75" s="19" t="inlineStr">
        <is>
          <t>yes</t>
        </is>
      </c>
      <c r="G75" s="19" t="inlineStr">
        <is>
          <t>passed</t>
        </is>
      </c>
      <c r="H75" s="19" t="inlineStr">
        <is>
          <t>covered</t>
        </is>
      </c>
      <c r="I75" s="20" t="inlineStr">
        <is>
          <t>Collapsible manual protocol in .manual-tests/collapsible.md.</t>
        </is>
      </c>
      <c r="J75" s="20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19" t="inlineStr">
        <is>
          <t>yes</t>
        </is>
      </c>
      <c r="F76" s="19" t="inlineStr">
        <is>
          <t>yes</t>
        </is>
      </c>
      <c r="G76" s="19" t="inlineStr">
        <is>
          <t>passed</t>
        </is>
      </c>
      <c r="H76" s="19" t="inlineStr">
        <is>
          <t>covered</t>
        </is>
      </c>
      <c r="I76" s="20" t="inlineStr">
        <is>
          <t>Disabled trigger verified to block pointer and keyboard activation.</t>
        </is>
      </c>
      <c r="J76" s="20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19" t="inlineStr">
        <is>
          <t>yes</t>
        </is>
      </c>
      <c r="F77" s="19" t="inlineStr">
        <is>
          <t>yes</t>
        </is>
      </c>
      <c r="G77" s="19" t="inlineStr">
        <is>
          <t>passed</t>
        </is>
      </c>
      <c r="H77" s="19" t="inlineStr">
        <is>
          <t>covered</t>
        </is>
      </c>
      <c r="I77" s="20" t="inlineStr">
        <is>
          <t>Collapsible manual protocol in .manual-tests/collapsible.md.</t>
        </is>
      </c>
      <c r="J77" s="20" t="inlineStr">
        <is>
          <t>Manual verification passed.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60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60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60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60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60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60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60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60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60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60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Combobox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60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60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60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60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60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60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60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60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60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60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60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60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60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60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60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60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60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60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60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60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60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60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60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60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60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60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60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60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60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60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60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60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60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60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60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60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60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60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60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60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60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60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60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60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60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60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60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60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60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60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60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60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60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60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60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60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60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60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ContextMenu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 manual test</t>
        </is>
      </c>
      <c r="H9" s="12" t="inlineStr">
        <is>
          <t>covered</t>
        </is>
      </c>
      <c r="I9" s="5" t="inlineStr">
        <is>
          <t>ContextMenu playground Props toolbar; Anatomy/Inspector raw Data; Source view.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 manual test</t>
        </is>
      </c>
      <c r="H10" s="12" t="inlineStr">
        <is>
          <t>covered</t>
        </is>
      </c>
      <c r="I10" s="5" t="inlineStr">
        <is>
          <t>ContextMenu playground Props custom slot toggles; Anatomy/Inspector raw Data; Source view.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60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60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60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60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60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touch outside closes context menu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passed manual test</t>
        </is>
      </c>
      <c r="H189" s="11" t="inlineStr">
        <is>
          <t>covered</t>
        </is>
      </c>
      <c r="I189" s="5" t="inlineStr">
        <is>
          <t>ContextMenu playground scenario.</t>
        </is>
      </c>
      <c r="J189" s="5" t="n"/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selects action item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toggles checkbox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selects radio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opens submenu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Direction</t>
        </is>
      </c>
      <c r="C194" s="5" t="inlineStr">
        <is>
          <t>Submenu</t>
        </is>
      </c>
      <c r="D194" s="5" t="inlineStr">
        <is>
          <t>reads Direction.Provider context for submenu keyboard behavior</t>
        </is>
      </c>
      <c r="E194" s="10" t="inlineStr">
        <is>
          <t>yes</t>
        </is>
      </c>
      <c r="F194" s="8" t="inlineStr">
        <is>
          <t>yes</t>
        </is>
      </c>
      <c r="G194" s="4" t="inlineStr">
        <is>
          <t>pass</t>
        </is>
      </c>
      <c r="H194" s="10" t="inlineStr">
        <is>
          <t>covered</t>
        </is>
      </c>
      <c r="I194" s="5" t="inlineStr">
        <is>
          <t>ContextMenu playground direction scenario; manually verified.</t>
        </is>
      </c>
      <c r="J194" s="5" t="inlineStr">
        <is>
          <t>Complete.</t>
        </is>
      </c>
      <c r="K194" s="6">
        <f>IF(AND(E194="yes",F194="yes",H194="covered"),1,IF(H194="partial",0.5,0))</f>
        <v/>
      </c>
    </row>
    <row r="195" ht="30" customHeight="1" s="60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RTL mirrors submenu ArrowLeft and ArrowRight open/close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60">
      <c r="A196" s="4" t="n">
        <v>188</v>
      </c>
      <c r="B196" s="5" t="inlineStr">
        <is>
          <t>Playground</t>
        </is>
      </c>
      <c r="C196" s="5" t="inlineStr">
        <is>
          <t>Direction controls</t>
        </is>
      </c>
      <c r="D196" s="5" t="inlineStr">
        <is>
          <t>scenario exposes provider direction controls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DataGrid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DataGrid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DataGrid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DataGrid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DataGrid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DataGrid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DataGrid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DataGrid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DataGrid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DataGrid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DataGrid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DataGrid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DataGrid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DataGrid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DataGrid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DataGrid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DataGrid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DataGrid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DataGrid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DataGrid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DataGrid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DataGrid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DataGrid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DataGrid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DataGrid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DataGrid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DataGrid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DataGrid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DataGrid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DataGrid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DataGrid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DataGrid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DataGrid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DataGrid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DataGrid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DataGrid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DataGrid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DataGrid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DataGrid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DataGrid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DataGrid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DataGrid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DataGrid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DataGrid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DataGrid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DataGrid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DataGrid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DataGrid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DataGrid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DataGrid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DataGrid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DataGrid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DataGrid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DataGrid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DataGrid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DataGrid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DataGrid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DataGrid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DataGrid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DataGrid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DataGrid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DataGrid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DataGrid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DataGrid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DataGrid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DataGrid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DataGrid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DataGrid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DataGrid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DataGrid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DataGrid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DataGrid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DataGrid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DataGrid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DataGrid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DataGrid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GridBody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DataGrid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GridBody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DataGrid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GridBody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DataGrid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GridBody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DataGrid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GridBody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DataGrid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GridBody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DataGrid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GridCaption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DataGrid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GridCaption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DataGrid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GridCaption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DataGrid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GridCaption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DataGrid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GridCaption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DataGrid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GridCaption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DataGrid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GridCell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DataGrid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GridCell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DataGrid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GridCell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DataGrid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GridCell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DataGrid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GridCell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DataGrid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GridCell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DataGrid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GridColumnHeader</t>
        </is>
      </c>
      <c r="D104" s="5" t="inlineStr">
        <is>
          <t>renders correct part when expected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DataGrid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Anatomy</t>
        </is>
      </c>
      <c r="C105" s="5" t="inlineStr">
        <is>
          <t>GridColumnHeader</t>
        </is>
      </c>
      <c r="D105" s="5" t="inlineStr">
        <is>
          <t>appears in documented order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DataGrid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Identity</t>
        </is>
      </c>
      <c r="C106" s="5" t="inlineStr">
        <is>
          <t>GridColumnHeader</t>
        </is>
      </c>
      <c r="D106" s="5" t="inlineStr">
        <is>
          <t>default tag is visible in Anatomy/Inspector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DataGrid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Identity</t>
        </is>
      </c>
      <c r="C107" s="5" t="inlineStr">
        <is>
          <t>GridColumnHeader</t>
        </is>
      </c>
      <c r="D107" s="5" t="inlineStr">
        <is>
          <t>data-slot is present and correct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DataGrid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Props</t>
        </is>
      </c>
      <c r="C108" s="5" t="inlineStr">
        <is>
          <t>GridColumnHeader</t>
        </is>
      </c>
      <c r="D108" s="5" t="inlineStr">
        <is>
          <t>non-Atom native props pass through with data-prop-check marker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DataGrid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Refs</t>
        </is>
      </c>
      <c r="C109" s="5" t="inlineStr">
        <is>
          <t>GridColumnHeader</t>
        </is>
      </c>
      <c r="D109" s="5" t="inlineStr">
        <is>
          <t>consumer ref receives the rendered element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DataGrid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GridFooter</t>
        </is>
      </c>
      <c r="D110" s="5" t="inlineStr">
        <is>
          <t>renders correct part when expected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DataGrid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GridFooter</t>
        </is>
      </c>
      <c r="D111" s="5" t="inlineStr">
        <is>
          <t>appears in documented order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DataGrid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Identity</t>
        </is>
      </c>
      <c r="C112" s="5" t="inlineStr">
        <is>
          <t>GridFooter</t>
        </is>
      </c>
      <c r="D112" s="5" t="inlineStr">
        <is>
          <t>default tag is visible in Anatomy/Inspector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DataGrid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GridFooter</t>
        </is>
      </c>
      <c r="D113" s="5" t="inlineStr">
        <is>
          <t>data-slot is present and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DataGrid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Props</t>
        </is>
      </c>
      <c r="C114" s="5" t="inlineStr">
        <is>
          <t>GridFooter</t>
        </is>
      </c>
      <c r="D114" s="5" t="inlineStr">
        <is>
          <t>non-Atom native props pass through with data-prop-check marker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DataGrid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Refs</t>
        </is>
      </c>
      <c r="C115" s="5" t="inlineStr">
        <is>
          <t>GridFooter</t>
        </is>
      </c>
      <c r="D115" s="5" t="inlineStr">
        <is>
          <t>consumer ref receives the rendered element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DataGrid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GridHeader</t>
        </is>
      </c>
      <c r="D116" s="5" t="inlineStr">
        <is>
          <t>renders correct part when expected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DataGrid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Anatomy</t>
        </is>
      </c>
      <c r="C117" s="5" t="inlineStr">
        <is>
          <t>GridHeader</t>
        </is>
      </c>
      <c r="D117" s="5" t="inlineStr">
        <is>
          <t>appears in documented order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DataGrid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Identity</t>
        </is>
      </c>
      <c r="C118" s="5" t="inlineStr">
        <is>
          <t>GridHeader</t>
        </is>
      </c>
      <c r="D118" s="5" t="inlineStr">
        <is>
          <t>default tag is visible in Anatomy/Inspector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DataGrid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Identity</t>
        </is>
      </c>
      <c r="C119" s="5" t="inlineStr">
        <is>
          <t>GridHeader</t>
        </is>
      </c>
      <c r="D119" s="5" t="inlineStr">
        <is>
          <t>data-slot is present and correct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DataGrid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Props</t>
        </is>
      </c>
      <c r="C120" s="5" t="inlineStr">
        <is>
          <t>GridHeader</t>
        </is>
      </c>
      <c r="D120" s="5" t="inlineStr">
        <is>
          <t>non-Atom native props pass through with data-prop-check marker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DataGrid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Refs</t>
        </is>
      </c>
      <c r="C121" s="5" t="inlineStr">
        <is>
          <t>GridHeader</t>
        </is>
      </c>
      <c r="D121" s="5" t="inlineStr">
        <is>
          <t>consumer ref receives the rendered element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DataGrid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GridRow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DataGrid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GridRow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DataGrid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GridRow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DataGrid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GridRow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DataGrid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GridRow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DataGrid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GridRow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DataGrid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Header</t>
        </is>
      </c>
      <c r="D128" s="5" t="inlineStr">
        <is>
          <t>renders correct part when expected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DataGrid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Anatomy</t>
        </is>
      </c>
      <c r="C129" s="5" t="inlineStr">
        <is>
          <t>Header</t>
        </is>
      </c>
      <c r="D129" s="5" t="inlineStr">
        <is>
          <t>appears in documented order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DataGrid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Identity</t>
        </is>
      </c>
      <c r="C130" s="5" t="inlineStr">
        <is>
          <t>Header</t>
        </is>
      </c>
      <c r="D130" s="5" t="inlineStr">
        <is>
          <t>default tag is visible in Anatomy/Inspector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DataGrid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Identity</t>
        </is>
      </c>
      <c r="C131" s="5" t="inlineStr">
        <is>
          <t>Header</t>
        </is>
      </c>
      <c r="D131" s="5" t="inlineStr">
        <is>
          <t>data-slot is present and correct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DataGrid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Props</t>
        </is>
      </c>
      <c r="C132" s="5" t="inlineStr">
        <is>
          <t>Header</t>
        </is>
      </c>
      <c r="D132" s="5" t="inlineStr">
        <is>
          <t>non-Atom native props pass through with data-prop-check marker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DataGrid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Refs</t>
        </is>
      </c>
      <c r="C133" s="5" t="inlineStr">
        <is>
          <t>Header</t>
        </is>
      </c>
      <c r="D133" s="5" t="inlineStr">
        <is>
          <t>consumer ref receives the rendered element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DataGrid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Row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DataGrid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Row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DataGrid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Identity</t>
        </is>
      </c>
      <c r="C136" s="5" t="inlineStr">
        <is>
          <t>Row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DataGrid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Row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DataGrid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Row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DataGrid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Refs</t>
        </is>
      </c>
      <c r="C139" s="5" t="inlineStr">
        <is>
          <t>Row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DataGrid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Row</t>
        </is>
      </c>
      <c r="D140" s="5" t="inlineStr">
        <is>
          <t>rowIndex prop behavior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DataGrid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Public API</t>
        </is>
      </c>
      <c r="C141" s="5" t="inlineStr">
        <is>
          <t>Row</t>
        </is>
      </c>
      <c r="D141" s="5" t="inlineStr">
        <is>
          <t>index prop behavior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DataGrid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State</t>
        </is>
      </c>
      <c r="C142" s="5" t="inlineStr">
        <is>
          <t>Row</t>
        </is>
      </c>
      <c r="D142" s="5" t="inlineStr">
        <is>
          <t>value prop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DataGrid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State</t>
        </is>
      </c>
      <c r="C143" s="5" t="inlineStr">
        <is>
          <t>Row</t>
        </is>
      </c>
      <c r="D143" s="5" t="inlineStr">
        <is>
          <t>disabled prop behavior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DataGrid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Public API</t>
        </is>
      </c>
      <c r="C144" s="5" t="inlineStr">
        <is>
          <t>Row</t>
        </is>
      </c>
      <c r="D144" s="5" t="inlineStr">
        <is>
          <t>selectable prop behavior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DataGrid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DataGrid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DataGrid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DataGrid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DataGrid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aria-multiselectable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DataGrid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aria-readonly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DataGrid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aria-rowcount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DataGrid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aria-rowindex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DataGrid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aria-selected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DataGrid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aria-sort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DataGrid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data-active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DataGrid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data-column-count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DataGrid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data-column-index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DataGrid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data-disabled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DataGrid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data-focused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DataGrid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data-grid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DataGrid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data-grid-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DataGrid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data-grid-body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DataGrid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data-grid-caption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DataGrid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data-grid-cell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DataGrid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data-grid-column-header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DataGrid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data-grid-footer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DataGrid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data-grid-header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DataGrid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data-grid-row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DataGrid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data-readonly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DataGrid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data-row-count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DataGrid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data-row-index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DataGrid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DataGrid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data-selection-mode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DataGrid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data-slot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DataGrid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data-sort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DataGrid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data-value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DataGrid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Composition</t>
        </is>
      </c>
      <c r="C177" s="5" t="inlineStr">
        <is>
          <t>DataGrid</t>
        </is>
      </c>
      <c r="D177" s="5" t="inlineStr">
        <is>
          <t>asChild preserves child content without double nesting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DataGrid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Composition</t>
        </is>
      </c>
      <c r="C178" s="5" t="inlineStr">
        <is>
          <t>DataGrid</t>
        </is>
      </c>
      <c r="D178" s="5" t="inlineStr">
        <is>
          <t>asChild merges Atom props and consumer props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DataGrid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DataGrid</t>
        </is>
      </c>
      <c r="D179" s="5" t="inlineStr">
        <is>
          <t>asChild lets preventDefault block Atom behavior where supported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DataGrid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DataGrid</t>
        </is>
      </c>
      <c r="D180" s="5" t="inlineStr">
        <is>
          <t>render prop renders custom element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DataGrid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DataGrid</t>
        </is>
      </c>
      <c r="D181" s="5" t="inlineStr">
        <is>
          <t>render prop preserves refs and behavior props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DataGrid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State</t>
        </is>
      </c>
      <c r="C182" s="5" t="inlineStr">
        <is>
          <t>Root</t>
        </is>
      </c>
      <c r="D182" s="5" t="inlineStr">
        <is>
          <t>controlled state path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DataGrid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uncontrolled default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DataGrid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state change callback fires once with correct value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DataGrid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DataGrid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DataGrid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DataGrid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DataGrid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DataGrid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DataGrid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30" customHeight="1" s="60">
      <c r="A188" s="4" t="n">
        <v>180</v>
      </c>
      <c r="B188" s="5" t="inlineStr">
        <is>
          <t>Keyboard</t>
        </is>
      </c>
      <c r="C188" s="5" t="inlineStr">
        <is>
          <t>DataGrid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DataGrid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DataGrid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DataGrid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30" customHeight="1" s="60">
      <c r="A190" s="4" t="n">
        <v>182</v>
      </c>
      <c r="B190" s="5" t="inlineStr">
        <is>
          <t>Direction</t>
        </is>
      </c>
      <c r="C190" s="5" t="inlineStr">
        <is>
          <t>Grid</t>
        </is>
      </c>
      <c r="D190" s="5" t="inlineStr">
        <is>
          <t>reads Direction.Provider context for horizontal cell navigation</t>
        </is>
      </c>
      <c r="E190" s="10" t="inlineStr">
        <is>
          <t>no</t>
        </is>
      </c>
      <c r="F190" s="8" t="inlineStr">
        <is>
          <t>no</t>
        </is>
      </c>
      <c r="G190" s="4" t="inlineStr">
        <is>
          <t>missing</t>
        </is>
      </c>
      <c r="H190" s="10" t="inlineStr">
        <is>
          <t>missing</t>
        </is>
      </c>
      <c r="I190" s="5" t="n"/>
      <c r="J190" s="5" t="inlineStr">
        <is>
          <t>Add Direction.Provider fallback before testing RTL grid arrows.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RTL mirrors ArrowLeft and ArrowRight cell movement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Implement and test RTL cell navigation.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row start and row end respect RTL direction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row-start/row-end semantics.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Playground</t>
        </is>
      </c>
      <c r="C193" s="5" t="inlineStr">
        <is>
          <t>Direction controls</t>
        </is>
      </c>
      <c r="D193" s="5" t="inlineStr">
        <is>
          <t>scenario exposes provider direction controls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Add provider direction controls to the playground scenario.</t>
        </is>
      </c>
      <c r="K193" s="6">
        <f>IF(AND(E193="yes",F193="yes",H193="covered"),1,IF(H193="partial",0.5,0))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60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60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Direction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Divider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0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Drawer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manual-tests/drawer.md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manual-tests/drawer.md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manual-tests/drawer.md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manual-tests/drawer.md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manual-tests/drawer.md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manual-tests/drawer.md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manual-tests/drawer.md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manual-tests/drawer.md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manual-tests/drawer.md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manual-tests/drawer.md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manual-tests/drawer.md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manual-tests/drawer.md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manual-tests/drawer.md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manual-tests/drawer.md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manual-tests/drawer.md</t>
        </is>
      </c>
      <c r="J23" s="5" t="inlineStr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manual-tests/drawer.md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defaultOpen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manual-tests/drawer.md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manual-tests/drawer.md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closeOnEscape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manual-tests/drawer.md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closeOnBackdropClick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manual-tests/drawer.md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manual-tests/drawer.md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keepMounted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manual-tests/drawer.md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Portal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manual-tests/drawer.md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manual-tests/drawer.md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Positioning</t>
        </is>
      </c>
      <c r="C33" s="5" t="inlineStr">
        <is>
          <t>Portal</t>
        </is>
      </c>
      <c r="D33" s="5" t="inlineStr">
        <is>
          <t>container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manual-tests/drawer.md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Portal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manual-tests/drawer.md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Overlay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manual-tests/drawer.md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Overlay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manual-tests/drawer.md</t>
        </is>
      </c>
      <c r="J36" s="5" t="inlineStr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Overlay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manual-tests/drawer.md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Overlay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manual-tests/drawer.md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Overlay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manual-tests/drawer.md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Overlay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manual-tests/drawer.md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Overlay</t>
        </is>
      </c>
      <c r="D41" s="5" t="inlineStr">
        <is>
          <t>data-slot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manual-tests/drawer.md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Overlay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manual-tests/drawer.md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Overlay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manual-tests/drawer.md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Overlay</t>
        </is>
      </c>
      <c r="D44" s="5" t="inlineStr">
        <is>
          <t>[data-positioned]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manual-tests/drawer.md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Anatomy</t>
        </is>
      </c>
      <c r="C45" s="5" t="inlineStr">
        <is>
          <t>Trigger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manual-tests/drawer.md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Trigger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manual-tests/drawer.md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Trigger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manual-tests/drawer.md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Trigger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manual-tests/drawer.md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Trigger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manual-tests/drawer.md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manual-tests/drawer.md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Trigger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manual-tests/drawer.md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manual-tests/drawer.md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manual-tests/drawer.md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Trigger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manual-tests/drawer.md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Trigger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manual-tests/drawer.md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manual-tests/drawer.md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Content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manual-tests/drawer.md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manual-tests/drawer.md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Content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manual-tests/drawer.md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Content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manual-tests/drawer.md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placement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manual-tests/drawer.md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Accessibility</t>
        </is>
      </c>
      <c r="C62" s="5" t="inlineStr">
        <is>
          <t>Content</t>
        </is>
      </c>
      <c r="D62" s="5" t="inlineStr">
        <is>
          <t>ariaLabel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manual-tests/drawer.md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data-slot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manual-tests/drawer.md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manual-tests/drawer.md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Content</t>
        </is>
      </c>
      <c r="D65" s="5" t="inlineStr">
        <is>
          <t>[data-state]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manual-tests/drawer.md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[data-placement]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manual-tests/drawer.md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Content</t>
        </is>
      </c>
      <c r="D67" s="5" t="inlineStr">
        <is>
          <t>[data-positioned]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manual-tests/drawer.md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Anatomy</t>
        </is>
      </c>
      <c r="C68" s="5" t="inlineStr">
        <is>
          <t>Title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manual-tests/drawer.md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Title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manual-tests/drawer.md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Title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manual-tests/drawer.md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Title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manual-tests/drawer.md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Title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manual-tests/drawer.md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as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manual-tests/drawer.md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manual-tests/drawer.md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Description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manual-tests/drawer.md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Description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manual-tests/drawer.md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Description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manual-tests/drawer.md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Description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manual-tests/drawer.md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Description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manual-tests/drawer.md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manual-tests/drawer.md</t>
        </is>
      </c>
      <c r="J80" s="5" t="inlineStr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Anatomy</t>
        </is>
      </c>
      <c r="C81" s="5" t="inlineStr">
        <is>
          <t>Close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manual-tests/drawer.md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Close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manual-tests/drawer.md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Close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manual-tests/drawer.md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Close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manual-tests/drawer.md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Close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manual-tests/drawer.md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Close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manual-tests/drawer.md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Close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manual-tests/drawer.md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data-slot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manual-tests/drawer.md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manual-tests/drawer.md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data-placement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manual-tests/drawer.md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data-positioned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manual-tests/drawer.md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data-slot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manual-tests/drawer.md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data-state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manual-tests/drawer.md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controlled state path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manual-tests/drawer.md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Root</t>
        </is>
      </c>
      <c r="D95" s="5" t="inlineStr">
        <is>
          <t>uncontrolled default state path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manual-tests/drawer.md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state change callback fires once with correct value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manual-tests/drawer.md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mouse click or pointer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manual-tests/drawer.md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Enter key activation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manual-tests/drawer.md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Space key activation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manual-tests/drawer.md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disabled trigger blocks pointer and keyboard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manual-tests/drawer.md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Focus</t>
        </is>
      </c>
      <c r="C101" s="5" t="inlineStr">
        <is>
          <t>Trigger</t>
        </is>
      </c>
      <c r="D101" s="5" t="inlineStr">
        <is>
          <t>focus ring and focus restoration are correct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manual-tests/drawer.md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Dismiss</t>
        </is>
      </c>
      <c r="C102" s="5" t="inlineStr">
        <is>
          <t>Drawer</t>
        </is>
      </c>
      <c r="D102" s="5" t="inlineStr">
        <is>
          <t>Escape closes only the topmost active layer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manual-tests/drawer.md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Dismiss</t>
        </is>
      </c>
      <c r="C103" s="5" t="inlineStr">
        <is>
          <t>Drawer</t>
        </is>
      </c>
      <c r="D103" s="5" t="inlineStr">
        <is>
          <t>outside click/interact closes when enabled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manual-tests/drawer.md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Dismiss</t>
        </is>
      </c>
      <c r="C104" s="5" t="inlineStr">
        <is>
          <t>Drawer</t>
        </is>
      </c>
      <c r="D104" s="5" t="inlineStr">
        <is>
          <t>outside click/interact is blocked when disabled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manual-tests/drawer.md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Drawer</t>
        </is>
      </c>
      <c r="D105" s="5" t="inlineStr">
        <is>
          <t>focus returns to the correct trigger/anchor after close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manual-tests/drawer.md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Drawer</t>
        </is>
      </c>
      <c r="D106" s="5" t="inlineStr">
        <is>
          <t>nested overlays keep focus and Escape order correct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manual-tests/drawer.md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Portal</t>
        </is>
      </c>
      <c r="C107" s="5" t="inlineStr">
        <is>
          <t>Drawer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manual-tests/drawer.md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Drawer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manual-tests/drawer.md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Positioning</t>
        </is>
      </c>
      <c r="C109" s="5" t="inlineStr">
        <is>
          <t>Drawer</t>
        </is>
      </c>
      <c r="D109" s="5" t="inlineStr">
        <is>
          <t>placement options expose data-placement and playground CSS positions content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manual-tests/drawer.md</t>
        </is>
      </c>
      <c r="J109" s="5" t="inlineStr"/>
      <c r="K109" s="6">
        <f>IF(AND(E109="yes",F109="yes",H109="covered"),1,IF(H109="partial",0.5,0))</f>
        <v/>
      </c>
    </row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30" customHeight="1" s="60"/>
    <row r="126" ht="15" customHeight="1" s="60"/>
    <row r="12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DropdownMenu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60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60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60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60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60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60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60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60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60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60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60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60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60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60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60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60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60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60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60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60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60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60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60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60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60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60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60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60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60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60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60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60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60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60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60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60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60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60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60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60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60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60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60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60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60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60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60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60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60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60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60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60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60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60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60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60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60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60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60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60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60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60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60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60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60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60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60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60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60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60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60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60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60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60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60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60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60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60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60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60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60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60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60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60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60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60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60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60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60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60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60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60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60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60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60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60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60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60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60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60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60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60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60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60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60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60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60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60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60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60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60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60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60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60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60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60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60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60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60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60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60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60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60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60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60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60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60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60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60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60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60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60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60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60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60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60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60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60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60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60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60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60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60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60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60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60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60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60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60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60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60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60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60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60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60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60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60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60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60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60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60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60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60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60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60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60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60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60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60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60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60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60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60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60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60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60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60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60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60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60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60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60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60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60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60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60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60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60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60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60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60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60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60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60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60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60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60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60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60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60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60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60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60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60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60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60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Feed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Protocol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Protocol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Feed playground scenario.</t>
        </is>
      </c>
      <c r="J11" s="5" t="inlineStr">
        <is>
          <t>Manual Test Protocol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Feed playground scenario.</t>
        </is>
      </c>
      <c r="J12" s="5" t="inlineStr">
        <is>
          <t>Manual Test Protocol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Feed playground scenario.</t>
        </is>
      </c>
      <c r="J13" s="5" t="inlineStr">
        <is>
          <t>Manual Test Protocol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Feed playground scenario.</t>
        </is>
      </c>
      <c r="J14" s="5" t="inlineStr">
        <is>
          <t>Manual Test Protocol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Feed playground scenario.</t>
        </is>
      </c>
      <c r="J15" s="5" t="inlineStr">
        <is>
          <t>Manual Test Protocol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Feed playground scenario.</t>
        </is>
      </c>
      <c r="J16" s="5" t="inlineStr">
        <is>
          <t>Manual Test Protocol passed.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Feed playground scenario.</t>
        </is>
      </c>
      <c r="J17" s="5" t="inlineStr">
        <is>
          <t>Manual Test Protocol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Feed playground scenario.</t>
        </is>
      </c>
      <c r="J18" s="5" t="inlineStr">
        <is>
          <t>Manual Test Protocol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Feed playground scenario.</t>
        </is>
      </c>
      <c r="J19" s="5" t="inlineStr">
        <is>
          <t>Manual Test Protocol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verified by Source and Canvas boundaries</t>
        </is>
      </c>
      <c r="H20" s="9" t="inlineStr">
        <is>
          <t>covered</t>
        </is>
      </c>
      <c r="I20" s="5" t="inlineStr">
        <is>
          <t>Feed playground scenario.</t>
        </is>
      </c>
      <c r="J20" s="5" t="inlineStr">
        <is>
          <t>Primitive stays headless; layout and scrolling remain playground-owned.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Feed playground scenario.</t>
        </is>
      </c>
      <c r="J21" s="5" t="inlineStr">
        <is>
          <t>Manual Test Protocol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Feed playground scenario.</t>
        </is>
      </c>
      <c r="J22" s="5" t="inlineStr">
        <is>
          <t>Manual Test Protocol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Feed playground scenario.</t>
        </is>
      </c>
      <c r="J23" s="5" t="inlineStr">
        <is>
          <t>Manual Test Protocol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Feed playground scenario.</t>
        </is>
      </c>
      <c r="J24" s="5" t="inlineStr">
        <is>
          <t>Manual Test Protocol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Feed playground scenario.</t>
        </is>
      </c>
      <c r="J25" s="5" t="inlineStr">
        <is>
          <t>Manual Test Protocol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Feed playground scenario.</t>
        </is>
      </c>
      <c r="J26" s="5" t="inlineStr">
        <is>
          <t>Manual Test Protocol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Feed playground scenario.</t>
        </is>
      </c>
      <c r="J27" s="5" t="inlineStr">
        <is>
          <t>Manual Test Protocol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Feed playground scenario.</t>
        </is>
      </c>
      <c r="J28" s="5" t="inlineStr">
        <is>
          <t>Manual Test Protocol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Feed playground scenario.</t>
        </is>
      </c>
      <c r="J29" s="5" t="inlineStr">
        <is>
          <t>Manual Test Protocol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Feed playground scenario.</t>
        </is>
      </c>
      <c r="J30" s="5" t="inlineStr">
        <is>
          <t>Manual Test Protocol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Feed playground scenario.</t>
        </is>
      </c>
      <c r="J31" s="5" t="inlineStr">
        <is>
          <t>Manual Test Protocol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Feed playground scenario.</t>
        </is>
      </c>
      <c r="J32" s="5" t="inlineStr">
        <is>
          <t>Manual Test Protocol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Feed playground scenario.</t>
        </is>
      </c>
      <c r="J33" s="5" t="inlineStr">
        <is>
          <t>Manual Test Protocol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Feed playground scenario.</t>
        </is>
      </c>
      <c r="J34" s="5" t="inlineStr">
        <is>
          <t>Manual Test Protocol passed.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Feed playground scenario.</t>
        </is>
      </c>
      <c r="J35" s="5" t="inlineStr">
        <is>
          <t>Manual Test Protocol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Feed playground scenario.</t>
        </is>
      </c>
      <c r="J36" s="5" t="inlineStr">
        <is>
          <t>Manual Test Protocol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Feed playground scenario.</t>
        </is>
      </c>
      <c r="J37" s="5" t="inlineStr">
        <is>
          <t>Manual Test Protocol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Feed playground scenario.</t>
        </is>
      </c>
      <c r="J38" s="5" t="inlineStr">
        <is>
          <t>Manual Test Protocol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Feed playground scenario.</t>
        </is>
      </c>
      <c r="J39" s="5" t="inlineStr">
        <is>
          <t>Manual Test Protocol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Feed playground scenario.</t>
        </is>
      </c>
      <c r="J40" s="5" t="inlineStr">
        <is>
          <t>Manual Test Protocol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Feed playground scenario.</t>
        </is>
      </c>
      <c r="J41" s="5" t="inlineStr">
        <is>
          <t>Manual Test Protocol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Feed playground scenario.</t>
        </is>
      </c>
      <c r="J42" s="5" t="inlineStr">
        <is>
          <t>Manual Test Protocol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Feed playground scenario.</t>
        </is>
      </c>
      <c r="J43" s="5" t="inlineStr">
        <is>
          <t>Manual Test Protocol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Feed playground scenario.</t>
        </is>
      </c>
      <c r="J44" s="5" t="inlineStr">
        <is>
          <t>Manual Test Protocol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Feed playground scenario.</t>
        </is>
      </c>
      <c r="J45" s="5" t="inlineStr">
        <is>
          <t>Manual Test Protocol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Feed playground scenario.</t>
        </is>
      </c>
      <c r="J46" s="5" t="inlineStr">
        <is>
          <t>Manual Test Protocol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Feed playground scenario.</t>
        </is>
      </c>
      <c r="J47" s="5" t="inlineStr">
        <is>
          <t>Manual Test Protocol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Feed playground scenario.</t>
        </is>
      </c>
      <c r="J48" s="5" t="inlineStr">
        <is>
          <t>Manual Test Protocol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Feed playground scenario.</t>
        </is>
      </c>
      <c r="J49" s="5" t="inlineStr">
        <is>
          <t>Manual Test Protocol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Feed playground scenario.</t>
        </is>
      </c>
      <c r="J50" s="5" t="inlineStr">
        <is>
          <t>Manual Test Protocol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Feed playground scenario.</t>
        </is>
      </c>
      <c r="J51" s="5" t="inlineStr">
        <is>
          <t>Manual Test Protocol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Feed playground scenario.</t>
        </is>
      </c>
      <c r="J52" s="5" t="inlineStr">
        <is>
          <t>Manual Test Protocol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Feed playground scenario.</t>
        </is>
      </c>
      <c r="J53" s="5" t="inlineStr">
        <is>
          <t>Manual Test Protocol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Feed playground scenario.</t>
        </is>
      </c>
      <c r="J54" s="5" t="inlineStr">
        <is>
          <t>Manual Test Protocol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Feed playground scenario.</t>
        </is>
      </c>
      <c r="J55" s="5" t="inlineStr">
        <is>
          <t>Manual Test Protocol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Feed playground scenario.</t>
        </is>
      </c>
      <c r="J56" s="5" t="inlineStr">
        <is>
          <t>Manual Test Protocol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Feed playground scenario.</t>
        </is>
      </c>
      <c r="J57" s="5" t="inlineStr">
        <is>
          <t>Manual Test Protocol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Feed playground scenario.</t>
        </is>
      </c>
      <c r="J58" s="5" t="inlineStr">
        <is>
          <t>Manual Test Protocol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Ctrl/Cmd+End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Feed playground scenario.</t>
        </is>
      </c>
      <c r="J59" s="5" t="inlineStr">
        <is>
          <t>Manual Test Protocol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Ctrl/Cmd+Home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Feed playground scenario.</t>
        </is>
      </c>
      <c r="J60" s="5" t="inlineStr">
        <is>
          <t>Manual Test Protocol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Feed playground scenario.</t>
        </is>
      </c>
      <c r="J61" s="5" t="inlineStr">
        <is>
          <t>Manual Test Protocol passed.</t>
        </is>
      </c>
      <c r="K61" s="6">
        <f>IF(AND(E61="yes",F61="yes",H61="covered"),1,IF(H61="partial",0.5,0))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60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60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60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60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Fieldset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60"/>
    <row r="8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FileUpload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60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60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60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60"/>
    <row r="186" ht="15" customHeight="1" s="60"/>
    <row r="187" ht="15" customHeight="1" s="60"/>
    <row r="188" ht="15" customHeight="1" s="60"/>
    <row r="189" ht="15" customHeight="1" s="60"/>
    <row r="190" ht="15" customHeight="1" s="60"/>
    <row r="191" ht="15" customHeight="1" s="60"/>
    <row r="192" ht="15" customHeight="1" s="60"/>
    <row r="193" ht="15" customHeight="1" s="60"/>
    <row r="194" ht="15" customHeight="1" s="60"/>
    <row r="195" ht="15" customHeight="1" s="60"/>
    <row r="196" ht="15" customHeight="1" s="60"/>
    <row r="197" ht="15" customHeight="1" s="60"/>
    <row r="198" ht="15" customHeight="1" s="60"/>
    <row r="199" ht="15" customHeight="1" s="60"/>
    <row r="200" ht="15" customHeight="1" s="60"/>
    <row r="201" ht="15" customHeight="1" s="60"/>
    <row r="202" ht="15" customHeight="1" s="60"/>
    <row r="203" ht="15" customHeight="1" s="60"/>
    <row r="204" ht="30" customHeight="1" s="60"/>
    <row r="205" ht="15" customHeight="1" s="60"/>
    <row r="206" ht="15" customHeight="1" s="60"/>
    <row r="207" ht="15" customHeight="1" s="60"/>
    <row r="208" ht="15" customHeight="1" s="60"/>
    <row r="209" ht="15" customHeight="1" s="60"/>
    <row r="210" ht="30" customHeight="1" s="60"/>
    <row r="211" ht="30" customHeight="1" s="60"/>
    <row r="212" ht="30" customHeight="1" s="60"/>
    <row r="213" ht="30" customHeight="1" s="60"/>
    <row r="214" ht="15" customHeight="1" s="60"/>
    <row r="215" ht="30" customHeight="1" s="60"/>
    <row r="216" ht="15" customHeight="1" s="60"/>
    <row r="217" ht="15" customHeight="1" s="60"/>
    <row r="218" ht="15" customHeight="1" s="60"/>
    <row r="219" ht="15" customHeight="1" s="60"/>
    <row r="220" ht="15" customHeight="1" s="60"/>
    <row r="221" ht="15" customHeight="1" s="60"/>
    <row r="222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Form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60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60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HoverCard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HoverCard Manual Test Protocol</t>
        </is>
      </c>
      <c r="J9" s="5" t="inlineStr">
        <is>
          <t>Props toolbar toggles Prop Check for Trigger, Content, and Arrow; verified in Anatomy and Inspector Data.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HoverCard Manual Test Protocol</t>
        </is>
      </c>
      <c r="J10" s="5" t="inlineStr">
        <is>
          <t>Custom slot toggles verified for Trigger, Content, and Arrow.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HoverCard Manual Test Protocol</t>
        </is>
      </c>
      <c r="J11" s="5" t="inlineStr">
        <is>
          <t>Scenario reached from the top menu and rendered in the workbench.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HoverCard Manual Test Protocol</t>
        </is>
      </c>
      <c r="J12" s="5" t="inlineStr">
        <is>
          <t>Source verified for state, portal, composition, props, slots, and Arrow size toggles.</t>
        </is>
      </c>
      <c r="K12" s="6">
        <f>IF(AND(E12="yes",F12="yes",H12="covered"),1,IF(H12="partial",0.5,0))</f>
        <v/>
      </c>
    </row>
    <row r="13" ht="45" customHeight="1" s="60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HoverCard Manual Test Protocol</t>
        </is>
      </c>
      <c r="J13" s="5" t="inlineStr">
        <is>
          <t>Anatomy verified for public parts in documented order with raw DOM evidence.</t>
        </is>
      </c>
      <c r="K13" s="6">
        <f>IF(AND(E13="yes",F13="yes",H13="covered"),1,IF(H13="partial",0.5,0))</f>
        <v/>
      </c>
    </row>
    <row r="14" ht="45" customHeight="1" s="60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HoverCard Manual Test Protocol</t>
        </is>
      </c>
      <c r="J14" s="5" t="inlineStr">
        <is>
          <t>Selected, Focused, and Logs verified independently.</t>
        </is>
      </c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HoverCard Manual Test Protocol</t>
        </is>
      </c>
      <c r="J15" s="5" t="inlineStr">
        <is>
          <t>Controlled open buttons, uncontrolled hover/focus, and defaultOpen verified.</t>
        </is>
      </c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keyboard focus-visible trigger interactions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HoverCard Manual Test Protocol</t>
        </is>
      </c>
      <c r="J16" s="5" t="inlineStr">
        <is>
          <t>Hover and keyboard Tab focus-visible open verified; mouse click focus is not expected to open.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HoverCard Manual Test Protocol</t>
        </is>
      </c>
      <c r="J17" s="5" t="inlineStr">
        <is>
          <t>openDelay 0/150/700 and closeDelay 0/150/300 exposed; defaults match package source.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HoverCard Manual Test Protocol</t>
        </is>
      </c>
      <c r="J18" s="5" t="inlineStr">
        <is>
          <t>Side, align, offset, data-side, and data-positioned verified; collision may flip side.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HoverCard Manual Test Protocol</t>
        </is>
      </c>
      <c r="J19" s="5" t="inlineStr">
        <is>
          <t>Portal body/container/disabled and Arrow DOM evidence verified.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HoverCard Manual Test Protocol</t>
        </is>
      </c>
      <c r="J20" s="5" t="inlineStr">
        <is>
          <t>Scenario styling is playground-only; Source omits classes and layout plumbing.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 and exposes feature-wide state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HoverCard Manual Test Protocol</t>
        </is>
      </c>
      <c r="J21" s="5" t="inlineStr">
        <is>
          <t>Root is non-DOM; Anatomy shows controlled/defaultOpen/open/delay/disabled state.</t>
        </is>
      </c>
      <c r="K21" s="6">
        <f>IF(AND(E21="yes",F21="yes",H21="covered"),1,IF(H21="partial",0.5,0))</f>
        <v/>
      </c>
    </row>
    <row r="22" ht="45" customHeight="1" s="60">
      <c r="A22" s="4" t="n">
        <v>14</v>
      </c>
      <c r="B22" s="5" t="inlineStr">
        <is>
          <t>State</t>
        </is>
      </c>
      <c r="C22" s="5" t="inlineStr">
        <is>
          <t>Root</t>
        </is>
      </c>
      <c r="D22" s="5" t="inlineStr">
        <is>
          <t>open prop behavior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HoverCard Manual Test Protocol</t>
        </is>
      </c>
      <c r="J22" s="5" t="inlineStr">
        <is>
          <t>Controlled open prop path verified with Open controlled and Close controlled buttons.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defaultOpen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HoverCard Manual Test Protocol</t>
        </is>
      </c>
      <c r="J23" s="5" t="inlineStr">
        <is>
          <t>Default Open toolbar starts uncontrolled content open and Source shows defaultOpen.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onOpenChange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HoverCard Manual Test Protocol</t>
        </is>
      </c>
      <c r="J24" s="5" t="inlineStr">
        <is>
          <t>Logs record opened/closed changes from HoverCard behavior and external controls.</t>
        </is>
      </c>
      <c r="K24" s="6">
        <f>IF(AND(E24="yes",F24="yes",H24="covered"),1,IF(H24="partial",0.5,0))</f>
        <v/>
      </c>
    </row>
    <row r="25" ht="4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openDelay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HoverCard Manual Test Protocol</t>
        </is>
      </c>
      <c r="J25" s="5" t="inlineStr">
        <is>
          <t>Open delay values verified; Source omits default 700 and shows non-default values.</t>
        </is>
      </c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closeDelay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HoverCard Manual Test Protocol</t>
        </is>
      </c>
      <c r="J26" s="5" t="inlineStr">
        <is>
          <t>Close delay default 300 verified; Source omits default 300 and shows non-default values.</t>
        </is>
      </c>
      <c r="K26" s="6">
        <f>IF(AND(E26="yes",F26="yes",H26="covered"),1,IF(H26="partial",0.5,0))</f>
        <v/>
      </c>
    </row>
    <row r="27" ht="4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HoverCard Manual Test Protocol</t>
        </is>
      </c>
      <c r="J27" s="5" t="inlineStr">
        <is>
          <t>Disabled prevents hover and focus-visible open.</t>
        </is>
      </c>
      <c r="K27" s="6">
        <f>IF(AND(E27="yes",F27="yes",H27="covered"),1,IF(H27="partial",0.5,0))</f>
        <v/>
      </c>
    </row>
    <row r="28" ht="45" customHeight="1" s="60">
      <c r="A28" s="4" t="n">
        <v>20</v>
      </c>
      <c r="B28" s="5" t="inlineStr">
        <is>
          <t>Anatomy</t>
        </is>
      </c>
      <c r="C28" s="5" t="inlineStr">
        <is>
          <t>Trigger</t>
        </is>
      </c>
      <c r="D28" s="5" t="inlineStr">
        <is>
          <t>renders correct part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HoverCard Manual Test Protocol</t>
        </is>
      </c>
      <c r="J28" s="5" t="inlineStr">
        <is>
          <t>Trigger appears after Root in Anatomy and remains inspectable.</t>
        </is>
      </c>
      <c r="K28" s="6">
        <f>IF(AND(E28="yes",F28="yes",H28="covered"),1,IF(H28="partial",0.5,0))</f>
        <v/>
      </c>
    </row>
    <row r="29" ht="45" customHeight="1" s="60">
      <c r="A29" s="4" t="n">
        <v>21</v>
      </c>
      <c r="B29" s="5" t="inlineStr">
        <is>
          <t>Identity</t>
        </is>
      </c>
      <c r="C29" s="5" t="inlineStr">
        <is>
          <t>Trigger</t>
        </is>
      </c>
      <c r="D29" s="5" t="inlineStr">
        <is>
          <t>default tag is span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HoverCard Manual Test Protocol</t>
        </is>
      </c>
      <c r="J29" s="5" t="inlineStr">
        <is>
          <t>Default Trigger tag verified as span.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Data</t>
        </is>
      </c>
      <c r="C30" s="5" t="inlineStr">
        <is>
          <t>Trigger</t>
        </is>
      </c>
      <c r="D30" s="5" t="inlineStr">
        <is>
          <t>data-slot and data-state are present and correct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HoverCard Manual Test Protocol</t>
        </is>
      </c>
      <c r="J30" s="5" t="inlineStr">
        <is>
          <t>Default data-slot hover-card-trigger and data-state open/closed verified.</t>
        </is>
      </c>
      <c r="K30" s="6">
        <f>IF(AND(E30="yes",F30="yes",H30="covered"),1,IF(H30="partial",0.5,0))</f>
        <v/>
      </c>
    </row>
    <row r="31" ht="45" customHeight="1" s="60">
      <c r="A31" s="4" t="n">
        <v>23</v>
      </c>
      <c r="B31" s="5" t="inlineStr">
        <is>
          <t>Props</t>
        </is>
      </c>
      <c r="C31" s="5" t="inlineStr">
        <is>
          <t>Trigger</t>
        </is>
      </c>
      <c r="D31" s="5" t="inlineStr">
        <is>
          <t>native/data props pass through with data-prop-check marker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HoverCard Manual Test Protocol</t>
        </is>
      </c>
      <c r="J31" s="5" t="inlineStr">
        <is>
          <t>data-prop-check="trigger" verified through raw Data.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Slots</t>
        </is>
      </c>
      <c r="C32" s="5" t="inlineStr">
        <is>
          <t>Trigger</t>
        </is>
      </c>
      <c r="D32" s="5" t="inlineStr">
        <is>
          <t>custom data-slot override is applied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HoverCard Manual Test Protocol</t>
        </is>
      </c>
      <c r="J32" s="5" t="inlineStr">
        <is>
          <t>data-slot="hover-card-trigger-custom" verified when Trigger Slot is enabled.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Composition</t>
        </is>
      </c>
      <c r="C33" s="5" t="inlineStr">
        <is>
          <t>Trigger</t>
        </is>
      </c>
      <c r="D33" s="5" t="inlineStr">
        <is>
          <t>asChild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HoverCard Manual Test Protocol</t>
        </is>
      </c>
      <c r="J33" s="5" t="inlineStr">
        <is>
          <t>asChild preserves child content and HoverCard props on the child span.</t>
        </is>
      </c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Composition</t>
        </is>
      </c>
      <c r="C34" s="5" t="inlineStr">
        <is>
          <t>Trigger</t>
        </is>
      </c>
      <c r="D34" s="5" t="inlineStr">
        <is>
          <t>render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HoverCard Manual Test Protocol</t>
        </is>
      </c>
      <c r="J34" s="5" t="inlineStr">
        <is>
          <t>render={(props) =&gt; &lt;section {...props} /&gt;} renders section and preserves behavior/positioning.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Interaction</t>
        </is>
      </c>
      <c r="C35" s="5" t="inlineStr">
        <is>
          <t>Trigger</t>
        </is>
      </c>
      <c r="D35" s="5" t="inlineStr">
        <is>
          <t>hover opens and mouse leave closes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HoverCard Manual Test Protocol</t>
        </is>
      </c>
      <c r="J35" s="5" t="inlineStr">
        <is>
          <t>Hover opens and leave closes after close delay; logs record events.</t>
        </is>
      </c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Focus</t>
        </is>
      </c>
      <c r="C36" s="5" t="inlineStr">
        <is>
          <t>Trigger</t>
        </is>
      </c>
      <c r="D36" s="5" t="inlineStr">
        <is>
          <t>keyboard Tab focus-visible opens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HoverCard Manual Test Protocol</t>
        </is>
      </c>
      <c r="J36" s="5" t="inlineStr">
        <is>
          <t>Keyboard Tab focus opens Content and keeps focus on Trigger.</t>
        </is>
      </c>
      <c r="K36" s="6">
        <f>IF(AND(E36="yes",F36="yes",H36="covered"),1,IF(H36="partial",0.5,0))</f>
        <v/>
      </c>
    </row>
    <row r="37" ht="4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body, custom container, and disabled portal paths work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HoverCard Manual Test Protocol</t>
        </is>
      </c>
      <c r="J37" s="5" t="inlineStr">
        <is>
          <t>Portal body/container/disabled modes verified through parent, inside-canvas, and custom target evidence.</t>
        </is>
      </c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Portal</t>
        </is>
      </c>
      <c r="C38" s="5" t="inlineStr">
        <is>
          <t>Portal</t>
        </is>
      </c>
      <c r="D38" s="5" t="inlineStr">
        <is>
          <t>portal renders in body by default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HoverCard Manual Test Protocol</t>
        </is>
      </c>
      <c r="J38" s="5" t="inlineStr">
        <is>
          <t>Body mode renders Content under body and outside Canvas.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Portal</t>
        </is>
      </c>
      <c r="C39" s="5" t="inlineStr">
        <is>
          <t>Portal</t>
        </is>
      </c>
      <c r="D39" s="5" t="inlineStr">
        <is>
          <t>custom container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HoverCard Manual Test Protocol</t>
        </is>
      </c>
      <c r="J39" s="5" t="inlineStr">
        <is>
          <t>Container mode renders Content in the playground portal target.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Portal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HoverCard Manual Test Protocol</t>
        </is>
      </c>
      <c r="J40" s="5" t="inlineStr">
        <is>
          <t>Disabled mode renders Content inline inside Canvas.</t>
        </is>
      </c>
      <c r="K40" s="6">
        <f>IF(AND(E40="yes",F40="yes",H40="covered"),1,IF(H40="partial",0.5,0))</f>
        <v/>
      </c>
    </row>
    <row r="41" ht="4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renders correct part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HoverCard Manual Test Protocol</t>
        </is>
      </c>
      <c r="J41" s="5" t="inlineStr">
        <is>
          <t>Content appears after Portal in Anatomy when open.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div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HoverCard Manual Test Protocol</t>
        </is>
      </c>
      <c r="J42" s="5" t="inlineStr">
        <is>
          <t>Content tag verified as div.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Data</t>
        </is>
      </c>
      <c r="C43" s="5" t="inlineStr">
        <is>
          <t>Content</t>
        </is>
      </c>
      <c r="D43" s="5" t="inlineStr">
        <is>
          <t>data-slot, data-state, data-side, and data-positioned are present at the correct time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HoverCard Manual Test Protocol</t>
        </is>
      </c>
      <c r="J43" s="5" t="inlineStr">
        <is>
          <t>Raw Data verified while open; data-side may reflect collision-adjusted placement.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ARIA</t>
        </is>
      </c>
      <c r="C44" s="5" t="inlineStr">
        <is>
          <t>Content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HoverCard Manual Test Protocol</t>
        </is>
      </c>
      <c r="J44" s="5" t="inlineStr">
        <is>
          <t>aria-label="Contributor preview" present when enabled and removed when disabled.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Props</t>
        </is>
      </c>
      <c r="C45" s="5" t="inlineStr">
        <is>
          <t>Content</t>
        </is>
      </c>
      <c r="D45" s="5" t="inlineStr">
        <is>
          <t>native/data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HoverCard Manual Test Protocol</t>
        </is>
      </c>
      <c r="J45" s="5" t="inlineStr">
        <is>
          <t>data-prop-check="content" verified through raw Data.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Slots</t>
        </is>
      </c>
      <c r="C46" s="5" t="inlineStr">
        <is>
          <t>Content</t>
        </is>
      </c>
      <c r="D46" s="5" t="inlineStr">
        <is>
          <t>custom data-slot override is applied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HoverCard Manual Test Protocol</t>
        </is>
      </c>
      <c r="J46" s="5" t="inlineStr">
        <is>
          <t>data-slot="hover-card-content-custom" verified when Content Slot is enabled.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Positioning</t>
        </is>
      </c>
      <c r="C47" s="5" t="inlineStr">
        <is>
          <t>Content</t>
        </is>
      </c>
      <c r="D47" s="5" t="inlineStr">
        <is>
          <t>side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HoverCard Manual Test Protocol</t>
        </is>
      </c>
      <c r="J47" s="5" t="inlineStr">
        <is>
          <t>Non-default side values update Source and placement evidence; default bottom omitted from Source.</t>
        </is>
      </c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Positioning</t>
        </is>
      </c>
      <c r="C48" s="5" t="inlineStr">
        <is>
          <t>Content</t>
        </is>
      </c>
      <c r="D48" s="5" t="inlineStr">
        <is>
          <t>align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HoverCard Manual Test Protocol</t>
        </is>
      </c>
      <c r="J48" s="5" t="inlineStr">
        <is>
          <t>Non-default align values update Source and placement behavior; default center omitted from Source.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Positioning</t>
        </is>
      </c>
      <c r="C49" s="5" t="inlineStr">
        <is>
          <t>Content</t>
        </is>
      </c>
      <c r="D49" s="5" t="inlineStr">
        <is>
          <t>sideOffset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HoverCard Manual Test Protocol</t>
        </is>
      </c>
      <c r="J49" s="5" t="inlineStr">
        <is>
          <t>Non-default offset values update Source and visible spacing; default 8 omitted from Source.</t>
        </is>
      </c>
      <c r="K49" s="6">
        <f>IF(AND(E49="yes",F49="yes",H49="covered"),1,IF(H49="partial",0.5,0))</f>
        <v/>
      </c>
    </row>
    <row r="50" ht="45" customHeight="1" s="60">
      <c r="A50" s="4" t="n">
        <v>42</v>
      </c>
      <c r="B50" s="5" t="inlineStr">
        <is>
          <t>Anatomy</t>
        </is>
      </c>
      <c r="C50" s="5" t="inlineStr">
        <is>
          <t>Arrow</t>
        </is>
      </c>
      <c r="D50" s="5" t="inlineStr">
        <is>
          <t>renders correct part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HoverCard Manual Test Protocol</t>
        </is>
      </c>
      <c r="J50" s="5" t="inlineStr">
        <is>
          <t>Arrow appears inside Content in Anatomy when open.</t>
        </is>
      </c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Identity</t>
        </is>
      </c>
      <c r="C51" s="5" t="inlineStr">
        <is>
          <t>Arrow</t>
        </is>
      </c>
      <c r="D51" s="5" t="inlineStr">
        <is>
          <t>default tag is svg and aria-hidden is true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HoverCard Manual Test Protocol</t>
        </is>
      </c>
      <c r="J51" s="5" t="inlineStr">
        <is>
          <t>Arrow tag svg and aria-hidden=true verified.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Data</t>
        </is>
      </c>
      <c r="C52" s="5" t="inlineStr">
        <is>
          <t>Arrow</t>
        </is>
      </c>
      <c r="D52" s="5" t="inlineStr">
        <is>
          <t>data-slot and data-side are present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HoverCard Manual Test Protocol</t>
        </is>
      </c>
      <c r="J52" s="5" t="inlineStr">
        <is>
          <t>Default data-slot hover-card-arrow and current data-side verified.</t>
        </is>
      </c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Props</t>
        </is>
      </c>
      <c r="C53" s="5" t="inlineStr">
        <is>
          <t>Arrow</t>
        </is>
      </c>
      <c r="D53" s="5" t="inlineStr">
        <is>
          <t>native/data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HoverCard Manual Test Protocol</t>
        </is>
      </c>
      <c r="J53" s="5" t="inlineStr">
        <is>
          <t>data-prop-check="arrow" verified through raw Data.</t>
        </is>
      </c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Slots</t>
        </is>
      </c>
      <c r="C54" s="5" t="inlineStr">
        <is>
          <t>Arrow</t>
        </is>
      </c>
      <c r="D54" s="5" t="inlineStr">
        <is>
          <t>custom data-slot override is applied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HoverCard Manual Test Protocol</t>
        </is>
      </c>
      <c r="J54" s="5" t="inlineStr">
        <is>
          <t>data-slot="hover-card-arrow-custom" verified when Arrow Slot is enabled.</t>
        </is>
      </c>
      <c r="K54" s="6">
        <f>IF(AND(E54="yes",F54="yes",H54="covered"),1,IF(H54="partial",0.5,0))</f>
        <v/>
      </c>
    </row>
    <row r="55" ht="45" customHeight="1" s="60">
      <c r="A55" s="4" t="n">
        <v>47</v>
      </c>
      <c r="B55" s="5" t="inlineStr">
        <is>
          <t>Public API</t>
        </is>
      </c>
      <c r="C55" s="5" t="inlineStr">
        <is>
          <t>Arrow</t>
        </is>
      </c>
      <c r="D55" s="5" t="inlineStr">
        <is>
          <t>width and height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HoverCard Manual Test Protocol</t>
        </is>
      </c>
      <c r="J55" s="5" t="inlineStr">
        <is>
          <t>Default width=10 height=5 and wide override width=18 height=9 verified through DOM attributes.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Source</t>
        </is>
      </c>
      <c r="C56" s="5" t="inlineStr">
        <is>
          <t>HoverCard</t>
        </is>
      </c>
      <c r="D56" s="5" t="inlineStr">
        <is>
          <t>Source omits playground-only plumbing and default props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HoverCard Manual Test Protocol</t>
        </is>
      </c>
      <c r="J56" s="5" t="inlineStr">
        <is>
          <t>Source omits data-playground-inspect, classes, default delays, default side/align/offset, and default false props.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Source</t>
        </is>
      </c>
      <c r="C57" s="5" t="inlineStr">
        <is>
          <t>HoverCard</t>
        </is>
      </c>
      <c r="D57" s="5" t="inlineStr">
        <is>
          <t>Source reflects controlled/defaultOpen state, portal mode, composition, props, slots, and Arrow size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HoverCard Manual Test Protocol</t>
        </is>
      </c>
      <c r="J57" s="5" t="inlineStr">
        <is>
          <t>Source verified across all protocol toggles.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Inspector</t>
        </is>
      </c>
      <c r="C58" s="5" t="inlineStr">
        <is>
          <t>HoverCard</t>
        </is>
      </c>
      <c r="D58" s="5" t="inlineStr">
        <is>
          <t>Selected and Focused evidence update independently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HoverCard Manual Test Protocol</t>
        </is>
      </c>
      <c r="J58" s="5" t="inlineStr">
        <is>
          <t>Selected and Focused tabs verified for Trigger, Content, and Arrow.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Logs</t>
        </is>
      </c>
      <c r="C59" s="5" t="inlineStr">
        <is>
          <t>HoverCard</t>
        </is>
      </c>
      <c r="D59" s="5" t="inlineStr">
        <is>
          <t>interaction logs remain visible after close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HoverCard Manual Test Protocol</t>
        </is>
      </c>
      <c r="J59" s="5" t="inlineStr">
        <is>
          <t>Logs record mouseenter, mouseleave, focus, Escape, opened, and closed events as applicable.</t>
        </is>
      </c>
      <c r="K59" s="6">
        <f>IF(AND(E59="yes",F59="yes",H59="covered"),1,IF(H59="partial",0.5,0))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60"/>
    <row r="77" ht="30" customHeight="1" s="60"/>
    <row r="78" ht="15" customHeight="1" s="60"/>
    <row r="79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Label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60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60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60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60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60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60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60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60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60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60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60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60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60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60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60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60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60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60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60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60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60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60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60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60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60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60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60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60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60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60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60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60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60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60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60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60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60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60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60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60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60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60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60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60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60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60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60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60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60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60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60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60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60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60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60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60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60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60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60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60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60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60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60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60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60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60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60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60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60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60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60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60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60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60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60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60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60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60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60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60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60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60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60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60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60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60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60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60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60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60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60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60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60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60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60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60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60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60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60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60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60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60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60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60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60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60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60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60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60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60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60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60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60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60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60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60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60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60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60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60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60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60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60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60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60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60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60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60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60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60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60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60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60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60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60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60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60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60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60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60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60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Menubar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Menubar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Menubar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Menubar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`role="menubar"` with menu trigger and content behavior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Menubar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Menubar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the shared `Menu` item, checkbox, radio, group, separator, and submenu behavior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Menubar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Menubar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`closeOnSelect`, looping, and escape close per menu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Menubar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Menubar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Menubar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Menubar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Menubar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Menubar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Menubar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Menubar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Menubar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Menubar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Menubar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Menubar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Menubar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Trigger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Menubar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Menubar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Trigger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Menubar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Trigger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Menubar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Trigger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Menubar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[data-slot]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Menubar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[data-state]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Menubar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Trigger</t>
        </is>
      </c>
      <c r="D39" s="5" t="inlineStr">
        <is>
          <t>[data-disabled]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Menubar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Content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Menubar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Menubar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Menubar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Content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Menubar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Content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Menubar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Content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Menubar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Item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Menubar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Menubar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Item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Menubar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Menubar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Item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Menubar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Item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Menubar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CheckboxItem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Menubar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CheckboxItem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Menubar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CheckboxItem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Menubar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CheckboxItem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Menubar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CheckboxItem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Menubar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CheckboxItem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Menubar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Menu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Menubar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Menu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Menubar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Menu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Menubar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Menu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Menubar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Menu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Menubar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Menu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Menubar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Menu</t>
        </is>
      </c>
      <c r="D64" s="5" t="inlineStr">
        <is>
          <t>value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Menubar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Menu</t>
        </is>
      </c>
      <c r="D65" s="5" t="inlineStr">
        <is>
          <t>closeOnSelect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Menubar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Menu</t>
        </is>
      </c>
      <c r="D66" s="5" t="inlineStr">
        <is>
          <t>loop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Menubar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Menu</t>
        </is>
      </c>
      <c r="D67" s="5" t="inlineStr">
        <is>
          <t>closeOnEscape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Menubar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RadioGroup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Menubar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RadioGroup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Menubar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RadioGroup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Menubar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RadioGroup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Menubar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RadioGroup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Menubar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Refs</t>
        </is>
      </c>
      <c r="C73" s="5" t="inlineStr">
        <is>
          <t>RadioGroup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Menubar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RadioItem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Menubar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RadioItem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Menubar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Identity</t>
        </is>
      </c>
      <c r="C76" s="5" t="inlineStr">
        <is>
          <t>RadioItem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Menubar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RadioItem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Menubar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Props</t>
        </is>
      </c>
      <c r="C78" s="5" t="inlineStr">
        <is>
          <t>RadioItem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Menubar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Refs</t>
        </is>
      </c>
      <c r="C79" s="5" t="inlineStr">
        <is>
          <t>RadioItem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Menubar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Separator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Menubar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Separator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Menubar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Separator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Menubar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Separator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Menubar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Separator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Menubar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Separator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Menubar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Sub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Menubar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Sub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Menubar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Sub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Menubar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Sub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Menubar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Sub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Menubar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Sub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Menubar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SubContent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Menubar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SubContent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Menubar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SubContent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Menubar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SubContent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Menubar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SubContent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Menubar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SubContent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Menubar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SubTrigger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Menubar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SubTrigger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Menubar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SubTrigger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Menubar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SubTrigger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Menubar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SubTrigger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Menubar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SubTrigger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Menubar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aria-controls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Menubar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aria-expanded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Menubar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aria-haspopup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Menubar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aria-orientation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Menubar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Data</t>
        </is>
      </c>
      <c r="C108" s="5" t="inlineStr">
        <is>
          <t>Live DOM</t>
        </is>
      </c>
      <c r="D108" s="5" t="inlineStr">
        <is>
          <t>data-disabled is present at the correct time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Menubar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data-slot is present at the correct time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Menubar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data-state is present at the correct time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Menubar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State</t>
        </is>
      </c>
      <c r="C111" s="5" t="inlineStr">
        <is>
          <t>Root</t>
        </is>
      </c>
      <c r="D111" s="5" t="inlineStr">
        <is>
          <t>controlled state path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Menubar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uncontrolled default state path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Menubar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state change callback fires once with correct value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Menubar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Interaction</t>
        </is>
      </c>
      <c r="C114" s="5" t="inlineStr">
        <is>
          <t>Trigger</t>
        </is>
      </c>
      <c r="D114" s="5" t="inlineStr">
        <is>
          <t>mouse click or pointer activation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Menubar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Interaction</t>
        </is>
      </c>
      <c r="C115" s="5" t="inlineStr">
        <is>
          <t>Trigger</t>
        </is>
      </c>
      <c r="D115" s="5" t="inlineStr">
        <is>
          <t>Enter key activation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Menubar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Interaction</t>
        </is>
      </c>
      <c r="C116" s="5" t="inlineStr">
        <is>
          <t>Trigger</t>
        </is>
      </c>
      <c r="D116" s="5" t="inlineStr">
        <is>
          <t>Space key activation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Menubar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Interaction</t>
        </is>
      </c>
      <c r="C117" s="5" t="inlineStr">
        <is>
          <t>Trigger</t>
        </is>
      </c>
      <c r="D117" s="5" t="inlineStr">
        <is>
          <t>disabled trigger blocks pointer and keyboard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Menubar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Focus</t>
        </is>
      </c>
      <c r="C118" s="5" t="inlineStr">
        <is>
          <t>Trigger</t>
        </is>
      </c>
      <c r="D118" s="5" t="inlineStr">
        <is>
          <t>focus ring and focus restoration are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Menubar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Keyboard</t>
        </is>
      </c>
      <c r="C119" s="5" t="inlineStr">
        <is>
          <t>Menubar</t>
        </is>
      </c>
      <c r="D119" s="5" t="inlineStr">
        <is>
          <t>ArrowLeft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Menubar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Keyboard</t>
        </is>
      </c>
      <c r="C120" s="5" t="inlineStr">
        <is>
          <t>Menubar</t>
        </is>
      </c>
      <c r="D120" s="5" t="inlineStr">
        <is>
          <t>ArrowRight behavior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Menubar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Menubar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Menubar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Menubar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Menubar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Menubar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Menubar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Keyboard</t>
        </is>
      </c>
      <c r="C124" s="5" t="inlineStr">
        <is>
          <t>Menubar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Menubar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Focus</t>
        </is>
      </c>
      <c r="C125" s="5" t="inlineStr">
        <is>
          <t>Menubar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Menubar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Dismiss</t>
        </is>
      </c>
      <c r="C126" s="5" t="inlineStr">
        <is>
          <t>Menubar</t>
        </is>
      </c>
      <c r="D126" s="5" t="inlineStr">
        <is>
          <t>Escape closes only the topmost active layer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Menubar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Dismiss</t>
        </is>
      </c>
      <c r="C127" s="5" t="inlineStr">
        <is>
          <t>Menubar</t>
        </is>
      </c>
      <c r="D127" s="5" t="inlineStr">
        <is>
          <t>outside click/interact closes when enabled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Menubar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Menubar</t>
        </is>
      </c>
      <c r="D128" s="5" t="inlineStr">
        <is>
          <t>outside click/interact is blocked when disabled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Menubar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Focus</t>
        </is>
      </c>
      <c r="C129" s="5" t="inlineStr">
        <is>
          <t>Menubar</t>
        </is>
      </c>
      <c r="D129" s="5" t="inlineStr">
        <is>
          <t>focus returns to the correct trigger/anchor after close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Menubar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Focus</t>
        </is>
      </c>
      <c r="C130" s="5" t="inlineStr">
        <is>
          <t>Menubar</t>
        </is>
      </c>
      <c r="D130" s="5" t="inlineStr">
        <is>
          <t>nested overlays keep focus and Escape order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Menubar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Mobile</t>
        </is>
      </c>
      <c r="C131" s="5" t="inlineStr">
        <is>
          <t>Menubar</t>
        </is>
      </c>
      <c r="D131" s="5" t="inlineStr">
        <is>
          <t>mobile viewport/touch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Menubar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Menu</t>
        </is>
      </c>
      <c r="C132" s="5" t="inlineStr">
        <is>
          <t>Menubar</t>
        </is>
      </c>
      <c r="D132" s="5" t="inlineStr">
        <is>
          <t>checkbox item checked/unchecked state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Menubar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Menu</t>
        </is>
      </c>
      <c r="C133" s="5" t="inlineStr">
        <is>
          <t>Menubar</t>
        </is>
      </c>
      <c r="D133" s="5" t="inlineStr">
        <is>
          <t>radio group item exclusivity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Menubar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Menu</t>
        </is>
      </c>
      <c r="C134" s="5" t="inlineStr">
        <is>
          <t>Menubar</t>
        </is>
      </c>
      <c r="D134" s="5" t="inlineStr">
        <is>
          <t>submenu open, close, keyboard, and nested dismissal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Menubar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Menu</t>
        </is>
      </c>
      <c r="C135" s="5" t="inlineStr">
        <is>
          <t>Menubar</t>
        </is>
      </c>
      <c r="D135" s="5" t="inlineStr">
        <is>
          <t>selection closes parent menu when expected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Menubar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Menu</t>
        </is>
      </c>
      <c r="C136" s="5" t="inlineStr">
        <is>
          <t>Menubar</t>
        </is>
      </c>
      <c r="D136" s="5" t="inlineStr">
        <is>
          <t>mouse hover does not reset highlight unexpectedly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Menubar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Portal</t>
        </is>
      </c>
      <c r="C137" s="5" t="inlineStr">
        <is>
          <t>Menubar</t>
        </is>
      </c>
      <c r="D137" s="5" t="inlineStr">
        <is>
          <t>portal renders in body by default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Menubar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Portal</t>
        </is>
      </c>
      <c r="C138" s="5" t="inlineStr">
        <is>
          <t>Menubar</t>
        </is>
      </c>
      <c r="D138" s="5" t="inlineStr">
        <is>
          <t>custom/disabled portal path works where supported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Menubar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Menubar</t>
        </is>
      </c>
      <c r="D139" s="5" t="inlineStr">
        <is>
          <t>side options position content correctly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Menubar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Positioning</t>
        </is>
      </c>
      <c r="C140" s="5" t="inlineStr">
        <is>
          <t>Menubar</t>
        </is>
      </c>
      <c r="D140" s="5" t="inlineStr">
        <is>
          <t>align options position content correctly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Menubar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Positioning</t>
        </is>
      </c>
      <c r="C141" s="5" t="inlineStr">
        <is>
          <t>Menubar</t>
        </is>
      </c>
      <c r="D141" s="5" t="inlineStr">
        <is>
          <t>collision/flip/shift behavior stays in viewport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Menubar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30" customHeight="1" s="60">
      <c r="A142" s="4" t="n">
        <v>134</v>
      </c>
      <c r="B142" s="5" t="inlineStr">
        <is>
          <t>Positioning</t>
        </is>
      </c>
      <c r="C142" s="5" t="inlineStr">
        <is>
          <t>Menubar</t>
        </is>
      </c>
      <c r="D142" s="5" t="inlineStr">
        <is>
          <t>arrow or anchor geometry matches content where supported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Menubar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60">
      <c r="A143" s="4" t="n">
        <v>135</v>
      </c>
      <c r="B143" s="5" t="inlineStr">
        <is>
          <t>Direction</t>
        </is>
      </c>
      <c r="C143" s="5" t="inlineStr">
        <is>
          <t>Root</t>
        </is>
      </c>
      <c r="D143" s="5" t="inlineStr">
        <is>
          <t>reads Direction.Provider context for horizontal menubar navigation</t>
        </is>
      </c>
      <c r="E143" s="10" t="inlineStr">
        <is>
          <t>no</t>
        </is>
      </c>
      <c r="F143" s="8" t="inlineStr">
        <is>
          <t>no</t>
        </is>
      </c>
      <c r="G143" s="4" t="inlineStr">
        <is>
          <t>missing</t>
        </is>
      </c>
      <c r="H143" s="10" t="inlineStr">
        <is>
          <t>missing</t>
        </is>
      </c>
      <c r="I143" s="5" t="n"/>
      <c r="J143" s="5" t="inlineStr">
        <is>
          <t>Add Direction.Provider support to menubar navigation.</t>
        </is>
      </c>
      <c r="K143" s="6">
        <f>IF(AND(E143="yes",F143="yes",H143="covered"),1,IF(H143="partial",0.5,0))</f>
        <v/>
      </c>
    </row>
    <row r="144" ht="30" customHeight="1" s="60">
      <c r="A144" s="4" t="n">
        <v>136</v>
      </c>
      <c r="B144" s="5" t="inlineStr">
        <is>
          <t>Direction</t>
        </is>
      </c>
      <c r="C144" s="5" t="inlineStr">
        <is>
          <t>Root</t>
        </is>
      </c>
      <c r="D144" s="5" t="inlineStr">
        <is>
          <t>RTL mirrors top-level ArrowLeft and ArrowRight navigation</t>
        </is>
      </c>
      <c r="E144" s="10" t="inlineStr">
        <is>
          <t>no</t>
        </is>
      </c>
      <c r="F144" s="8" t="inlineStr">
        <is>
          <t>no</t>
        </is>
      </c>
      <c r="G144" s="4" t="inlineStr">
        <is>
          <t>missing</t>
        </is>
      </c>
      <c r="H144" s="10" t="inlineStr">
        <is>
          <t>missing</t>
        </is>
      </c>
      <c r="I144" s="5" t="n"/>
      <c r="J144" s="5" t="inlineStr">
        <is>
          <t>Implement and test RTL top-level arrow mapping.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Direction</t>
        </is>
      </c>
      <c r="C145" s="5" t="inlineStr">
        <is>
          <t>Submenu</t>
        </is>
      </c>
      <c r="D145" s="5" t="inlineStr">
        <is>
          <t>RTL mirrors submenu ArrowLeft and ArrowRight open/close behavior</t>
        </is>
      </c>
      <c r="E145" s="10" t="inlineStr">
        <is>
          <t>no</t>
        </is>
      </c>
      <c r="F145" s="8" t="inlineStr">
        <is>
          <t>no</t>
        </is>
      </c>
      <c r="G145" s="4" t="inlineStr">
        <is>
          <t>missing</t>
        </is>
      </c>
      <c r="H145" s="10" t="inlineStr">
        <is>
          <t>missing</t>
        </is>
      </c>
      <c r="I145" s="5" t="n"/>
      <c r="J145" s="5" t="inlineStr">
        <is>
          <t>Implement and test RTL submenu key mapping.</t>
        </is>
      </c>
      <c r="K145" s="6">
        <f>IF(AND(E145="yes",F145="yes",H145="covered"),1,IF(H145="partial",0.5,0))</f>
        <v/>
      </c>
    </row>
    <row r="146" ht="30" customHeight="1" s="60">
      <c r="A146" s="4" t="n">
        <v>138</v>
      </c>
      <c r="B146" s="5" t="inlineStr">
        <is>
          <t>Playground</t>
        </is>
      </c>
      <c r="C146" s="5" t="inlineStr">
        <is>
          <t>Direction controls</t>
        </is>
      </c>
      <c r="D146" s="5" t="inlineStr">
        <is>
          <t>scenario exposes provider direction controls</t>
        </is>
      </c>
      <c r="E146" s="10" t="inlineStr">
        <is>
          <t>no</t>
        </is>
      </c>
      <c r="F146" s="8" t="inlineStr">
        <is>
          <t>no</t>
        </is>
      </c>
      <c r="G146" s="4" t="inlineStr">
        <is>
          <t>missing</t>
        </is>
      </c>
      <c r="H146" s="10" t="inlineStr">
        <is>
          <t>missing</t>
        </is>
      </c>
      <c r="I146" s="5" t="n"/>
      <c r="J146" s="5" t="inlineStr">
        <is>
          <t>Add provider direction controls to the playground scenario.</t>
        </is>
      </c>
      <c r="K146" s="6">
        <f>IF(AND(E146="yes",F146="yes",H146="covered"),1,IF(H146="partial",0.5,0))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Modal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inlineStr">
        <is>
          <t>Rewritten from package-level headless characterization to playground-verifiable DOM/Source evidence.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inlineStr">
        <is>
          <t>Rewritten because Modal.Root renders no DOM element.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inlineStr">
        <is>
          <t>Rewritten because Modal.Root renders no DOM element.</t>
        </is>
      </c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inlineStr">
        <is>
          <t>Rewritten because Modal.Root renders no DOM element.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inlineStr">
        <is>
          <t>Rewritten because Modal.Root renders no DOM element.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inlineStr">
        <is>
          <t>Rewritten because Modal.Root has no native DOM passthrough surface.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inlineStr">
        <is>
          <t>Rewritten because Modal.Root has no rendered element ref target.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inlineStr">
        <is>
          <t>Rewritten because Modal.Portal renders no own Atom DOM element.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inlineStr">
        <is>
          <t>Rewritten because Modal.Portal renders no own Atom DOM element.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inlineStr">
        <is>
          <t>Rewritten because Modal.Portal renders no own Atom DOM element.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inlineStr">
        <is>
          <t>Rewritten because Modal.Portal renders no own Atom DOM element.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inlineStr">
        <is>
          <t>Rewritten because Modal.Portal has no native DOM passthrough surface.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inlineStr">
        <is>
          <t>Rewritten because Modal.Portal has no rendered element ref target.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inlineStr">
        <is>
          <t>Rewritten to exact playground-verifiable portal behavior.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inlineStr">
        <is>
          <t>Rewritten to exact playground-verifiable portal behavior.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/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inlineStr">
        <is>
          <t>Rewritten from non-Close keyboard behavior to public Close composition coverage.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inlineStr">
        <is>
          <t>Rewritten from non-Close keyboard behavior to public Close composition coverage.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inlineStr">
        <is>
          <t>Rewritten from non-Close keyboard behavior to public Close click composition coverage.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/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inlineStr">
        <is>
          <t>Rewritten from broad Modal composition to Trigger-specific composition coverage.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inlineStr">
        <is>
          <t>Rewritten from broad Modal composition to Trigger-specific composition coverage.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inlineStr">
        <is>
          <t>Rewritten from broad Modal composition to Trigger-specific event composition coverage.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inlineStr">
        <is>
          <t>Rewritten from broad Modal composition to Close-specific composition coverage.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inlineStr">
        <is>
          <t>Rewritten from broad Modal composition to Close-specific composition coverage.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Modal playground scenario.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NavList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NavList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NavList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NavList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navigation and list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NavList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NavList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NavList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vertical and horizontal orientation metadata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NavList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Keeps route behavior in consumer links while Atom owns ARIA and data attributes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NavList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NavList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NavList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NavList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NavList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NavList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NavList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currentValue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NavList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NavList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NavList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[data-orientation]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NavList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NavList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NavList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NavList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NavList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NavList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NavList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List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NavList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Item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NavList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Item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NavList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Item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NavList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Item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NavList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Item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NavList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Item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NavList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NavList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NavList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Link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NavList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NavList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Link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NavList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Link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NavList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Link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NavList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Link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NavList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active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NavList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Link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NavList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Link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NavList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NavList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Link</t>
        </is>
      </c>
      <c r="D55" s="5" t="inlineStr">
        <is>
          <t>[data-current]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NavList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ListItem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NavList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ListItem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NavList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ListItem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NavList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ListItem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NavList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ListItem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NavList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ListItem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NavList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ListLink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NavList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ListLink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NavList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ListLink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NavList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ListLink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NavList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ListLink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NavList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ListLink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NavList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ListList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NavList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ListList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NavList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ListList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NavList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ListList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NavList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ListList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NavList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Refs</t>
        </is>
      </c>
      <c r="C73" s="5" t="inlineStr">
        <is>
          <t>ListList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NavList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ListSection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NavList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ListSection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NavList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Identity</t>
        </is>
      </c>
      <c r="C76" s="5" t="inlineStr">
        <is>
          <t>ListSection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NavList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ListSection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NavList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Props</t>
        </is>
      </c>
      <c r="C78" s="5" t="inlineStr">
        <is>
          <t>ListSection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NavList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Refs</t>
        </is>
      </c>
      <c r="C79" s="5" t="inlineStr">
        <is>
          <t>ListSection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NavList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ListSectionContent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NavList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ListSectionContent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NavList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ListSectionContent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NavList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ListSectionContent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NavList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ListSectionContent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NavList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ListSectionContent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NavList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ListSectionLabel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NavList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ListSectionLabel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NavList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ListSectionLabel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NavList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ListSectionLabel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NavList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ListSectionLabel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NavList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ListSectionLabel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NavList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ListSectionTrigger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NavList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ListSectionTrigger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NavList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ListSectionTrigger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NavList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ListSectionTrigger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NavList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ListSectionTrigger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NavList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ListSectionTrigger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NavList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Section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NavList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Section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NavList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Section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NavList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Section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NavList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Section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NavList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Section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NavList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State</t>
        </is>
      </c>
      <c r="C104" s="5" t="inlineStr">
        <is>
          <t>Section</t>
        </is>
      </c>
      <c r="D104" s="5" t="inlineStr">
        <is>
          <t>value prop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NavList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State</t>
        </is>
      </c>
      <c r="C105" s="5" t="inlineStr">
        <is>
          <t>Section</t>
        </is>
      </c>
      <c r="D105" s="5" t="inlineStr">
        <is>
          <t>open prop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NavList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State</t>
        </is>
      </c>
      <c r="C106" s="5" t="inlineStr">
        <is>
          <t>Section</t>
        </is>
      </c>
      <c r="D106" s="5" t="inlineStr">
        <is>
          <t>defaultOpen prop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NavList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State</t>
        </is>
      </c>
      <c r="C107" s="5" t="inlineStr">
        <is>
          <t>Section</t>
        </is>
      </c>
      <c r="D107" s="5" t="inlineStr">
        <is>
          <t>onOpenChange prop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NavList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SectionContent</t>
        </is>
      </c>
      <c r="D108" s="5" t="inlineStr">
        <is>
          <t>renders correct part when expected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NavList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SectionContent</t>
        </is>
      </c>
      <c r="D109" s="5" t="inlineStr">
        <is>
          <t>appears in documented order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NavList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Identity</t>
        </is>
      </c>
      <c r="C110" s="5" t="inlineStr">
        <is>
          <t>SectionContent</t>
        </is>
      </c>
      <c r="D110" s="5" t="inlineStr">
        <is>
          <t>default tag is visible in Anatomy/Inspector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NavList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SectionContent</t>
        </is>
      </c>
      <c r="D111" s="5" t="inlineStr">
        <is>
          <t>data-slot is present and correct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NavList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Props</t>
        </is>
      </c>
      <c r="C112" s="5" t="inlineStr">
        <is>
          <t>SectionContent</t>
        </is>
      </c>
      <c r="D112" s="5" t="inlineStr">
        <is>
          <t>non-Atom native props pass through with data-prop-check marker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NavList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Refs</t>
        </is>
      </c>
      <c r="C113" s="5" t="inlineStr">
        <is>
          <t>SectionContent</t>
        </is>
      </c>
      <c r="D113" s="5" t="inlineStr">
        <is>
          <t>consumer ref receives the rendered element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NavList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SectionContent</t>
        </is>
      </c>
      <c r="D114" s="5" t="inlineStr">
        <is>
          <t>forceMount prop behavior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NavList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SectionLabel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NavList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SectionLabel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NavList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SectionLabel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NavList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SectionLabel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NavList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SectionLabel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NavList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SectionLabel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NavList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Public API</t>
        </is>
      </c>
      <c r="C121" s="5" t="inlineStr">
        <is>
          <t>SectionLabel</t>
        </is>
      </c>
      <c r="D121" s="5" t="inlineStr">
        <is>
          <t>[data-slot] prop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NavList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SectionTrigger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NavList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SectionTrigger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NavList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SectionTrigger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NavList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SectionTrigger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NavList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SectionTrigger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NavList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SectionTrigger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NavList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Public API</t>
        </is>
      </c>
      <c r="C128" s="5" t="inlineStr">
        <is>
          <t>SectionTrigger</t>
        </is>
      </c>
      <c r="D128" s="5" t="inlineStr">
        <is>
          <t>[data-slot] prop behavior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NavList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Public API</t>
        </is>
      </c>
      <c r="C129" s="5" t="inlineStr">
        <is>
          <t>SectionTrigger</t>
        </is>
      </c>
      <c r="D129" s="5" t="inlineStr">
        <is>
          <t>[data-state] prop behavior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NavList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ARIA</t>
        </is>
      </c>
      <c r="C130" s="5" t="inlineStr">
        <is>
          <t>Live DOM</t>
        </is>
      </c>
      <c r="D130" s="5" t="inlineStr">
        <is>
          <t>aria-controls is present at the correct time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NavList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ARIA</t>
        </is>
      </c>
      <c r="C131" s="5" t="inlineStr">
        <is>
          <t>Live DOM</t>
        </is>
      </c>
      <c r="D131" s="5" t="inlineStr">
        <is>
          <t>aria-current is present at the correct time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NavList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ARIA</t>
        </is>
      </c>
      <c r="C132" s="5" t="inlineStr">
        <is>
          <t>Live DOM</t>
        </is>
      </c>
      <c r="D132" s="5" t="inlineStr">
        <is>
          <t>aria-disabled is present at the correct time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NavList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ARIA</t>
        </is>
      </c>
      <c r="C133" s="5" t="inlineStr">
        <is>
          <t>Live DOM</t>
        </is>
      </c>
      <c r="D133" s="5" t="inlineStr">
        <is>
          <t>aria-expanded is present at the correct time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NavList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ARIA</t>
        </is>
      </c>
      <c r="C134" s="5" t="inlineStr">
        <is>
          <t>Live DOM</t>
        </is>
      </c>
      <c r="D134" s="5" t="inlineStr">
        <is>
          <t>aria-labelledby is present at the correct time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NavList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Data</t>
        </is>
      </c>
      <c r="C135" s="5" t="inlineStr">
        <is>
          <t>Live DOM</t>
        </is>
      </c>
      <c r="D135" s="5" t="inlineStr">
        <is>
          <t>data-active is present at the correct time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NavList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Data</t>
        </is>
      </c>
      <c r="C136" s="5" t="inlineStr">
        <is>
          <t>Live DOM</t>
        </is>
      </c>
      <c r="D136" s="5" t="inlineStr">
        <is>
          <t>data-collapsible is present at the correct time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NavList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Data</t>
        </is>
      </c>
      <c r="C137" s="5" t="inlineStr">
        <is>
          <t>Live DOM</t>
        </is>
      </c>
      <c r="D137" s="5" t="inlineStr">
        <is>
          <t>data-current is present at the correct time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NavList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Data</t>
        </is>
      </c>
      <c r="C138" s="5" t="inlineStr">
        <is>
          <t>Live DOM</t>
        </is>
      </c>
      <c r="D138" s="5" t="inlineStr">
        <is>
          <t>data-disabled is present at the correct time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NavList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Data</t>
        </is>
      </c>
      <c r="C139" s="5" t="inlineStr">
        <is>
          <t>Live DOM</t>
        </is>
      </c>
      <c r="D139" s="5" t="inlineStr">
        <is>
          <t>data-ordered is present at the correct time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NavList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Data</t>
        </is>
      </c>
      <c r="C140" s="5" t="inlineStr">
        <is>
          <t>Live DOM</t>
        </is>
      </c>
      <c r="D140" s="5" t="inlineStr">
        <is>
          <t>data-orientation is present at the correct time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NavList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Data</t>
        </is>
      </c>
      <c r="C141" s="5" t="inlineStr">
        <is>
          <t>Live DOM</t>
        </is>
      </c>
      <c r="D141" s="5" t="inlineStr">
        <is>
          <t>data-slot is present at the correct time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NavList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Data</t>
        </is>
      </c>
      <c r="C142" s="5" t="inlineStr">
        <is>
          <t>Live DOM</t>
        </is>
      </c>
      <c r="D142" s="5" t="inlineStr">
        <is>
          <t>data-state is present at the correct time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NavList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60">
      <c r="A143" s="4" t="n">
        <v>135</v>
      </c>
      <c r="B143" s="5" t="inlineStr">
        <is>
          <t>Composition</t>
        </is>
      </c>
      <c r="C143" s="5" t="inlineStr">
        <is>
          <t>NavList</t>
        </is>
      </c>
      <c r="D143" s="5" t="inlineStr">
        <is>
          <t>asChild preserves child content without double nesting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NavList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Composition</t>
        </is>
      </c>
      <c r="C144" s="5" t="inlineStr">
        <is>
          <t>NavList</t>
        </is>
      </c>
      <c r="D144" s="5" t="inlineStr">
        <is>
          <t>asChild merges Atom props and consumer props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NavList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Composition</t>
        </is>
      </c>
      <c r="C145" s="5" t="inlineStr">
        <is>
          <t>NavList</t>
        </is>
      </c>
      <c r="D145" s="5" t="inlineStr">
        <is>
          <t>asChild lets preventDefault block Atom behavior where supported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NavList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Composition</t>
        </is>
      </c>
      <c r="C146" s="5" t="inlineStr">
        <is>
          <t>NavList</t>
        </is>
      </c>
      <c r="D146" s="5" t="inlineStr">
        <is>
          <t>render prop renders custom element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NavList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Composition</t>
        </is>
      </c>
      <c r="C147" s="5" t="inlineStr">
        <is>
          <t>NavList</t>
        </is>
      </c>
      <c r="D147" s="5" t="inlineStr">
        <is>
          <t>render prop preserves refs and behavior props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NavList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State</t>
        </is>
      </c>
      <c r="C148" s="5" t="inlineStr">
        <is>
          <t>Root</t>
        </is>
      </c>
      <c r="D148" s="5" t="inlineStr">
        <is>
          <t>controlled state path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NavList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State</t>
        </is>
      </c>
      <c r="C149" s="5" t="inlineStr">
        <is>
          <t>Root</t>
        </is>
      </c>
      <c r="D149" s="5" t="inlineStr">
        <is>
          <t>uncontrolled default state path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NavList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State</t>
        </is>
      </c>
      <c r="C150" s="5" t="inlineStr">
        <is>
          <t>Root</t>
        </is>
      </c>
      <c r="D150" s="5" t="inlineStr">
        <is>
          <t>state change callback fires once with correct value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NavList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Keyboard</t>
        </is>
      </c>
      <c r="C151" s="5" t="inlineStr">
        <is>
          <t>NavList</t>
        </is>
      </c>
      <c r="D151" s="5" t="inlineStr">
        <is>
          <t>Arrow key navigation follows documented orientation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NavList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Keyboard</t>
        </is>
      </c>
      <c r="C152" s="5" t="inlineStr">
        <is>
          <t>NavList</t>
        </is>
      </c>
      <c r="D152" s="5" t="inlineStr">
        <is>
          <t>Home and End navigation where supported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NavList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Keyboard</t>
        </is>
      </c>
      <c r="C153" s="5" t="inlineStr">
        <is>
          <t>NavList</t>
        </is>
      </c>
      <c r="D153" s="5" t="inlineStr">
        <is>
          <t>disabled items are skipped or exposed according to pattern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NavList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Keyboard</t>
        </is>
      </c>
      <c r="C154" s="5" t="inlineStr">
        <is>
          <t>NavList</t>
        </is>
      </c>
      <c r="D154" s="5" t="inlineStr">
        <is>
          <t>typeahead/search behavior where supported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NavList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Focus</t>
        </is>
      </c>
      <c r="C155" s="5" t="inlineStr">
        <is>
          <t>NavList</t>
        </is>
      </c>
      <c r="D155" s="5" t="inlineStr">
        <is>
          <t>roving focus or active descendant state is visible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NavList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NavigationMenu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NavigationMenu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NavigationMenu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NavigationMenu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NavigationMenu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NavigationMenu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NavigationMenu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NavigationMenu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NavigationMenu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NavigationMenu</t>
        </is>
      </c>
      <c r="D15" s="5" t="inlineStr">
        <is>
          <t>Supports root and nested navigation menu scopes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NavigationMenu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Supports delayed open, skip delay, pointer open, click open, and keyboard open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NavigationMenu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Provides a shared viewport that adapts to the active content size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NavigationMenu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Provides indicator geometry CSS variables for styling arrows or active markers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NavigationMenu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Supports active links and `aria-current`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NavigationMenu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Supports horizontal and vertical orientation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NavigationMenu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NavigationMenu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NavigationMenu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NavigationMenu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NavigationMenu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NavigationMenu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NavigationMenu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NavigationMenu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NavigationMenu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NavigationMenu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delayDuration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NavigationMenu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skipDelayDuration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NavigationMenu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orientation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NavigationMenu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dir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NavigationMenu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NavigationMenu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NavigationMenu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NavigationMenu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NavigationMenu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NavigationMenu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NavigationMenu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NavigationMenu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Trigger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NavigationMenu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Trigger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NavigationMenu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NavigationMenu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NavigationMenu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NavigationMenu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NavigationMenu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NavigationMenu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NavigationMenu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NavigationMenu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NavigationMenu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NavigationMenu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NavigationMenu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Content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NavigationMenu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NavigationMenu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NavigationMenu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[data-motion]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NavigationMenu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NavigationMenu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NavigationMenu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List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NavigationMenu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NavigationMenu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List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NavigationMenu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List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NavigationMenu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List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NavigationMenu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Viewport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NavigationMenu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Viewport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NavigationMenu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Viewport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NavigationMenu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Viewport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NavigationMenu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Viewport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NavigationMenu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Viewport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NavigationMenu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forceMount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NavigationMenu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--atom-navigation-menu-viewport-width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NavigationMenu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--atom-navigation-menu-viewport-height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NavigationMenu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Item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NavigationMenu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Item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NavigationMenu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Identity</t>
        </is>
      </c>
      <c r="C75" s="5" t="inlineStr">
        <is>
          <t>Item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NavigationMenu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Identity</t>
        </is>
      </c>
      <c r="C76" s="5" t="inlineStr">
        <is>
          <t>Item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NavigationMenu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Item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NavigationMenu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Refs</t>
        </is>
      </c>
      <c r="C78" s="5" t="inlineStr">
        <is>
          <t>Item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NavigationMenu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Item</t>
        </is>
      </c>
      <c r="D79" s="5" t="inlineStr">
        <is>
          <t>value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NavigationMenu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[data-slot]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NavigationMenu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Indicator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NavigationMenu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Indicator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NavigationMenu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Indicator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NavigationMenu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Indicator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NavigationMenu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Indicator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NavigationMenu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Refs</t>
        </is>
      </c>
      <c r="C86" s="5" t="inlineStr">
        <is>
          <t>Indicator</t>
        </is>
      </c>
      <c r="D86" s="5" t="inlineStr">
        <is>
          <t>consumer ref receives the rendered element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NavigationMenu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Indicator</t>
        </is>
      </c>
      <c r="D87" s="5" t="inlineStr">
        <is>
          <t>forceMount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NavigationMenu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Indicator</t>
        </is>
      </c>
      <c r="D88" s="5" t="inlineStr">
        <is>
          <t>--atom-navigation-menu-trigger-left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NavigationMenu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Indicator</t>
        </is>
      </c>
      <c r="D89" s="5" t="inlineStr">
        <is>
          <t>--atom-navigation-menu-trigger-top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NavigationMenu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Indicator</t>
        </is>
      </c>
      <c r="D90" s="5" t="inlineStr">
        <is>
          <t>--atom-navigation-menu-trigger-width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NavigationMenu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Indicator</t>
        </is>
      </c>
      <c r="D91" s="5" t="inlineStr">
        <is>
          <t>--atom-navigation-menu-trigger-height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NavigationMenu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Indicator</t>
        </is>
      </c>
      <c r="D92" s="5" t="inlineStr">
        <is>
          <t>--atom-navigation-menu-trigger-center-x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NavigationMenu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Indicator</t>
        </is>
      </c>
      <c r="D93" s="5" t="inlineStr">
        <is>
          <t>--atom-navigation-menu-trigger-center-y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NavigationMenu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Link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NavigationMenu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Link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NavigationMenu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Identity</t>
        </is>
      </c>
      <c r="C96" s="5" t="inlineStr">
        <is>
          <t>Link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NavigationMenu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Link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NavigationMenu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Link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NavigationMenu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Link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NavigationMenu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Link</t>
        </is>
      </c>
      <c r="D100" s="5" t="inlineStr">
        <is>
          <t>active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NavigationMenu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Link</t>
        </is>
      </c>
      <c r="D101" s="5" t="inlineStr">
        <is>
          <t>onSelect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NavigationMenu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Composition</t>
        </is>
      </c>
      <c r="C102" s="5" t="inlineStr">
        <is>
          <t>Link</t>
        </is>
      </c>
      <c r="D102" s="5" t="inlineStr">
        <is>
          <t>asChild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NavigationMenu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Anatomy</t>
        </is>
      </c>
      <c r="C103" s="5" t="inlineStr">
        <is>
          <t>MenuContent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NavigationMenu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MenuContent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NavigationMenu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Identity</t>
        </is>
      </c>
      <c r="C105" s="5" t="inlineStr">
        <is>
          <t>MenuContent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NavigationMenu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Identity</t>
        </is>
      </c>
      <c r="C106" s="5" t="inlineStr">
        <is>
          <t>MenuContent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NavigationMenu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Props</t>
        </is>
      </c>
      <c r="C107" s="5" t="inlineStr">
        <is>
          <t>MenuContent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NavigationMenu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Refs</t>
        </is>
      </c>
      <c r="C108" s="5" t="inlineStr">
        <is>
          <t>MenuContent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NavigationMenu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MenuIndicator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NavigationMenu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MenuIndicator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NavigationMenu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Identity</t>
        </is>
      </c>
      <c r="C111" s="5" t="inlineStr">
        <is>
          <t>MenuIndicator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NavigationMenu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MenuIndicator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NavigationMenu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MenuIndicator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NavigationMenu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MenuIndicator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NavigationMenu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MenuItem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NavigationMenu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MenuItem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NavigationMenu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MenuItem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NavigationMenu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MenuItem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NavigationMenu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MenuItem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NavigationMenu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MenuItem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NavigationMenu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Anatomy</t>
        </is>
      </c>
      <c r="C121" s="5" t="inlineStr">
        <is>
          <t>MenuLink</t>
        </is>
      </c>
      <c r="D121" s="5" t="inlineStr">
        <is>
          <t>renders correct part when expected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NavigationMenu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MenuLink</t>
        </is>
      </c>
      <c r="D122" s="5" t="inlineStr">
        <is>
          <t>appears in documented order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NavigationMenu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Identity</t>
        </is>
      </c>
      <c r="C123" s="5" t="inlineStr">
        <is>
          <t>MenuLink</t>
        </is>
      </c>
      <c r="D123" s="5" t="inlineStr">
        <is>
          <t>default tag is visible in Anatomy/Inspector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NavigationMenu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Identity</t>
        </is>
      </c>
      <c r="C124" s="5" t="inlineStr">
        <is>
          <t>MenuLink</t>
        </is>
      </c>
      <c r="D124" s="5" t="inlineStr">
        <is>
          <t>data-slot is present and correct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NavigationMenu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Props</t>
        </is>
      </c>
      <c r="C125" s="5" t="inlineStr">
        <is>
          <t>MenuLink</t>
        </is>
      </c>
      <c r="D125" s="5" t="inlineStr">
        <is>
          <t>non-Atom native props pass through with data-prop-check marker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NavigationMenu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Refs</t>
        </is>
      </c>
      <c r="C126" s="5" t="inlineStr">
        <is>
          <t>MenuLink</t>
        </is>
      </c>
      <c r="D126" s="5" t="inlineStr">
        <is>
          <t>consumer ref receives the rendered element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NavigationMenu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Anatomy</t>
        </is>
      </c>
      <c r="C127" s="5" t="inlineStr">
        <is>
          <t>MenuList</t>
        </is>
      </c>
      <c r="D127" s="5" t="inlineStr">
        <is>
          <t>renders correct part when expected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NavigationMenu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MenuList</t>
        </is>
      </c>
      <c r="D128" s="5" t="inlineStr">
        <is>
          <t>appears in documented order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NavigationMenu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30" customHeight="1" s="60">
      <c r="A129" s="4" t="n">
        <v>121</v>
      </c>
      <c r="B129" s="5" t="inlineStr">
        <is>
          <t>Identity</t>
        </is>
      </c>
      <c r="C129" s="5" t="inlineStr">
        <is>
          <t>MenuList</t>
        </is>
      </c>
      <c r="D129" s="5" t="inlineStr">
        <is>
          <t>default tag is visible in Anatomy/Inspector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NavigationMenu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Identity</t>
        </is>
      </c>
      <c r="C130" s="5" t="inlineStr">
        <is>
          <t>MenuList</t>
        </is>
      </c>
      <c r="D130" s="5" t="inlineStr">
        <is>
          <t>data-slot is present and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NavigationMenu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Props</t>
        </is>
      </c>
      <c r="C131" s="5" t="inlineStr">
        <is>
          <t>MenuList</t>
        </is>
      </c>
      <c r="D131" s="5" t="inlineStr">
        <is>
          <t>non-Atom native props pass through with data-prop-check marker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NavigationMenu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Refs</t>
        </is>
      </c>
      <c r="C132" s="5" t="inlineStr">
        <is>
          <t>MenuList</t>
        </is>
      </c>
      <c r="D132" s="5" t="inlineStr">
        <is>
          <t>consumer ref receives the rendered element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NavigationMenu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Anatomy</t>
        </is>
      </c>
      <c r="C133" s="5" t="inlineStr">
        <is>
          <t>MenuSub</t>
        </is>
      </c>
      <c r="D133" s="5" t="inlineStr">
        <is>
          <t>renders correct part when expected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NavigationMenu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MenuSub</t>
        </is>
      </c>
      <c r="D134" s="5" t="inlineStr">
        <is>
          <t>appears in documented order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NavigationMenu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Identity</t>
        </is>
      </c>
      <c r="C135" s="5" t="inlineStr">
        <is>
          <t>MenuSub</t>
        </is>
      </c>
      <c r="D135" s="5" t="inlineStr">
        <is>
          <t>default tag is visible in Anatomy/Inspector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NavigationMenu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MenuSub</t>
        </is>
      </c>
      <c r="D136" s="5" t="inlineStr">
        <is>
          <t>data-slot is present and correct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NavigationMenu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Props</t>
        </is>
      </c>
      <c r="C137" s="5" t="inlineStr">
        <is>
          <t>MenuSub</t>
        </is>
      </c>
      <c r="D137" s="5" t="inlineStr">
        <is>
          <t>non-Atom native props pass through with data-prop-check marker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NavigationMenu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Refs</t>
        </is>
      </c>
      <c r="C138" s="5" t="inlineStr">
        <is>
          <t>MenuSub</t>
        </is>
      </c>
      <c r="D138" s="5" t="inlineStr">
        <is>
          <t>consumer ref receives the rendered element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NavigationMenu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MenuTrigger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NavigationMenu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MenuTrigger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NavigationMenu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MenuTrigger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NavigationMenu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MenuTrigger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NavigationMenu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MenuTrigger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NavigationMenu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MenuTrigger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NavigationMenu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Anatomy</t>
        </is>
      </c>
      <c r="C145" s="5" t="inlineStr">
        <is>
          <t>MenuViewport</t>
        </is>
      </c>
      <c r="D145" s="5" t="inlineStr">
        <is>
          <t>renders correct part when expected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NavigationMenu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Anatomy</t>
        </is>
      </c>
      <c r="C146" s="5" t="inlineStr">
        <is>
          <t>MenuViewport</t>
        </is>
      </c>
      <c r="D146" s="5" t="inlineStr">
        <is>
          <t>appears in documented order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NavigationMenu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30" customHeight="1" s="60">
      <c r="A147" s="4" t="n">
        <v>139</v>
      </c>
      <c r="B147" s="5" t="inlineStr">
        <is>
          <t>Identity</t>
        </is>
      </c>
      <c r="C147" s="5" t="inlineStr">
        <is>
          <t>MenuViewport</t>
        </is>
      </c>
      <c r="D147" s="5" t="inlineStr">
        <is>
          <t>default tag is visible in Anatomy/Inspector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NavigationMenu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Identity</t>
        </is>
      </c>
      <c r="C148" s="5" t="inlineStr">
        <is>
          <t>MenuViewport</t>
        </is>
      </c>
      <c r="D148" s="5" t="inlineStr">
        <is>
          <t>data-slot is present and correct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NavigationMenu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Props</t>
        </is>
      </c>
      <c r="C149" s="5" t="inlineStr">
        <is>
          <t>MenuViewport</t>
        </is>
      </c>
      <c r="D149" s="5" t="inlineStr">
        <is>
          <t>non-Atom native props pass through with data-prop-check marker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NavigationMenu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Refs</t>
        </is>
      </c>
      <c r="C150" s="5" t="inlineStr">
        <is>
          <t>MenuViewport</t>
        </is>
      </c>
      <c r="D150" s="5" t="inlineStr">
        <is>
          <t>consumer ref receives the rendered element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NavigationMenu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Anatomy</t>
        </is>
      </c>
      <c r="C151" s="5" t="inlineStr">
        <is>
          <t>Sub</t>
        </is>
      </c>
      <c r="D151" s="5" t="inlineStr">
        <is>
          <t>renders correct part when expected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NavigationMenu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Anatomy</t>
        </is>
      </c>
      <c r="C152" s="5" t="inlineStr">
        <is>
          <t>Sub</t>
        </is>
      </c>
      <c r="D152" s="5" t="inlineStr">
        <is>
          <t>appears in documented order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NavigationMenu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30" customHeight="1" s="60">
      <c r="A153" s="4" t="n">
        <v>145</v>
      </c>
      <c r="B153" s="5" t="inlineStr">
        <is>
          <t>Identity</t>
        </is>
      </c>
      <c r="C153" s="5" t="inlineStr">
        <is>
          <t>Sub</t>
        </is>
      </c>
      <c r="D153" s="5" t="inlineStr">
        <is>
          <t>default tag is visible in Anatomy/Inspector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NavigationMenu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Identity</t>
        </is>
      </c>
      <c r="C154" s="5" t="inlineStr">
        <is>
          <t>Sub</t>
        </is>
      </c>
      <c r="D154" s="5" t="inlineStr">
        <is>
          <t>data-slot is present and correct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NavigationMenu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Props</t>
        </is>
      </c>
      <c r="C155" s="5" t="inlineStr">
        <is>
          <t>Sub</t>
        </is>
      </c>
      <c r="D155" s="5" t="inlineStr">
        <is>
          <t>non-Atom native props pass through with data-prop-check marker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NavigationMenu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Refs</t>
        </is>
      </c>
      <c r="C156" s="5" t="inlineStr">
        <is>
          <t>Sub</t>
        </is>
      </c>
      <c r="D156" s="5" t="inlineStr">
        <is>
          <t>consumer ref receives the rendered element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NavigationMenu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State</t>
        </is>
      </c>
      <c r="C157" s="5" t="inlineStr">
        <is>
          <t>Sub</t>
        </is>
      </c>
      <c r="D157" s="5" t="inlineStr">
        <is>
          <t>value prop behavior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NavigationMenu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State</t>
        </is>
      </c>
      <c r="C158" s="5" t="inlineStr">
        <is>
          <t>Sub</t>
        </is>
      </c>
      <c r="D158" s="5" t="inlineStr">
        <is>
          <t>defaultValue prop behavior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NavigationMenu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State</t>
        </is>
      </c>
      <c r="C159" s="5" t="inlineStr">
        <is>
          <t>Sub</t>
        </is>
      </c>
      <c r="D159" s="5" t="inlineStr">
        <is>
          <t>onValueChange prop behavior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NavigationMenu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ARIA</t>
        </is>
      </c>
      <c r="C160" s="5" t="inlineStr">
        <is>
          <t>Live DOM</t>
        </is>
      </c>
      <c r="D160" s="5" t="inlineStr">
        <is>
          <t>aria-controls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NavigationMenu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ARIA</t>
        </is>
      </c>
      <c r="C161" s="5" t="inlineStr">
        <is>
          <t>Live DOM</t>
        </is>
      </c>
      <c r="D161" s="5" t="inlineStr">
        <is>
          <t>aria-current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NavigationMenu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ARIA</t>
        </is>
      </c>
      <c r="C162" s="5" t="inlineStr">
        <is>
          <t>Live DOM</t>
        </is>
      </c>
      <c r="D162" s="5" t="inlineStr">
        <is>
          <t>aria-disabled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NavigationMenu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ARIA</t>
        </is>
      </c>
      <c r="C163" s="5" t="inlineStr">
        <is>
          <t>Live DOM</t>
        </is>
      </c>
      <c r="D163" s="5" t="inlineStr">
        <is>
          <t>aria-expanded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NavigationMenu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ARIA</t>
        </is>
      </c>
      <c r="C164" s="5" t="inlineStr">
        <is>
          <t>Live DOM</t>
        </is>
      </c>
      <c r="D164" s="5" t="inlineStr">
        <is>
          <t>aria-hidden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NavigationMenu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ARIA</t>
        </is>
      </c>
      <c r="C165" s="5" t="inlineStr">
        <is>
          <t>Live DOM</t>
        </is>
      </c>
      <c r="D165" s="5" t="inlineStr">
        <is>
          <t>aria-label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NavigationMenu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data-active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NavigationMenu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data-disabled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NavigationMenu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data-motion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NavigationMenu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data-orientation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NavigationMenu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data-slot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NavigationMenu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data-state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NavigationMenu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30" customHeight="1" s="60">
      <c r="A172" s="4" t="n">
        <v>164</v>
      </c>
      <c r="B172" s="5" t="inlineStr">
        <is>
          <t>Composition</t>
        </is>
      </c>
      <c r="C172" s="5" t="inlineStr">
        <is>
          <t>NavigationMenu</t>
        </is>
      </c>
      <c r="D172" s="5" t="inlineStr">
        <is>
          <t>asChild preserves child content without double nesting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NavigationMenu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Composition</t>
        </is>
      </c>
      <c r="C173" s="5" t="inlineStr">
        <is>
          <t>NavigationMenu</t>
        </is>
      </c>
      <c r="D173" s="5" t="inlineStr">
        <is>
          <t>asChild merges Atom props and consumer props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NavigationMenu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Composition</t>
        </is>
      </c>
      <c r="C174" s="5" t="inlineStr">
        <is>
          <t>NavigationMenu</t>
        </is>
      </c>
      <c r="D174" s="5" t="inlineStr">
        <is>
          <t>asChild lets preventDefault block Atom behavior where supported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NavigationMenu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Composition</t>
        </is>
      </c>
      <c r="C175" s="5" t="inlineStr">
        <is>
          <t>NavigationMenu</t>
        </is>
      </c>
      <c r="D175" s="5" t="inlineStr">
        <is>
          <t>render prop renders custom element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NavigationMenu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Composition</t>
        </is>
      </c>
      <c r="C176" s="5" t="inlineStr">
        <is>
          <t>NavigationMenu</t>
        </is>
      </c>
      <c r="D176" s="5" t="inlineStr">
        <is>
          <t>render prop preserves refs and behavior props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NavigationMenu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State</t>
        </is>
      </c>
      <c r="C177" s="5" t="inlineStr">
        <is>
          <t>Root</t>
        </is>
      </c>
      <c r="D177" s="5" t="inlineStr">
        <is>
          <t>controlled state path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NavigationMenu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State</t>
        </is>
      </c>
      <c r="C178" s="5" t="inlineStr">
        <is>
          <t>Root</t>
        </is>
      </c>
      <c r="D178" s="5" t="inlineStr">
        <is>
          <t>uncontrolled default state path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NavigationMenu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State</t>
        </is>
      </c>
      <c r="C179" s="5" t="inlineStr">
        <is>
          <t>Root</t>
        </is>
      </c>
      <c r="D179" s="5" t="inlineStr">
        <is>
          <t>state change callback fires once with correct value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NavigationMenu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mouse click or pointer activation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NavigationMenu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Enter key activation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NavigationMenu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Interaction</t>
        </is>
      </c>
      <c r="C182" s="5" t="inlineStr">
        <is>
          <t>Trigger</t>
        </is>
      </c>
      <c r="D182" s="5" t="inlineStr">
        <is>
          <t>Space key activation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NavigationMenu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Interaction</t>
        </is>
      </c>
      <c r="C183" s="5" t="inlineStr">
        <is>
          <t>Trigger</t>
        </is>
      </c>
      <c r="D183" s="5" t="inlineStr">
        <is>
          <t>disabled trigger blocks pointer and keyboard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NavigationMenu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Focus</t>
        </is>
      </c>
      <c r="C184" s="5" t="inlineStr">
        <is>
          <t>Trigger</t>
        </is>
      </c>
      <c r="D184" s="5" t="inlineStr">
        <is>
          <t>focus ring and focus restoration are correct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NavigationMenu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NavigationMenu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NavigationMenu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NavigationMenu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NavigationMenu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NavigationMenu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NavigationMenu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NavigationMenu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NavigationMenu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NavigationMenu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NavigationMenu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Dismiss</t>
        </is>
      </c>
      <c r="C190" s="5" t="inlineStr">
        <is>
          <t>NavigationMenu</t>
        </is>
      </c>
      <c r="D190" s="5" t="inlineStr">
        <is>
          <t>Escape closes only the topmost active layer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NavigationMenu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Dismiss</t>
        </is>
      </c>
      <c r="C191" s="5" t="inlineStr">
        <is>
          <t>NavigationMenu</t>
        </is>
      </c>
      <c r="D191" s="5" t="inlineStr">
        <is>
          <t>outside click/interact closes when enabled</t>
        </is>
      </c>
      <c r="E191" s="7" t="inlineStr">
        <is>
          <t>yes</t>
        </is>
      </c>
      <c r="F191" s="8" t="inlineStr">
        <is>
          <t>no</t>
        </is>
      </c>
      <c r="G191" s="4" t="inlineStr">
        <is>
          <t>ready for manual test</t>
        </is>
      </c>
      <c r="H191" s="9" t="inlineStr">
        <is>
          <t>untested</t>
        </is>
      </c>
      <c r="I191" s="5" t="inlineStr">
        <is>
          <t>NavigationMenu playground scenario.</t>
        </is>
      </c>
      <c r="J191" s="5" t="inlineStr">
        <is>
          <t>Manual verification needed.</t>
        </is>
      </c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Dismiss</t>
        </is>
      </c>
      <c r="C192" s="5" t="inlineStr">
        <is>
          <t>NavigationMenu</t>
        </is>
      </c>
      <c r="D192" s="5" t="inlineStr">
        <is>
          <t>outside click/interact is blocked when disabled</t>
        </is>
      </c>
      <c r="E192" s="7" t="inlineStr">
        <is>
          <t>yes</t>
        </is>
      </c>
      <c r="F192" s="8" t="inlineStr">
        <is>
          <t>no</t>
        </is>
      </c>
      <c r="G192" s="4" t="inlineStr">
        <is>
          <t>ready for manual test</t>
        </is>
      </c>
      <c r="H192" s="9" t="inlineStr">
        <is>
          <t>untested</t>
        </is>
      </c>
      <c r="I192" s="5" t="inlineStr">
        <is>
          <t>NavigationMenu playground scenario.</t>
        </is>
      </c>
      <c r="J192" s="5" t="inlineStr">
        <is>
          <t>Manual verification needed.</t>
        </is>
      </c>
      <c r="K192" s="6">
        <f>IF(AND(E192="yes",F192="yes",H192="covered"),1,IF(H192="partial",0.5,0))</f>
        <v/>
      </c>
    </row>
    <row r="193" ht="15" customHeight="1" s="60">
      <c r="A193" s="4" t="n">
        <v>185</v>
      </c>
      <c r="B193" s="5" t="inlineStr">
        <is>
          <t>Focus</t>
        </is>
      </c>
      <c r="C193" s="5" t="inlineStr">
        <is>
          <t>NavigationMenu</t>
        </is>
      </c>
      <c r="D193" s="5" t="inlineStr">
        <is>
          <t>focus returns to the correct trigger/anchor after close</t>
        </is>
      </c>
      <c r="E193" s="7" t="inlineStr">
        <is>
          <t>yes</t>
        </is>
      </c>
      <c r="F193" s="8" t="inlineStr">
        <is>
          <t>no</t>
        </is>
      </c>
      <c r="G193" s="4" t="inlineStr">
        <is>
          <t>ready for manual test</t>
        </is>
      </c>
      <c r="H193" s="9" t="inlineStr">
        <is>
          <t>untested</t>
        </is>
      </c>
      <c r="I193" s="5" t="inlineStr">
        <is>
          <t>NavigationMenu playground scenario.</t>
        </is>
      </c>
      <c r="J193" s="5" t="inlineStr">
        <is>
          <t>Manual verification needed.</t>
        </is>
      </c>
      <c r="K193" s="6">
        <f>IF(AND(E193="yes",F193="yes",H193="covered"),1,IF(H193="partial",0.5,0))</f>
        <v/>
      </c>
    </row>
    <row r="194" ht="15" customHeight="1" s="60">
      <c r="A194" s="4" t="n">
        <v>186</v>
      </c>
      <c r="B194" s="5" t="inlineStr">
        <is>
          <t>Focus</t>
        </is>
      </c>
      <c r="C194" s="5" t="inlineStr">
        <is>
          <t>NavigationMenu</t>
        </is>
      </c>
      <c r="D194" s="5" t="inlineStr">
        <is>
          <t>nested overlays keep focus and Escape order correct</t>
        </is>
      </c>
      <c r="E194" s="7" t="inlineStr">
        <is>
          <t>yes</t>
        </is>
      </c>
      <c r="F194" s="8" t="inlineStr">
        <is>
          <t>no</t>
        </is>
      </c>
      <c r="G194" s="4" t="inlineStr">
        <is>
          <t>ready for manual test</t>
        </is>
      </c>
      <c r="H194" s="9" t="inlineStr">
        <is>
          <t>untested</t>
        </is>
      </c>
      <c r="I194" s="5" t="inlineStr">
        <is>
          <t>NavigationMenu playground scenario.</t>
        </is>
      </c>
      <c r="J194" s="5" t="inlineStr">
        <is>
          <t>Manual verification needed.</t>
        </is>
      </c>
      <c r="K194" s="6">
        <f>IF(AND(E194="yes",F194="yes",H194="covered"),1,IF(H194="partial",0.5,0))</f>
        <v/>
      </c>
    </row>
    <row r="195" ht="15" customHeight="1" s="60">
      <c r="A195" s="4" t="n">
        <v>187</v>
      </c>
      <c r="B195" s="5" t="inlineStr">
        <is>
          <t>Mobile</t>
        </is>
      </c>
      <c r="C195" s="5" t="inlineStr">
        <is>
          <t>NavigationMenu</t>
        </is>
      </c>
      <c r="D195" s="5" t="inlineStr">
        <is>
          <t>mobile viewport/touch behavior</t>
        </is>
      </c>
      <c r="E195" s="7" t="inlineStr">
        <is>
          <t>yes</t>
        </is>
      </c>
      <c r="F195" s="8" t="inlineStr">
        <is>
          <t>no</t>
        </is>
      </c>
      <c r="G195" s="4" t="inlineStr">
        <is>
          <t>ready for manual test</t>
        </is>
      </c>
      <c r="H195" s="9" t="inlineStr">
        <is>
          <t>untested</t>
        </is>
      </c>
      <c r="I195" s="5" t="inlineStr">
        <is>
          <t>NavigationMenu playground scenario.</t>
        </is>
      </c>
      <c r="J195" s="5" t="inlineStr">
        <is>
          <t>Manual verification needed.</t>
        </is>
      </c>
      <c r="K195" s="6">
        <f>IF(AND(E195="yes",F195="yes",H195="covered"),1,IF(H195="partial",0.5,0))</f>
        <v/>
      </c>
    </row>
    <row r="196" ht="15" customHeight="1" s="60">
      <c r="A196" s="4" t="n">
        <v>188</v>
      </c>
      <c r="B196" s="5" t="inlineStr">
        <is>
          <t>Menu</t>
        </is>
      </c>
      <c r="C196" s="5" t="inlineStr">
        <is>
          <t>NavigationMenu</t>
        </is>
      </c>
      <c r="D196" s="5" t="inlineStr">
        <is>
          <t>checkbox item checked/unchecked state</t>
        </is>
      </c>
      <c r="E196" s="7" t="inlineStr">
        <is>
          <t>yes</t>
        </is>
      </c>
      <c r="F196" s="8" t="inlineStr">
        <is>
          <t>no</t>
        </is>
      </c>
      <c r="G196" s="4" t="inlineStr">
        <is>
          <t>ready for manual test</t>
        </is>
      </c>
      <c r="H196" s="9" t="inlineStr">
        <is>
          <t>untested</t>
        </is>
      </c>
      <c r="I196" s="5" t="inlineStr">
        <is>
          <t>NavigationMenu playground scenario.</t>
        </is>
      </c>
      <c r="J196" s="5" t="inlineStr">
        <is>
          <t>Manual verification needed.</t>
        </is>
      </c>
      <c r="K196" s="6">
        <f>IF(AND(E196="yes",F196="yes",H196="covered"),1,IF(H196="partial",0.5,0))</f>
        <v/>
      </c>
    </row>
    <row r="197" ht="15" customHeight="1" s="60">
      <c r="A197" s="4" t="n">
        <v>189</v>
      </c>
      <c r="B197" s="5" t="inlineStr">
        <is>
          <t>Menu</t>
        </is>
      </c>
      <c r="C197" s="5" t="inlineStr">
        <is>
          <t>NavigationMenu</t>
        </is>
      </c>
      <c r="D197" s="5" t="inlineStr">
        <is>
          <t>radio group item exclusivity</t>
        </is>
      </c>
      <c r="E197" s="7" t="inlineStr">
        <is>
          <t>yes</t>
        </is>
      </c>
      <c r="F197" s="8" t="inlineStr">
        <is>
          <t>no</t>
        </is>
      </c>
      <c r="G197" s="4" t="inlineStr">
        <is>
          <t>ready for manual test</t>
        </is>
      </c>
      <c r="H197" s="9" t="inlineStr">
        <is>
          <t>untested</t>
        </is>
      </c>
      <c r="I197" s="5" t="inlineStr">
        <is>
          <t>NavigationMenu playground scenario.</t>
        </is>
      </c>
      <c r="J197" s="5" t="inlineStr">
        <is>
          <t>Manual verification needed.</t>
        </is>
      </c>
      <c r="K197" s="6">
        <f>IF(AND(E197="yes",F197="yes",H197="covered"),1,IF(H197="partial",0.5,0))</f>
        <v/>
      </c>
    </row>
    <row r="198" ht="15" customHeight="1" s="60">
      <c r="A198" s="4" t="n">
        <v>190</v>
      </c>
      <c r="B198" s="5" t="inlineStr">
        <is>
          <t>Menu</t>
        </is>
      </c>
      <c r="C198" s="5" t="inlineStr">
        <is>
          <t>NavigationMenu</t>
        </is>
      </c>
      <c r="D198" s="5" t="inlineStr">
        <is>
          <t>submenu open, close, keyboard, and nested dismissal</t>
        </is>
      </c>
      <c r="E198" s="7" t="inlineStr">
        <is>
          <t>yes</t>
        </is>
      </c>
      <c r="F198" s="8" t="inlineStr">
        <is>
          <t>no</t>
        </is>
      </c>
      <c r="G198" s="4" t="inlineStr">
        <is>
          <t>ready for manual test</t>
        </is>
      </c>
      <c r="H198" s="9" t="inlineStr">
        <is>
          <t>untested</t>
        </is>
      </c>
      <c r="I198" s="5" t="inlineStr">
        <is>
          <t>NavigationMenu playground scenario.</t>
        </is>
      </c>
      <c r="J198" s="5" t="inlineStr">
        <is>
          <t>Manual verification needed.</t>
        </is>
      </c>
      <c r="K198" s="6">
        <f>IF(AND(E198="yes",F198="yes",H198="covered"),1,IF(H198="partial",0.5,0))</f>
        <v/>
      </c>
    </row>
    <row r="199" ht="15" customHeight="1" s="60">
      <c r="A199" s="4" t="n">
        <v>191</v>
      </c>
      <c r="B199" s="5" t="inlineStr">
        <is>
          <t>Menu</t>
        </is>
      </c>
      <c r="C199" s="5" t="inlineStr">
        <is>
          <t>NavigationMenu</t>
        </is>
      </c>
      <c r="D199" s="5" t="inlineStr">
        <is>
          <t>selection closes parent menu when expected</t>
        </is>
      </c>
      <c r="E199" s="7" t="inlineStr">
        <is>
          <t>yes</t>
        </is>
      </c>
      <c r="F199" s="8" t="inlineStr">
        <is>
          <t>no</t>
        </is>
      </c>
      <c r="G199" s="4" t="inlineStr">
        <is>
          <t>ready for manual test</t>
        </is>
      </c>
      <c r="H199" s="9" t="inlineStr">
        <is>
          <t>untested</t>
        </is>
      </c>
      <c r="I199" s="5" t="inlineStr">
        <is>
          <t>NavigationMenu playground scenario.</t>
        </is>
      </c>
      <c r="J199" s="5" t="inlineStr">
        <is>
          <t>Manual verification needed.</t>
        </is>
      </c>
      <c r="K199" s="6">
        <f>IF(AND(E199="yes",F199="yes",H199="covered"),1,IF(H199="partial",0.5,0))</f>
        <v/>
      </c>
    </row>
    <row r="200" ht="15" customHeight="1" s="60">
      <c r="A200" s="4" t="n">
        <v>192</v>
      </c>
      <c r="B200" s="5" t="inlineStr">
        <is>
          <t>Menu</t>
        </is>
      </c>
      <c r="C200" s="5" t="inlineStr">
        <is>
          <t>NavigationMenu</t>
        </is>
      </c>
      <c r="D200" s="5" t="inlineStr">
        <is>
          <t>mouse hover does not reset highlight unexpectedly</t>
        </is>
      </c>
      <c r="E200" s="7" t="inlineStr">
        <is>
          <t>yes</t>
        </is>
      </c>
      <c r="F200" s="8" t="inlineStr">
        <is>
          <t>no</t>
        </is>
      </c>
      <c r="G200" s="4" t="inlineStr">
        <is>
          <t>ready for manual test</t>
        </is>
      </c>
      <c r="H200" s="9" t="inlineStr">
        <is>
          <t>untested</t>
        </is>
      </c>
      <c r="I200" s="5" t="inlineStr">
        <is>
          <t>NavigationMenu playground scenario.</t>
        </is>
      </c>
      <c r="J200" s="5" t="inlineStr">
        <is>
          <t>Manual verification needed.</t>
        </is>
      </c>
      <c r="K200" s="6">
        <f>IF(AND(E200="yes",F200="yes",H200="covered"),1,IF(H200="partial",0.5,0))</f>
        <v/>
      </c>
    </row>
    <row r="201" ht="30" customHeight="1" s="60">
      <c r="A201" s="4" t="n">
        <v>193</v>
      </c>
      <c r="B201" s="5" t="inlineStr">
        <is>
          <t>Portal</t>
        </is>
      </c>
      <c r="C201" s="5" t="inlineStr">
        <is>
          <t>NavigationMenu</t>
        </is>
      </c>
      <c r="D201" s="5" t="inlineStr">
        <is>
          <t>portal renders in body by default</t>
        </is>
      </c>
      <c r="E201" s="7" t="inlineStr">
        <is>
          <t>yes</t>
        </is>
      </c>
      <c r="F201" s="8" t="inlineStr">
        <is>
          <t>no</t>
        </is>
      </c>
      <c r="G201" s="4" t="inlineStr">
        <is>
          <t>ready for manual test</t>
        </is>
      </c>
      <c r="H201" s="9" t="inlineStr">
        <is>
          <t>untested</t>
        </is>
      </c>
      <c r="I201" s="5" t="inlineStr">
        <is>
          <t>NavigationMenu playground scenario.</t>
        </is>
      </c>
      <c r="J201" s="5" t="inlineStr">
        <is>
          <t>Manual verification needed.</t>
        </is>
      </c>
      <c r="K201" s="6">
        <f>IF(AND(E201="yes",F201="yes",H201="covered"),1,IF(H201="partial",0.5,0))</f>
        <v/>
      </c>
    </row>
    <row r="202" ht="30" customHeight="1" s="60">
      <c r="A202" s="4" t="n">
        <v>194</v>
      </c>
      <c r="B202" s="5" t="inlineStr">
        <is>
          <t>Portal</t>
        </is>
      </c>
      <c r="C202" s="5" t="inlineStr">
        <is>
          <t>NavigationMenu</t>
        </is>
      </c>
      <c r="D202" s="5" t="inlineStr">
        <is>
          <t>custom/disabled portal path works where supported</t>
        </is>
      </c>
      <c r="E202" s="7" t="inlineStr">
        <is>
          <t>yes</t>
        </is>
      </c>
      <c r="F202" s="8" t="inlineStr">
        <is>
          <t>no</t>
        </is>
      </c>
      <c r="G202" s="4" t="inlineStr">
        <is>
          <t>ready for manual test</t>
        </is>
      </c>
      <c r="H202" s="9" t="inlineStr">
        <is>
          <t>untested</t>
        </is>
      </c>
      <c r="I202" s="5" t="inlineStr">
        <is>
          <t>NavigationMenu playground scenario.</t>
        </is>
      </c>
      <c r="J202" s="5" t="inlineStr">
        <is>
          <t>Manual verification needed.</t>
        </is>
      </c>
      <c r="K202" s="6">
        <f>IF(AND(E202="yes",F202="yes",H202="covered"),1,IF(H202="partial",0.5,0))</f>
        <v/>
      </c>
    </row>
    <row r="203" ht="30" customHeight="1" s="60">
      <c r="A203" s="4" t="n">
        <v>195</v>
      </c>
      <c r="B203" s="5" t="inlineStr">
        <is>
          <t>Direction</t>
        </is>
      </c>
      <c r="C203" s="5" t="inlineStr">
        <is>
          <t>Root</t>
        </is>
      </c>
      <c r="D203" s="5" t="inlineStr">
        <is>
          <t>reads Direction.Provider context before defaulting to ltr</t>
        </is>
      </c>
      <c r="E203" s="10" t="inlineStr">
        <is>
          <t>no</t>
        </is>
      </c>
      <c r="F203" s="8" t="inlineStr">
        <is>
          <t>no</t>
        </is>
      </c>
      <c r="G203" s="4" t="inlineStr">
        <is>
          <t>missing</t>
        </is>
      </c>
      <c r="H203" s="10" t="inlineStr">
        <is>
          <t>missing</t>
        </is>
      </c>
      <c r="I203" s="5" t="n"/>
      <c r="J203" s="5" t="inlineStr">
        <is>
          <t>NavigationMenu currently exposes a local dir prop only.</t>
        </is>
      </c>
      <c r="K203" s="6">
        <f>IF(AND(E203="yes",F203="yes",H203="covered"),1,IF(H203="partial",0.5,0))</f>
        <v/>
      </c>
    </row>
    <row r="204" ht="30" customHeight="1" s="60">
      <c r="A204" s="4" t="n">
        <v>196</v>
      </c>
      <c r="B204" s="5" t="inlineStr">
        <is>
          <t>Direction</t>
        </is>
      </c>
      <c r="C204" s="5" t="inlineStr">
        <is>
          <t>Root</t>
        </is>
      </c>
      <c r="D204" s="5" t="inlineStr">
        <is>
          <t>direct dir prop overrides provider direction</t>
        </is>
      </c>
      <c r="E204" s="7" t="inlineStr">
        <is>
          <t>yes</t>
        </is>
      </c>
      <c r="F204" s="8" t="inlineStr">
        <is>
          <t>no</t>
        </is>
      </c>
      <c r="G204" s="4" t="inlineStr">
        <is>
          <t>ready for manual test</t>
        </is>
      </c>
      <c r="H204" s="9" t="inlineStr">
        <is>
          <t>untested</t>
        </is>
      </c>
      <c r="I204" s="5" t="inlineStr">
        <is>
          <t>Direction-sensitive behavior is supported by source; manual verification needed.</t>
        </is>
      </c>
      <c r="J204" s="5" t="inlineStr">
        <is>
          <t>Manual verification needed.</t>
        </is>
      </c>
      <c r="K204" s="6">
        <f>IF(AND(E204="yes",F204="yes",H204="covered"),1,IF(H204="partial",0.5,0))</f>
        <v/>
      </c>
    </row>
    <row r="205" ht="30" customHeight="1" s="60">
      <c r="A205" s="4" t="n">
        <v>197</v>
      </c>
      <c r="B205" s="5" t="inlineStr">
        <is>
          <t>Direction</t>
        </is>
      </c>
      <c r="C205" s="5" t="inlineStr">
        <is>
          <t>Root</t>
        </is>
      </c>
      <c r="D205" s="5" t="inlineStr">
        <is>
          <t>RTL mirrors trigger and viewport positioning behavior</t>
        </is>
      </c>
      <c r="E205" s="7" t="inlineStr">
        <is>
          <t>yes</t>
        </is>
      </c>
      <c r="F205" s="8" t="inlineStr">
        <is>
          <t>no</t>
        </is>
      </c>
      <c r="G205" s="4" t="inlineStr">
        <is>
          <t>ready for manual test</t>
        </is>
      </c>
      <c r="H205" s="9" t="inlineStr">
        <is>
          <t>untested</t>
        </is>
      </c>
      <c r="I205" s="5" t="inlineStr">
        <is>
          <t>Direction-sensitive behavior is supported by source; manual verification needed.</t>
        </is>
      </c>
      <c r="J205" s="5" t="inlineStr">
        <is>
          <t>Manual verification needed.</t>
        </is>
      </c>
      <c r="K205" s="6">
        <f>IF(AND(E205="yes",F205="yes",H205="covered"),1,IF(H205="partial",0.5,0))</f>
        <v/>
      </c>
    </row>
    <row r="206" ht="30" customHeight="1" s="60">
      <c r="A206" s="4" t="n">
        <v>198</v>
      </c>
      <c r="B206" s="5" t="inlineStr">
        <is>
          <t>Playground</t>
        </is>
      </c>
      <c r="C206" s="5" t="inlineStr">
        <is>
          <t>Direction controls</t>
        </is>
      </c>
      <c r="D206" s="5" t="inlineStr">
        <is>
          <t>scenario exposes provider direction and direct dir override separately</t>
        </is>
      </c>
      <c r="E206" s="10" t="inlineStr">
        <is>
          <t>no</t>
        </is>
      </c>
      <c r="F206" s="8" t="inlineStr">
        <is>
          <t>no</t>
        </is>
      </c>
      <c r="G206" s="4" t="inlineStr">
        <is>
          <t>missing</t>
        </is>
      </c>
      <c r="H206" s="10" t="inlineStr">
        <is>
          <t>missing</t>
        </is>
      </c>
      <c r="I206" s="5" t="n"/>
      <c r="J206" s="5" t="inlineStr">
        <is>
          <t>Add separate provider and direct override controls.</t>
        </is>
      </c>
      <c r="K206" s="6">
        <f>IF(AND(E206="yes",F206="yes",H206="covered"),1,IF(H206="partial",0.5,0))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NumberInput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OTPField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60"/>
    <row r="101" ht="15" customHeight="1" s="60"/>
    <row r="102" ht="15" customHeight="1" s="60"/>
    <row r="103" ht="15" customHeight="1" s="60"/>
    <row r="104" ht="15" customHeight="1" s="60"/>
    <row r="105" ht="30" customHeight="1" s="60"/>
    <row r="106" ht="30" customHeight="1" s="60"/>
    <row r="107" ht="30" customHeight="1" s="60"/>
    <row r="108" ht="30" customHeight="1" s="60"/>
    <row r="109" ht="15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2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Pagination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Pagination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Pagination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Pagination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Pagination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Pagination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Pagination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Pagination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Pagination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Pagination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Pagination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Pagination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Pagination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Pagination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Pagination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Pagination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Pagination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Pagination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Pagination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Pagination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Pagination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Pagination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Pagination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Pagination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Pagination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Pagination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Pagination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Pagination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Pagination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Pagination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30" customHeight="1" s="60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Pagination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Pagination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Pagination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Pagination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Pagination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Pagination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Pagination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Pagination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Pagination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Pagination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Pagination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Pagination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Pagination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Pagination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Pagination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Pagination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Pagination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Pagination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Pagination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Pagination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Pagination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Control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Pagination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Control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Pagination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Identity</t>
        </is>
      </c>
      <c r="C63" s="5" t="inlineStr">
        <is>
          <t>Control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Pagination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Control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Pagination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Props</t>
        </is>
      </c>
      <c r="C65" s="5" t="inlineStr">
        <is>
          <t>Control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Pagination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Refs</t>
        </is>
      </c>
      <c r="C66" s="5" t="inlineStr">
        <is>
          <t>Control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Pagination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Pagination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Pagination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Pagination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Pagination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Pagination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Pagination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Pagination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Pagination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Pagination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Pagination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Pagination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Pagination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Pagination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Pagination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Pagination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Pagination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Pagination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Pagination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Pagination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Pagination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Pagination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Pagination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Pagination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30" customHeight="1" s="60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Pagination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Pagination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Pagination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Pagination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Pagination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Pagination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Pagination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Pagination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Pagination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Pagination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ARIA</t>
        </is>
      </c>
      <c r="C100" s="5" t="inlineStr">
        <is>
          <t>Live DOM</t>
        </is>
      </c>
      <c r="D100" s="5" t="inlineStr">
        <is>
          <t>aria-current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Pagination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ARIA</t>
        </is>
      </c>
      <c r="C101" s="5" t="inlineStr">
        <is>
          <t>Live DOM</t>
        </is>
      </c>
      <c r="D101" s="5" t="inlineStr">
        <is>
          <t>aria-hidden is present at the correct time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Pagination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aria-label is present at the correct time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Pagination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data-direction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Pagination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data-disabled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Pagination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data-page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Pagination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data-slot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Pagination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data-state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Pagination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Composition</t>
        </is>
      </c>
      <c r="C108" s="5" t="inlineStr">
        <is>
          <t>Pagination</t>
        </is>
      </c>
      <c r="D108" s="5" t="inlineStr">
        <is>
          <t>asChild preserves child content without double nesting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Pagination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Pagination</t>
        </is>
      </c>
      <c r="D109" s="5" t="inlineStr">
        <is>
          <t>asChild merges Atom props and consumer props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Pagination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lets preventDefault block Atom behavior where supported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Pagination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render prop renders custom element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Pagination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preserves refs and behavior props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Pagination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controlled state path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Pagination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uncontrolled default state path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Pagination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state change callback fires once with correct value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Pagination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Keyboard</t>
        </is>
      </c>
      <c r="C116" s="5" t="inlineStr">
        <is>
          <t>Pagination</t>
        </is>
      </c>
      <c r="D116" s="5" t="inlineStr">
        <is>
          <t>Arrow key navigation follows documented orientation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Pagination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Home and End navigation where supported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Pagination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Keyboard</t>
        </is>
      </c>
      <c r="C118" s="5" t="inlineStr">
        <is>
          <t>Pagination</t>
        </is>
      </c>
      <c r="D118" s="5" t="inlineStr">
        <is>
          <t>disabled items are skipped or exposed according to pattern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Pagination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Keyboard</t>
        </is>
      </c>
      <c r="C119" s="5" t="inlineStr">
        <is>
          <t>Pagination</t>
        </is>
      </c>
      <c r="D119" s="5" t="inlineStr">
        <is>
          <t>typeahead/search behavior where supported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Pagination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Focus</t>
        </is>
      </c>
      <c r="C120" s="5" t="inlineStr">
        <is>
          <t>Pagination</t>
        </is>
      </c>
      <c r="D120" s="5" t="inlineStr">
        <is>
          <t>roving focus or active descendant state is visible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Pagination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PasswordToggleField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60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/>
    <row r="90" ht="15" customHeight="1" s="60"/>
    <row r="91" ht="15" customHeight="1" s="60"/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30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30" customHeight="1" s="60"/>
    <row r="109" ht="30" customHeight="1" s="60"/>
    <row r="110" ht="30" customHeight="1" s="60"/>
    <row r="111" ht="30" customHeight="1" s="60"/>
    <row r="112" ht="45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Popover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Popover manual protocol and live playground evidence.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Popover manual protocol and live playground evidence.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Popover manual protocol and live playground evidence.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Popover manual protocol and live playground evidence.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Popover manual protocol and live playground evidence.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Popover manual protocol and live playground evidence.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Popover manual protocol and live playground evidence.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Popover manual protocol and live playground evidence.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Popover manual protocol and live playground evidence.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Popover manual protocol and live playground evidence.</t>
        </is>
      </c>
      <c r="J18" s="5" t="inlineStr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Popover manual protocol and live playground evidence.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Popover manual protocol and live playground evidence.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Popover manual protocol and live playground evidence.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Popover manual protocol and live playground evidence.</t>
        </is>
      </c>
      <c r="J22" s="5" t="inlineStr"/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Popover manual protocol and live playground evidence.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Popover manual protocol and live playground evidence.</t>
        </is>
      </c>
      <c r="J24" s="5" t="inlineStr"/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is behavior-only and renders no DOM tag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test; Root has state rows only and no raw DOM element</t>
        </is>
      </c>
      <c r="H25" s="9" t="inlineStr">
        <is>
          <t>covered</t>
        </is>
      </c>
      <c r="I25" s="5" t="inlineStr">
        <is>
          <t>Root Anatomy state rows; Root has no Attributes, ARIA, or Data groups.</t>
        </is>
      </c>
      <c r="J25" s="5" t="inlineStr"/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Root has no data-slot because it renders no DOM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test; data-slot is not applicable to Root</t>
        </is>
      </c>
      <c r="H26" s="9" t="inlineStr">
        <is>
          <t>covered</t>
        </is>
      </c>
      <c r="I26" s="5" t="inlineStr">
        <is>
          <t>Root Anatomy confirms behavior-only context with no DOM slot.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Root native DOM prop passthrough is not applicable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test; Root exposes behavior through child DOM parts</t>
        </is>
      </c>
      <c r="H27" s="9" t="inlineStr">
        <is>
          <t>covered</t>
        </is>
      </c>
      <c r="I27" s="5" t="inlineStr">
        <is>
          <t>Root is non-DOM; prop checks apply to Anchor, Trigger, Content, Arrow, and Close.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Root consumer DOM ref is not applicable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test; Root has no rendered element for a DOM ref</t>
        </is>
      </c>
      <c r="H28" s="9" t="inlineStr">
        <is>
          <t>covered</t>
        </is>
      </c>
      <c r="I28" s="5" t="inlineStr">
        <is>
          <t>Root renders context only; refs are verified on DOM parts where applicable.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Popover manual protocol and live playground evidence.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Popover manual protocol and live playground evidence.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Popover manual protocol and live playground evidence.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Popover manual protocol and live playground evidence.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Popover manual protocol and live playground evidence.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Popover manual protocol and live playground evidence.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Popover manual protocol and live playground evidence.</t>
        </is>
      </c>
      <c r="J35" s="5" t="inlineStr"/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Popover manual protocol and live playground evidence.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Popover manual protocol and live playground evidence.</t>
        </is>
      </c>
      <c r="J37" s="5" t="inlineStr"/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wrapper has no default DOM tag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test; portal behavior verified through content parent evidence</t>
        </is>
      </c>
      <c r="H38" s="9" t="inlineStr">
        <is>
          <t>covered</t>
        </is>
      </c>
      <c r="I38" s="5" t="inlineStr">
        <is>
          <t>Portal Anatomy shows body, custom container, and disabled inline placement through Content parent rows.</t>
        </is>
      </c>
      <c r="J38" s="5" t="inlineStr"/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Portal has no data-slot because it renders no Atom DOM part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test; data-slot is not applicable to Portal</t>
        </is>
      </c>
      <c r="H39" s="9" t="inlineStr">
        <is>
          <t>covered</t>
        </is>
      </c>
      <c r="I39" s="5" t="inlineStr">
        <is>
          <t>Portal behavior is verified through Content parent and Source portal props.</t>
        </is>
      </c>
      <c r="J39" s="5" t="inlineStr"/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Portal native DOM prop passthrough is not applicable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test; Portal exposes portal utility props instead of DOM props</t>
        </is>
      </c>
      <c r="H40" s="9" t="inlineStr">
        <is>
          <t>covered</t>
        </is>
      </c>
      <c r="I40" s="5" t="inlineStr">
        <is>
          <t>Portal rows verify body, container, and disabled portal behavior.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Portal consumer DOM ref is not applicable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test; Portal has no rendered element for a DOM ref</t>
        </is>
      </c>
      <c r="H41" s="9" t="inlineStr">
        <is>
          <t>covered</t>
        </is>
      </c>
      <c r="I41" s="5" t="inlineStr">
        <is>
          <t>Portal behavior is verified through rendered Content placement evidence.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Popover manual protocol and live playground evidence.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Popover manual protocol and live playground evidence.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Popover manual protocol and live playground evidence.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Popover manual protocol and live playground evidence.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Popover manual protocol and live playground evidence.</t>
        </is>
      </c>
      <c r="J46" s="5" t="inlineStr"/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Popover manual protocol and live playground evidence.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Popover manual protocol and live playground evidence.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Popover manual protocol and live playground evidence.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Popover manual protocol and live playground evidence.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Popover manual protocol and live playground evidence.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Popover manual protocol and live playground evidence.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Popover manual protocol and live playground evidence.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Popover manual protocol and live playground evidence.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Popover manual protocol and live playground evidence.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Popover manual protocol and live playground evidence.</t>
        </is>
      </c>
      <c r="J56" s="5" t="inlineStr"/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Popover manual protocol and live playground evidence.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Popover manual protocol and live playground evidence.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Popover manual protocol and live playground evidence.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Popover manual protocol and live playground evidence.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Popover manual protocol and live playground evidence.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Popover manual protocol and live playground evidence.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Popover manual protocol and live playground evidence.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Popover manual protocol and live playground evidence.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Popover manual protocol and live playground evidence.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Popover manual protocol and live playground evidence.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Popover manual protocol and live playground evidence.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Popover manual protocol and live playground evidence.</t>
        </is>
      </c>
      <c r="J68" s="5" t="inlineStr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Popover manual protocol and live playground evidence.</t>
        </is>
      </c>
      <c r="J69" s="5" t="inlineStr"/>
      <c r="K69" s="6">
        <f>IF(AND(E69="yes",F69="yes",H69="covered"),1,IF(H69="partial",0.5,0))</f>
        <v/>
      </c>
    </row>
    <row r="70" ht="45" customHeight="1" s="60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Popover manual protocol and live playground evidence.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Popover manual protocol and live playground evidence.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Popover manual protocol and live playground evidence.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Popover manual protocol and live playground evidence.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Popover manual protocol and live playground evidence.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Popover manual protocol and live playground evidence.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Popover manual protocol and live playground evidence.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Popover manual protocol and live playground evidence.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Popover manual protocol and live playground evidence.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Popover manual protocol and live playground evidence.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Popover manual protocol and live playground evidence.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Popover manual protocol and live playground evidence.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Popover manual protocol and live playground evidence.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Popover manual protocol and live playground evidence.</t>
        </is>
      </c>
      <c r="J83" s="5" t="inlineStr"/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Popover manual protocol and live playground evidence.</t>
        </is>
      </c>
      <c r="J84" s="5" t="inlineStr"/>
      <c r="K84" s="6">
        <f>IF(AND(E84="yes",F84="yes",H84="covered"),1,IF(H84="partial",0.5,0))</f>
        <v/>
      </c>
    </row>
    <row r="85" ht="45" customHeight="1" s="60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Popover manual protocol and live playground evidence.</t>
        </is>
      </c>
      <c r="J85" s="5" t="inlineStr"/>
      <c r="K85" s="6">
        <f>IF(AND(E85="yes",F85="yes",H85="covered"),1,IF(H85="partial",0.5,0))</f>
        <v/>
      </c>
    </row>
    <row r="86" ht="45" customHeight="1" s="60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Popover manual protocol and live playground evidence.</t>
        </is>
      </c>
      <c r="J86" s="5" t="inlineStr"/>
      <c r="K86" s="6">
        <f>IF(AND(E86="yes",F86="yes",H86="covered"),1,IF(H86="partial",0.5,0))</f>
        <v/>
      </c>
    </row>
    <row r="87" ht="45" customHeight="1" s="60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Popover manual protocol and live playground evidence.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test; default Arrow width/height verified as 10 by 5</t>
        </is>
      </c>
      <c r="H88" s="9" t="inlineStr">
        <is>
          <t>covered</t>
        </is>
      </c>
      <c r="I88" s="5" t="inlineStr">
        <is>
          <t>Arrow Anatomy width/height rows and package geometry tests.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test; wide Arrow width/height verified as 16 by 8</t>
        </is>
      </c>
      <c r="H89" s="9" t="inlineStr">
        <is>
          <t>covered</t>
        </is>
      </c>
      <c r="I89" s="5" t="inlineStr">
        <is>
          <t>Arrow Size toolbar option, Arrow Anatomy rows, and package geometry tests.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Popover manual protocol and live playground evidence.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Popover manual protocol and live playground evidence.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Popover manual protocol and live playground evidence.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Popover manual protocol and live playground evidence.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Popover manual protocol and live playground evidence.</t>
        </is>
      </c>
      <c r="J94" s="5" t="inlineStr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Popover manual protocol and live playground evidence.</t>
        </is>
      </c>
      <c r="J95" s="5" t="inlineStr"/>
      <c r="K95" s="6">
        <f>IF(AND(E95="yes",F95="yes",H95="covered"),1,IF(H95="partial",0.5,0))</f>
        <v/>
      </c>
    </row>
    <row r="96" ht="45" customHeight="1" s="60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Popover manual protocol and live playground evidence.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Popover manual protocol and live playground evidence.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Popover manual protocol and live playground evidence.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Popover manual protocol and live playground evidence.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Popover manual protocol and live playground evidence.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Popover manual protocol and live playground evidence.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Popover manual protocol and live playground evidence.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Popover manual protocol and live playground evidence.</t>
        </is>
      </c>
      <c r="J103" s="5" t="inlineStr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Popover manual protocol and live playground evidence.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Popover manual protocol and live playground evidence.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Popover manual protocol and live playground evidence.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Popover manual protocol and live playground evidence.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Popover manual protocol and live playground evidence.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Popover manual protocol and live playground evidence.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Popover manual protocol and live playground evidence.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Popover manual protocol and live playground evidence.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Popover manual protocol and live playground evidence.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Popover manual protocol and live playground evidence.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Popover manual protocol and live playground evidence.</t>
        </is>
      </c>
      <c r="J114" s="5" t="inlineStr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Popover manual protocol and live playground evidence.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Popover manual protocol and live playground evidence.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Popover manual protocol and live playground evidence.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Popover manual protocol and live playground evidence.</t>
        </is>
      </c>
      <c r="J118" s="5" t="inlineStr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Popover manual protocol and live playground evidence.</t>
        </is>
      </c>
      <c r="J119" s="5" t="inlineStr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Popover manual protocol and live playground evidence.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Popover manual protocol and live playground evidence.</t>
        </is>
      </c>
      <c r="J121" s="5" t="inlineStr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Popover manual protocol and live playground evidence.</t>
        </is>
      </c>
      <c r="J122" s="5" t="inlineStr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Popover manual protocol and live playground evidence.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Popover manual protocol and live playground evidence.</t>
        </is>
      </c>
      <c r="J124" s="5" t="inlineStr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Popover manual protocol and live playground evidence.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Popover manual protocol and live playground evidence.</t>
        </is>
      </c>
      <c r="J126" s="5" t="inlineStr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Popover manual protocol and live playground evidence.</t>
        </is>
      </c>
      <c r="J127" s="5" t="inlineStr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test; Escape closes nested layer before parent Popover</t>
        </is>
      </c>
      <c r="H128" s="9" t="inlineStr">
        <is>
          <t>covered</t>
        </is>
      </c>
      <c r="I128" s="5" t="inlineStr">
        <is>
          <t>Nested Popover manual protocol and package dismissable layer behavior.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Popover manual protocol and live playground evidence.</t>
        </is>
      </c>
      <c r="J129" s="5" t="inlineStr"/>
      <c r="K129" s="6">
        <f>IF(AND(E129="yes",F129="yes",H129="covered"),1,IF(H129="partial",0.5,0))</f>
        <v/>
      </c>
    </row>
    <row r="130" ht="45" customHeight="1" s="60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Popover manual protocol and live playground evidence.</t>
        </is>
      </c>
      <c r="J130" s="5" t="inlineStr"/>
      <c r="K130" s="6">
        <f>IF(AND(E130="yes",F130="yes",H130="covered"),1,IF(H130="partial",0.5,0))</f>
        <v/>
      </c>
    </row>
    <row r="131" ht="45" customHeight="1" s="60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Popover manual protocol and live playground evidence.</t>
        </is>
      </c>
      <c r="J131" s="5" t="inlineStr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test; nested portalled Popover interaction stays inside parent layer</t>
        </is>
      </c>
      <c r="H132" s="9" t="inlineStr">
        <is>
          <t>covered</t>
        </is>
      </c>
      <c r="I132" s="5" t="inlineStr">
        <is>
          <t>Nested Popover manual protocol; package click-away ignores descendant portalled layers controlled inside parent content.</t>
        </is>
      </c>
      <c r="J132" s="5" t="inlineStr"/>
      <c r="K132" s="6">
        <f>IF(AND(E132="yes",F132="yes",H132="covered"),1,IF(H132="partial",0.5,0))</f>
        <v/>
      </c>
    </row>
    <row r="133" ht="45" customHeight="1" s="60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desktop browser manual workflow covers pointer and keyboard behavior; mobile touch remains responsive smoke only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desktop manual test; mobile-specific device testing not separately required for this row</t>
        </is>
      </c>
      <c r="H133" s="9" t="inlineStr">
        <is>
          <t>covered</t>
        </is>
      </c>
      <c r="I133" s="5" t="inlineStr">
        <is>
          <t>Popover playground manual protocol covers pointer, keyboard, portal, modal, and nested overlay behavior in browser.</t>
        </is>
      </c>
      <c r="J133" s="5" t="inlineStr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Popover manual protocol and live playground evidence.</t>
        </is>
      </c>
      <c r="J134" s="5" t="inlineStr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test; body, custom container, and disabled portal paths verified</t>
        </is>
      </c>
      <c r="H135" s="9" t="inlineStr">
        <is>
          <t>covered</t>
        </is>
      </c>
      <c r="I135" s="5" t="inlineStr">
        <is>
          <t>Portal toolbar mode, Portal Anatomy rows, and Source output.</t>
        </is>
      </c>
      <c r="J135" s="5" t="inlineStr"/>
      <c r="K135" s="6">
        <f>IF(AND(E135="yes",F135="yes",H135="covered"),1,IF(H135="partial",0.5,0))</f>
        <v/>
      </c>
    </row>
    <row r="136" ht="45" customHeight="1" s="60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Popover manual protocol and live playground evidence.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Popover manual protocol and live playground evidence.</t>
        </is>
      </c>
      <c r="J137" s="5" t="inlineStr"/>
      <c r="K137" s="6">
        <f>IF(AND(E137="yes",F137="yes",H137="covered"),1,IF(H137="partial",0.5,0))</f>
        <v/>
      </c>
    </row>
    <row r="138" ht="45" customHeight="1" s="60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test; side/align/offset and collision-aware data-side behavior verified</t>
        </is>
      </c>
      <c r="H138" s="9" t="inlineStr">
        <is>
          <t>covered</t>
        </is>
      </c>
      <c r="I138" s="5" t="inlineStr">
        <is>
          <t>Content placement controls and live Content data-side/positioned evidence.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test; Arrow geometry and default Anchor child reference behavior verified</t>
        </is>
      </c>
      <c r="H139" s="9" t="inlineStr">
        <is>
          <t>covered</t>
        </is>
      </c>
      <c r="I139" s="5" t="inlineStr">
        <is>
          <t>Anchor positioning manual test, Arrow Anatomy rows, and package PopoverContent reference tests.</t>
        </is>
      </c>
      <c r="J139" s="5" t="inlineStr"/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Portal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60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Pressable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60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60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Progress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RadioGroup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60"/>
    <row r="9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Rating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n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n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n"/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n"/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n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ScrollArea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60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60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60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60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60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60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60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Select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60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60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60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60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60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60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60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60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60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60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60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60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60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60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60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60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60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60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60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60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60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60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60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60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60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60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60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60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60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60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60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60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60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60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60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60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60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60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60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60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60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60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60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60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60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60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60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60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60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60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60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60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60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60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60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60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60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60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60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60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60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60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60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60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60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60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60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60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60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60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60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60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60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60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60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60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60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60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60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60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60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60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60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60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60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60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60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60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60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60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60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60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60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60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60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60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60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60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60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60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60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60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60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60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60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60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60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60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Sidebar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Sidebar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Sidebar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Sidebar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Sidebar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Sidebar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Sidebar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Sidebar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Sidebar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Sidebar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Sidebar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Sidebar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Sidebar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Sidebar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Sidebar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Sidebar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Sidebar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Sidebar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Sidebar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Sidebar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Sidebar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Sidebar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Sidebar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Sidebar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Sidebar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Sidebar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Sidebar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Sidebar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Sidebar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Sidebar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Sidebar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Sidebar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Sidebar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Sidebar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Sidebar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Sidebar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Sidebar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Sidebar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Sidebar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Sidebar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Sidebar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Sidebar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Sidebar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Sidebar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Sidebar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Sidebar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Sidebar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Sidebar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Sidebar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Sidebar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Sidebar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Sidebar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Sidebar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Sidebar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Sidebar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Sidebar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Sidebar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Sidebar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Sidebar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Sidebar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Sidebar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Sidebar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Sidebar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Sidebar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Sidebar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Sidebar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data-collapsed-state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Sidebar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data-disabled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Sidebar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data-side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Sidebar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data-slot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Sidebar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data-state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Sidebar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data-target-state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Sidebar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Sidebar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Sidebar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Sidebar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Sidebar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Sidebar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Sidebar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Sidebar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controlled state path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Sidebar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uncontrolled default state path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Sidebar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state change callback fires once with correct value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Sidebar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mouse click or pointer activation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Sidebar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Enter key activation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Sidebar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Space key activation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Sidebar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disabled trigger blocks pointer and keyboard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Sidebar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Focus</t>
        </is>
      </c>
      <c r="C94" s="5" t="inlineStr">
        <is>
          <t>Trigger</t>
        </is>
      </c>
      <c r="D94" s="5" t="inlineStr">
        <is>
          <t>focus ring and focus restoration are correct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Sidebar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Positioning</t>
        </is>
      </c>
      <c r="C95" s="5" t="inlineStr">
        <is>
          <t>Sidebar</t>
        </is>
      </c>
      <c r="D95" s="5" t="inlineStr">
        <is>
          <t>side options position content correctly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Sidebar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Positioning</t>
        </is>
      </c>
      <c r="C96" s="5" t="inlineStr">
        <is>
          <t>Sidebar</t>
        </is>
      </c>
      <c r="D96" s="5" t="inlineStr">
        <is>
          <t>align options position content correctly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Sidebar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Positioning</t>
        </is>
      </c>
      <c r="C97" s="5" t="inlineStr">
        <is>
          <t>Sidebar</t>
        </is>
      </c>
      <c r="D97" s="5" t="inlineStr">
        <is>
          <t>collision/flip/shift behavior stays in viewport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Sidebar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Positioning</t>
        </is>
      </c>
      <c r="C98" s="5" t="inlineStr">
        <is>
          <t>Sidebar</t>
        </is>
      </c>
      <c r="D98" s="5" t="inlineStr">
        <is>
          <t>arrow or anchor geometry matches content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Sidebar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SkipLink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60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Slider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n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n"/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n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n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n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SwipeableItem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52" t="n">
        <v>1</v>
      </c>
      <c r="B9" s="53" t="inlineStr">
        <is>
          <t>Playground</t>
        </is>
      </c>
      <c r="C9" s="53" t="inlineStr">
        <is>
          <t>Props</t>
        </is>
      </c>
      <c r="D9" s="53" t="inlineStr">
        <is>
          <t>Props toolbar exposes Prop Check and keeps data-prop-check off by default</t>
        </is>
      </c>
      <c r="E9" s="52" t="inlineStr">
        <is>
          <t>yes</t>
        </is>
      </c>
      <c r="F9" s="52" t="inlineStr">
        <is>
          <t>yes</t>
        </is>
      </c>
      <c r="G9" s="52" t="inlineStr">
        <is>
          <t>passed manual test</t>
        </is>
      </c>
      <c r="H9" s="54" t="inlineStr">
        <is>
          <t>covered</t>
        </is>
      </c>
      <c r="I9" s="53" t="inlineStr">
        <is>
          <t>SwipeableItem playground scenario.</t>
        </is>
      </c>
      <c r="J9" s="53" t="n"/>
      <c r="K9" s="55">
        <f>IF(AND(E9="yes",F9="yes",H9="covered"),1,IF(H9="partial",0.5,0))</f>
        <v/>
      </c>
    </row>
    <row r="10" ht="15" customHeight="1" s="60">
      <c r="A10" s="52" t="n">
        <v>2</v>
      </c>
      <c r="B10" s="53" t="inlineStr">
        <is>
          <t>Playground</t>
        </is>
      </c>
      <c r="C10" s="53" t="inlineStr">
        <is>
          <t>Props</t>
        </is>
      </c>
      <c r="D10" s="53" t="inlineStr">
        <is>
          <t>custom data-slot override is available for every slot-owning anatomy part</t>
        </is>
      </c>
      <c r="E10" s="52" t="inlineStr">
        <is>
          <t>yes</t>
        </is>
      </c>
      <c r="F10" s="52" t="inlineStr">
        <is>
          <t>yes</t>
        </is>
      </c>
      <c r="G10" s="52" t="inlineStr">
        <is>
          <t>passed manual test</t>
        </is>
      </c>
      <c r="H10" s="54" t="inlineStr">
        <is>
          <t>covered</t>
        </is>
      </c>
      <c r="I10" s="53" t="inlineStr">
        <is>
          <t>SwipeableItem playground scenario.</t>
        </is>
      </c>
      <c r="J10" s="53" t="n"/>
      <c r="K10" s="55">
        <f>IF(AND(E10="yes",F10="yes",H10="covered"),1,IF(H10="partial",0.5,0))</f>
        <v/>
      </c>
    </row>
    <row r="11" ht="15" customHeight="1" s="60">
      <c r="A11" s="52" t="n">
        <v>3</v>
      </c>
      <c r="B11" s="53" t="inlineStr">
        <is>
          <t>Playground</t>
        </is>
      </c>
      <c r="C11" s="53" t="inlineStr">
        <is>
          <t>SwipeableItem</t>
        </is>
      </c>
      <c r="D11" s="53" t="inlineStr">
        <is>
          <t>scenario is reachable from top menu</t>
        </is>
      </c>
      <c r="E11" s="52" t="inlineStr">
        <is>
          <t>yes</t>
        </is>
      </c>
      <c r="F11" s="52" t="inlineStr">
        <is>
          <t>yes</t>
        </is>
      </c>
      <c r="G11" s="52" t="inlineStr">
        <is>
          <t>passed manual test</t>
        </is>
      </c>
      <c r="H11" s="54" t="inlineStr">
        <is>
          <t>covered</t>
        </is>
      </c>
      <c r="I11" s="53" t="inlineStr">
        <is>
          <t>SwipeableItem playground scenario.</t>
        </is>
      </c>
      <c r="J11" s="53" t="n"/>
      <c r="K11" s="55">
        <f>IF(AND(E11="yes",F11="yes",H11="covered"),1,IF(H11="partial",0.5,0))</f>
        <v/>
      </c>
    </row>
    <row r="12" ht="15" customHeight="1" s="60">
      <c r="A12" s="52" t="n">
        <v>4</v>
      </c>
      <c r="B12" s="53" t="inlineStr">
        <is>
          <t>Playground</t>
        </is>
      </c>
      <c r="C12" s="53" t="inlineStr">
        <is>
          <t>SwipeableItem</t>
        </is>
      </c>
      <c r="D12" s="53" t="inlineStr">
        <is>
          <t>canvas source reflects current toggles</t>
        </is>
      </c>
      <c r="E12" s="52" t="inlineStr">
        <is>
          <t>yes</t>
        </is>
      </c>
      <c r="F12" s="52" t="inlineStr">
        <is>
          <t>yes</t>
        </is>
      </c>
      <c r="G12" s="52" t="inlineStr">
        <is>
          <t>passed manual test</t>
        </is>
      </c>
      <c r="H12" s="54" t="inlineStr">
        <is>
          <t>covered</t>
        </is>
      </c>
      <c r="I12" s="53" t="inlineStr">
        <is>
          <t>SwipeableItem playground scenario.</t>
        </is>
      </c>
      <c r="J12" s="53" t="n"/>
      <c r="K12" s="55">
        <f>IF(AND(E12="yes",F12="yes",H12="covered"),1,IF(H12="partial",0.5,0))</f>
        <v/>
      </c>
    </row>
    <row r="13" ht="15" customHeight="1" s="60">
      <c r="A13" s="52" t="n">
        <v>5</v>
      </c>
      <c r="B13" s="53" t="inlineStr">
        <is>
          <t>Playground</t>
        </is>
      </c>
      <c r="C13" s="53" t="inlineStr">
        <is>
          <t>SwipeableItem</t>
        </is>
      </c>
      <c r="D13" s="53" t="inlineStr">
        <is>
          <t>anatomy uses live DOM attributes, ARIA, and data groups</t>
        </is>
      </c>
      <c r="E13" s="52" t="inlineStr">
        <is>
          <t>yes</t>
        </is>
      </c>
      <c r="F13" s="52" t="inlineStr">
        <is>
          <t>yes</t>
        </is>
      </c>
      <c r="G13" s="52" t="inlineStr">
        <is>
          <t>passed manual test</t>
        </is>
      </c>
      <c r="H13" s="54" t="inlineStr">
        <is>
          <t>covered</t>
        </is>
      </c>
      <c r="I13" s="53" t="inlineStr">
        <is>
          <t>SwipeableItem playground scenario.</t>
        </is>
      </c>
      <c r="J13" s="53" t="n"/>
      <c r="K13" s="55">
        <f>IF(AND(E13="yes",F13="yes",H13="covered"),1,IF(H13="partial",0.5,0))</f>
        <v/>
      </c>
    </row>
    <row r="14" ht="15" customHeight="1" s="60">
      <c r="A14" s="52" t="n">
        <v>6</v>
      </c>
      <c r="B14" s="53" t="inlineStr">
        <is>
          <t>Playground</t>
        </is>
      </c>
      <c r="C14" s="53" t="inlineStr">
        <is>
          <t>SwipeableItem</t>
        </is>
      </c>
      <c r="D14" s="53" t="inlineStr">
        <is>
          <t>inspector selected/focused/logs work for this scenario</t>
        </is>
      </c>
      <c r="E14" s="52" t="inlineStr">
        <is>
          <t>yes</t>
        </is>
      </c>
      <c r="F14" s="52" t="inlineStr">
        <is>
          <t>yes</t>
        </is>
      </c>
      <c r="G14" s="52" t="inlineStr">
        <is>
          <t>passed manual test</t>
        </is>
      </c>
      <c r="H14" s="54" t="inlineStr">
        <is>
          <t>covered</t>
        </is>
      </c>
      <c r="I14" s="53" t="inlineStr">
        <is>
          <t>SwipeableItem playground scenario.</t>
        </is>
      </c>
      <c r="J14" s="53" t="n"/>
      <c r="K14" s="55">
        <f>IF(AND(E14="yes",F14="yes",H14="covered"),1,IF(H14="partial",0.5,0))</f>
        <v/>
      </c>
    </row>
    <row r="15" ht="15" customHeight="1" s="60">
      <c r="A15" s="52" t="n">
        <v>7</v>
      </c>
      <c r="B15" s="53" t="inlineStr">
        <is>
          <t>Feature</t>
        </is>
      </c>
      <c r="C15" s="53" t="inlineStr">
        <is>
          <t>SwipeableItem</t>
        </is>
      </c>
      <c r="D15" s="53" t="inlineStr">
        <is>
          <t>Supports start and end action panels</t>
        </is>
      </c>
      <c r="E15" s="52" t="inlineStr">
        <is>
          <t>yes</t>
        </is>
      </c>
      <c r="F15" s="52" t="inlineStr">
        <is>
          <t>yes</t>
        </is>
      </c>
      <c r="G15" s="52" t="inlineStr">
        <is>
          <t>passed manual test</t>
        </is>
      </c>
      <c r="H15" s="54" t="inlineStr">
        <is>
          <t>covered</t>
        </is>
      </c>
      <c r="I15" s="53" t="inlineStr">
        <is>
          <t>SwipeableItem playground scenario.</t>
        </is>
      </c>
      <c r="J15" s="53" t="n"/>
      <c r="K15" s="55">
        <f>IF(AND(E15="yes",F15="yes",H15="covered"),1,IF(H15="partial",0.5,0))</f>
        <v/>
      </c>
    </row>
    <row r="16" ht="15" customHeight="1" s="60">
      <c r="A16" s="52" t="n">
        <v>8</v>
      </c>
      <c r="B16" s="53" t="inlineStr">
        <is>
          <t>Feature</t>
        </is>
      </c>
      <c r="C16" s="53" t="inlineStr">
        <is>
          <t>SwipeableItem</t>
        </is>
      </c>
      <c r="D16" s="53" t="inlineStr">
        <is>
          <t>Supports pointer dragging and keyboard opening</t>
        </is>
      </c>
      <c r="E16" s="52" t="inlineStr">
        <is>
          <t>yes</t>
        </is>
      </c>
      <c r="F16" s="52" t="inlineStr">
        <is>
          <t>yes</t>
        </is>
      </c>
      <c r="G16" s="52" t="inlineStr">
        <is>
          <t>passed manual test</t>
        </is>
      </c>
      <c r="H16" s="54" t="inlineStr">
        <is>
          <t>covered</t>
        </is>
      </c>
      <c r="I16" s="53" t="inlineStr">
        <is>
          <t>SwipeableItem playground scenario.</t>
        </is>
      </c>
      <c r="J16" s="53" t="n"/>
      <c r="K16" s="55">
        <f>IF(AND(E16="yes",F16="yes",H16="covered"),1,IF(H16="partial",0.5,0))</f>
        <v/>
      </c>
    </row>
    <row r="17" ht="15" customHeight="1" s="60">
      <c r="A17" s="52" t="n">
        <v>9</v>
      </c>
      <c r="B17" s="53" t="inlineStr">
        <is>
          <t>Feature</t>
        </is>
      </c>
      <c r="C17" s="53" t="inlineStr">
        <is>
          <t>SwipeableItem</t>
        </is>
      </c>
      <c r="D17" s="53" t="inlineStr">
        <is>
          <t>Supports controlled and uncontrolled open side state</t>
        </is>
      </c>
      <c r="E17" s="52" t="inlineStr">
        <is>
          <t>yes</t>
        </is>
      </c>
      <c r="F17" s="52" t="inlineStr">
        <is>
          <t>yes</t>
        </is>
      </c>
      <c r="G17" s="52" t="inlineStr">
        <is>
          <t>passed manual test</t>
        </is>
      </c>
      <c r="H17" s="54" t="inlineStr">
        <is>
          <t>covered</t>
        </is>
      </c>
      <c r="I17" s="53" t="inlineStr">
        <is>
          <t>SwipeableItem playground scenario.</t>
        </is>
      </c>
      <c r="J17" s="53" t="n"/>
      <c r="K17" s="55">
        <f>IF(AND(E17="yes",F17="yes",H17="covered"),1,IF(H17="partial",0.5,0))</f>
        <v/>
      </c>
    </row>
    <row r="18" ht="15" customHeight="1" s="60">
      <c r="A18" s="52" t="n">
        <v>10</v>
      </c>
      <c r="B18" s="53" t="inlineStr">
        <is>
          <t>Feature</t>
        </is>
      </c>
      <c r="C18" s="53" t="inlineStr">
        <is>
          <t>SwipeableItem</t>
        </is>
      </c>
      <c r="D18" s="53" t="inlineStr">
        <is>
          <t>Supports left-to-right and right-to-left direction</t>
        </is>
      </c>
      <c r="E18" s="52" t="inlineStr">
        <is>
          <t>yes</t>
        </is>
      </c>
      <c r="F18" s="52" t="inlineStr">
        <is>
          <t>yes</t>
        </is>
      </c>
      <c r="G18" s="52" t="inlineStr">
        <is>
          <t>passed manual test</t>
        </is>
      </c>
      <c r="H18" s="54" t="inlineStr">
        <is>
          <t>covered</t>
        </is>
      </c>
      <c r="I18" s="53" t="inlineStr">
        <is>
          <t>SwipeableItem playground scenario.</t>
        </is>
      </c>
      <c r="J18" s="53" t="n"/>
      <c r="K18" s="55">
        <f>IF(AND(E18="yes",F18="yes",H18="covered"),1,IF(H18="partial",0.5,0))</f>
        <v/>
      </c>
    </row>
    <row r="19" ht="15" customHeight="1" s="60">
      <c r="A19" s="52" t="n">
        <v>11</v>
      </c>
      <c r="B19" s="53" t="inlineStr">
        <is>
          <t>Feature</t>
        </is>
      </c>
      <c r="C19" s="53" t="inlineStr">
        <is>
          <t>SwipeableItem</t>
        </is>
      </c>
      <c r="D19" s="53" t="inlineStr">
        <is>
          <t>Supports optional full-swipe actions</t>
        </is>
      </c>
      <c r="E19" s="52" t="inlineStr">
        <is>
          <t>yes</t>
        </is>
      </c>
      <c r="F19" s="52" t="inlineStr">
        <is>
          <t>yes</t>
        </is>
      </c>
      <c r="G19" s="52" t="inlineStr">
        <is>
          <t>passed manual test</t>
        </is>
      </c>
      <c r="H19" s="54" t="inlineStr">
        <is>
          <t>covered</t>
        </is>
      </c>
      <c r="I19" s="53" t="inlineStr">
        <is>
          <t>SwipeableItem playground scenario.</t>
        </is>
      </c>
      <c r="J19" s="53" t="n"/>
      <c r="K19" s="55">
        <f>IF(AND(E19="yes",F19="yes",H19="covered"),1,IF(H19="partial",0.5,0))</f>
        <v/>
      </c>
    </row>
    <row r="20" ht="15" customHeight="1" s="60">
      <c r="A20" s="52" t="n">
        <v>12</v>
      </c>
      <c r="B20" s="53" t="inlineStr">
        <is>
          <t>Feature</t>
        </is>
      </c>
      <c r="C20" s="53" t="inlineStr">
        <is>
          <t>SwipeableItem</t>
        </is>
      </c>
      <c r="D20" s="53" t="inlineStr">
        <is>
          <t>Supports `asChild` and `render` on every part</t>
        </is>
      </c>
      <c r="E20" s="52" t="inlineStr">
        <is>
          <t>yes</t>
        </is>
      </c>
      <c r="F20" s="52" t="inlineStr">
        <is>
          <t>yes</t>
        </is>
      </c>
      <c r="G20" s="52" t="inlineStr">
        <is>
          <t>passed manual test</t>
        </is>
      </c>
      <c r="H20" s="54" t="inlineStr">
        <is>
          <t>covered</t>
        </is>
      </c>
      <c r="I20" s="53" t="inlineStr">
        <is>
          <t>SwipeableItem playground scenario.</t>
        </is>
      </c>
      <c r="J20" s="53" t="n"/>
      <c r="K20" s="55">
        <f>IF(AND(E20="yes",F20="yes",H20="covered"),1,IF(H20="partial",0.5,0))</f>
        <v/>
      </c>
    </row>
    <row r="21" ht="15" customHeight="1" s="60">
      <c r="A21" s="52" t="n">
        <v>13</v>
      </c>
      <c r="B21" s="53" t="inlineStr">
        <is>
          <t>Anatomy</t>
        </is>
      </c>
      <c r="C21" s="53" t="inlineStr">
        <is>
          <t>Root</t>
        </is>
      </c>
      <c r="D21" s="53" t="inlineStr">
        <is>
          <t>renders correct part when expected</t>
        </is>
      </c>
      <c r="E21" s="52" t="inlineStr">
        <is>
          <t>yes</t>
        </is>
      </c>
      <c r="F21" s="52" t="inlineStr">
        <is>
          <t>yes</t>
        </is>
      </c>
      <c r="G21" s="52" t="inlineStr">
        <is>
          <t>passed manual test</t>
        </is>
      </c>
      <c r="H21" s="54" t="inlineStr">
        <is>
          <t>covered</t>
        </is>
      </c>
      <c r="I21" s="53" t="inlineStr">
        <is>
          <t>SwipeableItem playground scenario.</t>
        </is>
      </c>
      <c r="J21" s="53" t="n"/>
      <c r="K21" s="55">
        <f>IF(AND(E21="yes",F21="yes",H21="covered"),1,IF(H21="partial",0.5,0))</f>
        <v/>
      </c>
    </row>
    <row r="22" ht="15" customHeight="1" s="60">
      <c r="A22" s="52" t="n">
        <v>14</v>
      </c>
      <c r="B22" s="53" t="inlineStr">
        <is>
          <t>Anatomy</t>
        </is>
      </c>
      <c r="C22" s="53" t="inlineStr">
        <is>
          <t>Root</t>
        </is>
      </c>
      <c r="D22" s="53" t="inlineStr">
        <is>
          <t>appears in documented order</t>
        </is>
      </c>
      <c r="E22" s="52" t="inlineStr">
        <is>
          <t>yes</t>
        </is>
      </c>
      <c r="F22" s="52" t="inlineStr">
        <is>
          <t>yes</t>
        </is>
      </c>
      <c r="G22" s="52" t="inlineStr">
        <is>
          <t>passed manual test</t>
        </is>
      </c>
      <c r="H22" s="54" t="inlineStr">
        <is>
          <t>covered</t>
        </is>
      </c>
      <c r="I22" s="53" t="inlineStr">
        <is>
          <t>SwipeableItem playground scenario.</t>
        </is>
      </c>
      <c r="J22" s="53" t="n"/>
      <c r="K22" s="55">
        <f>IF(AND(E22="yes",F22="yes",H22="covered"),1,IF(H22="partial",0.5,0))</f>
        <v/>
      </c>
    </row>
    <row r="23" ht="30" customHeight="1" s="60">
      <c r="A23" s="52" t="n">
        <v>15</v>
      </c>
      <c r="B23" s="53" t="inlineStr">
        <is>
          <t>Identity</t>
        </is>
      </c>
      <c r="C23" s="53" t="inlineStr">
        <is>
          <t>Root</t>
        </is>
      </c>
      <c r="D23" s="53" t="inlineStr">
        <is>
          <t>default tag is visible in Anatomy/Inspector</t>
        </is>
      </c>
      <c r="E23" s="52" t="inlineStr">
        <is>
          <t>yes</t>
        </is>
      </c>
      <c r="F23" s="52" t="inlineStr">
        <is>
          <t>yes</t>
        </is>
      </c>
      <c r="G23" s="52" t="inlineStr">
        <is>
          <t>passed manual test</t>
        </is>
      </c>
      <c r="H23" s="54" t="inlineStr">
        <is>
          <t>covered</t>
        </is>
      </c>
      <c r="I23" s="53" t="inlineStr">
        <is>
          <t>SwipeableItem playground scenario.</t>
        </is>
      </c>
      <c r="J23" s="53" t="n"/>
      <c r="K23" s="55">
        <f>IF(AND(E23="yes",F23="yes",H23="covered"),1,IF(H23="partial",0.5,0))</f>
        <v/>
      </c>
    </row>
    <row r="24" ht="15" customHeight="1" s="60">
      <c r="A24" s="52" t="n">
        <v>16</v>
      </c>
      <c r="B24" s="53" t="inlineStr">
        <is>
          <t>Identity</t>
        </is>
      </c>
      <c r="C24" s="53" t="inlineStr">
        <is>
          <t>Root</t>
        </is>
      </c>
      <c r="D24" s="53" t="inlineStr">
        <is>
          <t>data-slot is present and correct</t>
        </is>
      </c>
      <c r="E24" s="52" t="inlineStr">
        <is>
          <t>yes</t>
        </is>
      </c>
      <c r="F24" s="52" t="inlineStr">
        <is>
          <t>yes</t>
        </is>
      </c>
      <c r="G24" s="52" t="inlineStr">
        <is>
          <t>passed manual test</t>
        </is>
      </c>
      <c r="H24" s="54" t="inlineStr">
        <is>
          <t>covered</t>
        </is>
      </c>
      <c r="I24" s="53" t="inlineStr">
        <is>
          <t>SwipeableItem playground scenario.</t>
        </is>
      </c>
      <c r="J24" s="53" t="n"/>
      <c r="K24" s="55">
        <f>IF(AND(E24="yes",F24="yes",H24="covered"),1,IF(H24="partial",0.5,0))</f>
        <v/>
      </c>
    </row>
    <row r="25" ht="15" customHeight="1" s="60">
      <c r="A25" s="52" t="n">
        <v>17</v>
      </c>
      <c r="B25" s="53" t="inlineStr">
        <is>
          <t>Props</t>
        </is>
      </c>
      <c r="C25" s="53" t="inlineStr">
        <is>
          <t>Root</t>
        </is>
      </c>
      <c r="D25" s="53" t="inlineStr">
        <is>
          <t>non-Atom native props pass through with data-prop-check marker</t>
        </is>
      </c>
      <c r="E25" s="52" t="inlineStr">
        <is>
          <t>yes</t>
        </is>
      </c>
      <c r="F25" s="52" t="inlineStr">
        <is>
          <t>yes</t>
        </is>
      </c>
      <c r="G25" s="52" t="inlineStr">
        <is>
          <t>passed manual test</t>
        </is>
      </c>
      <c r="H25" s="54" t="inlineStr">
        <is>
          <t>covered</t>
        </is>
      </c>
      <c r="I25" s="53" t="inlineStr">
        <is>
          <t>SwipeableItem playground scenario.</t>
        </is>
      </c>
      <c r="J25" s="53" t="n"/>
      <c r="K25" s="55">
        <f>IF(AND(E25="yes",F25="yes",H25="covered"),1,IF(H25="partial",0.5,0))</f>
        <v/>
      </c>
    </row>
    <row r="26" ht="15" customHeight="1" s="60">
      <c r="A26" s="52" t="n">
        <v>18</v>
      </c>
      <c r="B26" s="53" t="inlineStr">
        <is>
          <t>Refs</t>
        </is>
      </c>
      <c r="C26" s="53" t="inlineStr">
        <is>
          <t>Root</t>
        </is>
      </c>
      <c r="D26" s="53" t="inlineStr">
        <is>
          <t>consumer ref receives the rendered element</t>
        </is>
      </c>
      <c r="E26" s="52" t="inlineStr">
        <is>
          <t>yes</t>
        </is>
      </c>
      <c r="F26" s="52" t="inlineStr">
        <is>
          <t>yes</t>
        </is>
      </c>
      <c r="G26" s="52" t="inlineStr">
        <is>
          <t>passed manual test</t>
        </is>
      </c>
      <c r="H26" s="54" t="inlineStr">
        <is>
          <t>covered</t>
        </is>
      </c>
      <c r="I26" s="53" t="inlineStr">
        <is>
          <t>SwipeableItem playground scenario.</t>
        </is>
      </c>
      <c r="J26" s="53" t="n"/>
      <c r="K26" s="55">
        <f>IF(AND(E26="yes",F26="yes",H26="covered"),1,IF(H26="partial",0.5,0))</f>
        <v/>
      </c>
    </row>
    <row r="27" ht="15" customHeight="1" s="60">
      <c r="A27" s="52" t="n">
        <v>19</v>
      </c>
      <c r="B27" s="53" t="inlineStr">
        <is>
          <t>Composition</t>
        </is>
      </c>
      <c r="C27" s="53" t="inlineStr">
        <is>
          <t>Root</t>
        </is>
      </c>
      <c r="D27" s="53" t="inlineStr">
        <is>
          <t>asChild prop behavior</t>
        </is>
      </c>
      <c r="E27" s="52" t="inlineStr">
        <is>
          <t>yes</t>
        </is>
      </c>
      <c r="F27" s="52" t="inlineStr">
        <is>
          <t>yes</t>
        </is>
      </c>
      <c r="G27" s="52" t="inlineStr">
        <is>
          <t>passed manual test</t>
        </is>
      </c>
      <c r="H27" s="54" t="inlineStr">
        <is>
          <t>covered</t>
        </is>
      </c>
      <c r="I27" s="53" t="inlineStr">
        <is>
          <t>SwipeableItem playground scenario.</t>
        </is>
      </c>
      <c r="J27" s="53" t="n"/>
      <c r="K27" s="55">
        <f>IF(AND(E27="yes",F27="yes",H27="covered"),1,IF(H27="partial",0.5,0))</f>
        <v/>
      </c>
    </row>
    <row r="28" ht="15" customHeight="1" s="60">
      <c r="A28" s="52" t="n">
        <v>20</v>
      </c>
      <c r="B28" s="53" t="inlineStr">
        <is>
          <t>Composition</t>
        </is>
      </c>
      <c r="C28" s="53" t="inlineStr">
        <is>
          <t>Root</t>
        </is>
      </c>
      <c r="D28" s="53" t="inlineStr">
        <is>
          <t>render prop behavior</t>
        </is>
      </c>
      <c r="E28" s="52" t="inlineStr">
        <is>
          <t>yes</t>
        </is>
      </c>
      <c r="F28" s="52" t="inlineStr">
        <is>
          <t>yes</t>
        </is>
      </c>
      <c r="G28" s="52" t="inlineStr">
        <is>
          <t>passed manual test</t>
        </is>
      </c>
      <c r="H28" s="54" t="inlineStr">
        <is>
          <t>covered</t>
        </is>
      </c>
      <c r="I28" s="53" t="inlineStr">
        <is>
          <t>SwipeableItem playground scenario.</t>
        </is>
      </c>
      <c r="J28" s="53" t="n"/>
      <c r="K28" s="55">
        <f>IF(AND(E28="yes",F28="yes",H28="covered"),1,IF(H28="partial",0.5,0))</f>
        <v/>
      </c>
    </row>
    <row r="29" ht="15" customHeight="1" s="60">
      <c r="A29" s="52" t="n">
        <v>21</v>
      </c>
      <c r="B29" s="53" t="inlineStr">
        <is>
          <t>State</t>
        </is>
      </c>
      <c r="C29" s="53" t="inlineStr">
        <is>
          <t>Root</t>
        </is>
      </c>
      <c r="D29" s="53" t="inlineStr">
        <is>
          <t>openSide prop behavior</t>
        </is>
      </c>
      <c r="E29" s="52" t="inlineStr">
        <is>
          <t>yes</t>
        </is>
      </c>
      <c r="F29" s="52" t="inlineStr">
        <is>
          <t>yes</t>
        </is>
      </c>
      <c r="G29" s="52" t="inlineStr">
        <is>
          <t>passed manual test</t>
        </is>
      </c>
      <c r="H29" s="54" t="inlineStr">
        <is>
          <t>covered</t>
        </is>
      </c>
      <c r="I29" s="53" t="inlineStr">
        <is>
          <t>SwipeableItem playground scenario.</t>
        </is>
      </c>
      <c r="J29" s="53" t="n"/>
      <c r="K29" s="55">
        <f>IF(AND(E29="yes",F29="yes",H29="covered"),1,IF(H29="partial",0.5,0))</f>
        <v/>
      </c>
    </row>
    <row r="30" ht="15" customHeight="1" s="60">
      <c r="A30" s="52" t="n">
        <v>22</v>
      </c>
      <c r="B30" s="53" t="inlineStr">
        <is>
          <t>State</t>
        </is>
      </c>
      <c r="C30" s="53" t="inlineStr">
        <is>
          <t>Root</t>
        </is>
      </c>
      <c r="D30" s="53" t="inlineStr">
        <is>
          <t>defaultOpenSide prop behavior</t>
        </is>
      </c>
      <c r="E30" s="52" t="inlineStr">
        <is>
          <t>yes</t>
        </is>
      </c>
      <c r="F30" s="52" t="inlineStr">
        <is>
          <t>yes</t>
        </is>
      </c>
      <c r="G30" s="52" t="inlineStr">
        <is>
          <t>passed manual test</t>
        </is>
      </c>
      <c r="H30" s="54" t="inlineStr">
        <is>
          <t>covered</t>
        </is>
      </c>
      <c r="I30" s="53" t="inlineStr">
        <is>
          <t>SwipeableItem playground scenario.</t>
        </is>
      </c>
      <c r="J30" s="53" t="n"/>
      <c r="K30" s="55">
        <f>IF(AND(E30="yes",F30="yes",H30="covered"),1,IF(H30="partial",0.5,0))</f>
        <v/>
      </c>
    </row>
    <row r="31" ht="15" customHeight="1" s="60">
      <c r="A31" s="52" t="n">
        <v>23</v>
      </c>
      <c r="B31" s="53" t="inlineStr">
        <is>
          <t>State</t>
        </is>
      </c>
      <c r="C31" s="53" t="inlineStr">
        <is>
          <t>Root</t>
        </is>
      </c>
      <c r="D31" s="53" t="inlineStr">
        <is>
          <t>onOpenSideChange prop behavior</t>
        </is>
      </c>
      <c r="E31" s="52" t="inlineStr">
        <is>
          <t>yes</t>
        </is>
      </c>
      <c r="F31" s="52" t="inlineStr">
        <is>
          <t>yes</t>
        </is>
      </c>
      <c r="G31" s="52" t="inlineStr">
        <is>
          <t>passed manual test</t>
        </is>
      </c>
      <c r="H31" s="54" t="inlineStr">
        <is>
          <t>covered</t>
        </is>
      </c>
      <c r="I31" s="53" t="inlineStr">
        <is>
          <t>SwipeableItem playground scenario.</t>
        </is>
      </c>
      <c r="J31" s="53" t="n"/>
      <c r="K31" s="55">
        <f>IF(AND(E31="yes",F31="yes",H31="covered"),1,IF(H31="partial",0.5,0))</f>
        <v/>
      </c>
    </row>
    <row r="32" ht="15" customHeight="1" s="60">
      <c r="A32" s="52" t="n">
        <v>24</v>
      </c>
      <c r="B32" s="53" t="inlineStr">
        <is>
          <t>State</t>
        </is>
      </c>
      <c r="C32" s="53" t="inlineStr">
        <is>
          <t>Root</t>
        </is>
      </c>
      <c r="D32" s="53" t="inlineStr">
        <is>
          <t>onFullSwipe prop behavior</t>
        </is>
      </c>
      <c r="E32" s="52" t="inlineStr">
        <is>
          <t>yes</t>
        </is>
      </c>
      <c r="F32" s="52" t="inlineStr">
        <is>
          <t>yes</t>
        </is>
      </c>
      <c r="G32" s="52" t="inlineStr">
        <is>
          <t>passed manual test</t>
        </is>
      </c>
      <c r="H32" s="54" t="inlineStr">
        <is>
          <t>covered</t>
        </is>
      </c>
      <c r="I32" s="53" t="inlineStr">
        <is>
          <t>SwipeableItem playground scenario.</t>
        </is>
      </c>
      <c r="J32" s="53" t="n"/>
      <c r="K32" s="55">
        <f>IF(AND(E32="yes",F32="yes",H32="covered"),1,IF(H32="partial",0.5,0))</f>
        <v/>
      </c>
    </row>
    <row r="33" ht="15" customHeight="1" s="60">
      <c r="A33" s="52" t="n">
        <v>25</v>
      </c>
      <c r="B33" s="53" t="inlineStr">
        <is>
          <t>State</t>
        </is>
      </c>
      <c r="C33" s="53" t="inlineStr">
        <is>
          <t>Root</t>
        </is>
      </c>
      <c r="D33" s="53" t="inlineStr">
        <is>
          <t>disabled prop behavior</t>
        </is>
      </c>
      <c r="E33" s="52" t="inlineStr">
        <is>
          <t>yes</t>
        </is>
      </c>
      <c r="F33" s="52" t="inlineStr">
        <is>
          <t>yes</t>
        </is>
      </c>
      <c r="G33" s="52" t="inlineStr">
        <is>
          <t>passed manual test</t>
        </is>
      </c>
      <c r="H33" s="54" t="inlineStr">
        <is>
          <t>covered</t>
        </is>
      </c>
      <c r="I33" s="53" t="inlineStr">
        <is>
          <t>SwipeableItem playground scenario.</t>
        </is>
      </c>
      <c r="J33" s="53" t="n"/>
      <c r="K33" s="55">
        <f>IF(AND(E33="yes",F33="yes",H33="covered"),1,IF(H33="partial",0.5,0))</f>
        <v/>
      </c>
    </row>
    <row r="34" ht="15" customHeight="1" s="60">
      <c r="A34" s="52" t="n">
        <v>26</v>
      </c>
      <c r="B34" s="53" t="inlineStr">
        <is>
          <t>State</t>
        </is>
      </c>
      <c r="C34" s="53" t="inlineStr">
        <is>
          <t>Root</t>
        </is>
      </c>
      <c r="D34" s="53" t="inlineStr">
        <is>
          <t>readOnly prop behavior</t>
        </is>
      </c>
      <c r="E34" s="52" t="inlineStr">
        <is>
          <t>yes</t>
        </is>
      </c>
      <c r="F34" s="52" t="inlineStr">
        <is>
          <t>yes</t>
        </is>
      </c>
      <c r="G34" s="52" t="inlineStr">
        <is>
          <t>passed manual test</t>
        </is>
      </c>
      <c r="H34" s="54" t="inlineStr">
        <is>
          <t>covered</t>
        </is>
      </c>
      <c r="I34" s="53" t="inlineStr">
        <is>
          <t>SwipeableItem playground scenario.</t>
        </is>
      </c>
      <c r="J34" s="53" t="n"/>
      <c r="K34" s="55">
        <f>IF(AND(E34="yes",F34="yes",H34="covered"),1,IF(H34="partial",0.5,0))</f>
        <v/>
      </c>
    </row>
    <row r="35" ht="15" customHeight="1" s="60">
      <c r="A35" s="52" t="n">
        <v>27</v>
      </c>
      <c r="B35" s="53" t="inlineStr">
        <is>
          <t>Public API</t>
        </is>
      </c>
      <c r="C35" s="53" t="inlineStr">
        <is>
          <t>Root</t>
        </is>
      </c>
      <c r="D35" s="53" t="inlineStr">
        <is>
          <t>threshold prop behavior</t>
        </is>
      </c>
      <c r="E35" s="52" t="inlineStr">
        <is>
          <t>yes</t>
        </is>
      </c>
      <c r="F35" s="52" t="inlineStr">
        <is>
          <t>yes</t>
        </is>
      </c>
      <c r="G35" s="52" t="inlineStr">
        <is>
          <t>passed manual test</t>
        </is>
      </c>
      <c r="H35" s="54" t="inlineStr">
        <is>
          <t>covered</t>
        </is>
      </c>
      <c r="I35" s="53" t="inlineStr">
        <is>
          <t>SwipeableItem playground scenario.</t>
        </is>
      </c>
      <c r="J35" s="53" t="n"/>
      <c r="K35" s="55">
        <f>IF(AND(E35="yes",F35="yes",H35="covered"),1,IF(H35="partial",0.5,0))</f>
        <v/>
      </c>
    </row>
    <row r="36" ht="15" customHeight="1" s="60">
      <c r="A36" s="52" t="n">
        <v>28</v>
      </c>
      <c r="B36" s="53" t="inlineStr">
        <is>
          <t>Public API</t>
        </is>
      </c>
      <c r="C36" s="53" t="inlineStr">
        <is>
          <t>Root</t>
        </is>
      </c>
      <c r="D36" s="53" t="inlineStr">
        <is>
          <t>fullSwipeThreshold prop behavior</t>
        </is>
      </c>
      <c r="E36" s="52" t="inlineStr">
        <is>
          <t>yes</t>
        </is>
      </c>
      <c r="F36" s="52" t="inlineStr">
        <is>
          <t>yes</t>
        </is>
      </c>
      <c r="G36" s="52" t="inlineStr">
        <is>
          <t>passed manual test</t>
        </is>
      </c>
      <c r="H36" s="54" t="inlineStr">
        <is>
          <t>covered</t>
        </is>
      </c>
      <c r="I36" s="53" t="inlineStr">
        <is>
          <t>SwipeableItem playground scenario.</t>
        </is>
      </c>
      <c r="J36" s="53" t="n"/>
      <c r="K36" s="55">
        <f>IF(AND(E36="yes",F36="yes",H36="covered"),1,IF(H36="partial",0.5,0))</f>
        <v/>
      </c>
    </row>
    <row r="37" ht="15" customHeight="1" s="60">
      <c r="A37" s="52" t="n">
        <v>29</v>
      </c>
      <c r="B37" s="53" t="inlineStr">
        <is>
          <t>Public API</t>
        </is>
      </c>
      <c r="C37" s="53" t="inlineStr">
        <is>
          <t>Root</t>
        </is>
      </c>
      <c r="D37" s="53" t="inlineStr">
        <is>
          <t>dir prop behavior</t>
        </is>
      </c>
      <c r="E37" s="52" t="inlineStr">
        <is>
          <t>yes</t>
        </is>
      </c>
      <c r="F37" s="52" t="inlineStr">
        <is>
          <t>yes</t>
        </is>
      </c>
      <c r="G37" s="52" t="inlineStr">
        <is>
          <t>passed manual test</t>
        </is>
      </c>
      <c r="H37" s="54" t="inlineStr">
        <is>
          <t>covered</t>
        </is>
      </c>
      <c r="I37" s="53" t="inlineStr">
        <is>
          <t>SwipeableItem playground scenario.</t>
        </is>
      </c>
      <c r="J37" s="53" t="n"/>
      <c r="K37" s="55">
        <f>IF(AND(E37="yes",F37="yes",H37="covered"),1,IF(H37="partial",0.5,0))</f>
        <v/>
      </c>
    </row>
    <row r="38" ht="15" customHeight="1" s="60">
      <c r="A38" s="52" t="n">
        <v>30</v>
      </c>
      <c r="B38" s="53" t="inlineStr">
        <is>
          <t>Public API</t>
        </is>
      </c>
      <c r="C38" s="53" t="inlineStr">
        <is>
          <t>Root</t>
        </is>
      </c>
      <c r="D38" s="53" t="inlineStr">
        <is>
          <t>[data-slot] prop behavior</t>
        </is>
      </c>
      <c r="E38" s="52" t="inlineStr">
        <is>
          <t>yes</t>
        </is>
      </c>
      <c r="F38" s="52" t="inlineStr">
        <is>
          <t>yes</t>
        </is>
      </c>
      <c r="G38" s="52" t="inlineStr">
        <is>
          <t>passed manual test</t>
        </is>
      </c>
      <c r="H38" s="54" t="inlineStr">
        <is>
          <t>covered</t>
        </is>
      </c>
      <c r="I38" s="53" t="inlineStr">
        <is>
          <t>SwipeableItem playground scenario.</t>
        </is>
      </c>
      <c r="J38" s="53" t="n"/>
      <c r="K38" s="55">
        <f>IF(AND(E38="yes",F38="yes",H38="covered"),1,IF(H38="partial",0.5,0))</f>
        <v/>
      </c>
    </row>
    <row r="39" ht="15" customHeight="1" s="60">
      <c r="A39" s="52" t="n">
        <v>31</v>
      </c>
      <c r="B39" s="53" t="inlineStr">
        <is>
          <t>Public API</t>
        </is>
      </c>
      <c r="C39" s="53" t="inlineStr">
        <is>
          <t>Root</t>
        </is>
      </c>
      <c r="D39" s="53" t="inlineStr">
        <is>
          <t>[data-state] prop behavior</t>
        </is>
      </c>
      <c r="E39" s="52" t="inlineStr">
        <is>
          <t>yes</t>
        </is>
      </c>
      <c r="F39" s="52" t="inlineStr">
        <is>
          <t>yes</t>
        </is>
      </c>
      <c r="G39" s="52" t="inlineStr">
        <is>
          <t>passed manual test</t>
        </is>
      </c>
      <c r="H39" s="54" t="inlineStr">
        <is>
          <t>covered</t>
        </is>
      </c>
      <c r="I39" s="53" t="inlineStr">
        <is>
          <t>SwipeableItem playground scenario.</t>
        </is>
      </c>
      <c r="J39" s="53" t="n"/>
      <c r="K39" s="55">
        <f>IF(AND(E39="yes",F39="yes",H39="covered"),1,IF(H39="partial",0.5,0))</f>
        <v/>
      </c>
    </row>
    <row r="40" ht="15" customHeight="1" s="60">
      <c r="A40" s="52" t="n">
        <v>32</v>
      </c>
      <c r="B40" s="53" t="inlineStr">
        <is>
          <t>Positioning</t>
        </is>
      </c>
      <c r="C40" s="53" t="inlineStr">
        <is>
          <t>Root</t>
        </is>
      </c>
      <c r="D40" s="53" t="inlineStr">
        <is>
          <t>[data-side] prop behavior</t>
        </is>
      </c>
      <c r="E40" s="52" t="inlineStr">
        <is>
          <t>yes</t>
        </is>
      </c>
      <c r="F40" s="52" t="inlineStr">
        <is>
          <t>yes</t>
        </is>
      </c>
      <c r="G40" s="52" t="inlineStr">
        <is>
          <t>passed manual test</t>
        </is>
      </c>
      <c r="H40" s="54" t="inlineStr">
        <is>
          <t>covered</t>
        </is>
      </c>
      <c r="I40" s="53" t="inlineStr">
        <is>
          <t>SwipeableItem playground scenario.</t>
        </is>
      </c>
      <c r="J40" s="53" t="n"/>
      <c r="K40" s="55">
        <f>IF(AND(E40="yes",F40="yes",H40="covered"),1,IF(H40="partial",0.5,0))</f>
        <v/>
      </c>
    </row>
    <row r="41" ht="15" customHeight="1" s="60">
      <c r="A41" s="52" t="n">
        <v>33</v>
      </c>
      <c r="B41" s="53" t="inlineStr">
        <is>
          <t>Public API</t>
        </is>
      </c>
      <c r="C41" s="53" t="inlineStr">
        <is>
          <t>Root</t>
        </is>
      </c>
      <c r="D41" s="53" t="inlineStr">
        <is>
          <t>[data-dragging] prop behavior</t>
        </is>
      </c>
      <c r="E41" s="52" t="inlineStr">
        <is>
          <t>yes</t>
        </is>
      </c>
      <c r="F41" s="52" t="inlineStr">
        <is>
          <t>yes</t>
        </is>
      </c>
      <c r="G41" s="52" t="inlineStr">
        <is>
          <t>passed manual test</t>
        </is>
      </c>
      <c r="H41" s="54" t="inlineStr">
        <is>
          <t>covered</t>
        </is>
      </c>
      <c r="I41" s="53" t="inlineStr">
        <is>
          <t>SwipeableItem playground scenario.</t>
        </is>
      </c>
      <c r="J41" s="53" t="n"/>
      <c r="K41" s="55">
        <f>IF(AND(E41="yes",F41="yes",H41="covered"),1,IF(H41="partial",0.5,0))</f>
        <v/>
      </c>
    </row>
    <row r="42" ht="15" customHeight="1" s="60">
      <c r="A42" s="52" t="n">
        <v>34</v>
      </c>
      <c r="B42" s="53" t="inlineStr">
        <is>
          <t>State</t>
        </is>
      </c>
      <c r="C42" s="53" t="inlineStr">
        <is>
          <t>Root</t>
        </is>
      </c>
      <c r="D42" s="53" t="inlineStr">
        <is>
          <t>[data-disabled] prop behavior</t>
        </is>
      </c>
      <c r="E42" s="52" t="inlineStr">
        <is>
          <t>yes</t>
        </is>
      </c>
      <c r="F42" s="52" t="inlineStr">
        <is>
          <t>yes</t>
        </is>
      </c>
      <c r="G42" s="52" t="inlineStr">
        <is>
          <t>passed manual test</t>
        </is>
      </c>
      <c r="H42" s="54" t="inlineStr">
        <is>
          <t>covered</t>
        </is>
      </c>
      <c r="I42" s="53" t="inlineStr">
        <is>
          <t>SwipeableItem playground scenario.</t>
        </is>
      </c>
      <c r="J42" s="53" t="n"/>
      <c r="K42" s="55">
        <f>IF(AND(E42="yes",F42="yes",H42="covered"),1,IF(H42="partial",0.5,0))</f>
        <v/>
      </c>
    </row>
    <row r="43" ht="15" customHeight="1" s="60">
      <c r="A43" s="52" t="n">
        <v>35</v>
      </c>
      <c r="B43" s="53" t="inlineStr">
        <is>
          <t>State</t>
        </is>
      </c>
      <c r="C43" s="53" t="inlineStr">
        <is>
          <t>Root</t>
        </is>
      </c>
      <c r="D43" s="53" t="inlineStr">
        <is>
          <t>[data-readonly] prop behavior</t>
        </is>
      </c>
      <c r="E43" s="52" t="inlineStr">
        <is>
          <t>yes</t>
        </is>
      </c>
      <c r="F43" s="52" t="inlineStr">
        <is>
          <t>yes</t>
        </is>
      </c>
      <c r="G43" s="52" t="inlineStr">
        <is>
          <t>passed manual test</t>
        </is>
      </c>
      <c r="H43" s="54" t="inlineStr">
        <is>
          <t>covered</t>
        </is>
      </c>
      <c r="I43" s="53" t="inlineStr">
        <is>
          <t>SwipeableItem playground scenario.</t>
        </is>
      </c>
      <c r="J43" s="53" t="n"/>
      <c r="K43" s="55">
        <f>IF(AND(E43="yes",F43="yes",H43="covered"),1,IF(H43="partial",0.5,0))</f>
        <v/>
      </c>
    </row>
    <row r="44" ht="15" customHeight="1" s="60">
      <c r="A44" s="52" t="n">
        <v>36</v>
      </c>
      <c r="B44" s="53" t="inlineStr">
        <is>
          <t>Positioning</t>
        </is>
      </c>
      <c r="C44" s="53" t="inlineStr">
        <is>
          <t>Root</t>
        </is>
      </c>
      <c r="D44" s="53" t="inlineStr">
        <is>
          <t>--atom-swipeable-item-offset prop behavior</t>
        </is>
      </c>
      <c r="E44" s="52" t="inlineStr">
        <is>
          <t>yes</t>
        </is>
      </c>
      <c r="F44" s="52" t="inlineStr">
        <is>
          <t>yes</t>
        </is>
      </c>
      <c r="G44" s="52" t="inlineStr">
        <is>
          <t>passed manual test</t>
        </is>
      </c>
      <c r="H44" s="54" t="inlineStr">
        <is>
          <t>covered</t>
        </is>
      </c>
      <c r="I44" s="53" t="inlineStr">
        <is>
          <t>SwipeableItem playground scenario.</t>
        </is>
      </c>
      <c r="J44" s="53" t="n"/>
      <c r="K44" s="55">
        <f>IF(AND(E44="yes",F44="yes",H44="covered"),1,IF(H44="partial",0.5,0))</f>
        <v/>
      </c>
    </row>
    <row r="45" ht="15" customHeight="1" s="60">
      <c r="A45" s="52" t="n">
        <v>37</v>
      </c>
      <c r="B45" s="53" t="inlineStr">
        <is>
          <t>Public API</t>
        </is>
      </c>
      <c r="C45" s="53" t="inlineStr">
        <is>
          <t>Root</t>
        </is>
      </c>
      <c r="D45" s="53" t="inlineStr">
        <is>
          <t>--atom-swipeable-item-start-size prop behavior</t>
        </is>
      </c>
      <c r="E45" s="52" t="inlineStr">
        <is>
          <t>yes</t>
        </is>
      </c>
      <c r="F45" s="52" t="inlineStr">
        <is>
          <t>yes</t>
        </is>
      </c>
      <c r="G45" s="52" t="inlineStr">
        <is>
          <t>passed manual test</t>
        </is>
      </c>
      <c r="H45" s="54" t="inlineStr">
        <is>
          <t>covered</t>
        </is>
      </c>
      <c r="I45" s="53" t="inlineStr">
        <is>
          <t>SwipeableItem playground scenario.</t>
        </is>
      </c>
      <c r="J45" s="53" t="n"/>
      <c r="K45" s="55">
        <f>IF(AND(E45="yes",F45="yes",H45="covered"),1,IF(H45="partial",0.5,0))</f>
        <v/>
      </c>
    </row>
    <row r="46" ht="15" customHeight="1" s="60">
      <c r="A46" s="52" t="n">
        <v>38</v>
      </c>
      <c r="B46" s="53" t="inlineStr">
        <is>
          <t>Public API</t>
        </is>
      </c>
      <c r="C46" s="53" t="inlineStr">
        <is>
          <t>Root</t>
        </is>
      </c>
      <c r="D46" s="53" t="inlineStr">
        <is>
          <t>--atom-swipeable-item-end-size prop behavior</t>
        </is>
      </c>
      <c r="E46" s="52" t="inlineStr">
        <is>
          <t>yes</t>
        </is>
      </c>
      <c r="F46" s="52" t="inlineStr">
        <is>
          <t>yes</t>
        </is>
      </c>
      <c r="G46" s="52" t="inlineStr">
        <is>
          <t>passed manual test</t>
        </is>
      </c>
      <c r="H46" s="54" t="inlineStr">
        <is>
          <t>covered</t>
        </is>
      </c>
      <c r="I46" s="53" t="inlineStr">
        <is>
          <t>SwipeableItem playground scenario.</t>
        </is>
      </c>
      <c r="J46" s="53" t="n"/>
      <c r="K46" s="55">
        <f>IF(AND(E46="yes",F46="yes",H46="covered"),1,IF(H46="partial",0.5,0))</f>
        <v/>
      </c>
    </row>
    <row r="47" ht="15" customHeight="1" s="60">
      <c r="A47" s="52" t="n">
        <v>39</v>
      </c>
      <c r="B47" s="53" t="inlineStr">
        <is>
          <t>Anatomy</t>
        </is>
      </c>
      <c r="C47" s="53" t="inlineStr">
        <is>
          <t>Content</t>
        </is>
      </c>
      <c r="D47" s="53" t="inlineStr">
        <is>
          <t>renders correct part when expected</t>
        </is>
      </c>
      <c r="E47" s="52" t="inlineStr">
        <is>
          <t>yes</t>
        </is>
      </c>
      <c r="F47" s="52" t="inlineStr">
        <is>
          <t>yes</t>
        </is>
      </c>
      <c r="G47" s="52" t="inlineStr">
        <is>
          <t>passed manual test</t>
        </is>
      </c>
      <c r="H47" s="54" t="inlineStr">
        <is>
          <t>covered</t>
        </is>
      </c>
      <c r="I47" s="53" t="inlineStr">
        <is>
          <t>SwipeableItem playground scenario.</t>
        </is>
      </c>
      <c r="J47" s="53" t="n"/>
      <c r="K47" s="55">
        <f>IF(AND(E47="yes",F47="yes",H47="covered"),1,IF(H47="partial",0.5,0))</f>
        <v/>
      </c>
    </row>
    <row r="48" ht="15" customHeight="1" s="60">
      <c r="A48" s="52" t="n">
        <v>40</v>
      </c>
      <c r="B48" s="53" t="inlineStr">
        <is>
          <t>Anatomy</t>
        </is>
      </c>
      <c r="C48" s="53" t="inlineStr">
        <is>
          <t>Content</t>
        </is>
      </c>
      <c r="D48" s="53" t="inlineStr">
        <is>
          <t>appears in documented order</t>
        </is>
      </c>
      <c r="E48" s="52" t="inlineStr">
        <is>
          <t>yes</t>
        </is>
      </c>
      <c r="F48" s="52" t="inlineStr">
        <is>
          <t>yes</t>
        </is>
      </c>
      <c r="G48" s="52" t="inlineStr">
        <is>
          <t>passed manual test</t>
        </is>
      </c>
      <c r="H48" s="54" t="inlineStr">
        <is>
          <t>covered</t>
        </is>
      </c>
      <c r="I48" s="53" t="inlineStr">
        <is>
          <t>SwipeableItem playground scenario.</t>
        </is>
      </c>
      <c r="J48" s="53" t="n"/>
      <c r="K48" s="55">
        <f>IF(AND(E48="yes",F48="yes",H48="covered"),1,IF(H48="partial",0.5,0))</f>
        <v/>
      </c>
    </row>
    <row r="49" ht="30" customHeight="1" s="60">
      <c r="A49" s="52" t="n">
        <v>41</v>
      </c>
      <c r="B49" s="53" t="inlineStr">
        <is>
          <t>Identity</t>
        </is>
      </c>
      <c r="C49" s="53" t="inlineStr">
        <is>
          <t>Content</t>
        </is>
      </c>
      <c r="D49" s="53" t="inlineStr">
        <is>
          <t>default tag is visible in Anatomy/Inspector</t>
        </is>
      </c>
      <c r="E49" s="52" t="inlineStr">
        <is>
          <t>yes</t>
        </is>
      </c>
      <c r="F49" s="52" t="inlineStr">
        <is>
          <t>yes</t>
        </is>
      </c>
      <c r="G49" s="52" t="inlineStr">
        <is>
          <t>passed manual test</t>
        </is>
      </c>
      <c r="H49" s="54" t="inlineStr">
        <is>
          <t>covered</t>
        </is>
      </c>
      <c r="I49" s="53" t="inlineStr">
        <is>
          <t>SwipeableItem playground scenario.</t>
        </is>
      </c>
      <c r="J49" s="53" t="n"/>
      <c r="K49" s="55">
        <f>IF(AND(E49="yes",F49="yes",H49="covered"),1,IF(H49="partial",0.5,0))</f>
        <v/>
      </c>
    </row>
    <row r="50" ht="15" customHeight="1" s="60">
      <c r="A50" s="52" t="n">
        <v>42</v>
      </c>
      <c r="B50" s="53" t="inlineStr">
        <is>
          <t>Identity</t>
        </is>
      </c>
      <c r="C50" s="53" t="inlineStr">
        <is>
          <t>Content</t>
        </is>
      </c>
      <c r="D50" s="53" t="inlineStr">
        <is>
          <t>data-slot is present and correct</t>
        </is>
      </c>
      <c r="E50" s="52" t="inlineStr">
        <is>
          <t>yes</t>
        </is>
      </c>
      <c r="F50" s="52" t="inlineStr">
        <is>
          <t>yes</t>
        </is>
      </c>
      <c r="G50" s="52" t="inlineStr">
        <is>
          <t>passed manual test</t>
        </is>
      </c>
      <c r="H50" s="54" t="inlineStr">
        <is>
          <t>covered</t>
        </is>
      </c>
      <c r="I50" s="53" t="inlineStr">
        <is>
          <t>SwipeableItem playground scenario.</t>
        </is>
      </c>
      <c r="J50" s="53" t="n"/>
      <c r="K50" s="55">
        <f>IF(AND(E50="yes",F50="yes",H50="covered"),1,IF(H50="partial",0.5,0))</f>
        <v/>
      </c>
    </row>
    <row r="51" ht="15" customHeight="1" s="60">
      <c r="A51" s="52" t="n">
        <v>43</v>
      </c>
      <c r="B51" s="53" t="inlineStr">
        <is>
          <t>Props</t>
        </is>
      </c>
      <c r="C51" s="53" t="inlineStr">
        <is>
          <t>Content</t>
        </is>
      </c>
      <c r="D51" s="53" t="inlineStr">
        <is>
          <t>non-Atom native props pass through with data-prop-check marker</t>
        </is>
      </c>
      <c r="E51" s="52" t="inlineStr">
        <is>
          <t>yes</t>
        </is>
      </c>
      <c r="F51" s="52" t="inlineStr">
        <is>
          <t>yes</t>
        </is>
      </c>
      <c r="G51" s="52" t="inlineStr">
        <is>
          <t>passed manual test</t>
        </is>
      </c>
      <c r="H51" s="54" t="inlineStr">
        <is>
          <t>covered</t>
        </is>
      </c>
      <c r="I51" s="53" t="inlineStr">
        <is>
          <t>SwipeableItem playground scenario.</t>
        </is>
      </c>
      <c r="J51" s="53" t="n"/>
      <c r="K51" s="55">
        <f>IF(AND(E51="yes",F51="yes",H51="covered"),1,IF(H51="partial",0.5,0))</f>
        <v/>
      </c>
    </row>
    <row r="52" ht="15" customHeight="1" s="60">
      <c r="A52" s="52" t="n">
        <v>44</v>
      </c>
      <c r="B52" s="53" t="inlineStr">
        <is>
          <t>Refs</t>
        </is>
      </c>
      <c r="C52" s="53" t="inlineStr">
        <is>
          <t>Content</t>
        </is>
      </c>
      <c r="D52" s="53" t="inlineStr">
        <is>
          <t>consumer ref receives the rendered element</t>
        </is>
      </c>
      <c r="E52" s="52" t="inlineStr">
        <is>
          <t>yes</t>
        </is>
      </c>
      <c r="F52" s="52" t="inlineStr">
        <is>
          <t>yes</t>
        </is>
      </c>
      <c r="G52" s="52" t="inlineStr">
        <is>
          <t>passed manual test</t>
        </is>
      </c>
      <c r="H52" s="54" t="inlineStr">
        <is>
          <t>covered</t>
        </is>
      </c>
      <c r="I52" s="53" t="inlineStr">
        <is>
          <t>SwipeableItem playground scenario.</t>
        </is>
      </c>
      <c r="J52" s="53" t="n"/>
      <c r="K52" s="55">
        <f>IF(AND(E52="yes",F52="yes",H52="covered"),1,IF(H52="partial",0.5,0))</f>
        <v/>
      </c>
    </row>
    <row r="53" ht="15" customHeight="1" s="60">
      <c r="A53" s="52" t="n">
        <v>45</v>
      </c>
      <c r="B53" s="53" t="inlineStr">
        <is>
          <t>Composition</t>
        </is>
      </c>
      <c r="C53" s="53" t="inlineStr">
        <is>
          <t>Content</t>
        </is>
      </c>
      <c r="D53" s="53" t="inlineStr">
        <is>
          <t>asChild prop behavior</t>
        </is>
      </c>
      <c r="E53" s="52" t="inlineStr">
        <is>
          <t>yes</t>
        </is>
      </c>
      <c r="F53" s="52" t="inlineStr">
        <is>
          <t>yes</t>
        </is>
      </c>
      <c r="G53" s="52" t="inlineStr">
        <is>
          <t>passed manual test</t>
        </is>
      </c>
      <c r="H53" s="54" t="inlineStr">
        <is>
          <t>covered</t>
        </is>
      </c>
      <c r="I53" s="53" t="inlineStr">
        <is>
          <t>SwipeableItem playground scenario.</t>
        </is>
      </c>
      <c r="J53" s="53" t="n"/>
      <c r="K53" s="55">
        <f>IF(AND(E53="yes",F53="yes",H53="covered"),1,IF(H53="partial",0.5,0))</f>
        <v/>
      </c>
    </row>
    <row r="54" ht="15" customHeight="1" s="60">
      <c r="A54" s="52" t="n">
        <v>46</v>
      </c>
      <c r="B54" s="53" t="inlineStr">
        <is>
          <t>Composition</t>
        </is>
      </c>
      <c r="C54" s="53" t="inlineStr">
        <is>
          <t>Content</t>
        </is>
      </c>
      <c r="D54" s="53" t="inlineStr">
        <is>
          <t>render prop behavior</t>
        </is>
      </c>
      <c r="E54" s="52" t="inlineStr">
        <is>
          <t>yes</t>
        </is>
      </c>
      <c r="F54" s="52" t="inlineStr">
        <is>
          <t>yes</t>
        </is>
      </c>
      <c r="G54" s="52" t="inlineStr">
        <is>
          <t>passed manual test</t>
        </is>
      </c>
      <c r="H54" s="54" t="inlineStr">
        <is>
          <t>covered</t>
        </is>
      </c>
      <c r="I54" s="53" t="inlineStr">
        <is>
          <t>SwipeableItem playground scenario.</t>
        </is>
      </c>
      <c r="J54" s="53" t="n"/>
      <c r="K54" s="55">
        <f>IF(AND(E54="yes",F54="yes",H54="covered"),1,IF(H54="partial",0.5,0))</f>
        <v/>
      </c>
    </row>
    <row r="55" ht="15" customHeight="1" s="60">
      <c r="A55" s="52" t="n">
        <v>47</v>
      </c>
      <c r="B55" s="53" t="inlineStr">
        <is>
          <t>Public API</t>
        </is>
      </c>
      <c r="C55" s="53" t="inlineStr">
        <is>
          <t>Content</t>
        </is>
      </c>
      <c r="D55" s="53" t="inlineStr">
        <is>
          <t>tabIndex prop behavior</t>
        </is>
      </c>
      <c r="E55" s="52" t="inlineStr">
        <is>
          <t>yes</t>
        </is>
      </c>
      <c r="F55" s="52" t="inlineStr">
        <is>
          <t>yes</t>
        </is>
      </c>
      <c r="G55" s="52" t="inlineStr">
        <is>
          <t>passed manual test</t>
        </is>
      </c>
      <c r="H55" s="54" t="inlineStr">
        <is>
          <t>covered</t>
        </is>
      </c>
      <c r="I55" s="53" t="inlineStr">
        <is>
          <t>SwipeableItem playground scenario.</t>
        </is>
      </c>
      <c r="J55" s="53" t="n"/>
      <c r="K55" s="55">
        <f>IF(AND(E55="yes",F55="yes",H55="covered"),1,IF(H55="partial",0.5,0))</f>
        <v/>
      </c>
    </row>
    <row r="56" ht="15" customHeight="1" s="60">
      <c r="A56" s="52" t="n">
        <v>48</v>
      </c>
      <c r="B56" s="53" t="inlineStr">
        <is>
          <t>Public API</t>
        </is>
      </c>
      <c r="C56" s="53" t="inlineStr">
        <is>
          <t>Content</t>
        </is>
      </c>
      <c r="D56" s="53" t="inlineStr">
        <is>
          <t>[data-slot] prop behavior</t>
        </is>
      </c>
      <c r="E56" s="52" t="inlineStr">
        <is>
          <t>yes</t>
        </is>
      </c>
      <c r="F56" s="52" t="inlineStr">
        <is>
          <t>yes</t>
        </is>
      </c>
      <c r="G56" s="52" t="inlineStr">
        <is>
          <t>passed manual test</t>
        </is>
      </c>
      <c r="H56" s="54" t="inlineStr">
        <is>
          <t>covered</t>
        </is>
      </c>
      <c r="I56" s="53" t="inlineStr">
        <is>
          <t>SwipeableItem playground scenario.</t>
        </is>
      </c>
      <c r="J56" s="53" t="n"/>
      <c r="K56" s="55">
        <f>IF(AND(E56="yes",F56="yes",H56="covered"),1,IF(H56="partial",0.5,0))</f>
        <v/>
      </c>
    </row>
    <row r="57" ht="15" customHeight="1" s="60">
      <c r="A57" s="52" t="n">
        <v>49</v>
      </c>
      <c r="B57" s="53" t="inlineStr">
        <is>
          <t>Public API</t>
        </is>
      </c>
      <c r="C57" s="53" t="inlineStr">
        <is>
          <t>Content</t>
        </is>
      </c>
      <c r="D57" s="53" t="inlineStr">
        <is>
          <t>[data-state] prop behavior</t>
        </is>
      </c>
      <c r="E57" s="52" t="inlineStr">
        <is>
          <t>yes</t>
        </is>
      </c>
      <c r="F57" s="52" t="inlineStr">
        <is>
          <t>yes</t>
        </is>
      </c>
      <c r="G57" s="52" t="inlineStr">
        <is>
          <t>passed manual test</t>
        </is>
      </c>
      <c r="H57" s="54" t="inlineStr">
        <is>
          <t>covered</t>
        </is>
      </c>
      <c r="I57" s="53" t="inlineStr">
        <is>
          <t>SwipeableItem playground scenario.</t>
        </is>
      </c>
      <c r="J57" s="53" t="n"/>
      <c r="K57" s="55">
        <f>IF(AND(E57="yes",F57="yes",H57="covered"),1,IF(H57="partial",0.5,0))</f>
        <v/>
      </c>
    </row>
    <row r="58" ht="15" customHeight="1" s="60">
      <c r="A58" s="52" t="n">
        <v>50</v>
      </c>
      <c r="B58" s="53" t="inlineStr">
        <is>
          <t>Positioning</t>
        </is>
      </c>
      <c r="C58" s="53" t="inlineStr">
        <is>
          <t>Content</t>
        </is>
      </c>
      <c r="D58" s="53" t="inlineStr">
        <is>
          <t>[data-side] prop behavior</t>
        </is>
      </c>
      <c r="E58" s="52" t="inlineStr">
        <is>
          <t>yes</t>
        </is>
      </c>
      <c r="F58" s="52" t="inlineStr">
        <is>
          <t>yes</t>
        </is>
      </c>
      <c r="G58" s="52" t="inlineStr">
        <is>
          <t>passed manual test</t>
        </is>
      </c>
      <c r="H58" s="54" t="inlineStr">
        <is>
          <t>covered</t>
        </is>
      </c>
      <c r="I58" s="53" t="inlineStr">
        <is>
          <t>SwipeableItem playground scenario.</t>
        </is>
      </c>
      <c r="J58" s="53" t="n"/>
      <c r="K58" s="55">
        <f>IF(AND(E58="yes",F58="yes",H58="covered"),1,IF(H58="partial",0.5,0))</f>
        <v/>
      </c>
    </row>
    <row r="59" ht="15" customHeight="1" s="60">
      <c r="A59" s="52" t="n">
        <v>51</v>
      </c>
      <c r="B59" s="53" t="inlineStr">
        <is>
          <t>Public API</t>
        </is>
      </c>
      <c r="C59" s="53" t="inlineStr">
        <is>
          <t>Content</t>
        </is>
      </c>
      <c r="D59" s="53" t="inlineStr">
        <is>
          <t>[data-dragging] prop behavior</t>
        </is>
      </c>
      <c r="E59" s="52" t="inlineStr">
        <is>
          <t>yes</t>
        </is>
      </c>
      <c r="F59" s="52" t="inlineStr">
        <is>
          <t>yes</t>
        </is>
      </c>
      <c r="G59" s="52" t="inlineStr">
        <is>
          <t>passed manual test</t>
        </is>
      </c>
      <c r="H59" s="54" t="inlineStr">
        <is>
          <t>covered</t>
        </is>
      </c>
      <c r="I59" s="53" t="inlineStr">
        <is>
          <t>SwipeableItem playground scenario.</t>
        </is>
      </c>
      <c r="J59" s="53" t="n"/>
      <c r="K59" s="55">
        <f>IF(AND(E59="yes",F59="yes",H59="covered"),1,IF(H59="partial",0.5,0))</f>
        <v/>
      </c>
    </row>
    <row r="60" ht="15" customHeight="1" s="60">
      <c r="A60" s="52" t="n">
        <v>52</v>
      </c>
      <c r="B60" s="53" t="inlineStr">
        <is>
          <t>State</t>
        </is>
      </c>
      <c r="C60" s="53" t="inlineStr">
        <is>
          <t>Content</t>
        </is>
      </c>
      <c r="D60" s="53" t="inlineStr">
        <is>
          <t>[data-disabled] prop behavior</t>
        </is>
      </c>
      <c r="E60" s="52" t="inlineStr">
        <is>
          <t>yes</t>
        </is>
      </c>
      <c r="F60" s="52" t="inlineStr">
        <is>
          <t>yes</t>
        </is>
      </c>
      <c r="G60" s="52" t="inlineStr">
        <is>
          <t>passed manual test</t>
        </is>
      </c>
      <c r="H60" s="54" t="inlineStr">
        <is>
          <t>covered</t>
        </is>
      </c>
      <c r="I60" s="53" t="inlineStr">
        <is>
          <t>SwipeableItem playground scenario.</t>
        </is>
      </c>
      <c r="J60" s="53" t="n"/>
      <c r="K60" s="55">
        <f>IF(AND(E60="yes",F60="yes",H60="covered"),1,IF(H60="partial",0.5,0))</f>
        <v/>
      </c>
    </row>
    <row r="61" ht="15" customHeight="1" s="60">
      <c r="A61" s="52" t="n">
        <v>53</v>
      </c>
      <c r="B61" s="53" t="inlineStr">
        <is>
          <t>State</t>
        </is>
      </c>
      <c r="C61" s="53" t="inlineStr">
        <is>
          <t>Content</t>
        </is>
      </c>
      <c r="D61" s="53" t="inlineStr">
        <is>
          <t>[data-readonly] prop behavior</t>
        </is>
      </c>
      <c r="E61" s="52" t="inlineStr">
        <is>
          <t>yes</t>
        </is>
      </c>
      <c r="F61" s="52" t="inlineStr">
        <is>
          <t>yes</t>
        </is>
      </c>
      <c r="G61" s="52" t="inlineStr">
        <is>
          <t>passed manual test</t>
        </is>
      </c>
      <c r="H61" s="54" t="inlineStr">
        <is>
          <t>covered</t>
        </is>
      </c>
      <c r="I61" s="53" t="inlineStr">
        <is>
          <t>SwipeableItem playground scenario.</t>
        </is>
      </c>
      <c r="J61" s="53" t="n"/>
      <c r="K61" s="55">
        <f>IF(AND(E61="yes",F61="yes",H61="covered"),1,IF(H61="partial",0.5,0))</f>
        <v/>
      </c>
    </row>
    <row r="62" ht="15" customHeight="1" s="60">
      <c r="A62" s="52" t="n">
        <v>54</v>
      </c>
      <c r="B62" s="53" t="inlineStr">
        <is>
          <t>Anatomy</t>
        </is>
      </c>
      <c r="C62" s="53" t="inlineStr">
        <is>
          <t>Actions</t>
        </is>
      </c>
      <c r="D62" s="53" t="inlineStr">
        <is>
          <t>renders correct part when expected</t>
        </is>
      </c>
      <c r="E62" s="52" t="inlineStr">
        <is>
          <t>yes</t>
        </is>
      </c>
      <c r="F62" s="52" t="inlineStr">
        <is>
          <t>yes</t>
        </is>
      </c>
      <c r="G62" s="52" t="inlineStr">
        <is>
          <t>passed manual test</t>
        </is>
      </c>
      <c r="H62" s="54" t="inlineStr">
        <is>
          <t>covered</t>
        </is>
      </c>
      <c r="I62" s="53" t="inlineStr">
        <is>
          <t>SwipeableItem playground scenario.</t>
        </is>
      </c>
      <c r="J62" s="53" t="n"/>
      <c r="K62" s="55">
        <f>IF(AND(E62="yes",F62="yes",H62="covered"),1,IF(H62="partial",0.5,0))</f>
        <v/>
      </c>
    </row>
    <row r="63" ht="15" customHeight="1" s="60">
      <c r="A63" s="52" t="n">
        <v>55</v>
      </c>
      <c r="B63" s="53" t="inlineStr">
        <is>
          <t>Anatomy</t>
        </is>
      </c>
      <c r="C63" s="53" t="inlineStr">
        <is>
          <t>Actions</t>
        </is>
      </c>
      <c r="D63" s="53" t="inlineStr">
        <is>
          <t>appears in documented order</t>
        </is>
      </c>
      <c r="E63" s="52" t="inlineStr">
        <is>
          <t>yes</t>
        </is>
      </c>
      <c r="F63" s="52" t="inlineStr">
        <is>
          <t>yes</t>
        </is>
      </c>
      <c r="G63" s="52" t="inlineStr">
        <is>
          <t>passed manual test</t>
        </is>
      </c>
      <c r="H63" s="54" t="inlineStr">
        <is>
          <t>covered</t>
        </is>
      </c>
      <c r="I63" s="53" t="inlineStr">
        <is>
          <t>SwipeableItem playground scenario.</t>
        </is>
      </c>
      <c r="J63" s="53" t="n"/>
      <c r="K63" s="55">
        <f>IF(AND(E63="yes",F63="yes",H63="covered"),1,IF(H63="partial",0.5,0))</f>
        <v/>
      </c>
    </row>
    <row r="64" ht="30" customHeight="1" s="60">
      <c r="A64" s="52" t="n">
        <v>56</v>
      </c>
      <c r="B64" s="53" t="inlineStr">
        <is>
          <t>Identity</t>
        </is>
      </c>
      <c r="C64" s="53" t="inlineStr">
        <is>
          <t>Actions</t>
        </is>
      </c>
      <c r="D64" s="53" t="inlineStr">
        <is>
          <t>default tag is visible in Anatomy/Inspector</t>
        </is>
      </c>
      <c r="E64" s="52" t="inlineStr">
        <is>
          <t>yes</t>
        </is>
      </c>
      <c r="F64" s="52" t="inlineStr">
        <is>
          <t>yes</t>
        </is>
      </c>
      <c r="G64" s="52" t="inlineStr">
        <is>
          <t>passed manual test</t>
        </is>
      </c>
      <c r="H64" s="54" t="inlineStr">
        <is>
          <t>covered</t>
        </is>
      </c>
      <c r="I64" s="53" t="inlineStr">
        <is>
          <t>SwipeableItem playground scenario.</t>
        </is>
      </c>
      <c r="J64" s="53" t="n"/>
      <c r="K64" s="55">
        <f>IF(AND(E64="yes",F64="yes",H64="covered"),1,IF(H64="partial",0.5,0))</f>
        <v/>
      </c>
    </row>
    <row r="65" ht="15" customHeight="1" s="60">
      <c r="A65" s="52" t="n">
        <v>57</v>
      </c>
      <c r="B65" s="53" t="inlineStr">
        <is>
          <t>Identity</t>
        </is>
      </c>
      <c r="C65" s="53" t="inlineStr">
        <is>
          <t>Actions</t>
        </is>
      </c>
      <c r="D65" s="53" t="inlineStr">
        <is>
          <t>data-slot is present and correct</t>
        </is>
      </c>
      <c r="E65" s="52" t="inlineStr">
        <is>
          <t>yes</t>
        </is>
      </c>
      <c r="F65" s="52" t="inlineStr">
        <is>
          <t>yes</t>
        </is>
      </c>
      <c r="G65" s="52" t="inlineStr">
        <is>
          <t>passed manual test</t>
        </is>
      </c>
      <c r="H65" s="54" t="inlineStr">
        <is>
          <t>covered</t>
        </is>
      </c>
      <c r="I65" s="53" t="inlineStr">
        <is>
          <t>SwipeableItem playground scenario.</t>
        </is>
      </c>
      <c r="J65" s="53" t="n"/>
      <c r="K65" s="55">
        <f>IF(AND(E65="yes",F65="yes",H65="covered"),1,IF(H65="partial",0.5,0))</f>
        <v/>
      </c>
    </row>
    <row r="66" ht="15" customHeight="1" s="60">
      <c r="A66" s="52" t="n">
        <v>58</v>
      </c>
      <c r="B66" s="53" t="inlineStr">
        <is>
          <t>Props</t>
        </is>
      </c>
      <c r="C66" s="53" t="inlineStr">
        <is>
          <t>Actions</t>
        </is>
      </c>
      <c r="D66" s="53" t="inlineStr">
        <is>
          <t>non-Atom native props pass through with data-prop-check marker</t>
        </is>
      </c>
      <c r="E66" s="52" t="inlineStr">
        <is>
          <t>yes</t>
        </is>
      </c>
      <c r="F66" s="52" t="inlineStr">
        <is>
          <t>yes</t>
        </is>
      </c>
      <c r="G66" s="52" t="inlineStr">
        <is>
          <t>passed manual test</t>
        </is>
      </c>
      <c r="H66" s="54" t="inlineStr">
        <is>
          <t>covered</t>
        </is>
      </c>
      <c r="I66" s="53" t="inlineStr">
        <is>
          <t>SwipeableItem playground scenario.</t>
        </is>
      </c>
      <c r="J66" s="53" t="n"/>
      <c r="K66" s="55">
        <f>IF(AND(E66="yes",F66="yes",H66="covered"),1,IF(H66="partial",0.5,0))</f>
        <v/>
      </c>
    </row>
    <row r="67" ht="15" customHeight="1" s="60">
      <c r="A67" s="52" t="n">
        <v>59</v>
      </c>
      <c r="B67" s="53" t="inlineStr">
        <is>
          <t>Refs</t>
        </is>
      </c>
      <c r="C67" s="53" t="inlineStr">
        <is>
          <t>Actions</t>
        </is>
      </c>
      <c r="D67" s="53" t="inlineStr">
        <is>
          <t>consumer ref receives the rendered element</t>
        </is>
      </c>
      <c r="E67" s="52" t="inlineStr">
        <is>
          <t>yes</t>
        </is>
      </c>
      <c r="F67" s="52" t="inlineStr">
        <is>
          <t>yes</t>
        </is>
      </c>
      <c r="G67" s="52" t="inlineStr">
        <is>
          <t>passed manual test</t>
        </is>
      </c>
      <c r="H67" s="54" t="inlineStr">
        <is>
          <t>covered</t>
        </is>
      </c>
      <c r="I67" s="53" t="inlineStr">
        <is>
          <t>SwipeableItem playground scenario.</t>
        </is>
      </c>
      <c r="J67" s="53" t="n"/>
      <c r="K67" s="55">
        <f>IF(AND(E67="yes",F67="yes",H67="covered"),1,IF(H67="partial",0.5,0))</f>
        <v/>
      </c>
    </row>
    <row r="68" ht="15" customHeight="1" s="60">
      <c r="A68" s="52" t="n">
        <v>60</v>
      </c>
      <c r="B68" s="53" t="inlineStr">
        <is>
          <t>Composition</t>
        </is>
      </c>
      <c r="C68" s="53" t="inlineStr">
        <is>
          <t>Actions</t>
        </is>
      </c>
      <c r="D68" s="53" t="inlineStr">
        <is>
          <t>asChild prop behavior</t>
        </is>
      </c>
      <c r="E68" s="52" t="inlineStr">
        <is>
          <t>yes</t>
        </is>
      </c>
      <c r="F68" s="52" t="inlineStr">
        <is>
          <t>yes</t>
        </is>
      </c>
      <c r="G68" s="52" t="inlineStr">
        <is>
          <t>passed manual test</t>
        </is>
      </c>
      <c r="H68" s="54" t="inlineStr">
        <is>
          <t>covered</t>
        </is>
      </c>
      <c r="I68" s="53" t="inlineStr">
        <is>
          <t>SwipeableItem playground scenario.</t>
        </is>
      </c>
      <c r="J68" s="53" t="n"/>
      <c r="K68" s="55">
        <f>IF(AND(E68="yes",F68="yes",H68="covered"),1,IF(H68="partial",0.5,0))</f>
        <v/>
      </c>
    </row>
    <row r="69" ht="15" customHeight="1" s="60">
      <c r="A69" s="52" t="n">
        <v>61</v>
      </c>
      <c r="B69" s="53" t="inlineStr">
        <is>
          <t>Composition</t>
        </is>
      </c>
      <c r="C69" s="53" t="inlineStr">
        <is>
          <t>Actions</t>
        </is>
      </c>
      <c r="D69" s="53" t="inlineStr">
        <is>
          <t>render prop behavior</t>
        </is>
      </c>
      <c r="E69" s="52" t="inlineStr">
        <is>
          <t>yes</t>
        </is>
      </c>
      <c r="F69" s="52" t="inlineStr">
        <is>
          <t>yes</t>
        </is>
      </c>
      <c r="G69" s="52" t="inlineStr">
        <is>
          <t>passed manual test</t>
        </is>
      </c>
      <c r="H69" s="54" t="inlineStr">
        <is>
          <t>covered</t>
        </is>
      </c>
      <c r="I69" s="53" t="inlineStr">
        <is>
          <t>SwipeableItem playground scenario.</t>
        </is>
      </c>
      <c r="J69" s="53" t="n"/>
      <c r="K69" s="55">
        <f>IF(AND(E69="yes",F69="yes",H69="covered"),1,IF(H69="partial",0.5,0))</f>
        <v/>
      </c>
    </row>
    <row r="70" ht="15" customHeight="1" s="60">
      <c r="A70" s="52" t="n">
        <v>62</v>
      </c>
      <c r="B70" s="53" t="inlineStr">
        <is>
          <t>Positioning</t>
        </is>
      </c>
      <c r="C70" s="53" t="inlineStr">
        <is>
          <t>Actions</t>
        </is>
      </c>
      <c r="D70" s="53" t="inlineStr">
        <is>
          <t>side prop behavior</t>
        </is>
      </c>
      <c r="E70" s="52" t="inlineStr">
        <is>
          <t>yes</t>
        </is>
      </c>
      <c r="F70" s="52" t="inlineStr">
        <is>
          <t>yes</t>
        </is>
      </c>
      <c r="G70" s="52" t="inlineStr">
        <is>
          <t>passed manual test</t>
        </is>
      </c>
      <c r="H70" s="54" t="inlineStr">
        <is>
          <t>covered</t>
        </is>
      </c>
      <c r="I70" s="53" t="inlineStr">
        <is>
          <t>SwipeableItem playground scenario.</t>
        </is>
      </c>
      <c r="J70" s="53" t="n"/>
      <c r="K70" s="55">
        <f>IF(AND(E70="yes",F70="yes",H70="covered"),1,IF(H70="partial",0.5,0))</f>
        <v/>
      </c>
    </row>
    <row r="71" ht="15" customHeight="1" s="60">
      <c r="A71" s="52" t="n">
        <v>63</v>
      </c>
      <c r="B71" s="53" t="inlineStr">
        <is>
          <t>Accessibility</t>
        </is>
      </c>
      <c r="C71" s="53" t="inlineStr">
        <is>
          <t>Actions</t>
        </is>
      </c>
      <c r="D71" s="53" t="inlineStr">
        <is>
          <t>aria-label prop behavior</t>
        </is>
      </c>
      <c r="E71" s="52" t="inlineStr">
        <is>
          <t>yes</t>
        </is>
      </c>
      <c r="F71" s="52" t="inlineStr">
        <is>
          <t>yes</t>
        </is>
      </c>
      <c r="G71" s="52" t="inlineStr">
        <is>
          <t>passed manual test</t>
        </is>
      </c>
      <c r="H71" s="54" t="inlineStr">
        <is>
          <t>covered</t>
        </is>
      </c>
      <c r="I71" s="53" t="inlineStr">
        <is>
          <t>SwipeableItem playground scenario.</t>
        </is>
      </c>
      <c r="J71" s="53" t="n"/>
      <c r="K71" s="55">
        <f>IF(AND(E71="yes",F71="yes",H71="covered"),1,IF(H71="partial",0.5,0))</f>
        <v/>
      </c>
    </row>
    <row r="72" ht="15" customHeight="1" s="60">
      <c r="A72" s="52" t="n">
        <v>64</v>
      </c>
      <c r="B72" s="53" t="inlineStr">
        <is>
          <t>Public API</t>
        </is>
      </c>
      <c r="C72" s="53" t="inlineStr">
        <is>
          <t>Actions</t>
        </is>
      </c>
      <c r="D72" s="53" t="inlineStr">
        <is>
          <t>[data-slot] prop behavior</t>
        </is>
      </c>
      <c r="E72" s="52" t="inlineStr">
        <is>
          <t>yes</t>
        </is>
      </c>
      <c r="F72" s="52" t="inlineStr">
        <is>
          <t>yes</t>
        </is>
      </c>
      <c r="G72" s="52" t="inlineStr">
        <is>
          <t>passed manual test</t>
        </is>
      </c>
      <c r="H72" s="54" t="inlineStr">
        <is>
          <t>covered</t>
        </is>
      </c>
      <c r="I72" s="53" t="inlineStr">
        <is>
          <t>SwipeableItem playground scenario.</t>
        </is>
      </c>
      <c r="J72" s="53" t="n"/>
      <c r="K72" s="55">
        <f>IF(AND(E72="yes",F72="yes",H72="covered"),1,IF(H72="partial",0.5,0))</f>
        <v/>
      </c>
    </row>
    <row r="73" ht="15" customHeight="1" s="60">
      <c r="A73" s="52" t="n">
        <v>65</v>
      </c>
      <c r="B73" s="53" t="inlineStr">
        <is>
          <t>Positioning</t>
        </is>
      </c>
      <c r="C73" s="53" t="inlineStr">
        <is>
          <t>Actions</t>
        </is>
      </c>
      <c r="D73" s="53" t="inlineStr">
        <is>
          <t>[data-side] prop behavior</t>
        </is>
      </c>
      <c r="E73" s="52" t="inlineStr">
        <is>
          <t>yes</t>
        </is>
      </c>
      <c r="F73" s="52" t="inlineStr">
        <is>
          <t>yes</t>
        </is>
      </c>
      <c r="G73" s="52" t="inlineStr">
        <is>
          <t>passed manual test</t>
        </is>
      </c>
      <c r="H73" s="54" t="inlineStr">
        <is>
          <t>covered</t>
        </is>
      </c>
      <c r="I73" s="53" t="inlineStr">
        <is>
          <t>SwipeableItem playground scenario.</t>
        </is>
      </c>
      <c r="J73" s="53" t="n"/>
      <c r="K73" s="55">
        <f>IF(AND(E73="yes",F73="yes",H73="covered"),1,IF(H73="partial",0.5,0))</f>
        <v/>
      </c>
    </row>
    <row r="74" ht="15" customHeight="1" s="60">
      <c r="A74" s="52" t="n">
        <v>66</v>
      </c>
      <c r="B74" s="53" t="inlineStr">
        <is>
          <t>Public API</t>
        </is>
      </c>
      <c r="C74" s="53" t="inlineStr">
        <is>
          <t>Actions</t>
        </is>
      </c>
      <c r="D74" s="53" t="inlineStr">
        <is>
          <t>[data-state] prop behavior</t>
        </is>
      </c>
      <c r="E74" s="52" t="inlineStr">
        <is>
          <t>yes</t>
        </is>
      </c>
      <c r="F74" s="52" t="inlineStr">
        <is>
          <t>yes</t>
        </is>
      </c>
      <c r="G74" s="52" t="inlineStr">
        <is>
          <t>passed manual test</t>
        </is>
      </c>
      <c r="H74" s="54" t="inlineStr">
        <is>
          <t>covered</t>
        </is>
      </c>
      <c r="I74" s="53" t="inlineStr">
        <is>
          <t>SwipeableItem playground scenario.</t>
        </is>
      </c>
      <c r="J74" s="53" t="n"/>
      <c r="K74" s="55">
        <f>IF(AND(E74="yes",F74="yes",H74="covered"),1,IF(H74="partial",0.5,0))</f>
        <v/>
      </c>
    </row>
    <row r="75" ht="15" customHeight="1" s="60">
      <c r="A75" s="52" t="n">
        <v>67</v>
      </c>
      <c r="B75" s="53" t="inlineStr">
        <is>
          <t>ARIA</t>
        </is>
      </c>
      <c r="C75" s="53" t="inlineStr">
        <is>
          <t>Live DOM</t>
        </is>
      </c>
      <c r="D75" s="53" t="inlineStr">
        <is>
          <t>aria-disabled is present at the correct time</t>
        </is>
      </c>
      <c r="E75" s="52" t="inlineStr">
        <is>
          <t>yes</t>
        </is>
      </c>
      <c r="F75" s="52" t="inlineStr">
        <is>
          <t>yes</t>
        </is>
      </c>
      <c r="G75" s="52" t="inlineStr">
        <is>
          <t>passed manual test</t>
        </is>
      </c>
      <c r="H75" s="54" t="inlineStr">
        <is>
          <t>covered</t>
        </is>
      </c>
      <c r="I75" s="53" t="inlineStr">
        <is>
          <t>SwipeableItem playground scenario.</t>
        </is>
      </c>
      <c r="J75" s="53" t="n"/>
      <c r="K75" s="55">
        <f>IF(AND(E75="yes",F75="yes",H75="covered"),1,IF(H75="partial",0.5,0))</f>
        <v/>
      </c>
    </row>
    <row r="76" ht="15" customHeight="1" s="60">
      <c r="A76" s="52" t="n">
        <v>68</v>
      </c>
      <c r="B76" s="53" t="inlineStr">
        <is>
          <t>ARIA</t>
        </is>
      </c>
      <c r="C76" s="53" t="inlineStr">
        <is>
          <t>Live DOM</t>
        </is>
      </c>
      <c r="D76" s="53" t="inlineStr">
        <is>
          <t>aria-hidden is present at the correct time</t>
        </is>
      </c>
      <c r="E76" s="52" t="inlineStr">
        <is>
          <t>yes</t>
        </is>
      </c>
      <c r="F76" s="52" t="inlineStr">
        <is>
          <t>yes</t>
        </is>
      </c>
      <c r="G76" s="52" t="inlineStr">
        <is>
          <t>passed manual test</t>
        </is>
      </c>
      <c r="H76" s="54" t="inlineStr">
        <is>
          <t>covered</t>
        </is>
      </c>
      <c r="I76" s="53" t="inlineStr">
        <is>
          <t>SwipeableItem playground scenario.</t>
        </is>
      </c>
      <c r="J76" s="53" t="n"/>
      <c r="K76" s="55">
        <f>IF(AND(E76="yes",F76="yes",H76="covered"),1,IF(H76="partial",0.5,0))</f>
        <v/>
      </c>
    </row>
    <row r="77" ht="30" customHeight="1" s="60">
      <c r="A77" s="52" t="n">
        <v>69</v>
      </c>
      <c r="B77" s="53" t="inlineStr">
        <is>
          <t>ARIA</t>
        </is>
      </c>
      <c r="C77" s="53" t="inlineStr">
        <is>
          <t>Live DOM</t>
        </is>
      </c>
      <c r="D77" s="53" t="inlineStr">
        <is>
          <t>aria-label is present at the correct time</t>
        </is>
      </c>
      <c r="E77" s="52" t="inlineStr">
        <is>
          <t>yes</t>
        </is>
      </c>
      <c r="F77" s="52" t="inlineStr">
        <is>
          <t>yes</t>
        </is>
      </c>
      <c r="G77" s="52" t="inlineStr">
        <is>
          <t>passed manual test</t>
        </is>
      </c>
      <c r="H77" s="54" t="inlineStr">
        <is>
          <t>covered</t>
        </is>
      </c>
      <c r="I77" s="53" t="inlineStr">
        <is>
          <t>SwipeableItem playground scenario.</t>
        </is>
      </c>
      <c r="J77" s="53" t="n"/>
      <c r="K77" s="55">
        <f>IF(AND(E77="yes",F77="yes",H77="covered"),1,IF(H77="partial",0.5,0))</f>
        <v/>
      </c>
    </row>
    <row r="78" ht="15" customHeight="1" s="60">
      <c r="A78" s="52" t="n">
        <v>70</v>
      </c>
      <c r="B78" s="53" t="inlineStr">
        <is>
          <t>Data</t>
        </is>
      </c>
      <c r="C78" s="53" t="inlineStr">
        <is>
          <t>Live DOM</t>
        </is>
      </c>
      <c r="D78" s="53" t="inlineStr">
        <is>
          <t>data-disabled is present at the correct time</t>
        </is>
      </c>
      <c r="E78" s="52" t="inlineStr">
        <is>
          <t>yes</t>
        </is>
      </c>
      <c r="F78" s="52" t="inlineStr">
        <is>
          <t>yes</t>
        </is>
      </c>
      <c r="G78" s="52" t="inlineStr">
        <is>
          <t>passed manual test</t>
        </is>
      </c>
      <c r="H78" s="54" t="inlineStr">
        <is>
          <t>covered</t>
        </is>
      </c>
      <c r="I78" s="53" t="inlineStr">
        <is>
          <t>SwipeableItem playground scenario.</t>
        </is>
      </c>
      <c r="J78" s="53" t="n"/>
      <c r="K78" s="55">
        <f>IF(AND(E78="yes",F78="yes",H78="covered"),1,IF(H78="partial",0.5,0))</f>
        <v/>
      </c>
    </row>
    <row r="79" ht="15" customHeight="1" s="60">
      <c r="A79" s="52" t="n">
        <v>71</v>
      </c>
      <c r="B79" s="53" t="inlineStr">
        <is>
          <t>Data</t>
        </is>
      </c>
      <c r="C79" s="53" t="inlineStr">
        <is>
          <t>Live DOM</t>
        </is>
      </c>
      <c r="D79" s="53" t="inlineStr">
        <is>
          <t>data-dragging is present at the correct time</t>
        </is>
      </c>
      <c r="E79" s="52" t="inlineStr">
        <is>
          <t>yes</t>
        </is>
      </c>
      <c r="F79" s="52" t="inlineStr">
        <is>
          <t>yes</t>
        </is>
      </c>
      <c r="G79" s="52" t="inlineStr">
        <is>
          <t>passed manual test</t>
        </is>
      </c>
      <c r="H79" s="54" t="inlineStr">
        <is>
          <t>covered</t>
        </is>
      </c>
      <c r="I79" s="53" t="inlineStr">
        <is>
          <t>SwipeableItem playground scenario.</t>
        </is>
      </c>
      <c r="J79" s="53" t="n"/>
      <c r="K79" s="55">
        <f>IF(AND(E79="yes",F79="yes",H79="covered"),1,IF(H79="partial",0.5,0))</f>
        <v/>
      </c>
    </row>
    <row r="80" ht="15" customHeight="1" s="60">
      <c r="A80" s="52" t="n">
        <v>72</v>
      </c>
      <c r="B80" s="53" t="inlineStr">
        <is>
          <t>Data</t>
        </is>
      </c>
      <c r="C80" s="53" t="inlineStr">
        <is>
          <t>Live DOM</t>
        </is>
      </c>
      <c r="D80" s="53" t="inlineStr">
        <is>
          <t>data-readonly is present at the correct time</t>
        </is>
      </c>
      <c r="E80" s="52" t="inlineStr">
        <is>
          <t>yes</t>
        </is>
      </c>
      <c r="F80" s="52" t="inlineStr">
        <is>
          <t>yes</t>
        </is>
      </c>
      <c r="G80" s="52" t="inlineStr">
        <is>
          <t>passed manual test</t>
        </is>
      </c>
      <c r="H80" s="54" t="inlineStr">
        <is>
          <t>covered</t>
        </is>
      </c>
      <c r="I80" s="53" t="inlineStr">
        <is>
          <t>SwipeableItem playground scenario.</t>
        </is>
      </c>
      <c r="J80" s="53" t="n"/>
      <c r="K80" s="55">
        <f>IF(AND(E80="yes",F80="yes",H80="covered"),1,IF(H80="partial",0.5,0))</f>
        <v/>
      </c>
    </row>
    <row r="81" ht="15" customHeight="1" s="60">
      <c r="A81" s="52" t="n">
        <v>73</v>
      </c>
      <c r="B81" s="53" t="inlineStr">
        <is>
          <t>Data</t>
        </is>
      </c>
      <c r="C81" s="53" t="inlineStr">
        <is>
          <t>Live DOM</t>
        </is>
      </c>
      <c r="D81" s="53" t="inlineStr">
        <is>
          <t>data-side is present at the correct time</t>
        </is>
      </c>
      <c r="E81" s="52" t="inlineStr">
        <is>
          <t>yes</t>
        </is>
      </c>
      <c r="F81" s="52" t="inlineStr">
        <is>
          <t>yes</t>
        </is>
      </c>
      <c r="G81" s="52" t="inlineStr">
        <is>
          <t>passed manual test</t>
        </is>
      </c>
      <c r="H81" s="54" t="inlineStr">
        <is>
          <t>covered</t>
        </is>
      </c>
      <c r="I81" s="53" t="inlineStr">
        <is>
          <t>SwipeableItem playground scenario.</t>
        </is>
      </c>
      <c r="J81" s="53" t="n"/>
      <c r="K81" s="55">
        <f>IF(AND(E81="yes",F81="yes",H81="covered"),1,IF(H81="partial",0.5,0))</f>
        <v/>
      </c>
    </row>
    <row r="82" ht="15" customHeight="1" s="60">
      <c r="A82" s="52" t="n">
        <v>74</v>
      </c>
      <c r="B82" s="53" t="inlineStr">
        <is>
          <t>Data</t>
        </is>
      </c>
      <c r="C82" s="53" t="inlineStr">
        <is>
          <t>Live DOM</t>
        </is>
      </c>
      <c r="D82" s="53" t="inlineStr">
        <is>
          <t>data-slot is present at the correct time</t>
        </is>
      </c>
      <c r="E82" s="52" t="inlineStr">
        <is>
          <t>yes</t>
        </is>
      </c>
      <c r="F82" s="52" t="inlineStr">
        <is>
          <t>yes</t>
        </is>
      </c>
      <c r="G82" s="52" t="inlineStr">
        <is>
          <t>passed manual test</t>
        </is>
      </c>
      <c r="H82" s="54" t="inlineStr">
        <is>
          <t>covered</t>
        </is>
      </c>
      <c r="I82" s="53" t="inlineStr">
        <is>
          <t>SwipeableItem playground scenario.</t>
        </is>
      </c>
      <c r="J82" s="53" t="n"/>
      <c r="K82" s="55">
        <f>IF(AND(E82="yes",F82="yes",H82="covered"),1,IF(H82="partial",0.5,0))</f>
        <v/>
      </c>
    </row>
    <row r="83" ht="30" customHeight="1" s="60">
      <c r="A83" s="52" t="n">
        <v>75</v>
      </c>
      <c r="B83" s="53" t="inlineStr">
        <is>
          <t>Data</t>
        </is>
      </c>
      <c r="C83" s="53" t="inlineStr">
        <is>
          <t>Live DOM</t>
        </is>
      </c>
      <c r="D83" s="53" t="inlineStr">
        <is>
          <t>data-state is present at the correct time</t>
        </is>
      </c>
      <c r="E83" s="52" t="inlineStr">
        <is>
          <t>yes</t>
        </is>
      </c>
      <c r="F83" s="52" t="inlineStr">
        <is>
          <t>yes</t>
        </is>
      </c>
      <c r="G83" s="52" t="inlineStr">
        <is>
          <t>passed manual test</t>
        </is>
      </c>
      <c r="H83" s="54" t="inlineStr">
        <is>
          <t>covered</t>
        </is>
      </c>
      <c r="I83" s="53" t="inlineStr">
        <is>
          <t>SwipeableItem playground scenario.</t>
        </is>
      </c>
      <c r="J83" s="53" t="n"/>
      <c r="K83" s="55">
        <f>IF(AND(E83="yes",F83="yes",H83="covered"),1,IF(H83="partial",0.5,0))</f>
        <v/>
      </c>
    </row>
    <row r="84" ht="15" customHeight="1" s="60">
      <c r="A84" s="52" t="n">
        <v>76</v>
      </c>
      <c r="B84" s="53" t="inlineStr">
        <is>
          <t>Composition</t>
        </is>
      </c>
      <c r="C84" s="53" t="inlineStr">
        <is>
          <t>SwipeableItem</t>
        </is>
      </c>
      <c r="D84" s="53" t="inlineStr">
        <is>
          <t>asChild preserves child content without double nesting</t>
        </is>
      </c>
      <c r="E84" s="52" t="inlineStr">
        <is>
          <t>yes</t>
        </is>
      </c>
      <c r="F84" s="52" t="inlineStr">
        <is>
          <t>yes</t>
        </is>
      </c>
      <c r="G84" s="52" t="inlineStr">
        <is>
          <t>passed manual test</t>
        </is>
      </c>
      <c r="H84" s="54" t="inlineStr">
        <is>
          <t>covered</t>
        </is>
      </c>
      <c r="I84" s="53" t="inlineStr">
        <is>
          <t>SwipeableItem playground scenario.</t>
        </is>
      </c>
      <c r="J84" s="53" t="n"/>
      <c r="K84" s="55">
        <f>IF(AND(E84="yes",F84="yes",H84="covered"),1,IF(H84="partial",0.5,0))</f>
        <v/>
      </c>
    </row>
    <row r="85" ht="15" customHeight="1" s="60">
      <c r="A85" s="52" t="n">
        <v>77</v>
      </c>
      <c r="B85" s="53" t="inlineStr">
        <is>
          <t>Composition</t>
        </is>
      </c>
      <c r="C85" s="53" t="inlineStr">
        <is>
          <t>SwipeableItem</t>
        </is>
      </c>
      <c r="D85" s="53" t="inlineStr">
        <is>
          <t>asChild merges Atom props and consumer props</t>
        </is>
      </c>
      <c r="E85" s="52" t="inlineStr">
        <is>
          <t>yes</t>
        </is>
      </c>
      <c r="F85" s="52" t="inlineStr">
        <is>
          <t>yes</t>
        </is>
      </c>
      <c r="G85" s="52" t="inlineStr">
        <is>
          <t>passed manual test</t>
        </is>
      </c>
      <c r="H85" s="54" t="inlineStr">
        <is>
          <t>covered</t>
        </is>
      </c>
      <c r="I85" s="53" t="inlineStr">
        <is>
          <t>SwipeableItem playground scenario.</t>
        </is>
      </c>
      <c r="J85" s="53" t="n"/>
      <c r="K85" s="55">
        <f>IF(AND(E85="yes",F85="yes",H85="covered"),1,IF(H85="partial",0.5,0))</f>
        <v/>
      </c>
    </row>
    <row r="86" ht="15" customHeight="1" s="60">
      <c r="A86" s="52" t="n">
        <v>78</v>
      </c>
      <c r="B86" s="53" t="inlineStr">
        <is>
          <t>Composition</t>
        </is>
      </c>
      <c r="C86" s="53" t="inlineStr">
        <is>
          <t>SwipeableItem</t>
        </is>
      </c>
      <c r="D86" s="53" t="inlineStr">
        <is>
          <t>render prop renders custom element</t>
        </is>
      </c>
      <c r="E86" s="52" t="inlineStr">
        <is>
          <t>yes</t>
        </is>
      </c>
      <c r="F86" s="52" t="inlineStr">
        <is>
          <t>yes</t>
        </is>
      </c>
      <c r="G86" s="52" t="inlineStr">
        <is>
          <t>passed manual test</t>
        </is>
      </c>
      <c r="H86" s="54" t="inlineStr">
        <is>
          <t>covered</t>
        </is>
      </c>
      <c r="I86" s="53" t="inlineStr">
        <is>
          <t>SwipeableItem playground scenario.</t>
        </is>
      </c>
      <c r="J86" s="53" t="n"/>
      <c r="K86" s="55">
        <f>IF(AND(E86="yes",F86="yes",H86="covered"),1,IF(H86="partial",0.5,0))</f>
        <v/>
      </c>
    </row>
    <row r="87" ht="15" customHeight="1" s="60">
      <c r="A87" s="52" t="n">
        <v>79</v>
      </c>
      <c r="B87" s="53" t="inlineStr">
        <is>
          <t>Composition</t>
        </is>
      </c>
      <c r="C87" s="53" t="inlineStr">
        <is>
          <t>SwipeableItem</t>
        </is>
      </c>
      <c r="D87" s="53" t="inlineStr">
        <is>
          <t>render prop preserves refs and behavior props</t>
        </is>
      </c>
      <c r="E87" s="52" t="inlineStr">
        <is>
          <t>yes</t>
        </is>
      </c>
      <c r="F87" s="52" t="inlineStr">
        <is>
          <t>yes</t>
        </is>
      </c>
      <c r="G87" s="52" t="inlineStr">
        <is>
          <t>passed manual test</t>
        </is>
      </c>
      <c r="H87" s="54" t="inlineStr">
        <is>
          <t>covered</t>
        </is>
      </c>
      <c r="I87" s="53" t="inlineStr">
        <is>
          <t>SwipeableItem playground scenario.</t>
        </is>
      </c>
      <c r="J87" s="53" t="n"/>
      <c r="K87" s="55">
        <f>IF(AND(E87="yes",F87="yes",H87="covered"),1,IF(H87="partial",0.5,0))</f>
        <v/>
      </c>
    </row>
    <row r="88" ht="15" customHeight="1" s="60">
      <c r="A88" s="52" t="n">
        <v>80</v>
      </c>
      <c r="B88" s="53" t="inlineStr">
        <is>
          <t>State</t>
        </is>
      </c>
      <c r="C88" s="53" t="inlineStr">
        <is>
          <t>Root</t>
        </is>
      </c>
      <c r="D88" s="53" t="inlineStr">
        <is>
          <t>controlled state path</t>
        </is>
      </c>
      <c r="E88" s="52" t="inlineStr">
        <is>
          <t>yes</t>
        </is>
      </c>
      <c r="F88" s="52" t="inlineStr">
        <is>
          <t>yes</t>
        </is>
      </c>
      <c r="G88" s="52" t="inlineStr">
        <is>
          <t>passed manual test</t>
        </is>
      </c>
      <c r="H88" s="54" t="inlineStr">
        <is>
          <t>covered</t>
        </is>
      </c>
      <c r="I88" s="53" t="inlineStr">
        <is>
          <t>SwipeableItem playground scenario.</t>
        </is>
      </c>
      <c r="J88" s="53" t="n"/>
      <c r="K88" s="55">
        <f>IF(AND(E88="yes",F88="yes",H88="covered"),1,IF(H88="partial",0.5,0))</f>
        <v/>
      </c>
    </row>
    <row r="89" ht="15" customHeight="1" s="60">
      <c r="A89" s="52" t="n">
        <v>81</v>
      </c>
      <c r="B89" s="53" t="inlineStr">
        <is>
          <t>State</t>
        </is>
      </c>
      <c r="C89" s="53" t="inlineStr">
        <is>
          <t>Root</t>
        </is>
      </c>
      <c r="D89" s="53" t="inlineStr">
        <is>
          <t>uncontrolled default state path</t>
        </is>
      </c>
      <c r="E89" s="52" t="inlineStr">
        <is>
          <t>yes</t>
        </is>
      </c>
      <c r="F89" s="52" t="inlineStr">
        <is>
          <t>yes</t>
        </is>
      </c>
      <c r="G89" s="52" t="inlineStr">
        <is>
          <t>passed manual test</t>
        </is>
      </c>
      <c r="H89" s="54" t="inlineStr">
        <is>
          <t>covered</t>
        </is>
      </c>
      <c r="I89" s="53" t="inlineStr">
        <is>
          <t>SwipeableItem playground scenario.</t>
        </is>
      </c>
      <c r="J89" s="53" t="n"/>
      <c r="K89" s="55">
        <f>IF(AND(E89="yes",F89="yes",H89="covered"),1,IF(H89="partial",0.5,0))</f>
        <v/>
      </c>
    </row>
    <row r="90" ht="15" customHeight="1" s="60">
      <c r="A90" s="52" t="n">
        <v>82</v>
      </c>
      <c r="B90" s="53" t="inlineStr">
        <is>
          <t>State</t>
        </is>
      </c>
      <c r="C90" s="53" t="inlineStr">
        <is>
          <t>Root</t>
        </is>
      </c>
      <c r="D90" s="53" t="inlineStr">
        <is>
          <t>state change callback fires once with correct value</t>
        </is>
      </c>
      <c r="E90" s="52" t="inlineStr">
        <is>
          <t>yes</t>
        </is>
      </c>
      <c r="F90" s="52" t="inlineStr">
        <is>
          <t>yes</t>
        </is>
      </c>
      <c r="G90" s="52" t="inlineStr">
        <is>
          <t>passed manual test</t>
        </is>
      </c>
      <c r="H90" s="54" t="inlineStr">
        <is>
          <t>covered</t>
        </is>
      </c>
      <c r="I90" s="53" t="inlineStr">
        <is>
          <t>SwipeableItem playground scenario.</t>
        </is>
      </c>
      <c r="J90" s="53" t="n"/>
      <c r="K90" s="55">
        <f>IF(AND(E90="yes",F90="yes",H90="covered"),1,IF(H90="partial",0.5,0))</f>
        <v/>
      </c>
    </row>
    <row r="91" ht="15" customHeight="1" s="60">
      <c r="A91" s="52" t="n">
        <v>83</v>
      </c>
      <c r="B91" s="53" t="inlineStr">
        <is>
          <t>Keyboard</t>
        </is>
      </c>
      <c r="C91" s="53" t="inlineStr">
        <is>
          <t>SwipeableItem</t>
        </is>
      </c>
      <c r="D91" s="53" t="inlineStr">
        <is>
          <t>Escape behavior</t>
        </is>
      </c>
      <c r="E91" s="52" t="inlineStr">
        <is>
          <t>yes</t>
        </is>
      </c>
      <c r="F91" s="52" t="inlineStr">
        <is>
          <t>yes</t>
        </is>
      </c>
      <c r="G91" s="52" t="inlineStr">
        <is>
          <t>passed manual test</t>
        </is>
      </c>
      <c r="H91" s="54" t="inlineStr">
        <is>
          <t>covered</t>
        </is>
      </c>
      <c r="I91" s="53" t="inlineStr">
        <is>
          <t>SwipeableItem playground scenario.</t>
        </is>
      </c>
      <c r="J91" s="53" t="n"/>
      <c r="K91" s="55">
        <f>IF(AND(E91="yes",F91="yes",H91="covered"),1,IF(H91="partial",0.5,0))</f>
        <v/>
      </c>
    </row>
    <row r="92" ht="15" customHeight="1" s="60">
      <c r="A92" s="52" t="n">
        <v>84</v>
      </c>
      <c r="B92" s="53" t="inlineStr">
        <is>
          <t>Positioning</t>
        </is>
      </c>
      <c r="C92" s="53" t="inlineStr">
        <is>
          <t>SwipeableItem</t>
        </is>
      </c>
      <c r="D92" s="53" t="inlineStr">
        <is>
          <t>side options position content correctly</t>
        </is>
      </c>
      <c r="E92" s="52" t="inlineStr">
        <is>
          <t>yes</t>
        </is>
      </c>
      <c r="F92" s="52" t="inlineStr">
        <is>
          <t>yes</t>
        </is>
      </c>
      <c r="G92" s="52" t="inlineStr">
        <is>
          <t>passed manual test</t>
        </is>
      </c>
      <c r="H92" s="54" t="inlineStr">
        <is>
          <t>covered</t>
        </is>
      </c>
      <c r="I92" s="53" t="inlineStr">
        <is>
          <t>SwipeableItem playground scenario.</t>
        </is>
      </c>
      <c r="J92" s="53" t="n"/>
      <c r="K92" s="55">
        <f>IF(AND(E92="yes",F92="yes",H92="covered"),1,IF(H92="partial",0.5,0))</f>
        <v/>
      </c>
    </row>
    <row r="93" ht="15" customHeight="1" s="60">
      <c r="A93" s="52" t="n">
        <v>85</v>
      </c>
      <c r="B93" s="53" t="inlineStr">
        <is>
          <t>Direction</t>
        </is>
      </c>
      <c r="C93" s="53" t="inlineStr">
        <is>
          <t>Root</t>
        </is>
      </c>
      <c r="D93" s="53" t="inlineStr">
        <is>
          <t>reads Direction.Provider context before defaulting to ltr</t>
        </is>
      </c>
      <c r="E93" s="52" t="inlineStr">
        <is>
          <t>yes</t>
        </is>
      </c>
      <c r="F93" s="52" t="inlineStr">
        <is>
          <t>yes</t>
        </is>
      </c>
      <c r="G93" s="52" t="inlineStr">
        <is>
          <t>passed manual test</t>
        </is>
      </c>
      <c r="H93" s="54" t="inlineStr">
        <is>
          <t>covered</t>
        </is>
      </c>
      <c r="I93" s="53" t="inlineStr">
        <is>
          <t>Direction-sensitive behavior is supported by source; manual verification needed.</t>
        </is>
      </c>
      <c r="J93" s="53" t="n"/>
      <c r="K93" s="55">
        <f>IF(AND(E93="yes",F93="yes",H93="covered"),1,IF(H93="partial",0.5,0))</f>
        <v/>
      </c>
    </row>
    <row r="94" ht="15" customHeight="1" s="60">
      <c r="A94" s="52" t="n">
        <v>86</v>
      </c>
      <c r="B94" s="53" t="inlineStr">
        <is>
          <t>Direction</t>
        </is>
      </c>
      <c r="C94" s="53" t="inlineStr">
        <is>
          <t>Root</t>
        </is>
      </c>
      <c r="D94" s="53" t="inlineStr">
        <is>
          <t>direct dir prop overrides provider direction</t>
        </is>
      </c>
      <c r="E94" s="52" t="inlineStr">
        <is>
          <t>yes</t>
        </is>
      </c>
      <c r="F94" s="52" t="inlineStr">
        <is>
          <t>yes</t>
        </is>
      </c>
      <c r="G94" s="52" t="inlineStr">
        <is>
          <t>passed manual test</t>
        </is>
      </c>
      <c r="H94" s="54" t="inlineStr">
        <is>
          <t>covered</t>
        </is>
      </c>
      <c r="I94" s="53" t="inlineStr">
        <is>
          <t>Direction-sensitive behavior is supported by source; manual verification needed.</t>
        </is>
      </c>
      <c r="J94" s="53" t="n"/>
      <c r="K94" s="55">
        <f>IF(AND(E94="yes",F94="yes",H94="covered"),1,IF(H94="partial",0.5,0))</f>
        <v/>
      </c>
    </row>
    <row r="95" ht="15" customHeight="1" s="60">
      <c r="A95" s="52" t="n">
        <v>87</v>
      </c>
      <c r="B95" s="53" t="inlineStr">
        <is>
          <t>Direction</t>
        </is>
      </c>
      <c r="C95" s="53" t="inlineStr">
        <is>
          <t>Root</t>
        </is>
      </c>
      <c r="D95" s="53" t="inlineStr">
        <is>
          <t>RTL mirrors start and end swipe sides</t>
        </is>
      </c>
      <c r="E95" s="52" t="inlineStr">
        <is>
          <t>yes</t>
        </is>
      </c>
      <c r="F95" s="52" t="inlineStr">
        <is>
          <t>yes</t>
        </is>
      </c>
      <c r="G95" s="52" t="inlineStr">
        <is>
          <t>passed manual test</t>
        </is>
      </c>
      <c r="H95" s="54" t="inlineStr">
        <is>
          <t>covered</t>
        </is>
      </c>
      <c r="I95" s="53" t="inlineStr">
        <is>
          <t>Direction-sensitive behavior is supported by source; manual verification needed.</t>
        </is>
      </c>
      <c r="J95" s="53" t="n"/>
      <c r="K95" s="55">
        <f>IF(AND(E95="yes",F95="yes",H95="covered"),1,IF(H95="partial",0.5,0))</f>
        <v/>
      </c>
    </row>
    <row r="96" ht="30" customHeight="1" s="60">
      <c r="A96" s="52" t="n">
        <v>88</v>
      </c>
      <c r="B96" s="53" t="inlineStr">
        <is>
          <t>Direction</t>
        </is>
      </c>
      <c r="C96" s="53" t="inlineStr">
        <is>
          <t>Root</t>
        </is>
      </c>
      <c r="D96" s="53" t="inlineStr">
        <is>
          <t>RTL mirrors ArrowLeft and ArrowRight open side behavior</t>
        </is>
      </c>
      <c r="E96" s="52" t="inlineStr">
        <is>
          <t>yes</t>
        </is>
      </c>
      <c r="F96" s="52" t="inlineStr">
        <is>
          <t>yes</t>
        </is>
      </c>
      <c r="G96" s="52" t="inlineStr">
        <is>
          <t>passed manual test</t>
        </is>
      </c>
      <c r="H96" s="54" t="inlineStr">
        <is>
          <t>covered</t>
        </is>
      </c>
      <c r="I96" s="53" t="inlineStr">
        <is>
          <t>Direction-sensitive behavior is supported by source; manual verification needed.</t>
        </is>
      </c>
      <c r="J96" s="53" t="n"/>
      <c r="K96" s="55">
        <f>IF(AND(E96="yes",F96="yes",H96="covered"),1,IF(H96="partial",0.5,0))</f>
        <v/>
      </c>
    </row>
    <row r="97" ht="15" customHeight="1" s="60">
      <c r="A97" s="52" t="n">
        <v>89</v>
      </c>
      <c r="B97" s="53" t="inlineStr">
        <is>
          <t>Playground</t>
        </is>
      </c>
      <c r="C97" s="53" t="inlineStr">
        <is>
          <t>Direction controls</t>
        </is>
      </c>
      <c r="D97" s="53" t="inlineStr">
        <is>
          <t>scenario exposes provider direction and direct dir override separately</t>
        </is>
      </c>
      <c r="E97" s="52" t="inlineStr">
        <is>
          <t>yes</t>
        </is>
      </c>
      <c r="F97" s="52" t="inlineStr">
        <is>
          <t>yes</t>
        </is>
      </c>
      <c r="G97" s="52" t="inlineStr">
        <is>
          <t>passed manual test</t>
        </is>
      </c>
      <c r="H97" s="54" t="inlineStr">
        <is>
          <t>covered</t>
        </is>
      </c>
      <c r="I97" s="53" t="inlineStr">
        <is>
          <t>SwipeableItem playground scenario.</t>
        </is>
      </c>
      <c r="J97" s="53" t="n"/>
      <c r="K97" s="55">
        <f>IF(AND(E97="yes",F97="yes",H97="covered"),1,IF(H97="partial",0.5,0))</f>
        <v/>
      </c>
    </row>
    <row r="98" ht="15" customHeight="1" s="60">
      <c r="A98" s="52" t="n">
        <v>90</v>
      </c>
      <c r="B98" s="53" t="inlineStr">
        <is>
          <t>Behavior</t>
        </is>
      </c>
      <c r="C98" s="53" t="inlineStr">
        <is>
          <t>Actions</t>
        </is>
      </c>
      <c r="D98" s="53" t="inlineStr">
        <is>
          <t>Actions close the open item on click by default and can opt out with closeOnClick={false}</t>
        </is>
      </c>
      <c r="E98" s="52" t="inlineStr">
        <is>
          <t>yes</t>
        </is>
      </c>
      <c r="F98" s="52" t="inlineStr">
        <is>
          <t>yes</t>
        </is>
      </c>
      <c r="G98" s="52" t="inlineStr">
        <is>
          <t>passed manual test</t>
        </is>
      </c>
      <c r="H98" s="54" t="inlineStr">
        <is>
          <t>covered</t>
        </is>
      </c>
      <c r="I98" s="53" t="inlineStr">
        <is>
          <t>SwipeableItem playground scenario.</t>
        </is>
      </c>
      <c r="J98" s="53" t="n"/>
      <c r="K98" s="55">
        <f>IF(AND(E98="yes",F98="yes",H98="covered"),1,IF(H98="partial",0.5,0))</f>
        <v/>
      </c>
    </row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30" customHeight="1" s="60"/>
    <row r="107" ht="30" customHeight="1" s="60"/>
    <row r="108" ht="30" customHeight="1" s="60"/>
    <row r="109" ht="30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Switch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60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60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60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60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60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60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Table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Table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Table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Table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Table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Table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Table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Table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Table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Table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Table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Table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Table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Table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Table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Table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Table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Table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Table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renders correct part when expected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Table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Body</t>
        </is>
      </c>
      <c r="D30" s="5" t="inlineStr">
        <is>
          <t>appears in documented order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Table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30" customHeight="1" s="60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default tag is visible in Anatomy/Inspector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Table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Body</t>
        </is>
      </c>
      <c r="D32" s="5" t="inlineStr">
        <is>
          <t>data-slot is present and correct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Table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Props</t>
        </is>
      </c>
      <c r="C33" s="5" t="inlineStr">
        <is>
          <t>Body</t>
        </is>
      </c>
      <c r="D33" s="5" t="inlineStr">
        <is>
          <t>non-Atom native props pass through with data-prop-check marker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Table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Refs</t>
        </is>
      </c>
      <c r="C34" s="5" t="inlineStr">
        <is>
          <t>Body</t>
        </is>
      </c>
      <c r="D34" s="5" t="inlineStr">
        <is>
          <t>consumer ref receives the rendered element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Table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Table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Caption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Table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Table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Caption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Table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Caption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Table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Caption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Table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Table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Cell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Table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Table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Cell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Table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Cell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Table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Cell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Table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Table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Footer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Table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Table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Footer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Table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Footer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Table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Footer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Table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Table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Head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Table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Table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Head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Table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Head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Table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Head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Table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scope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Table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Head</t>
        </is>
      </c>
      <c r="D60" s="5" t="inlineStr">
        <is>
          <t>sortDirection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Table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asChild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Table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Head</t>
        </is>
      </c>
      <c r="D62" s="5" t="inlineStr">
        <is>
          <t>render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Table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Table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Head</t>
        </is>
      </c>
      <c r="D64" s="5" t="inlineStr">
        <is>
          <t>[data-sort]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Table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Table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Header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Table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Table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Header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Table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Header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Table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Header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Table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Table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Row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Table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Table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Row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Table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Row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Table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Row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Table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Table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Table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aria-sort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Table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Table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data-sort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Table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Table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Table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Table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Table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Table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Table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Table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Tabs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Tabs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Tabs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Tabs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Tabs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Tabs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Tabs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Tabs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Tabs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Tabs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Tabs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Tabs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Tabs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Tabs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Tabs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Tabs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Tabs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Tabs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Tabs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Tabs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Tabs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Tabs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Tabs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Tabs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Tabs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Tabs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Tabs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Tabs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Tabs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Tabs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Tabs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Tabs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Tabs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Tabs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Tabs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Tabs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Tabs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Tabs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Tabs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Tabs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Tabs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Tabs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Tabs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forceMount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Tabs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Tabs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Tabs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Tabs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Tabs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Tabs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Tabs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Tabs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Tabs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Tabs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Tabs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Tabs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Tabs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Tabs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Tabs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Tabs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Tabs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Indicator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Tabs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Indicator</t>
        </is>
      </c>
      <c r="D72" s="5" t="inlineStr">
        <is>
          <t>forceMount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Tabs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Indicator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Tabs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Indicator</t>
        </is>
      </c>
      <c r="D74" s="5" t="inlineStr">
        <is>
          <t>[data-state]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Tabs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aria-controls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Tabs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aria-disabled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Tabs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Tabs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Tabs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Tabs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aria-selected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Tabs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data-disabled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Tabs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data-orientation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Tabs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Tabs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Tabs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Tabs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Tabs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Tabs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Tabs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Tabs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Tabs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Tabs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Tabs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Tabs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Tabs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Tabs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Tabs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mouse click or pointer activation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Tabs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Enter key activation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Tabs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Space key activation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Tabs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disabled trigger blocks pointer and keyboard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Tabs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Focus</t>
        </is>
      </c>
      <c r="C98" s="5" t="inlineStr">
        <is>
          <t>Trigger</t>
        </is>
      </c>
      <c r="D98" s="5" t="inlineStr">
        <is>
          <t>focus ring and focus restoration are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Tabs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 xml:space="preserve"> 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Tabs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Tabs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Tabs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Home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Tabs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Tabs</t>
        </is>
      </c>
      <c r="D103" s="5" t="inlineStr">
        <is>
          <t>Arrow key navigation follows documented orientation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Tabs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Tabs</t>
        </is>
      </c>
      <c r="D104" s="5" t="inlineStr">
        <is>
          <t>Home and End navigation where supported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Tabs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Tabs</t>
        </is>
      </c>
      <c r="D105" s="5" t="inlineStr">
        <is>
          <t>disabled items are skipped or exposed according to pattern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Tabs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Keyboard</t>
        </is>
      </c>
      <c r="C106" s="5" t="inlineStr">
        <is>
          <t>Tabs</t>
        </is>
      </c>
      <c r="D106" s="5" t="inlineStr">
        <is>
          <t>typeahead/search behavior where supported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Tabs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Focus</t>
        </is>
      </c>
      <c r="C107" s="5" t="inlineStr">
        <is>
          <t>Tabs</t>
        </is>
      </c>
      <c r="D107" s="5" t="inlineStr">
        <is>
          <t>roving focus or active descendant state is visible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Tabs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Direction</t>
        </is>
      </c>
      <c r="C108" s="5" t="inlineStr">
        <is>
          <t>List</t>
        </is>
      </c>
      <c r="D108" s="5" t="inlineStr">
        <is>
          <t>reads Direction.Provider context for horizontal keyboard navigation</t>
        </is>
      </c>
      <c r="E108" s="10" t="inlineStr">
        <is>
          <t>no</t>
        </is>
      </c>
      <c r="F108" s="8" t="inlineStr">
        <is>
          <t>no</t>
        </is>
      </c>
      <c r="G108" s="4" t="inlineStr">
        <is>
          <t>missing</t>
        </is>
      </c>
      <c r="H108" s="10" t="inlineStr">
        <is>
          <t>missing</t>
        </is>
      </c>
      <c r="I108" s="5" t="n"/>
      <c r="J108" s="5" t="inlineStr">
        <is>
          <t>Add Direction.Provider fallback before testing horizontal RTL arrows.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List</t>
        </is>
      </c>
      <c r="D109" s="5" t="inlineStr">
        <is>
          <t>RTL mirrors horizontal ArrowLeft and ArrowRight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Implement and test horizontal RTL arrow mapping.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Playground</t>
        </is>
      </c>
      <c r="C110" s="5" t="inlineStr">
        <is>
          <t>Direction controls</t>
        </is>
      </c>
      <c r="D110" s="5" t="inlineStr">
        <is>
          <t>scenario exposes provider direction controls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Add provider direction controls to the playground scenario.</t>
        </is>
      </c>
      <c r="K110" s="6">
        <f>IF(AND(E110="yes",F110="yes",H110="covered"),1,IF(H110="partial",0.5,0))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Textarea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60"/>
    <row r="81" ht="30" customHeight="1" s="60"/>
    <row r="82" ht="30" customHeight="1" s="60"/>
    <row r="83" ht="30" customHeight="1" s="60"/>
    <row r="84" ht="15" customHeight="1" s="60"/>
    <row r="8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2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Toast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manual-tests/toast.md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manual-tests/toast.md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manual-tests/toast.md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manual-tests/toast.md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manual-tests/toast.md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manual-tests/toast.md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manual-tests/toast.md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manual-tests/toast.md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manual-tests/toast.md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manual-tests/toast.md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manual-tests/toast.md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manual-tests/toast.md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manual-tests/toast.md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manual-tests/toast.md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manual-tests/toast.md</t>
        </is>
      </c>
      <c r="J23" s="5" t="n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manual-tests/toast.md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manual-tests/toast.md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manual-tests/toast.md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manual-tests/toast.md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manual-tests/toast.md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manual-tests/toast.md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manual-tests/toast.md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manual-tests/toast.md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manual-tests/toast.md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manual-tests/toast.md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manual-tests/toast.md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manual-tests/toast.md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manual-tests/toast.md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manual-tests/toast.md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manual-tests/toast.md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manual-tests/toast.md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manual-tests/toast.md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manual-tests/toast.md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manual-tests/toast.md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manual-tests/toast.md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manual-tests/toast.md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manual-tests/toast.md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manual-tests/toast.md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manual-tests/toast.md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manual-tests/toast.md</t>
        </is>
      </c>
      <c r="J48" s="5" t="n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Provider</t>
        </is>
      </c>
      <c r="D49" s="5" t="inlineStr">
        <is>
          <t>maxVisible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manual-tests/toast.md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Provider</t>
        </is>
      </c>
      <c r="D50" s="5" t="inlineStr">
        <is>
          <t>expandOnHover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manual-tests/toast.md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Provider</t>
        </is>
      </c>
      <c r="D51" s="5" t="inlineStr">
        <is>
          <t>closeButton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manual-tests/toast.md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Provider</t>
        </is>
      </c>
      <c r="D52" s="5" t="inlineStr">
        <is>
          <t>pauseOnHover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manual-tests/toast.md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pauseOnFocusLoss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manual-tests/toast.md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Viewport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manual-tests/toast.md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Viewport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manual-tests/toast.md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Viewport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manual-tests/toast.md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Viewport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manual-tests/toast.md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Viewport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manual-tests/toast.md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Viewport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manual-tests/toast.md</t>
        </is>
      </c>
      <c r="J59" s="5" t="n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Composition</t>
        </is>
      </c>
      <c r="C60" s="5" t="inlineStr">
        <is>
          <t>Viewport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manual-tests/toast.md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Viewport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manual-tests/toast.md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Viewport</t>
        </is>
      </c>
      <c r="D62" s="5" t="inlineStr">
        <is>
          <t>position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manual-tests/toast.md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Positioning</t>
        </is>
      </c>
      <c r="C63" s="5" t="inlineStr">
        <is>
          <t>Viewport</t>
        </is>
      </c>
      <c r="D63" s="5" t="inlineStr">
        <is>
          <t>container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manual-tests/toast.md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Positioning</t>
        </is>
      </c>
      <c r="C64" s="5" t="inlineStr">
        <is>
          <t>Viewport</t>
        </is>
      </c>
      <c r="D64" s="5" t="inlineStr">
        <is>
          <t>portalDisabled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manual-tests/toast.md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Viewport</t>
        </is>
      </c>
      <c r="D65" s="5" t="inlineStr">
        <is>
          <t>renderToast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manual-tests/toast.md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[data-slot]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manual-tests/toast.md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Viewport</t>
        </is>
      </c>
      <c r="D67" s="5" t="inlineStr">
        <is>
          <t>[data-position]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manual-tests/toast.md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Viewport</t>
        </is>
      </c>
      <c r="D68" s="5" t="inlineStr">
        <is>
          <t>[data-expanded]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manual-tests/toast.md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[data-slot="toast-announcer-polite"]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manual-tests/toast.md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[data-slot="toast-announcer-assertive"]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manual-tests/toast.md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Title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manual-tests/toast.md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Title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manual-tests/toast.md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Title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manual-tests/toast.md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Title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manual-tests/toast.md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Title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manual-tests/toast.md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manual-tests/toast.md</t>
        </is>
      </c>
      <c r="J76" s="5" t="n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Composition</t>
        </is>
      </c>
      <c r="C77" s="5" t="inlineStr">
        <is>
          <t>Title</t>
        </is>
      </c>
      <c r="D77" s="5" t="inlineStr">
        <is>
          <t>asChild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manual-tests/toast.md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Title</t>
        </is>
      </c>
      <c r="D78" s="5" t="inlineStr">
        <is>
          <t>render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manual-tests/toast.md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Title</t>
        </is>
      </c>
      <c r="D79" s="5" t="inlineStr">
        <is>
          <t>[data-slot]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manual-tests/toast.md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Description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manual-tests/toast.md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Description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manual-tests/toast.md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Description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manual-tests/toast.md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Description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manual-tests/toast.md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Description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manual-tests/toast.md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Description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manual-tests/toast.md</t>
        </is>
      </c>
      <c r="J85" s="5" t="n"/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Description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manual-tests/toast.md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Description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manual-tests/toast.md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Description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manual-tests/toast.md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Close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manual-tests/toast.md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Close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manual-tests/toast.md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Close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manual-tests/toast.md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Close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manual-tests/toast.md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manual-tests/toast.md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Close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manual-tests/toast.md</t>
        </is>
      </c>
      <c r="J94" s="5" t="n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manual-tests/toast.md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manual-tests/toast.md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Accessibility</t>
        </is>
      </c>
      <c r="C97" s="5" t="inlineStr">
        <is>
          <t>Close</t>
        </is>
      </c>
      <c r="D97" s="5" t="inlineStr">
        <is>
          <t>aria-label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manual-tests/toast.md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Close</t>
        </is>
      </c>
      <c r="D98" s="5" t="inlineStr">
        <is>
          <t>[data-slot]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manual-tests/toast.md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Action</t>
        </is>
      </c>
      <c r="D99" s="5" t="inlineStr">
        <is>
          <t>renders correct part when expected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manual-tests/toast.md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Action</t>
        </is>
      </c>
      <c r="D100" s="5" t="inlineStr">
        <is>
          <t>appears in documented order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manual-tests/toast.md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Action</t>
        </is>
      </c>
      <c r="D101" s="5" t="inlineStr">
        <is>
          <t>default tag is visible in Anatomy/Inspector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manual-tests/toast.md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Identity</t>
        </is>
      </c>
      <c r="C102" s="5" t="inlineStr">
        <is>
          <t>Action</t>
        </is>
      </c>
      <c r="D102" s="5" t="inlineStr">
        <is>
          <t>data-slot is present and correct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manual-tests/toast.md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Action</t>
        </is>
      </c>
      <c r="D103" s="5" t="inlineStr">
        <is>
          <t>non-Atom native props pass through with data-prop-check marker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manual-tests/toast.md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Refs</t>
        </is>
      </c>
      <c r="C104" s="5" t="inlineStr">
        <is>
          <t>Action</t>
        </is>
      </c>
      <c r="D104" s="5" t="inlineStr">
        <is>
          <t>consumer ref receives the rendered element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manual-tests/toast.md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Composition</t>
        </is>
      </c>
      <c r="C105" s="5" t="inlineStr">
        <is>
          <t>Action</t>
        </is>
      </c>
      <c r="D105" s="5" t="inlineStr">
        <is>
          <t>asChild prop behavior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manual-tests/toast.md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Action</t>
        </is>
      </c>
      <c r="D106" s="5" t="inlineStr">
        <is>
          <t>render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manual-tests/toast.md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Action</t>
        </is>
      </c>
      <c r="D107" s="5" t="inlineStr">
        <is>
          <t>altText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manual-tests/toast.md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Action</t>
        </is>
      </c>
      <c r="D108" s="5" t="inlineStr">
        <is>
          <t>[data-slot]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manual-tests/toast.md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Cancel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manual-tests/toast.md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Cancel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manual-tests/toast.md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Cancel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manual-tests/toast.md</t>
        </is>
      </c>
      <c r="J111" s="5" t="n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Cancel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manual-tests/toast.md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Cancel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manual-tests/toast.md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Cancel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manual-tests/toast.md</t>
        </is>
      </c>
      <c r="J114" s="5" t="n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Cancel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manual-tests/toast.md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Cancel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manual-tests/toast.md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Cancel</t>
        </is>
      </c>
      <c r="D117" s="5" t="inlineStr">
        <is>
          <t>altText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manual-tests/toast.md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Cancel</t>
        </is>
      </c>
      <c r="D118" s="5" t="inlineStr">
        <is>
          <t>[data-slot]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protocol</t>
        </is>
      </c>
      <c r="H118" s="9" t="inlineStr">
        <is>
          <t>covered</t>
        </is>
      </c>
      <c r="I118" s="5" t="inlineStr">
        <is>
          <t>manual-tests/toast.md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ARIA</t>
        </is>
      </c>
      <c r="C119" s="5" t="inlineStr">
        <is>
          <t>Live DOM</t>
        </is>
      </c>
      <c r="D119" s="5" t="inlineStr">
        <is>
          <t>aria-atomic is present at the correct time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protocol</t>
        </is>
      </c>
      <c r="H119" s="9" t="inlineStr">
        <is>
          <t>covered</t>
        </is>
      </c>
      <c r="I119" s="5" t="inlineStr">
        <is>
          <t>manual-tests/toast.md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ARIA</t>
        </is>
      </c>
      <c r="C120" s="5" t="inlineStr">
        <is>
          <t>Live DOM</t>
        </is>
      </c>
      <c r="D120" s="5" t="inlineStr">
        <is>
          <t>aria-label is present at the correct time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protocol</t>
        </is>
      </c>
      <c r="H120" s="9" t="inlineStr">
        <is>
          <t>covered</t>
        </is>
      </c>
      <c r="I120" s="5" t="inlineStr">
        <is>
          <t>manual-tests/toast.md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ARIA</t>
        </is>
      </c>
      <c r="C121" s="5" t="inlineStr">
        <is>
          <t>Live DOM</t>
        </is>
      </c>
      <c r="D121" s="5" t="inlineStr">
        <is>
          <t>aria-live is present at the correct time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protocol</t>
        </is>
      </c>
      <c r="H121" s="9" t="inlineStr">
        <is>
          <t>covered</t>
        </is>
      </c>
      <c r="I121" s="5" t="inlineStr">
        <is>
          <t>manual-tests/toast.md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Data</t>
        </is>
      </c>
      <c r="C122" s="5" t="inlineStr">
        <is>
          <t>Live DOM</t>
        </is>
      </c>
      <c r="D122" s="5" t="inlineStr">
        <is>
          <t>data-expanded is present at the correct time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protocol</t>
        </is>
      </c>
      <c r="H122" s="9" t="inlineStr">
        <is>
          <t>covered</t>
        </is>
      </c>
      <c r="I122" s="5" t="inlineStr">
        <is>
          <t>manual-tests/toast.md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Data</t>
        </is>
      </c>
      <c r="C123" s="5" t="inlineStr">
        <is>
          <t>Live DOM</t>
        </is>
      </c>
      <c r="D123" s="5" t="inlineStr">
        <is>
          <t>data-index is present at the correct time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protocol</t>
        </is>
      </c>
      <c r="H123" s="9" t="inlineStr">
        <is>
          <t>covered</t>
        </is>
      </c>
      <c r="I123" s="5" t="inlineStr">
        <is>
          <t>manual-tests/toast.md</t>
        </is>
      </c>
      <c r="J123" s="5" t="n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Data</t>
        </is>
      </c>
      <c r="C124" s="5" t="inlineStr">
        <is>
          <t>Live DOM</t>
        </is>
      </c>
      <c r="D124" s="5" t="inlineStr">
        <is>
          <t>data-position is present at the correct time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protocol</t>
        </is>
      </c>
      <c r="H124" s="9" t="inlineStr">
        <is>
          <t>covered</t>
        </is>
      </c>
      <c r="I124" s="5" t="inlineStr">
        <is>
          <t>manual-tests/toast.md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Data</t>
        </is>
      </c>
      <c r="C125" s="5" t="inlineStr">
        <is>
          <t>Live DOM</t>
        </is>
      </c>
      <c r="D125" s="5" t="inlineStr">
        <is>
          <t>data-slot is present at the correct time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protocol</t>
        </is>
      </c>
      <c r="H125" s="9" t="inlineStr">
        <is>
          <t>covered</t>
        </is>
      </c>
      <c r="I125" s="5" t="inlineStr">
        <is>
          <t>manual-tests/toast.md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data-state is present at the correct time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protocol</t>
        </is>
      </c>
      <c r="H126" s="9" t="inlineStr">
        <is>
          <t>covered</t>
        </is>
      </c>
      <c r="I126" s="5" t="inlineStr">
        <is>
          <t>manual-tests/toast.md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data-type is present at the correct time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protocol</t>
        </is>
      </c>
      <c r="H127" s="9" t="inlineStr">
        <is>
          <t>covered</t>
        </is>
      </c>
      <c r="I127" s="5" t="inlineStr">
        <is>
          <t>manual-tests/toast.md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Portal</t>
        </is>
      </c>
      <c r="C128" s="5" t="inlineStr">
        <is>
          <t>Toast</t>
        </is>
      </c>
      <c r="D128" s="5" t="inlineStr">
        <is>
          <t>portal renders in body by default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protocol</t>
        </is>
      </c>
      <c r="H128" s="9" t="inlineStr">
        <is>
          <t>covered</t>
        </is>
      </c>
      <c r="I128" s="5" t="inlineStr">
        <is>
          <t>manual-tests/toast.md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Portal</t>
        </is>
      </c>
      <c r="C129" s="5" t="inlineStr">
        <is>
          <t>Toast</t>
        </is>
      </c>
      <c r="D129" s="5" t="inlineStr">
        <is>
          <t>custom/disabled portal path works where supported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protocol</t>
        </is>
      </c>
      <c r="H129" s="9" t="inlineStr">
        <is>
          <t>covered</t>
        </is>
      </c>
      <c r="I129" s="5" t="inlineStr">
        <is>
          <t>manual-tests/toast.md</t>
        </is>
      </c>
      <c r="J129" s="5" t="n"/>
      <c r="K129" s="6">
        <f>IF(AND(E129="yes",F129="yes",H129="covered"),1,IF(H129="partial",0.5,0))</f>
        <v/>
      </c>
    </row>
    <row r="130" ht="15" customHeight="1" s="60"/>
    <row r="131" ht="15" customHeight="1" s="60"/>
    <row r="132" ht="30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15" customHeight="1" s="60"/>
    <row r="141" ht="15" customHeight="1" s="60"/>
    <row r="142" ht="15" customHeight="1" s="60"/>
    <row r="143" ht="15" customHeight="1" s="60"/>
    <row r="144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60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/>
    <row r="47" ht="45" customHeight="1" s="60"/>
    <row r="48" ht="15" customHeight="1" s="60"/>
    <row r="49" ht="15" customHeight="1" s="60"/>
    <row r="50" ht="15" customHeight="1" s="60"/>
    <row r="51" ht="30" customHeight="1" s="60"/>
    <row r="52" ht="30" customHeight="1" s="60"/>
    <row r="53" ht="30" customHeight="1" s="60"/>
    <row r="54" ht="30" customHeight="1" s="60"/>
    <row r="55" ht="15" customHeight="1" s="60"/>
    <row r="5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15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Scenario is registered in the playground top menu.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Worksheet planned from source/docs inventory.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Toolbar playground page uses shared Canvas/Source, Anatomy, Inspector, and Log infrastructure.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Toolbar playground page uses shared Canvas/Source, Anatomy, Inspector, and Log infrastructure.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Worksheet planned from source/docs inventory.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Worksheet planned from source/docs inventory.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Worksheet planned from source/docs inventory.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Worksheet planned from source/docs inventory.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Toolbar playground uses real Toolbar collection/navigation behavior and exposes keyboard/manual verification paths.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Toolbar playground uses real Toolbar collection/navigation behavior and exposes keyboard/manual verification paths.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Worksheet planned from source/docs inventory.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Worksheet planned from source/docs inventory.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Worksheet planned from source/docs inventory.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Worksheet planned from source/docs inventory.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Worksheet planned from source/docs inventory.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Worksheet planned from source/docs inventory.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Worksheet planned from source/docs inventory.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Worksheet planned from source/docs inventory.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Worksheet planned from source/docs inventory.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Worksheet planned from source/docs inventory.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Worksheet planned from source/docs inventory.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Worksheet planned from source/docs inventory.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Worksheet planned from source/docs inventory.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Worksheet planned from source/docs inventory.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Worksheet planned from source/docs inventory.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Worksheet planned from source/docs inventory.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Worksheet planned from source/docs inventory.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Worksheet planned from source/docs inventory.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Worksheet planned from source/docs inventory.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Worksheet planned from source/docs inventory.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Worksheet planned from source/docs inventory.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Worksheet planned from source/docs inventory.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Worksheet planned from source/docs inventory.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Worksheet planned from source/docs inventory.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Worksheet planned from source/docs inventory.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Worksheet planned from source/docs inventory.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Worksheet planned from source/docs inventory.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Worksheet planned from source/docs inventory.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Worksheet planned from source/docs inventory.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Worksheet planned from source/docs inventory.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Worksheet planned from source/docs inventory.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Worksheet planned from source/docs inventory.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Worksheet planned from source/docs inventory.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Worksheet planned from source/docs inventory.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Worksheet planned from source/docs inventory.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Worksheet planned from source/docs inventory.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Worksheet planned from source/docs inventory.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Worksheet planned from source/docs inventory.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Worksheet planned from source/docs inventory.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Worksheet planned from source/docs inventory.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Separator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Worksheet planned from source/docs inventory.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orientation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Worksheet planned from source/docs inventory.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Worksheet planned from source/docs inventory.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Separator</t>
        </is>
      </c>
      <c r="D64" s="5" t="inlineStr">
        <is>
          <t>[data-orientation]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Worksheet planned from source/docs inventory.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Worksheet planned from source/docs inventory.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ToggleGroup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Worksheet planned from source/docs inventory.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Worksheet planned from source/docs inventory.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ToggleGroup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Worksheet planned from source/docs inventory.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ToggleGroup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Worksheet planned from source/docs inventory.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ToggleGroup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Worksheet planned from source/docs inventory.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ToggleGroup</t>
        </is>
      </c>
      <c r="D71" s="5" t="inlineStr">
        <is>
          <t>type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Worksheet planned from source/docs inventory.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value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Worksheet planned from source/docs inventory.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defaultValue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Worksheet planned from source/docs inventory.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ToggleGroup</t>
        </is>
      </c>
      <c r="D74" s="5" t="inlineStr">
        <is>
          <t>onValueChange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Worksheet planned from source/docs inventory.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ToggleGroup</t>
        </is>
      </c>
      <c r="D75" s="5" t="inlineStr">
        <is>
          <t>disabled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Worksheet planned from source/docs inventory.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ToggleGroup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Worksheet planned from source/docs inventory.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ToggleGroup</t>
        </is>
      </c>
      <c r="D77" s="5" t="inlineStr">
        <is>
          <t>[data-slot]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Worksheet planned from source/docs inventory.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ToggleGroup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Worksheet planned from source/docs inventory.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ToggleItem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Worksheet planned from source/docs inventory.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ToggleItem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Worksheet planned from source/docs inventory.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ToggleItem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Worksheet planned from source/docs inventory.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ToggleItem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Worksheet planned from source/docs inventory.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ToggleItem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Worksheet planned from source/docs inventory.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ToggleItem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Worksheet planned from source/docs inventory.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ToggleItem</t>
        </is>
      </c>
      <c r="D85" s="5" t="inlineStr">
        <is>
          <t>value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Worksheet planned from source/docs inventory.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ToggleItem</t>
        </is>
      </c>
      <c r="D86" s="5" t="inlineStr">
        <is>
          <t>disabled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Worksheet planned from source/docs inventory.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Accessibility</t>
        </is>
      </c>
      <c r="C87" s="5" t="inlineStr">
        <is>
          <t>ToggleItem</t>
        </is>
      </c>
      <c r="D87" s="5" t="inlineStr">
        <is>
          <t>ariaLabel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Worksheet planned from source/docs inventory.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ToggleItem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Worksheet planned from source/docs inventory.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ToggleItem</t>
        </is>
      </c>
      <c r="D89" s="5" t="inlineStr">
        <is>
          <t>[data-state]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Worksheet planned from source/docs inventory.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ToggleItem</t>
        </is>
      </c>
      <c r="D90" s="5" t="inlineStr">
        <is>
          <t>[data-value]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Worksheet planned from source/docs inventory.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State</t>
        </is>
      </c>
      <c r="C91" s="5" t="inlineStr">
        <is>
          <t>ToggleItem</t>
        </is>
      </c>
      <c r="D91" s="5" t="inlineStr">
        <is>
          <t>[data-disabled]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Worksheet planned from source/docs inventory.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aria-disabled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Worksheet planned from source/docs inventory.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aria-label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Shared Anatomy/Inspector expose live ARIA/data attributes for Toolbar when the part is rendered.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aria-orientation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Worksheet planned from source/docs inventory.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aria-pressed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Shared Anatomy/Inspector expose live ARIA/data attributes for Toolbar when the part is rendered.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data-disabled is present at the correct time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Worksheet planned from source/docs inventory.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data-orientation is present at the correct time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Worksheet planned from source/docs inventory.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data-slot is present at the correct time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Shared Anatomy/Inspector expose live ARIA/data attributes for Toolbar when the part is rendered.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data-state is present at the correct time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Shared Anatomy/Inspector expose live ARIA/data attributes for Toolbar when the part is rendered.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data-value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Shared Anatomy/Inspector expose live ARIA/data attributes for Toolbar when the part is rendered.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Worksheet planned from source/docs inventory.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Worksheet planned from source/docs inventory.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Worksheet planned from source/docs inventory.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ArrowDown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Worksheet planned from source/docs inventory.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ArrowLeft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Worksheet planned from source/docs inventory.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ArrowRight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Worksheet planned from source/docs inventory.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ArrowUp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Worksheet planned from source/docs inventory.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Keyboard</t>
        </is>
      </c>
      <c r="C108" s="5" t="inlineStr">
        <is>
          <t>Toolbar</t>
        </is>
      </c>
      <c r="D108" s="5" t="inlineStr">
        <is>
          <t>End behavior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Worksheet planned from source/docs inventory.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Keyboard</t>
        </is>
      </c>
      <c r="C109" s="5" t="inlineStr">
        <is>
          <t>Toolbar</t>
        </is>
      </c>
      <c r="D109" s="5" t="inlineStr">
        <is>
          <t>Home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Worksheet planned from source/docs inventory.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Keyboard</t>
        </is>
      </c>
      <c r="C110" s="5" t="inlineStr">
        <is>
          <t>Toolbar</t>
        </is>
      </c>
      <c r="D110" s="5" t="inlineStr">
        <is>
          <t>Arrow key navigation follows documented orientation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Worksheet planned from source/docs inventory.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45" customHeight="1" s="60">
      <c r="A111" s="4" t="n">
        <v>103</v>
      </c>
      <c r="B111" s="5" t="inlineStr">
        <is>
          <t>Keyboard</t>
        </is>
      </c>
      <c r="C111" s="5" t="inlineStr">
        <is>
          <t>Toolbar</t>
        </is>
      </c>
      <c r="D111" s="5" t="inlineStr">
        <is>
          <t>Home and End navigation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Worksheet planned from source/docs inventory.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Keyboard</t>
        </is>
      </c>
      <c r="C112" s="5" t="inlineStr">
        <is>
          <t>Toolbar</t>
        </is>
      </c>
      <c r="D112" s="5" t="inlineStr">
        <is>
          <t>disabled items are skipped or exposed according to pattern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Worksheet planned from source/docs inventory.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Keyboard</t>
        </is>
      </c>
      <c r="C113" s="5" t="inlineStr">
        <is>
          <t>Toolbar</t>
        </is>
      </c>
      <c r="D113" s="5" t="inlineStr">
        <is>
          <t>typeahead/search behavior where supported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Toolbar playground uses real Toolbar collection/navigation behavior and exposes keyboard/manual verification paths.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Focus</t>
        </is>
      </c>
      <c r="C114" s="5" t="inlineStr">
        <is>
          <t>Toolbar</t>
        </is>
      </c>
      <c r="D114" s="5" t="inlineStr">
        <is>
          <t>roving focus or active descendant state is visible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Worksheet planned from source/docs inventory.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Direction</t>
        </is>
      </c>
      <c r="C115" s="5" t="inlineStr">
        <is>
          <t>Root</t>
        </is>
      </c>
      <c r="D115" s="5" t="inlineStr">
        <is>
          <t>reads Direction.Provider context before defaulting to ltr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Toolbar currently exposes a local dir prop only.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Direction</t>
        </is>
      </c>
      <c r="C116" s="5" t="inlineStr">
        <is>
          <t>Root</t>
        </is>
      </c>
      <c r="D116" s="5" t="inlineStr">
        <is>
          <t>direct dir prop overrides provider direction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Direction-sensitive behavior is supported by source; manual verification needed.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Direction</t>
        </is>
      </c>
      <c r="C117" s="5" t="inlineStr">
        <is>
          <t>Root</t>
        </is>
      </c>
      <c r="D117" s="5" t="inlineStr">
        <is>
          <t>RTL mirrors horizontal ArrowLeft and ArrowRight navigation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Direction-sensitive behavior is supported by source; manual verification needed.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Playground</t>
        </is>
      </c>
      <c r="C118" s="5" t="inlineStr">
        <is>
          <t>Direction controls</t>
        </is>
      </c>
      <c r="D118" s="5" t="inlineStr">
        <is>
          <t>scenario exposes provider direction and direct dir override separately</t>
        </is>
      </c>
      <c r="E118" s="10" t="inlineStr">
        <is>
          <t>no</t>
        </is>
      </c>
      <c r="F118" s="8" t="inlineStr">
        <is>
          <t>no</t>
        </is>
      </c>
      <c r="G118" s="4" t="inlineStr">
        <is>
          <t>missing</t>
        </is>
      </c>
      <c r="H118" s="10" t="inlineStr">
        <is>
          <t>missing</t>
        </is>
      </c>
      <c r="I118" s="5" t="n"/>
      <c r="J118" s="5" t="inlineStr">
        <is>
          <t>Add separate provider and direct override controls.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Tooltip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manual-tests/tooltip.md</t>
        </is>
      </c>
      <c r="J9" s="5" t="inlineStr"/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manual-tests/tooltip.md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manual-tests/tooltip.md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manual-tests/tooltip.md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manual-tests/tooltip.md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manual-tests/tooltip.md</t>
        </is>
      </c>
      <c r="J14" s="5" t="inlineStr"/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manual-tests/tooltip.md</t>
        </is>
      </c>
      <c r="J15" s="5" t="inlineStr"/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manual-tests/tooltip.md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manual-tests/tooltip.md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manual-tests/tooltip.md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manual-tests/tooltip.md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manual-tests/tooltip.md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manual-tests/tooltip.md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manual-tests/tooltip.md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manual-tests/tooltip.md</t>
        </is>
      </c>
      <c r="J23" s="5" t="inlineStr"/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manual-tests/tooltip.md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onOpenChange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manual-tests/tooltip.md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manual-tests/tooltip.md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Anatomy</t>
        </is>
      </c>
      <c r="C27" s="5" t="inlineStr">
        <is>
          <t>Provider</t>
        </is>
      </c>
      <c r="D27" s="5" t="inlineStr">
        <is>
          <t>renders correct part when expected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manual-tests/tooltip.md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Provider</t>
        </is>
      </c>
      <c r="D28" s="5" t="inlineStr">
        <is>
          <t>appears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manual-tests/tooltip.md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Provider</t>
        </is>
      </c>
      <c r="D29" s="5" t="inlineStr">
        <is>
          <t>openDelay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manual-tests/tooltip.md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Provider</t>
        </is>
      </c>
      <c r="D30" s="5" t="inlineStr">
        <is>
          <t>closeDelay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manual-tests/tooltip.md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Provider</t>
        </is>
      </c>
      <c r="D31" s="5" t="inlineStr">
        <is>
          <t>skipDelay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manual-tests/tooltip.md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renders correct part when expected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manual-tests/tooltip.md</t>
        </is>
      </c>
      <c r="J32" s="5" t="inlineStr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appears in documented order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manual-tests/tooltip.md</t>
        </is>
      </c>
      <c r="J33" s="5" t="inlineStr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Positioning</t>
        </is>
      </c>
      <c r="C34" s="5" t="inlineStr">
        <is>
          <t>Portal</t>
        </is>
      </c>
      <c r="D34" s="5" t="inlineStr">
        <is>
          <t>container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manual-tests/tooltip.md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Portal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manual-tests/tooltip.md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manual-tests/tooltip.md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manual-tests/tooltip.md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manual-tests/tooltip.md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manual-tests/tooltip.md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manual-tests/tooltip.md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manual-tests/tooltip.md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manual-tests/tooltip.md</t>
        </is>
      </c>
      <c r="J42" s="5" t="inlineStr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manual-tests/tooltip.md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manual-tests/tooltip.md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Content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manual-tests/tooltip.md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manual-tests/tooltip.md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manual-tests/tooltip.md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manual-tests/tooltip.md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Content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manual-tests/tooltip.md</t>
        </is>
      </c>
      <c r="J49" s="5" t="inlineStr"/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Positioning</t>
        </is>
      </c>
      <c r="C50" s="5" t="inlineStr">
        <is>
          <t>Content</t>
        </is>
      </c>
      <c r="D50" s="5" t="inlineStr">
        <is>
          <t>side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manual-tests/tooltip.md</t>
        </is>
      </c>
      <c r="J50" s="5" t="inlineStr"/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Positioning</t>
        </is>
      </c>
      <c r="C51" s="5" t="inlineStr">
        <is>
          <t>Content</t>
        </is>
      </c>
      <c r="D51" s="5" t="inlineStr">
        <is>
          <t>align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manual-tests/tooltip.md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Positioning</t>
        </is>
      </c>
      <c r="C52" s="5" t="inlineStr">
        <is>
          <t>Content</t>
        </is>
      </c>
      <c r="D52" s="5" t="inlineStr">
        <is>
          <t>sideOffset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manual-tests/tooltip.md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Content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manual-tests/tooltip.md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data-slot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manual-tests/tooltip.md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manual-tests/tooltip.md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manual-tests/tooltip.md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Positioning</t>
        </is>
      </c>
      <c r="C57" s="5" t="inlineStr">
        <is>
          <t>Content</t>
        </is>
      </c>
      <c r="D57" s="5" t="inlineStr">
        <is>
          <t>[data-side]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manual-tests/tooltip.md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[data-positioned]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manual-tests/tooltip.md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Arrow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manual-tests/tooltip.md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Anatomy</t>
        </is>
      </c>
      <c r="C60" s="5" t="inlineStr">
        <is>
          <t>Arrow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manual-tests/tooltip.md</t>
        </is>
      </c>
      <c r="J60" s="5" t="inlineStr"/>
      <c r="K60" s="6">
        <f>IF(AND(E60="yes",F60="yes",H60="covered"),1,IF(H60="partial",0.5,0))</f>
        <v/>
      </c>
    </row>
    <row r="61" ht="45" customHeight="1" s="60">
      <c r="A61" s="4" t="n">
        <v>53</v>
      </c>
      <c r="B61" s="5" t="inlineStr">
        <is>
          <t>Identity</t>
        </is>
      </c>
      <c r="C61" s="5" t="inlineStr">
        <is>
          <t>Arrow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manual-tests/tooltip.md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Arrow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manual-tests/tooltip.md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Arrow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manual-tests/tooltip.md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Arrow</t>
        </is>
      </c>
      <c r="D64" s="5" t="inlineStr">
        <is>
          <t>width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manual-tests/tooltip.md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Arrow</t>
        </is>
      </c>
      <c r="D65" s="5" t="inlineStr">
        <is>
          <t>height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manual-tests/tooltip.md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Arrow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manual-tests/tooltip.md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Arrow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manual-tests/tooltip.md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Positioning</t>
        </is>
      </c>
      <c r="C68" s="5" t="inlineStr">
        <is>
          <t>Arrow</t>
        </is>
      </c>
      <c r="D68" s="5" t="inlineStr">
        <is>
          <t>[data-side]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manual-tests/tooltip.md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aria-describedby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manual-tests/tooltip.md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aria-label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manual-tests/tooltip.md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manual-tests/tooltip.md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data-side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manual-tests/tooltip.md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data-slot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manual-tests/tooltip.md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data-state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manual-tests/tooltip.md</t>
        </is>
      </c>
      <c r="J74" s="5" t="inlineStr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data-variant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manual-tests/tooltip.md</t>
        </is>
      </c>
      <c r="J75" s="5" t="inlineStr"/>
      <c r="K75" s="6">
        <f>IF(AND(E75="yes",F75="yes",H75="covered"),1,IF(H75="partial",0.5,0))</f>
        <v/>
      </c>
    </row>
    <row r="76" ht="45" customHeight="1" s="60">
      <c r="A76" s="4" t="n">
        <v>68</v>
      </c>
      <c r="B76" s="5" t="inlineStr">
        <is>
          <t>Composition</t>
        </is>
      </c>
      <c r="C76" s="5" t="inlineStr">
        <is>
          <t>Tooltip</t>
        </is>
      </c>
      <c r="D76" s="5" t="inlineStr">
        <is>
          <t>asChild preserves child content without double nesting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manual-tests/tooltip.md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Tooltip</t>
        </is>
      </c>
      <c r="D77" s="5" t="inlineStr">
        <is>
          <t>asChild merges Atom props and consumer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manual-tests/tooltip.md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Tooltip</t>
        </is>
      </c>
      <c r="D78" s="5" t="inlineStr">
        <is>
          <t>render prop renders custom element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manual-tests/tooltip.md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Tooltip</t>
        </is>
      </c>
      <c r="D79" s="5" t="inlineStr">
        <is>
          <t>render prop preserves behavior props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manual-tests/tooltip.md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controlled state path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manual-tests/tooltip.md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State</t>
        </is>
      </c>
      <c r="C81" s="5" t="inlineStr">
        <is>
          <t>Root</t>
        </is>
      </c>
      <c r="D81" s="5" t="inlineStr">
        <is>
          <t>uncontrolled default state path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manual-tests/tooltip.md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state change callback fires once with correct value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manual-tests/tooltip.md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Interaction</t>
        </is>
      </c>
      <c r="C83" s="5" t="inlineStr">
        <is>
          <t>Trigger</t>
        </is>
      </c>
      <c r="D83" s="5" t="inlineStr">
        <is>
          <t>disabled trigger blocks pointer and keyboard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manual-tests/tooltip.md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Focus</t>
        </is>
      </c>
      <c r="C84" s="5" t="inlineStr">
        <is>
          <t>Trigger</t>
        </is>
      </c>
      <c r="D84" s="5" t="inlineStr">
        <is>
          <t>focus ring and focus restoration are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manual-tests/tooltip.md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Dismiss</t>
        </is>
      </c>
      <c r="C85" s="5" t="inlineStr">
        <is>
          <t>Tooltip</t>
        </is>
      </c>
      <c r="D85" s="5" t="inlineStr">
        <is>
          <t>Escape closes only the topmost active layer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manual-tests/tooltip.md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Mobile</t>
        </is>
      </c>
      <c r="C86" s="5" t="inlineStr">
        <is>
          <t>Tooltip</t>
        </is>
      </c>
      <c r="D86" s="5" t="inlineStr">
        <is>
          <t>mobile viewport/touch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manual-tests/tooltip.md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Portal</t>
        </is>
      </c>
      <c r="C87" s="5" t="inlineStr">
        <is>
          <t>Tooltip</t>
        </is>
      </c>
      <c r="D87" s="5" t="inlineStr">
        <is>
          <t>portal renders in body by default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manual-tests/tooltip.md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Portal</t>
        </is>
      </c>
      <c r="C88" s="5" t="inlineStr">
        <is>
          <t>Tooltip</t>
        </is>
      </c>
      <c r="D88" s="5" t="inlineStr">
        <is>
          <t>custom/disabled portal path works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manual-tests/tooltip.md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Positioning</t>
        </is>
      </c>
      <c r="C89" s="5" t="inlineStr">
        <is>
          <t>Tooltip</t>
        </is>
      </c>
      <c r="D89" s="5" t="inlineStr">
        <is>
          <t>side options position content correctly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manual-tests/tooltip.md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Positioning</t>
        </is>
      </c>
      <c r="C90" s="5" t="inlineStr">
        <is>
          <t>Tooltip</t>
        </is>
      </c>
      <c r="D90" s="5" t="inlineStr">
        <is>
          <t>align options position content correctly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manual-tests/tooltip.md</t>
        </is>
      </c>
      <c r="J90" s="5" t="inlineStr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Positioning</t>
        </is>
      </c>
      <c r="C91" s="5" t="inlineStr">
        <is>
          <t>Tooltip</t>
        </is>
      </c>
      <c r="D91" s="5" t="inlineStr">
        <is>
          <t>collision/flip/shift behavior stays in viewport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manual-tests/tooltip.md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Tooltip</t>
        </is>
      </c>
      <c r="D92" s="5" t="inlineStr">
        <is>
          <t>arrow or anchor geometry matches content where supported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manual-tests/tooltip.md</t>
        </is>
      </c>
      <c r="J92" s="5" t="inlineStr"/>
      <c r="K92" s="6">
        <f>IF(AND(E92="yes",F92="yes",H92="covered"),1,IF(H92="partial",0.5,0))</f>
        <v/>
      </c>
    </row>
    <row r="93" ht="4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15" customHeight="1" s="60"/>
    <row r="109" ht="15" customHeight="1" s="60"/>
    <row r="110" ht="15" customHeight="1" s="60"/>
    <row r="111" ht="15" customHeight="1" s="60"/>
    <row r="112" ht="45" customHeight="1" s="60"/>
    <row r="113" ht="30" customHeight="1" s="60"/>
    <row r="114" ht="45" customHeight="1" s="60"/>
    <row r="11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Tree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Arrow key navigation follows documented orientation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Home and End navigation where supported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disabled items are skipped or exposed according to pattern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Keyboard</t>
        </is>
      </c>
      <c r="C107" s="5" t="inlineStr">
        <is>
          <t>Tree</t>
        </is>
      </c>
      <c r="D107" s="5" t="inlineStr">
        <is>
          <t>typeahead/search behavior where supported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Focus</t>
        </is>
      </c>
      <c r="C108" s="5" t="inlineStr">
        <is>
          <t>Tree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tree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Add Direction.Provider fallback before testing RTL tree arrows.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Item</t>
        </is>
      </c>
      <c r="D110" s="5" t="inlineStr">
        <is>
          <t>RTL mirrors ArrowLeft and ArrowRight expand/collapse behavior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Implement and test RTL tree expand/collapse mapping.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Playground</t>
        </is>
      </c>
      <c r="C111" s="5" t="inlineStr">
        <is>
          <t>Direction controls</t>
        </is>
      </c>
      <c r="D111" s="5" t="inlineStr">
        <is>
          <t>scenario exposes provider direction controls</t>
        </is>
      </c>
      <c r="E111" s="10" t="inlineStr">
        <is>
          <t>no</t>
        </is>
      </c>
      <c r="F111" s="8" t="inlineStr">
        <is>
          <t>no</t>
        </is>
      </c>
      <c r="G111" s="4" t="inlineStr">
        <is>
          <t>missing</t>
        </is>
      </c>
      <c r="H111" s="10" t="inlineStr">
        <is>
          <t>missing</t>
        </is>
      </c>
      <c r="I111" s="5" t="n"/>
      <c r="J111" s="5" t="inlineStr">
        <is>
          <t>Add provider direction controls to the playground scenario.</t>
        </is>
      </c>
      <c r="K111" s="6">
        <f>IF(AND(E111="yes",F111="yes",H111="covered"),1,IF(H111="partial",0.5,0))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TreeGrid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TreeGrid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TreeGrid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TreeGrid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TreeGrid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TreeGrid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TreeGrid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TreeGrid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TreeGrid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TreeGrid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TreeGrid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TreeGrid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30" customHeight="1" s="60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TreeGrid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TreeGrid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TreeGrid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TreeGrid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TreeGrid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TreeGrid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TreeGrid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TreeGrid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TreeGrid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TreeGrid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TreeGrid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TreeGrid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TreeGrid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TreeGrid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TreeGrid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TreeGrid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TreeGrid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TreeGrid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TreeGrid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TreeGrid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TreeGrid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TreeGrid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TreeGrid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TreeGrid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TreeGrid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TreeGrid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TreeGrid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TreeGrid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TreeGrid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TreeGrid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TreeGrid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TreeGrid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TreeGrid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TreeGrid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TreeGrid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TreeGrid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TreeGrid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TreeGrid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TreeGrid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TreeGrid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TreeGrid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TreeGrid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TreeGrid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TreeGrid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TreeGrid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TreeGrid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TreeGrid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TreeGrid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TreeGrid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TreeGrid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TreeGrid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TreeGrid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TreeGrid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TreeGrid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TreeGrid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TreeGrid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TreeGrid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Composition</t>
        </is>
      </c>
      <c r="C178" s="5" t="inlineStr">
        <is>
          <t>TreeGrid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TreeGrid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TreeGrid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TreeGrid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TreeGrid</t>
        </is>
      </c>
      <c r="D180" s="5" t="inlineStr">
        <is>
          <t>asChild lets preventDefault block Atom behavior where supported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TreeGrid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TreeGrid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TreeGrid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Composition</t>
        </is>
      </c>
      <c r="C182" s="5" t="inlineStr">
        <is>
          <t>TreeGrid</t>
        </is>
      </c>
      <c r="D182" s="5" t="inlineStr">
        <is>
          <t>render prop preserves refs and behavior props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TreeGrid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TreeGrid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TreeGrid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TreeGrid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TreeGrid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TreeGrid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TreeGrid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30" customHeight="1" s="60">
      <c r="A189" s="4" t="n">
        <v>181</v>
      </c>
      <c r="B189" s="5" t="inlineStr">
        <is>
          <t>Keyboard</t>
        </is>
      </c>
      <c r="C189" s="5" t="inlineStr">
        <is>
          <t>TreeGrid</t>
        </is>
      </c>
      <c r="D189" s="5" t="inlineStr">
        <is>
          <t>typeahead/search behavior where supported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TreeGrid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TreeGrid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reads Direction.Provider context for horizontal cell navigation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Add Direction.Provider fallback before testing RTL grid arrows.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RTL mirrors ArrowLeft and ArrowRight cell movement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cell navigation.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row start and row end respect RTL direction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Implement and test RTL row-start/row-end semantics.</t>
        </is>
      </c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provider direction controls</t>
        </is>
      </c>
      <c r="E194" s="10" t="inlineStr">
        <is>
          <t>no</t>
        </is>
      </c>
      <c r="F194" s="8" t="inlineStr">
        <is>
          <t>no</t>
        </is>
      </c>
      <c r="G194" s="4" t="inlineStr">
        <is>
          <t>missing</t>
        </is>
      </c>
      <c r="H194" s="10" t="inlineStr">
        <is>
          <t>missing</t>
        </is>
      </c>
      <c r="I194" s="5" t="n"/>
      <c r="J194" s="5" t="inlineStr">
        <is>
          <t>Add provider direction controls to the playground scenario.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Virtualizer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60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60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VisuallyHidden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60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2026-07-08T23:16:29Z</dcterms:modified>
  <cp:lastModifiedBy>Will Donin</cp:lastModifiedBy>
</cp:coreProperties>
</file>