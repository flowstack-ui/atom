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st" sheetId="32" state="visible" r:id="rId32"/>
    <sheet xmlns:r="http://schemas.openxmlformats.org/officeDocument/2006/relationships" name="Listbox" sheetId="33" state="visible" r:id="rId33"/>
    <sheet xmlns:r="http://schemas.openxmlformats.org/officeDocument/2006/relationships" name="Menu" sheetId="34" state="visible" r:id="rId34"/>
    <sheet xmlns:r="http://schemas.openxmlformats.org/officeDocument/2006/relationships" name="Menubar" sheetId="35" state="visible" r:id="rId35"/>
    <sheet xmlns:r="http://schemas.openxmlformats.org/officeDocument/2006/relationships" name="Modal" sheetId="36" state="visible" r:id="rId36"/>
    <sheet xmlns:r="http://schemas.openxmlformats.org/officeDocument/2006/relationships" name="NavList" sheetId="37" state="visible" r:id="rId37"/>
    <sheet xmlns:r="http://schemas.openxmlformats.org/officeDocument/2006/relationships" name="NavigationMenu" sheetId="38" state="visible" r:id="rId38"/>
    <sheet xmlns:r="http://schemas.openxmlformats.org/officeDocument/2006/relationships" name="NumberInput" sheetId="39" state="visible" r:id="rId39"/>
    <sheet xmlns:r="http://schemas.openxmlformats.org/officeDocument/2006/relationships" name="OTPField" sheetId="40" state="visible" r:id="rId40"/>
    <sheet xmlns:r="http://schemas.openxmlformats.org/officeDocument/2006/relationships" name="Pagination" sheetId="41" state="visible" r:id="rId41"/>
    <sheet xmlns:r="http://schemas.openxmlformats.org/officeDocument/2006/relationships" name="PasswordToggleField" sheetId="42" state="visible" r:id="rId42"/>
    <sheet xmlns:r="http://schemas.openxmlformats.org/officeDocument/2006/relationships" name="Popover" sheetId="43" state="visible" r:id="rId43"/>
    <sheet xmlns:r="http://schemas.openxmlformats.org/officeDocument/2006/relationships" name="Portal" sheetId="44" state="visible" r:id="rId44"/>
    <sheet xmlns:r="http://schemas.openxmlformats.org/officeDocument/2006/relationships" name="Pressable" sheetId="45" state="visible" r:id="rId45"/>
    <sheet xmlns:r="http://schemas.openxmlformats.org/officeDocument/2006/relationships" name="Progress" sheetId="46" state="visible" r:id="rId46"/>
    <sheet xmlns:r="http://schemas.openxmlformats.org/officeDocument/2006/relationships" name="RadioGroup" sheetId="47" state="visible" r:id="rId47"/>
    <sheet xmlns:r="http://schemas.openxmlformats.org/officeDocument/2006/relationships" name="Rating" sheetId="48" state="visible" r:id="rId48"/>
    <sheet xmlns:r="http://schemas.openxmlformats.org/officeDocument/2006/relationships" name="ScrollArea" sheetId="49" state="visible" r:id="rId49"/>
    <sheet xmlns:r="http://schemas.openxmlformats.org/officeDocument/2006/relationships" name="Select" sheetId="50" state="visible" r:id="rId50"/>
    <sheet xmlns:r="http://schemas.openxmlformats.org/officeDocument/2006/relationships" name="Sidebar" sheetId="51" state="visible" r:id="rId51"/>
    <sheet xmlns:r="http://schemas.openxmlformats.org/officeDocument/2006/relationships" name="SkipLink" sheetId="52" state="visible" r:id="rId52"/>
    <sheet xmlns:r="http://schemas.openxmlformats.org/officeDocument/2006/relationships" name="Slider" sheetId="53" state="visible" r:id="rId53"/>
    <sheet xmlns:r="http://schemas.openxmlformats.org/officeDocument/2006/relationships" name="SwipeableItem" sheetId="54" state="visible" r:id="rId54"/>
    <sheet xmlns:r="http://schemas.openxmlformats.org/officeDocument/2006/relationships" name="Switch" sheetId="55" state="visible" r:id="rId55"/>
    <sheet xmlns:r="http://schemas.openxmlformats.org/officeDocument/2006/relationships" name="Table" sheetId="56" state="visible" r:id="rId56"/>
    <sheet xmlns:r="http://schemas.openxmlformats.org/officeDocument/2006/relationships" name="Tabs" sheetId="57" state="visible" r:id="rId57"/>
    <sheet xmlns:r="http://schemas.openxmlformats.org/officeDocument/2006/relationships" name="Textarea" sheetId="58" state="visible" r:id="rId58"/>
    <sheet xmlns:r="http://schemas.openxmlformats.org/officeDocument/2006/relationships" name="Toast" sheetId="59" state="visible" r:id="rId59"/>
    <sheet xmlns:r="http://schemas.openxmlformats.org/officeDocument/2006/relationships" name="Toggle" sheetId="60" state="visible" r:id="rId60"/>
    <sheet xmlns:r="http://schemas.openxmlformats.org/officeDocument/2006/relationships" name="ToggleGroup" sheetId="61" state="visible" r:id="rId61"/>
    <sheet xmlns:r="http://schemas.openxmlformats.org/officeDocument/2006/relationships" name="Toolbar" sheetId="62" state="visible" r:id="rId62"/>
    <sheet xmlns:r="http://schemas.openxmlformats.org/officeDocument/2006/relationships" name="Tooltip" sheetId="63" state="visible" r:id="rId63"/>
    <sheet xmlns:r="http://schemas.openxmlformats.org/officeDocument/2006/relationships" name="Tree" sheetId="64" state="visible" r:id="rId64"/>
    <sheet xmlns:r="http://schemas.openxmlformats.org/officeDocument/2006/relationships" name="TreeGrid" sheetId="65" state="visible" r:id="rId65"/>
    <sheet xmlns:r="http://schemas.openxmlformats.org/officeDocument/2006/relationships" name="Virtualizer" sheetId="66" state="visible" r:id="rId66"/>
    <sheet xmlns:r="http://schemas.openxmlformats.org/officeDocument/2006/relationships" name="VisuallyHidden" sheetId="67" state="visible" r:id="rId67"/>
  </sheets>
  <definedNames>
    <definedName name="_xlnm._FilterDatabase" localSheetId="1" hidden="1">'Mobile Readiness'!$A$8:$Y$86</definedName>
    <definedName name="_xlnm._FilterDatabase" localSheetId="37" hidden="1">'NavigationMenu'!$A$8:$K$133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"/>
    <numFmt numFmtId="165" formatCode="yyyy-mm-dd"/>
  </numFmts>
  <fonts count="20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  <font>
      <name val="Carlito"/>
      <i val="1"/>
      <color rgb="FF475569"/>
      <sz val="11"/>
    </font>
    <font>
      <name val="Carlito"/>
      <i val="1"/>
      <color rgb="FF64748B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7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top style="medium">
        <color rgb="FFCBD5E1"/>
      </top>
      <bottom style="medium">
        <color rgb="FFCBD5E1"/>
      </bottom>
    </border>
    <border>
      <bottom style="thin">
        <color rgb="FFE5E7EB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165" fontId="0" fillId="0" borderId="0" pivotButton="0" quotePrefix="0" xfId="0"/>
    <xf numFmtId="0" fontId="18" fillId="0" borderId="0" applyAlignment="1" pivotButton="0" quotePrefix="0" xfId="0">
      <alignment vertical="center" wrapText="1"/>
    </xf>
    <xf numFmtId="0" fontId="11" fillId="2" borderId="5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 wrapText="1"/>
    </xf>
    <xf numFmtId="0" fontId="6" fillId="3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top" wrapText="1"/>
    </xf>
    <xf numFmtId="0" fontId="7" fillId="0" borderId="6" applyAlignment="1" pivotButton="0" quotePrefix="0" xfId="0">
      <alignment horizontal="left" vertical="top" wrapText="1"/>
    </xf>
    <xf numFmtId="0" fontId="7" fillId="2" borderId="6" applyAlignment="1" pivotButton="0" quotePrefix="0" xfId="0">
      <alignment horizontal="left" vertical="top" wrapText="1"/>
    </xf>
    <xf numFmtId="0" fontId="7" fillId="2" borderId="6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top" wrapText="1"/>
    </xf>
  </cellXfs>
  <cellStyles count="1">
    <cellStyle name="Normal" xfId="0" builtinId="0"/>
  </cellStyles>
  <dxfs count="13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166534"/>
      </font>
      <fill>
        <patternFill patternType="solid">
          <fgColor rgb="FFDCFCE7"/>
        </patternFill>
      </fill>
    </dxf>
    <dxf>
      <font>
        <b val="1"/>
        <color rgb="FF9C0006"/>
      </font>
      <fill>
        <patternFill patternType="solid">
          <fgColor rgb="FFFEE2E2"/>
        </patternFill>
      </fill>
    </dxf>
    <dxf>
      <font>
        <b val="1"/>
        <color rgb="FF92400E"/>
      </font>
      <fill>
        <patternFill patternType="solid">
          <fgColor rgb="FFFEF3C7"/>
        </patternFill>
      </fill>
    </dxf>
    <dxf>
      <font>
        <color rgb="FF475569"/>
      </font>
      <fill>
        <patternFill patternType="solid">
          <fgColor rgb="FFF1F5F9"/>
        </patternFill>
      </fill>
    </dxf>
    <dxf>
      <font>
        <color rgb="FF075985"/>
      </font>
      <fill>
        <patternFill patternType="solid">
          <fgColor rgb="FFE0F2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styles" Target="styles.xml" Id="rId68"/><Relationship Type="http://schemas.openxmlformats.org/officeDocument/2006/relationships/theme" Target="theme/theme1.xml" Id="rId6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>
        <f>COUNT(Rating!A9:A500)</f>
        <v/>
      </c>
      <c r="C52" s="31">
        <f>COUNTIF(Rating!H9:H500,"covered")</f>
        <v/>
      </c>
      <c r="D52" s="31">
        <f>COUNTIF(Rating!H9:H500,"partial")</f>
        <v/>
      </c>
      <c r="E52" s="31">
        <f>COUNTIF(Rating!H9:H500,"missing")</f>
        <v/>
      </c>
      <c r="F52" s="31">
        <f>COUNTIF(Rating!H9:H500,"untested")</f>
        <v/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K200"/>
  <sheetViews>
    <sheetView showGridLines="0" workbookViewId="0">
      <pane xSplit="3" ySplit="8" topLeftCell="D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style="60" min="1" max="1"/>
    <col width="12" customWidth="1" style="60" min="2" max="2"/>
    <col width="10" customWidth="1" style="60" min="3" max="3"/>
    <col width="18" customWidth="1" style="60" min="4" max="4"/>
    <col width="48" customWidth="1" style="60" min="5" max="5"/>
    <col width="42" customWidth="1" style="60" min="6" max="6"/>
    <col width="28" customWidth="1" style="60" min="7" max="7"/>
    <col width="38" customWidth="1" style="60" min="8" max="8"/>
    <col width="40" customWidth="1" style="60" min="9" max="9"/>
    <col width="18" customWidth="1" style="60" min="10" max="10"/>
    <col width="16" customWidth="1" style="60" min="11" max="11"/>
    <col width="18" customWidth="1" style="60" min="12" max="12"/>
    <col width="20" customWidth="1" style="60" min="13" max="13"/>
    <col width="22" customWidth="1" style="60" min="14" max="14"/>
    <col width="22" customWidth="1" style="60" min="15" max="15"/>
    <col width="22" customWidth="1" style="60" min="16" max="16"/>
    <col width="54" customWidth="1" style="60" min="17" max="17"/>
    <col width="54" customWidth="1" style="60" min="18" max="18"/>
    <col width="44" customWidth="1" style="60" min="19" max="19"/>
    <col width="32" customWidth="1" style="60" min="20" max="20"/>
    <col width="16" customWidth="1" style="60" min="21" max="21"/>
    <col width="14" customWidth="1" style="63" min="22" max="22"/>
    <col width="32" customWidth="1" style="60" min="23" max="23"/>
    <col width="52" customWidth="1" style="60" min="24" max="24"/>
    <col width="24" customWidth="1" style="60" min="25" max="25"/>
    <col hidden="1" width="13" customWidth="1" style="60" min="27" max="27"/>
    <col hidden="1" width="13" customWidth="1" style="60" min="28" max="28"/>
    <col hidden="1" width="13" customWidth="1" style="60" min="29" max="29"/>
    <col hidden="1" width="13" customWidth="1" style="60" min="30" max="30"/>
    <col hidden="1" width="13" customWidth="1" style="60" min="31" max="31"/>
    <col hidden="1" width="13" customWidth="1" style="60" min="32" max="32"/>
    <col hidden="1" width="13" customWidth="1" style="60" min="33" max="33"/>
    <col hidden="1" width="13" customWidth="1" style="60" min="34" max="34"/>
    <col hidden="1" width="13" customWidth="1" style="60" min="35" max="35"/>
    <col hidden="1" width="13" customWidth="1" style="60" min="36" max="36"/>
    <col hidden="1" width="13" customWidth="1" style="60" min="37" max="37"/>
  </cols>
  <sheetData>
    <row r="1" ht="30" customHeight="1" s="60">
      <c r="A1" s="62" t="inlineStr">
        <is>
          <t>Atom Mobile Readiness</t>
        </is>
      </c>
      <c r="AA1" t="inlineStr">
        <is>
          <t>Validation: AA</t>
        </is>
      </c>
      <c r="AB1" t="inlineStr">
        <is>
          <t>Validation: AB</t>
        </is>
      </c>
      <c r="AC1" t="inlineStr">
        <is>
          <t>Validation: AC</t>
        </is>
      </c>
      <c r="AD1" t="inlineStr">
        <is>
          <t>Validation: AD</t>
        </is>
      </c>
      <c r="AE1" t="inlineStr">
        <is>
          <t>Validation: AE</t>
        </is>
      </c>
      <c r="AF1" t="inlineStr">
        <is>
          <t>Validation: AF</t>
        </is>
      </c>
      <c r="AG1" t="inlineStr">
        <is>
          <t>Validation: AG</t>
        </is>
      </c>
      <c r="AH1" t="inlineStr">
        <is>
          <t>Validation: AH</t>
        </is>
      </c>
      <c r="AI1" t="inlineStr">
        <is>
          <t>Validation: AI</t>
        </is>
      </c>
      <c r="AJ1" t="inlineStr">
        <is>
          <t>Validation: AJ</t>
        </is>
      </c>
      <c r="AK1" t="inlineStr">
        <is>
          <t>Validation: AK</t>
        </is>
      </c>
    </row>
    <row r="2" ht="30" customHeight="1" s="60">
      <c r="A2" s="64" t="inlineStr">
        <is>
          <t>Additional mobile/device qualification over the existing completed component baseline. Responsive mode and touch emulation are not real iOS Safari or Android Chrome evidence.</t>
        </is>
      </c>
      <c r="AA2" t="inlineStr">
        <is>
          <t>MR-01</t>
        </is>
      </c>
      <c r="AB2" t="inlineStr">
        <is>
          <t>MR-P0</t>
        </is>
      </c>
      <c r="AC2" t="inlineStr">
        <is>
          <t>preserve verified baseline</t>
        </is>
      </c>
      <c r="AD2" t="inlineStr">
        <is>
          <t>confirmed Atom implementation gap</t>
        </is>
      </c>
      <c r="AE2" t="inlineStr">
        <is>
          <t>source / contract review</t>
        </is>
      </c>
      <c r="AF2" t="inlineStr">
        <is>
          <t>desktop</t>
        </is>
      </c>
      <c r="AG2" t="inlineStr">
        <is>
          <t>keyboard</t>
        </is>
      </c>
      <c r="AH2" t="inlineStr">
        <is>
          <t>none</t>
        </is>
      </c>
      <c r="AI2" t="inlineStr">
        <is>
          <t>not run</t>
        </is>
      </c>
      <c r="AJ2" t="inlineStr">
        <is>
          <t>Safari</t>
        </is>
      </c>
      <c r="AK2" t="inlineStr">
        <is>
          <t>Accordion</t>
        </is>
      </c>
    </row>
    <row r="3">
      <c r="AA3" t="inlineStr">
        <is>
          <t>MR-02</t>
        </is>
      </c>
      <c r="AB3" t="inlineStr">
        <is>
          <t>MR-P1</t>
        </is>
      </c>
      <c r="AC3" t="inlineStr">
        <is>
          <t>narrow unsupported claim</t>
        </is>
      </c>
      <c r="AD3" t="inlineStr">
        <is>
          <t>Atom API/design decision required</t>
        </is>
      </c>
      <c r="AE3" t="inlineStr">
        <is>
          <t>package automated test</t>
        </is>
      </c>
      <c r="AF3" t="inlineStr">
        <is>
          <t>desktop emulating iOS</t>
        </is>
      </c>
      <c r="AG3" t="inlineStr">
        <is>
          <t>mouse</t>
        </is>
      </c>
      <c r="AH3" t="inlineStr">
        <is>
          <t>VoiceOver</t>
        </is>
      </c>
      <c r="AI3" t="inlineStr">
        <is>
          <t>passed</t>
        </is>
      </c>
      <c r="AJ3" t="inlineStr">
        <is>
          <t>Chrome</t>
        </is>
      </c>
      <c r="AK3" t="inlineStr">
        <is>
          <t>AlertDialog</t>
        </is>
      </c>
    </row>
    <row r="4" ht="24" customHeight="1" s="60">
      <c r="A4" s="65" t="inlineStr">
        <is>
          <t>Records</t>
        </is>
      </c>
      <c r="B4" s="65">
        <f>COUNTA($A$9:$A$200)</f>
        <v/>
      </c>
      <c r="C4" s="65" t="inlineStr">
        <is>
          <t>Passed</t>
        </is>
      </c>
      <c r="D4" s="65">
        <f>COUNTIF($U$9:$U$200,"passed")</f>
        <v/>
      </c>
      <c r="E4" s="65" t="inlineStr">
        <is>
          <t>Failed</t>
        </is>
      </c>
      <c r="F4" s="65">
        <f>COUNTIF($U$9:$U$200,"failed")</f>
        <v/>
      </c>
      <c r="G4" s="65" t="inlineStr">
        <is>
          <t>Blocked</t>
        </is>
      </c>
      <c r="H4" s="65">
        <f>COUNTIF($U$9:$U$200,"blocked")</f>
        <v/>
      </c>
      <c r="I4" s="65" t="inlineStr">
        <is>
          <t>Not run</t>
        </is>
      </c>
      <c r="J4" s="65">
        <f>COUNTIF($U$9:$U$200,"not run")</f>
        <v/>
      </c>
      <c r="K4" s="65" t="inlineStr">
        <is>
          <t>Not applicable</t>
        </is>
      </c>
      <c r="L4" s="65">
        <f>COUNTIF($U$9:$U$200,"not applicable")</f>
        <v/>
      </c>
      <c r="M4" s="65" t="inlineStr">
        <is>
          <t>Record issues</t>
        </is>
      </c>
      <c r="N4" s="65">
        <f>COUNTIFS($A$9:$A$200,"&lt;&gt;",$Y$9:$Y$200,"&lt;&gt;ready")</f>
        <v/>
      </c>
      <c r="AA4" t="inlineStr">
        <is>
          <t>MR-03</t>
        </is>
      </c>
      <c r="AB4" t="inlineStr">
        <is>
          <t>MR-P2</t>
        </is>
      </c>
      <c r="AC4" t="inlineStr">
        <is>
          <t>reopen only when approved</t>
        </is>
      </c>
      <c r="AD4" t="inlineStr">
        <is>
          <t>documentation/test gap</t>
        </is>
      </c>
      <c r="AE4" t="inlineStr">
        <is>
          <t>previous baseline — desktop manual</t>
        </is>
      </c>
      <c r="AF4" t="inlineStr">
        <is>
          <t>desktop emulating Android</t>
        </is>
      </c>
      <c r="AG4" t="inlineStr">
        <is>
          <t>touch</t>
        </is>
      </c>
      <c r="AH4" t="inlineStr">
        <is>
          <t>TalkBack</t>
        </is>
      </c>
      <c r="AI4" t="inlineStr">
        <is>
          <t>failed</t>
        </is>
      </c>
      <c r="AJ4" t="inlineStr">
        <is>
          <t>Firefox</t>
        </is>
      </c>
      <c r="AK4" t="inlineStr">
        <is>
          <t>AppBar</t>
        </is>
      </c>
    </row>
    <row r="5">
      <c r="AA5" t="inlineStr">
        <is>
          <t>MR-04</t>
        </is>
      </c>
      <c r="AB5" t="inlineStr">
        <is>
          <t>MR-P3</t>
        </is>
      </c>
      <c r="AC5" t="inlineStr">
        <is>
          <t>new mobile qualification</t>
        </is>
      </c>
      <c r="AD5" t="inlineStr">
        <is>
          <t>consumer styling/application responsibility</t>
        </is>
      </c>
      <c r="AE5" t="inlineStr">
        <is>
          <t>browser emulation — manual</t>
        </is>
      </c>
      <c r="AF5" t="inlineStr">
        <is>
          <t>iOS</t>
        </is>
      </c>
      <c r="AG5" t="inlineStr">
        <is>
          <t>virtual keyboard</t>
        </is>
      </c>
      <c r="AH5" t="inlineStr">
        <is>
          <t>other</t>
        </is>
      </c>
      <c r="AI5" t="inlineStr">
        <is>
          <t>blocked</t>
        </is>
      </c>
      <c r="AJ5" t="inlineStr">
        <is>
          <t>WebKit</t>
        </is>
      </c>
      <c r="AK5" t="inlineStr">
        <is>
          <t>AspectRatio</t>
        </is>
      </c>
    </row>
    <row r="6" ht="24" customHeight="1" s="60">
      <c r="A6" s="66" t="inlineStr">
        <is>
          <t>Status records evidence runs only: not run, passed, failed, blocked, or not applicable. Lifecycle and authorization remain governed by docs/mobile-readiness.md.</t>
        </is>
      </c>
      <c r="AA6" t="inlineStr">
        <is>
          <t>MR-05</t>
        </is>
      </c>
      <c r="AB6" t="inlineStr">
        <is>
          <t>MR-P4</t>
        </is>
      </c>
      <c r="AC6" t="inlineStr">
        <is>
          <t>not applicable</t>
        </is>
      </c>
      <c r="AD6" t="inlineStr">
        <is>
          <t>already adequately supported</t>
        </is>
      </c>
      <c r="AE6" t="inlineStr">
        <is>
          <t>browser automation — desktop</t>
        </is>
      </c>
      <c r="AF6" t="inlineStr">
        <is>
          <t>Android</t>
        </is>
      </c>
      <c r="AG6" t="inlineStr">
        <is>
          <t>visual viewport</t>
        </is>
      </c>
      <c r="AH6" t="inlineStr">
        <is>
          <t>not applicable</t>
        </is>
      </c>
      <c r="AI6" t="inlineStr">
        <is>
          <t>not applicable</t>
        </is>
      </c>
      <c r="AJ6" t="inlineStr">
        <is>
          <t>Chromium</t>
        </is>
      </c>
      <c r="AK6" t="inlineStr">
        <is>
          <t>Avatar</t>
        </is>
      </c>
    </row>
    <row r="7">
      <c r="AA7" t="inlineStr">
        <is>
          <t>MR-06</t>
        </is>
      </c>
      <c r="AB7" t="inlineStr">
        <is>
          <t>MR-P5</t>
        </is>
      </c>
      <c r="AD7" t="inlineStr">
        <is>
          <t>requires browser validation before concluding</t>
        </is>
      </c>
      <c r="AE7" t="inlineStr">
        <is>
          <t>browser automation — mobile emulation</t>
        </is>
      </c>
      <c r="AF7" t="inlineStr">
        <is>
          <t>not applicable</t>
        </is>
      </c>
      <c r="AG7" t="inlineStr">
        <is>
          <t>screen-reader touch exploration</t>
        </is>
      </c>
      <c r="AJ7" t="inlineStr">
        <is>
          <t>other</t>
        </is>
      </c>
      <c r="AK7" t="inlineStr">
        <is>
          <t>Badge</t>
        </is>
      </c>
    </row>
    <row r="8" ht="36" customHeight="1" s="60">
      <c r="A8" s="67" t="inlineStr">
        <is>
          <t>Evidence ID</t>
        </is>
      </c>
      <c r="B8" s="67" t="inlineStr">
        <is>
          <t>Finding ID</t>
        </is>
      </c>
      <c r="C8" s="67" t="inlineStr">
        <is>
          <t>Phase ID</t>
        </is>
      </c>
      <c r="D8" s="67" t="inlineStr">
        <is>
          <t>Component</t>
        </is>
      </c>
      <c r="E8" s="67" t="inlineStr">
        <is>
          <t>Scenario / behavior</t>
        </is>
      </c>
      <c r="F8" s="67" t="inlineStr">
        <is>
          <t>Baseline reference</t>
        </is>
      </c>
      <c r="G8" s="67" t="inlineStr">
        <is>
          <t>Baseline disposition</t>
        </is>
      </c>
      <c r="H8" s="67" t="inlineStr">
        <is>
          <t>Classification</t>
        </is>
      </c>
      <c r="I8" s="67" t="inlineStr">
        <is>
          <t>Evidence category</t>
        </is>
      </c>
      <c r="J8" s="67" t="inlineStr">
        <is>
          <t>Platform</t>
        </is>
      </c>
      <c r="K8" s="67" t="inlineStr">
        <is>
          <t>OS version</t>
        </is>
      </c>
      <c r="L8" s="67" t="inlineStr">
        <is>
          <t>Browser / engine</t>
        </is>
      </c>
      <c r="M8" s="67" t="inlineStr">
        <is>
          <t>Browser version / build</t>
        </is>
      </c>
      <c r="N8" s="67" t="inlineStr">
        <is>
          <t>Device / model</t>
        </is>
      </c>
      <c r="O8" s="67" t="inlineStr">
        <is>
          <t>Interaction mode</t>
        </is>
      </c>
      <c r="P8" s="67" t="inlineStr">
        <is>
          <t>Assistive technology</t>
        </is>
      </c>
      <c r="Q8" s="67" t="inlineStr">
        <is>
          <t>Required evidence</t>
        </is>
      </c>
      <c r="R8" s="67" t="inlineStr">
        <is>
          <t>Expected result</t>
        </is>
      </c>
      <c r="S8" s="67" t="inlineStr">
        <is>
          <t>Reviewed protocol reference</t>
        </is>
      </c>
      <c r="T8" s="67" t="inlineStr">
        <is>
          <t>Automation reference</t>
        </is>
      </c>
      <c r="U8" s="67" t="inlineStr">
        <is>
          <t>Status</t>
        </is>
      </c>
      <c r="V8" s="67" t="inlineStr">
        <is>
          <t>Result date</t>
        </is>
      </c>
      <c r="W8" s="67" t="inlineStr">
        <is>
          <t>Issue / decision / commit</t>
        </is>
      </c>
      <c r="X8" s="67" t="inlineStr">
        <is>
          <t>Notes</t>
        </is>
      </c>
      <c r="Y8" s="67" t="inlineStr">
        <is>
          <t>Record check</t>
        </is>
      </c>
      <c r="AA8" t="inlineStr">
        <is>
          <t>MR-07</t>
        </is>
      </c>
      <c r="AB8" t="inlineStr">
        <is>
          <t>MR-P6</t>
        </is>
      </c>
      <c r="AE8" t="inlineStr">
        <is>
          <t>real device — iOS Safari</t>
        </is>
      </c>
      <c r="AG8" t="inlineStr">
        <is>
          <t>not applicable</t>
        </is>
      </c>
      <c r="AJ8" t="inlineStr">
        <is>
          <t>not applicable</t>
        </is>
      </c>
      <c r="AK8" t="inlineStr">
        <is>
          <t>BottomNavigation</t>
        </is>
      </c>
    </row>
    <row r="9" ht="48" customHeight="1" s="60">
      <c r="A9" s="68" t="inlineStr">
        <is>
          <t>MRE-04-DIALOG-001</t>
        </is>
      </c>
      <c r="B9" s="68" t="inlineStr">
        <is>
          <t>MR-04</t>
        </is>
      </c>
      <c r="C9" s="68" t="inlineStr">
        <is>
          <t>MR-P4</t>
        </is>
      </c>
      <c r="D9" s="69" t="inlineStr">
        <is>
          <t>Dialog</t>
        </is>
      </c>
      <c r="E9" s="69" t="inlineStr">
        <is>
          <t>pointer/click trigger activation opens Dialog in the existing desktop manual scenario</t>
        </is>
      </c>
      <c r="F9" s="69" t="inlineStr">
        <is>
          <t>Dialog!ID-92 — tap trigger</t>
        </is>
      </c>
      <c r="G9" s="70" t="inlineStr">
        <is>
          <t>narrow unsupported claim</t>
        </is>
      </c>
      <c r="H9" s="69" t="inlineStr">
        <is>
          <t>already adequately supported</t>
        </is>
      </c>
      <c r="I9" s="70" t="inlineStr">
        <is>
          <t>real device — iOS Safari</t>
        </is>
      </c>
      <c r="J9" s="68" t="inlineStr">
        <is>
          <t>iOS</t>
        </is>
      </c>
      <c r="K9" s="68" t="n"/>
      <c r="L9" s="68" t="inlineStr">
        <is>
          <t>Safari</t>
        </is>
      </c>
      <c r="M9" s="68" t="n"/>
      <c r="N9" s="68" t="n"/>
      <c r="O9" s="68" t="inlineStr">
        <is>
          <t>touch</t>
        </is>
      </c>
      <c r="P9" s="68" t="inlineStr">
        <is>
          <t>none</t>
        </is>
      </c>
      <c r="Q9" s="69" t="inlineStr">
        <is>
          <t>On a named iOS device, exercise pointer/click trigger activation opens Dialog in the existing desktop manual scenario and record OS, browser version, device, date, and reproduction notes.</t>
        </is>
      </c>
      <c r="R9" s="69" t="inlineStr">
        <is>
          <t>Trigger activation opens the Dialog once without duplicate state changes.</t>
        </is>
      </c>
      <c r="S9" s="69" t="n"/>
      <c r="T9" s="69" t="n"/>
      <c r="U9" s="71" t="inlineStr">
        <is>
          <t>not run</t>
        </is>
      </c>
      <c r="V9" s="68" t="n"/>
      <c r="W9" s="69" t="n"/>
      <c r="X9" s="69" t="inlineStr">
        <is>
          <t>Existing component coverage remains the verified desktop/manual baseline; this record is an additional device qualification.</t>
        </is>
      </c>
      <c r="Y9" s="71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t="inlineStr">
        <is>
          <t>MR-08</t>
        </is>
      </c>
      <c r="AB9" t="inlineStr">
        <is>
          <t>MR-P7</t>
        </is>
      </c>
      <c r="AE9" t="inlineStr">
        <is>
          <t>real device — Android Chrome</t>
        </is>
      </c>
      <c r="AK9" t="inlineStr">
        <is>
          <t>Breadcrumb</t>
        </is>
      </c>
    </row>
    <row r="10" ht="48" customHeight="1" s="60">
      <c r="A10" s="68" t="inlineStr">
        <is>
          <t>MRE-04-DIALOG-002</t>
        </is>
      </c>
      <c r="B10" s="68" t="inlineStr">
        <is>
          <t>MR-04</t>
        </is>
      </c>
      <c r="C10" s="68" t="inlineStr">
        <is>
          <t>MR-P4</t>
        </is>
      </c>
      <c r="D10" s="69" t="inlineStr">
        <is>
          <t>Dialog</t>
        </is>
      </c>
      <c r="E10" s="69" t="inlineStr">
        <is>
          <t>pointer/click trigger activation opens Dialog in the existing desktop manual scenario</t>
        </is>
      </c>
      <c r="F10" s="69" t="inlineStr">
        <is>
          <t>Dialog!ID-92 — tap trigger</t>
        </is>
      </c>
      <c r="G10" s="70" t="inlineStr">
        <is>
          <t>narrow unsupported claim</t>
        </is>
      </c>
      <c r="H10" s="69" t="inlineStr">
        <is>
          <t>already adequately supported</t>
        </is>
      </c>
      <c r="I10" s="70" t="inlineStr">
        <is>
          <t>real device — Android Chrome</t>
        </is>
      </c>
      <c r="J10" s="68" t="inlineStr">
        <is>
          <t>Android</t>
        </is>
      </c>
      <c r="K10" s="68" t="n"/>
      <c r="L10" s="68" t="inlineStr">
        <is>
          <t>Chrome</t>
        </is>
      </c>
      <c r="M10" s="68" t="n"/>
      <c r="N10" s="68" t="n"/>
      <c r="O10" s="68" t="inlineStr">
        <is>
          <t>touch</t>
        </is>
      </c>
      <c r="P10" s="68" t="inlineStr">
        <is>
          <t>none</t>
        </is>
      </c>
      <c r="Q10" s="69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69" t="inlineStr">
        <is>
          <t>Trigger activation opens the Dialog once without duplicate state changes.</t>
        </is>
      </c>
      <c r="S10" s="69" t="n"/>
      <c r="T10" s="69" t="n"/>
      <c r="U10" s="71" t="inlineStr">
        <is>
          <t>not run</t>
        </is>
      </c>
      <c r="V10" s="68" t="n"/>
      <c r="W10" s="69" t="n"/>
      <c r="X10" s="69" t="inlineStr">
        <is>
          <t>Existing component coverage remains the verified desktop/manual baseline; this record is an additional device qualification.</t>
        </is>
      </c>
      <c r="Y10" s="71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t="inlineStr">
        <is>
          <t>MR-09</t>
        </is>
      </c>
      <c r="AB10" t="inlineStr">
        <is>
          <t>MR-P8</t>
        </is>
      </c>
      <c r="AE10" t="inlineStr">
        <is>
          <t>real device + AT — iOS Safari + VoiceOver</t>
        </is>
      </c>
      <c r="AK10" t="inlineStr">
        <is>
          <t>Button</t>
        </is>
      </c>
    </row>
    <row r="11" ht="48" customHeight="1" s="60">
      <c r="A11" s="68" t="inlineStr">
        <is>
          <t>MRE-04-DIALOG-003</t>
        </is>
      </c>
      <c r="B11" s="68" t="inlineStr">
        <is>
          <t>MR-04</t>
        </is>
      </c>
      <c r="C11" s="68" t="inlineStr">
        <is>
          <t>MR-P4</t>
        </is>
      </c>
      <c r="D11" s="69" t="inlineStr">
        <is>
          <t>Dialog</t>
        </is>
      </c>
      <c r="E11" s="69" t="inlineStr">
        <is>
          <t>pointer/click backdrop activation dismisses Dialog in the existing desktop manual scenario</t>
        </is>
      </c>
      <c r="F11" s="69" t="inlineStr">
        <is>
          <t>Dialog!ID-93 — tap backdrop</t>
        </is>
      </c>
      <c r="G11" s="70" t="inlineStr">
        <is>
          <t>narrow unsupported claim</t>
        </is>
      </c>
      <c r="H11" s="69" t="inlineStr">
        <is>
          <t>already adequately supported</t>
        </is>
      </c>
      <c r="I11" s="70" t="inlineStr">
        <is>
          <t>real device — iOS Safari</t>
        </is>
      </c>
      <c r="J11" s="68" t="inlineStr">
        <is>
          <t>iOS</t>
        </is>
      </c>
      <c r="K11" s="68" t="n"/>
      <c r="L11" s="68" t="inlineStr">
        <is>
          <t>Safari</t>
        </is>
      </c>
      <c r="M11" s="68" t="n"/>
      <c r="N11" s="68" t="n"/>
      <c r="O11" s="68" t="inlineStr">
        <is>
          <t>touch</t>
        </is>
      </c>
      <c r="P11" s="68" t="inlineStr">
        <is>
          <t>none</t>
        </is>
      </c>
      <c r="Q11" s="69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69" t="inlineStr">
        <is>
          <t>Backdrop activation dismisses according to the configured contract and leaves focus usable.</t>
        </is>
      </c>
      <c r="S11" s="69" t="n"/>
      <c r="T11" s="69" t="n"/>
      <c r="U11" s="71" t="inlineStr">
        <is>
          <t>not run</t>
        </is>
      </c>
      <c r="V11" s="68" t="n"/>
      <c r="W11" s="69" t="n"/>
      <c r="X11" s="69" t="inlineStr">
        <is>
          <t>Existing component coverage remains the verified desktop/manual baseline; this record is an additional device qualification.</t>
        </is>
      </c>
      <c r="Y11" s="71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t="inlineStr">
        <is>
          <t>MR-10</t>
        </is>
      </c>
      <c r="AE11" t="inlineStr">
        <is>
          <t>real device + AT — Android Chrome + TalkBack</t>
        </is>
      </c>
      <c r="AK11" t="inlineStr">
        <is>
          <t>Checkbox</t>
        </is>
      </c>
    </row>
    <row r="12" ht="48" customHeight="1" s="60">
      <c r="A12" s="68" t="inlineStr">
        <is>
          <t>MRE-04-DIALOG-004</t>
        </is>
      </c>
      <c r="B12" s="68" t="inlineStr">
        <is>
          <t>MR-04</t>
        </is>
      </c>
      <c r="C12" s="68" t="inlineStr">
        <is>
          <t>MR-P4</t>
        </is>
      </c>
      <c r="D12" s="69" t="inlineStr">
        <is>
          <t>Dialog</t>
        </is>
      </c>
      <c r="E12" s="69" t="inlineStr">
        <is>
          <t>pointer/click backdrop activation dismisses Dialog in the existing desktop manual scenario</t>
        </is>
      </c>
      <c r="F12" s="69" t="inlineStr">
        <is>
          <t>Dialog!ID-93 — tap backdrop</t>
        </is>
      </c>
      <c r="G12" s="70" t="inlineStr">
        <is>
          <t>narrow unsupported claim</t>
        </is>
      </c>
      <c r="H12" s="69" t="inlineStr">
        <is>
          <t>already adequately supported</t>
        </is>
      </c>
      <c r="I12" s="70" t="inlineStr">
        <is>
          <t>real device — Android Chrome</t>
        </is>
      </c>
      <c r="J12" s="68" t="inlineStr">
        <is>
          <t>Android</t>
        </is>
      </c>
      <c r="K12" s="68" t="n"/>
      <c r="L12" s="68" t="inlineStr">
        <is>
          <t>Chrome</t>
        </is>
      </c>
      <c r="M12" s="68" t="n"/>
      <c r="N12" s="68" t="n"/>
      <c r="O12" s="68" t="inlineStr">
        <is>
          <t>touch</t>
        </is>
      </c>
      <c r="P12" s="68" t="inlineStr">
        <is>
          <t>none</t>
        </is>
      </c>
      <c r="Q12" s="69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69" t="inlineStr">
        <is>
          <t>Backdrop activation dismisses according to the configured contract and leaves focus usable.</t>
        </is>
      </c>
      <c r="S12" s="69" t="n"/>
      <c r="T12" s="69" t="n"/>
      <c r="U12" s="71" t="inlineStr">
        <is>
          <t>not run</t>
        </is>
      </c>
      <c r="V12" s="68" t="n"/>
      <c r="W12" s="69" t="n"/>
      <c r="X12" s="69" t="inlineStr">
        <is>
          <t>Existing component coverage remains the verified desktop/manual baseline; this record is an additional device qualification.</t>
        </is>
      </c>
      <c r="Y12" s="71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t="inlineStr">
        <is>
          <t>MR-11</t>
        </is>
      </c>
      <c r="AE12" t="inlineStr">
        <is>
          <t>approved decision / documentation</t>
        </is>
      </c>
      <c r="AK12" t="inlineStr">
        <is>
          <t>CheckboxGroup</t>
        </is>
      </c>
    </row>
    <row r="13" ht="48" customHeight="1" s="60">
      <c r="A13" s="68" t="inlineStr">
        <is>
          <t>MRE-02-DIALOG-001</t>
        </is>
      </c>
      <c r="B13" s="68" t="inlineStr">
        <is>
          <t>MR-02</t>
        </is>
      </c>
      <c r="C13" s="68" t="inlineStr">
        <is>
          <t>MR-P5</t>
        </is>
      </c>
      <c r="D13" s="69" t="inlineStr">
        <is>
          <t>Dialog</t>
        </is>
      </c>
      <c r="E13" s="69" t="inlineStr">
        <is>
          <t>Dialog fits the manually tested desktop layout viewport; mobile safe-area, visual-viewport, and virtual-keyboard behavior is not qualified</t>
        </is>
      </c>
      <c r="F13" s="69" t="inlineStr">
        <is>
          <t>Dialog!ID-94 — viewport fit</t>
        </is>
      </c>
      <c r="G13" s="70" t="inlineStr">
        <is>
          <t>narrow unsupported claim</t>
        </is>
      </c>
      <c r="H13" s="69" t="inlineStr">
        <is>
          <t>consumer styling/application responsibility</t>
        </is>
      </c>
      <c r="I13" s="70" t="inlineStr">
        <is>
          <t>real device — iOS Safari</t>
        </is>
      </c>
      <c r="J13" s="68" t="inlineStr">
        <is>
          <t>iOS</t>
        </is>
      </c>
      <c r="K13" s="68" t="n"/>
      <c r="L13" s="68" t="inlineStr">
        <is>
          <t>Safari</t>
        </is>
      </c>
      <c r="M13" s="68" t="n"/>
      <c r="N13" s="68" t="n"/>
      <c r="O13" s="68" t="inlineStr">
        <is>
          <t>visual viewport</t>
        </is>
      </c>
      <c r="P13" s="68" t="inlineStr">
        <is>
          <t>none</t>
        </is>
      </c>
      <c r="Q13" s="69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69" t="inlineStr">
        <is>
          <t>The consumer-styled Dialog remains reachable without clipping or keyboard obstruction in the named device scenario.</t>
        </is>
      </c>
      <c r="S13" s="69" t="n"/>
      <c r="T13" s="69" t="n"/>
      <c r="U13" s="71" t="inlineStr">
        <is>
          <t>not run</t>
        </is>
      </c>
      <c r="V13" s="68" t="n"/>
      <c r="W13" s="69" t="n"/>
      <c r="X13" s="69" t="inlineStr">
        <is>
          <t>Existing component coverage remains the verified desktop/manual baseline; this record is an additional device qualification.</t>
        </is>
      </c>
      <c r="Y13" s="71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t="inlineStr">
        <is>
          <t>MR-12</t>
        </is>
      </c>
      <c r="AK13" t="inlineStr">
        <is>
          <t>Collapsible</t>
        </is>
      </c>
    </row>
    <row r="14" ht="48" customHeight="1" s="60">
      <c r="A14" s="68" t="inlineStr">
        <is>
          <t>MRE-02-DIALOG-002</t>
        </is>
      </c>
      <c r="B14" s="68" t="inlineStr">
        <is>
          <t>MR-02</t>
        </is>
      </c>
      <c r="C14" s="68" t="inlineStr">
        <is>
          <t>MR-P5</t>
        </is>
      </c>
      <c r="D14" s="69" t="inlineStr">
        <is>
          <t>Dialog</t>
        </is>
      </c>
      <c r="E14" s="69" t="inlineStr">
        <is>
          <t>Dialog fits the manually tested desktop layout viewport; mobile safe-area, visual-viewport, and virtual-keyboard behavior is not qualified</t>
        </is>
      </c>
      <c r="F14" s="69" t="inlineStr">
        <is>
          <t>Dialog!ID-94 — viewport fit</t>
        </is>
      </c>
      <c r="G14" s="70" t="inlineStr">
        <is>
          <t>narrow unsupported claim</t>
        </is>
      </c>
      <c r="H14" s="69" t="inlineStr">
        <is>
          <t>consumer styling/application responsibility</t>
        </is>
      </c>
      <c r="I14" s="70" t="inlineStr">
        <is>
          <t>real device — Android Chrome</t>
        </is>
      </c>
      <c r="J14" s="68" t="inlineStr">
        <is>
          <t>Android</t>
        </is>
      </c>
      <c r="K14" s="68" t="n"/>
      <c r="L14" s="68" t="inlineStr">
        <is>
          <t>Chrome</t>
        </is>
      </c>
      <c r="M14" s="68" t="n"/>
      <c r="N14" s="68" t="n"/>
      <c r="O14" s="68" t="inlineStr">
        <is>
          <t>visual viewport</t>
        </is>
      </c>
      <c r="P14" s="68" t="inlineStr">
        <is>
          <t>none</t>
        </is>
      </c>
      <c r="Q14" s="69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69" t="inlineStr">
        <is>
          <t>The consumer-styled Dialog remains reachable without clipping or keyboard obstruction in the named device scenario.</t>
        </is>
      </c>
      <c r="S14" s="69" t="n"/>
      <c r="T14" s="69" t="n"/>
      <c r="U14" s="71" t="inlineStr">
        <is>
          <t>not run</t>
        </is>
      </c>
      <c r="V14" s="68" t="n"/>
      <c r="W14" s="69" t="n"/>
      <c r="X14" s="69" t="inlineStr">
        <is>
          <t>Existing component coverage remains the verified desktop/manual baseline; this record is an additional device qualification.</t>
        </is>
      </c>
      <c r="Y14" s="71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t="inlineStr">
        <is>
          <t>MR-13</t>
        </is>
      </c>
      <c r="AK14" t="inlineStr">
        <is>
          <t>Collection</t>
        </is>
      </c>
    </row>
    <row r="15" ht="48" customHeight="1" s="60">
      <c r="A15" s="68" t="inlineStr">
        <is>
          <t>MRE-04-DIALOG-005</t>
        </is>
      </c>
      <c r="B15" s="68" t="inlineStr">
        <is>
          <t>MR-04</t>
        </is>
      </c>
      <c r="C15" s="68" t="inlineStr">
        <is>
          <t>MR-P4</t>
        </is>
      </c>
      <c r="D15" s="69" t="inlineStr">
        <is>
          <t>Dialog</t>
        </is>
      </c>
      <c r="E15" s="69" t="inlineStr">
        <is>
          <t>desktop focus entry, trap, and restoration expectations; mobile screen-reader touch exploration is not qualified</t>
        </is>
      </c>
      <c r="F15" s="69" t="inlineStr">
        <is>
          <t>Dialog!ID-95 — mobile focus expectations</t>
        </is>
      </c>
      <c r="G15" s="70" t="inlineStr">
        <is>
          <t>narrow unsupported claim</t>
        </is>
      </c>
      <c r="H15" s="69" t="inlineStr">
        <is>
          <t>already adequately supported</t>
        </is>
      </c>
      <c r="I15" s="70" t="inlineStr">
        <is>
          <t>real device — iOS Safari</t>
        </is>
      </c>
      <c r="J15" s="68" t="inlineStr">
        <is>
          <t>iOS</t>
        </is>
      </c>
      <c r="K15" s="68" t="n"/>
      <c r="L15" s="68" t="inlineStr">
        <is>
          <t>Safari</t>
        </is>
      </c>
      <c r="M15" s="68" t="n"/>
      <c r="N15" s="68" t="n"/>
      <c r="O15" s="68" t="inlineStr">
        <is>
          <t>touch</t>
        </is>
      </c>
      <c r="P15" s="68" t="inlineStr">
        <is>
          <t>none</t>
        </is>
      </c>
      <c r="Q15" s="69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69" t="inlineStr">
        <is>
          <t>Focus enters, remains within, and returns from the Dialog according to the modal contract.</t>
        </is>
      </c>
      <c r="S15" s="69" t="n"/>
      <c r="T15" s="69" t="n"/>
      <c r="U15" s="71" t="inlineStr">
        <is>
          <t>not run</t>
        </is>
      </c>
      <c r="V15" s="68" t="n"/>
      <c r="W15" s="69" t="n"/>
      <c r="X15" s="69" t="inlineStr">
        <is>
          <t>Existing component coverage remains the verified desktop/manual baseline; this record is an additional device qualification.</t>
        </is>
      </c>
      <c r="Y15" s="71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t="inlineStr">
        <is>
          <t>MR-14</t>
        </is>
      </c>
      <c r="AK15" t="inlineStr">
        <is>
          <t>Combobox</t>
        </is>
      </c>
    </row>
    <row r="16" ht="48" customHeight="1" s="60">
      <c r="A16" s="68" t="inlineStr">
        <is>
          <t>MRE-04-DIALOG-006</t>
        </is>
      </c>
      <c r="B16" s="68" t="inlineStr">
        <is>
          <t>MR-04</t>
        </is>
      </c>
      <c r="C16" s="68" t="inlineStr">
        <is>
          <t>MR-P4</t>
        </is>
      </c>
      <c r="D16" s="69" t="inlineStr">
        <is>
          <t>Dialog</t>
        </is>
      </c>
      <c r="E16" s="69" t="inlineStr">
        <is>
          <t>desktop focus entry, trap, and restoration expectations; mobile screen-reader touch exploration is not qualified</t>
        </is>
      </c>
      <c r="F16" s="69" t="inlineStr">
        <is>
          <t>Dialog!ID-95 — mobile focus expectations</t>
        </is>
      </c>
      <c r="G16" s="70" t="inlineStr">
        <is>
          <t>narrow unsupported claim</t>
        </is>
      </c>
      <c r="H16" s="69" t="inlineStr">
        <is>
          <t>already adequately supported</t>
        </is>
      </c>
      <c r="I16" s="70" t="inlineStr">
        <is>
          <t>real device — Android Chrome</t>
        </is>
      </c>
      <c r="J16" s="68" t="inlineStr">
        <is>
          <t>Android</t>
        </is>
      </c>
      <c r="K16" s="68" t="n"/>
      <c r="L16" s="68" t="inlineStr">
        <is>
          <t>Chrome</t>
        </is>
      </c>
      <c r="M16" s="68" t="n"/>
      <c r="N16" s="68" t="n"/>
      <c r="O16" s="68" t="inlineStr">
        <is>
          <t>touch</t>
        </is>
      </c>
      <c r="P16" s="68" t="inlineStr">
        <is>
          <t>none</t>
        </is>
      </c>
      <c r="Q16" s="69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69" t="inlineStr">
        <is>
          <t>Focus enters, remains within, and returns from the Dialog according to the modal contract.</t>
        </is>
      </c>
      <c r="S16" s="69" t="n"/>
      <c r="T16" s="69" t="n"/>
      <c r="U16" s="71" t="inlineStr">
        <is>
          <t>not run</t>
        </is>
      </c>
      <c r="V16" s="68" t="n"/>
      <c r="W16" s="69" t="n"/>
      <c r="X16" s="69" t="inlineStr">
        <is>
          <t>Existing component coverage remains the verified desktop/manual baseline; this record is an additional device qualification.</t>
        </is>
      </c>
      <c r="Y16" s="71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t="inlineStr">
        <is>
          <t>MR-15</t>
        </is>
      </c>
      <c r="AK16" t="inlineStr">
        <is>
          <t>ContextMenu</t>
        </is>
      </c>
    </row>
    <row r="17" ht="48" customHeight="1" s="60">
      <c r="A17" s="68" t="inlineStr">
        <is>
          <t>MRE-04-MODAL-001</t>
        </is>
      </c>
      <c r="B17" s="68" t="inlineStr">
        <is>
          <t>MR-04</t>
        </is>
      </c>
      <c r="C17" s="68" t="inlineStr">
        <is>
          <t>MR-P4</t>
        </is>
      </c>
      <c r="D17" s="69" t="inlineStr">
        <is>
          <t>Modal</t>
        </is>
      </c>
      <c r="E17" s="69" t="inlineStr">
        <is>
          <t>desktop browser responsive smoke covers pointer, keyboard, focus, and layout-viewport behavior only</t>
        </is>
      </c>
      <c r="F17" s="69" t="inlineStr">
        <is>
          <t>Modal!ID-102 — mobile viewport/touch behavior</t>
        </is>
      </c>
      <c r="G17" s="70" t="inlineStr">
        <is>
          <t>narrow unsupported claim</t>
        </is>
      </c>
      <c r="H17" s="69" t="inlineStr">
        <is>
          <t>already adequately supported</t>
        </is>
      </c>
      <c r="I17" s="70" t="inlineStr">
        <is>
          <t>real device — iOS Safari</t>
        </is>
      </c>
      <c r="J17" s="68" t="inlineStr">
        <is>
          <t>iOS</t>
        </is>
      </c>
      <c r="K17" s="68" t="n"/>
      <c r="L17" s="68" t="inlineStr">
        <is>
          <t>Safari</t>
        </is>
      </c>
      <c r="M17" s="68" t="n"/>
      <c r="N17" s="68" t="n"/>
      <c r="O17" s="68" t="inlineStr">
        <is>
          <t>touch</t>
        </is>
      </c>
      <c r="P17" s="68" t="inlineStr">
        <is>
          <t>none</t>
        </is>
      </c>
      <c r="Q17" s="69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69" t="inlineStr">
        <is>
          <t>The modal interaction remains operable and focus remains contained on the named device.</t>
        </is>
      </c>
      <c r="S17" s="69" t="n"/>
      <c r="T17" s="69" t="n"/>
      <c r="U17" s="71" t="inlineStr">
        <is>
          <t>not run</t>
        </is>
      </c>
      <c r="V17" s="68" t="n"/>
      <c r="W17" s="69" t="n"/>
      <c r="X17" s="69" t="inlineStr">
        <is>
          <t>Existing component coverage remains the verified desktop/manual baseline; this record is an additional device qualification.</t>
        </is>
      </c>
      <c r="Y17" s="71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t="inlineStr">
        <is>
          <t>MR-16</t>
        </is>
      </c>
      <c r="AK17" t="inlineStr">
        <is>
          <t>DataGrid</t>
        </is>
      </c>
    </row>
    <row r="18" ht="48" customHeight="1" s="60">
      <c r="A18" s="68" t="inlineStr">
        <is>
          <t>MRE-04-MODAL-002</t>
        </is>
      </c>
      <c r="B18" s="68" t="inlineStr">
        <is>
          <t>MR-04</t>
        </is>
      </c>
      <c r="C18" s="68" t="inlineStr">
        <is>
          <t>MR-P4</t>
        </is>
      </c>
      <c r="D18" s="69" t="inlineStr">
        <is>
          <t>Modal</t>
        </is>
      </c>
      <c r="E18" s="69" t="inlineStr">
        <is>
          <t>desktop browser responsive smoke covers pointer, keyboard, focus, and layout-viewport behavior only</t>
        </is>
      </c>
      <c r="F18" s="69" t="inlineStr">
        <is>
          <t>Modal!ID-102 — mobile viewport/touch behavior</t>
        </is>
      </c>
      <c r="G18" s="70" t="inlineStr">
        <is>
          <t>narrow unsupported claim</t>
        </is>
      </c>
      <c r="H18" s="69" t="inlineStr">
        <is>
          <t>already adequately supported</t>
        </is>
      </c>
      <c r="I18" s="70" t="inlineStr">
        <is>
          <t>real device — Android Chrome</t>
        </is>
      </c>
      <c r="J18" s="68" t="inlineStr">
        <is>
          <t>Android</t>
        </is>
      </c>
      <c r="K18" s="68" t="n"/>
      <c r="L18" s="68" t="inlineStr">
        <is>
          <t>Chrome</t>
        </is>
      </c>
      <c r="M18" s="68" t="n"/>
      <c r="N18" s="68" t="n"/>
      <c r="O18" s="68" t="inlineStr">
        <is>
          <t>touch</t>
        </is>
      </c>
      <c r="P18" s="68" t="inlineStr">
        <is>
          <t>none</t>
        </is>
      </c>
      <c r="Q18" s="69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69" t="inlineStr">
        <is>
          <t>The modal interaction remains operable and focus remains contained on the named device.</t>
        </is>
      </c>
      <c r="S18" s="69" t="n"/>
      <c r="T18" s="69" t="n"/>
      <c r="U18" s="71" t="inlineStr">
        <is>
          <t>not run</t>
        </is>
      </c>
      <c r="V18" s="68" t="n"/>
      <c r="W18" s="69" t="n"/>
      <c r="X18" s="69" t="inlineStr">
        <is>
          <t>Existing component coverage remains the verified desktop/manual baseline; this record is an additional device qualification.</t>
        </is>
      </c>
      <c r="Y18" s="71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t="inlineStr">
        <is>
          <t>MR-17</t>
        </is>
      </c>
      <c r="AK18" t="inlineStr">
        <is>
          <t>Dialog</t>
        </is>
      </c>
    </row>
    <row r="19" ht="48" customHeight="1" s="60">
      <c r="A19" s="68" t="inlineStr">
        <is>
          <t>MRE-14-TOOLTIP-001</t>
        </is>
      </c>
      <c r="B19" s="68" t="inlineStr">
        <is>
          <t>MR-14</t>
        </is>
      </c>
      <c r="C19" s="68" t="inlineStr">
        <is>
          <t>MR-P1</t>
        </is>
      </c>
      <c r="D19" s="69" t="inlineStr">
        <is>
          <t>Tooltip</t>
        </is>
      </c>
      <c r="E19" s="69" t="inlineStr">
        <is>
          <t>opens on pointer hover and keyboard focus-visible</t>
        </is>
      </c>
      <c r="F19" s="69" t="inlineStr">
        <is>
          <t>Tooltip!ID-9 — Opens on pointer hover, keyboard focus-visible, and touch long press</t>
        </is>
      </c>
      <c r="G19" s="70" t="inlineStr">
        <is>
          <t>narrow unsupported claim</t>
        </is>
      </c>
      <c r="H19" s="69" t="inlineStr">
        <is>
          <t>confirmed Atom implementation gap</t>
        </is>
      </c>
      <c r="I19" s="70" t="inlineStr">
        <is>
          <t>real device — iOS Safari</t>
        </is>
      </c>
      <c r="J19" s="68" t="inlineStr">
        <is>
          <t>iOS</t>
        </is>
      </c>
      <c r="K19" s="68" t="n"/>
      <c r="L19" s="68" t="inlineStr">
        <is>
          <t>Safari</t>
        </is>
      </c>
      <c r="M19" s="68" t="n"/>
      <c r="N19" s="68" t="n"/>
      <c r="O19" s="68" t="inlineStr">
        <is>
          <t>touch</t>
        </is>
      </c>
      <c r="P19" s="68" t="inlineStr">
        <is>
          <t>none</t>
        </is>
      </c>
      <c r="Q19" s="69" t="inlineStr">
        <is>
          <t>On a named iOS device, exercise opens on pointer hover and keyboard focus-visible and record OS, browser version, device, date, and reproduction notes.</t>
        </is>
      </c>
      <c r="R19" s="69" t="inlineStr">
        <is>
          <t>A completed long press opens the Tooltip; movement, cancellation, and unmount prevent delayed opening.</t>
        </is>
      </c>
      <c r="S19" s="69" t="n"/>
      <c r="T19" s="69" t="n"/>
      <c r="U19" s="71" t="inlineStr">
        <is>
          <t>not run</t>
        </is>
      </c>
      <c r="V19" s="68" t="n"/>
      <c r="W19" s="69" t="n"/>
      <c r="X19" s="69" t="inlineStr">
        <is>
          <t>Existing component coverage remains the verified desktop/manual baseline; this record is an additional device qualification.</t>
        </is>
      </c>
      <c r="Y19" s="71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t="inlineStr">
        <is>
          <t>MR-18</t>
        </is>
      </c>
      <c r="AK19" t="inlineStr">
        <is>
          <t>Direction</t>
        </is>
      </c>
    </row>
    <row r="20" ht="48" customHeight="1" s="60">
      <c r="A20" s="68" t="inlineStr">
        <is>
          <t>MRE-14-TOOLTIP-002</t>
        </is>
      </c>
      <c r="B20" s="68" t="inlineStr">
        <is>
          <t>MR-14</t>
        </is>
      </c>
      <c r="C20" s="68" t="inlineStr">
        <is>
          <t>MR-P1</t>
        </is>
      </c>
      <c r="D20" s="69" t="inlineStr">
        <is>
          <t>Tooltip</t>
        </is>
      </c>
      <c r="E20" s="69" t="inlineStr">
        <is>
          <t>opens on pointer hover and keyboard focus-visible</t>
        </is>
      </c>
      <c r="F20" s="69" t="inlineStr">
        <is>
          <t>Tooltip!ID-9 — Opens on pointer hover, keyboard focus-visible, and touch long press</t>
        </is>
      </c>
      <c r="G20" s="70" t="inlineStr">
        <is>
          <t>narrow unsupported claim</t>
        </is>
      </c>
      <c r="H20" s="69" t="inlineStr">
        <is>
          <t>confirmed Atom implementation gap</t>
        </is>
      </c>
      <c r="I20" s="70" t="inlineStr">
        <is>
          <t>real device — Android Chrome</t>
        </is>
      </c>
      <c r="J20" s="68" t="inlineStr">
        <is>
          <t>Android</t>
        </is>
      </c>
      <c r="K20" s="68" t="n"/>
      <c r="L20" s="68" t="inlineStr">
        <is>
          <t>Chrome</t>
        </is>
      </c>
      <c r="M20" s="68" t="n"/>
      <c r="N20" s="68" t="n"/>
      <c r="O20" s="68" t="inlineStr">
        <is>
          <t>touch</t>
        </is>
      </c>
      <c r="P20" s="68" t="inlineStr">
        <is>
          <t>none</t>
        </is>
      </c>
      <c r="Q20" s="69" t="inlineStr">
        <is>
          <t>On a named Android device, exercise opens on pointer hover and keyboard focus-visible and record OS, browser version, device, date, and reproduction notes.</t>
        </is>
      </c>
      <c r="R20" s="69" t="inlineStr">
        <is>
          <t>A completed long press opens the Tooltip; movement, cancellation, and unmount prevent delayed opening.</t>
        </is>
      </c>
      <c r="S20" s="69" t="n"/>
      <c r="T20" s="69" t="n"/>
      <c r="U20" s="71" t="inlineStr">
        <is>
          <t>not run</t>
        </is>
      </c>
      <c r="V20" s="68" t="n"/>
      <c r="W20" s="69" t="n"/>
      <c r="X20" s="69" t="inlineStr">
        <is>
          <t>Existing component coverage remains the verified desktop/manual baseline; this record is an additional device qualification.</t>
        </is>
      </c>
      <c r="Y20" s="71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t="inlineStr">
        <is>
          <t>MR-19</t>
        </is>
      </c>
      <c r="AK20" t="inlineStr">
        <is>
          <t>Divider</t>
        </is>
      </c>
    </row>
    <row r="21" ht="48" customHeight="1" s="60">
      <c r="A21" s="68" t="inlineStr">
        <is>
          <t>MRE-14-TOOLTIP-003</t>
        </is>
      </c>
      <c r="B21" s="68" t="inlineStr">
        <is>
          <t>MR-14</t>
        </is>
      </c>
      <c r="C21" s="68" t="inlineStr">
        <is>
          <t>MR-P1</t>
        </is>
      </c>
      <c r="D21" s="69" t="inlineStr">
        <is>
          <t>Tooltip</t>
        </is>
      </c>
      <c r="E21" s="69" t="inlineStr">
        <is>
          <t>desktop responsive smoke only; mobile touch and viewport behavior is not qualified</t>
        </is>
      </c>
      <c r="F21" s="69" t="inlineStr">
        <is>
          <t>Tooltip!ID-78 — mobile viewport/touch behavior</t>
        </is>
      </c>
      <c r="G21" s="70" t="inlineStr">
        <is>
          <t>narrow unsupported claim</t>
        </is>
      </c>
      <c r="H21" s="69" t="inlineStr">
        <is>
          <t>confirmed Atom implementation gap</t>
        </is>
      </c>
      <c r="I21" s="70" t="inlineStr">
        <is>
          <t>real device — iOS Safari</t>
        </is>
      </c>
      <c r="J21" s="68" t="inlineStr">
        <is>
          <t>iOS</t>
        </is>
      </c>
      <c r="K21" s="68" t="n"/>
      <c r="L21" s="68" t="inlineStr">
        <is>
          <t>Safari</t>
        </is>
      </c>
      <c r="M21" s="68" t="n"/>
      <c r="N21" s="68" t="n"/>
      <c r="O21" s="68" t="inlineStr">
        <is>
          <t>touch</t>
        </is>
      </c>
      <c r="P21" s="68" t="inlineStr">
        <is>
          <t>none</t>
        </is>
      </c>
      <c r="Q21" s="69" t="inlineStr">
        <is>
          <t>On a named iOS device, exercise desktop responsive smoke only; mobile touch and viewport behavior is not qualified and record OS, browser version, device, date, and reproduction notes.</t>
        </is>
      </c>
      <c r="R21" s="69" t="inlineStr">
        <is>
          <t>Tooltip touch activation and cancellation follow the documented contract without affecting scrolling.</t>
        </is>
      </c>
      <c r="S21" s="69" t="n"/>
      <c r="T21" s="69" t="n"/>
      <c r="U21" s="71" t="inlineStr">
        <is>
          <t>not run</t>
        </is>
      </c>
      <c r="V21" s="68" t="n"/>
      <c r="W21" s="69" t="n"/>
      <c r="X21" s="69" t="inlineStr">
        <is>
          <t>Existing component coverage remains the verified desktop/manual baseline; this record is an additional device qualification.</t>
        </is>
      </c>
      <c r="Y21" s="71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t="inlineStr">
        <is>
          <t>MR-20</t>
        </is>
      </c>
      <c r="AK21" t="inlineStr">
        <is>
          <t>Drawer</t>
        </is>
      </c>
    </row>
    <row r="22" ht="48" customHeight="1" s="60">
      <c r="A22" s="68" t="inlineStr">
        <is>
          <t>MRE-14-TOOLTIP-004</t>
        </is>
      </c>
      <c r="B22" s="68" t="inlineStr">
        <is>
          <t>MR-14</t>
        </is>
      </c>
      <c r="C22" s="68" t="inlineStr">
        <is>
          <t>MR-P1</t>
        </is>
      </c>
      <c r="D22" s="69" t="inlineStr">
        <is>
          <t>Tooltip</t>
        </is>
      </c>
      <c r="E22" s="69" t="inlineStr">
        <is>
          <t>desktop responsive smoke only; mobile touch and viewport behavior is not qualified</t>
        </is>
      </c>
      <c r="F22" s="69" t="inlineStr">
        <is>
          <t>Tooltip!ID-78 — mobile viewport/touch behavior</t>
        </is>
      </c>
      <c r="G22" s="70" t="inlineStr">
        <is>
          <t>narrow unsupported claim</t>
        </is>
      </c>
      <c r="H22" s="69" t="inlineStr">
        <is>
          <t>confirmed Atom implementation gap</t>
        </is>
      </c>
      <c r="I22" s="70" t="inlineStr">
        <is>
          <t>real device — Android Chrome</t>
        </is>
      </c>
      <c r="J22" s="68" t="inlineStr">
        <is>
          <t>Android</t>
        </is>
      </c>
      <c r="K22" s="68" t="n"/>
      <c r="L22" s="68" t="inlineStr">
        <is>
          <t>Chrome</t>
        </is>
      </c>
      <c r="M22" s="68" t="n"/>
      <c r="N22" s="68" t="n"/>
      <c r="O22" s="68" t="inlineStr">
        <is>
          <t>touch</t>
        </is>
      </c>
      <c r="P22" s="68" t="inlineStr">
        <is>
          <t>none</t>
        </is>
      </c>
      <c r="Q22" s="69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69" t="inlineStr">
        <is>
          <t>Tooltip touch activation and cancellation follow the documented contract without affecting scrolling.</t>
        </is>
      </c>
      <c r="S22" s="69" t="n"/>
      <c r="T22" s="69" t="n"/>
      <c r="U22" s="71" t="inlineStr">
        <is>
          <t>not run</t>
        </is>
      </c>
      <c r="V22" s="68" t="n"/>
      <c r="W22" s="69" t="n"/>
      <c r="X22" s="69" t="inlineStr">
        <is>
          <t>Existing component coverage remains the verified desktop/manual baseline; this record is an additional device qualification.</t>
        </is>
      </c>
      <c r="Y22" s="71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t="inlineStr">
        <is>
          <t>MR-21</t>
        </is>
      </c>
      <c r="AK22" t="inlineStr">
        <is>
          <t>DropdownMenu</t>
        </is>
      </c>
    </row>
    <row r="23" ht="48" customHeight="1" s="60">
      <c r="A23" s="68" t="inlineStr">
        <is>
          <t>MRE-01-TOOLTIP-001</t>
        </is>
      </c>
      <c r="B23" s="68" t="inlineStr">
        <is>
          <t>MR-01</t>
        </is>
      </c>
      <c r="C23" s="68" t="inlineStr">
        <is>
          <t>MR-P5</t>
        </is>
      </c>
      <c r="D23" s="69" t="inlineStr">
        <is>
          <t>Tooltip</t>
        </is>
      </c>
      <c r="E23" s="69" t="inlineStr">
        <is>
          <t>collision, flip, and shift stay within the manually tested desktop layout viewport</t>
        </is>
      </c>
      <c r="F23" s="69" t="inlineStr">
        <is>
          <t>Tooltip!ID-83 — collision/flip/shift behavior stays in viewport</t>
        </is>
      </c>
      <c r="G23" s="70" t="inlineStr">
        <is>
          <t>narrow unsupported claim</t>
        </is>
      </c>
      <c r="H23" s="69" t="inlineStr">
        <is>
          <t>requires browser validation before concluding</t>
        </is>
      </c>
      <c r="I23" s="70" t="inlineStr">
        <is>
          <t>real device — iOS Safari</t>
        </is>
      </c>
      <c r="J23" s="68" t="inlineStr">
        <is>
          <t>iOS</t>
        </is>
      </c>
      <c r="K23" s="68" t="n"/>
      <c r="L23" s="68" t="inlineStr">
        <is>
          <t>Safari</t>
        </is>
      </c>
      <c r="M23" s="68" t="n"/>
      <c r="N23" s="68" t="n"/>
      <c r="O23" s="68" t="inlineStr">
        <is>
          <t>visual viewport</t>
        </is>
      </c>
      <c r="P23" s="68" t="inlineStr">
        <is>
          <t>none</t>
        </is>
      </c>
      <c r="Q23" s="69" t="inlineStr">
        <is>
          <t>On a named iOS device, exercise collision, flip, and shift stay within the manually tested desktop layout viewport and record OS, browser version, device, date, and reproduction notes.</t>
        </is>
      </c>
      <c r="R23" s="69" t="inlineStr">
        <is>
          <t>The Tooltip remains visible and correctly anchored during named mobile viewport changes.</t>
        </is>
      </c>
      <c r="S23" s="69" t="n"/>
      <c r="T23" s="69" t="n"/>
      <c r="U23" s="71" t="inlineStr">
        <is>
          <t>not run</t>
        </is>
      </c>
      <c r="V23" s="68" t="n"/>
      <c r="W23" s="69" t="n"/>
      <c r="X23" s="69" t="inlineStr">
        <is>
          <t>Existing component coverage remains the verified desktop/manual baseline; this record is an additional device qualification.</t>
        </is>
      </c>
      <c r="Y23" s="71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t="inlineStr">
        <is>
          <t>MR-22</t>
        </is>
      </c>
      <c r="AK23" t="inlineStr">
        <is>
          <t>Feed</t>
        </is>
      </c>
    </row>
    <row r="24" ht="48" customHeight="1" s="60">
      <c r="A24" s="68" t="inlineStr">
        <is>
          <t>MRE-01-TOOLTIP-002</t>
        </is>
      </c>
      <c r="B24" s="68" t="inlineStr">
        <is>
          <t>MR-01</t>
        </is>
      </c>
      <c r="C24" s="68" t="inlineStr">
        <is>
          <t>MR-P5</t>
        </is>
      </c>
      <c r="D24" s="69" t="inlineStr">
        <is>
          <t>Tooltip</t>
        </is>
      </c>
      <c r="E24" s="69" t="inlineStr">
        <is>
          <t>collision, flip, and shift stay within the manually tested desktop layout viewport</t>
        </is>
      </c>
      <c r="F24" s="69" t="inlineStr">
        <is>
          <t>Tooltip!ID-83 — collision/flip/shift behavior stays in viewport</t>
        </is>
      </c>
      <c r="G24" s="70" t="inlineStr">
        <is>
          <t>narrow unsupported claim</t>
        </is>
      </c>
      <c r="H24" s="69" t="inlineStr">
        <is>
          <t>requires browser validation before concluding</t>
        </is>
      </c>
      <c r="I24" s="70" t="inlineStr">
        <is>
          <t>real device — Android Chrome</t>
        </is>
      </c>
      <c r="J24" s="68" t="inlineStr">
        <is>
          <t>Android</t>
        </is>
      </c>
      <c r="K24" s="68" t="n"/>
      <c r="L24" s="68" t="inlineStr">
        <is>
          <t>Chrome</t>
        </is>
      </c>
      <c r="M24" s="68" t="n"/>
      <c r="N24" s="68" t="n"/>
      <c r="O24" s="68" t="inlineStr">
        <is>
          <t>visual viewport</t>
        </is>
      </c>
      <c r="P24" s="68" t="inlineStr">
        <is>
          <t>none</t>
        </is>
      </c>
      <c r="Q24" s="69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69" t="inlineStr">
        <is>
          <t>The Tooltip remains visible and correctly anchored during named mobile viewport changes.</t>
        </is>
      </c>
      <c r="S24" s="69" t="n"/>
      <c r="T24" s="69" t="n"/>
      <c r="U24" s="71" t="inlineStr">
        <is>
          <t>not run</t>
        </is>
      </c>
      <c r="V24" s="68" t="n"/>
      <c r="W24" s="69" t="n"/>
      <c r="X24" s="69" t="inlineStr">
        <is>
          <t>Existing component coverage remains the verified desktop/manual baseline; this record is an additional device qualification.</t>
        </is>
      </c>
      <c r="Y24" s="71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t="inlineStr">
        <is>
          <t>Field</t>
        </is>
      </c>
    </row>
    <row r="25" ht="48" customHeight="1" s="60">
      <c r="A25" s="68" t="inlineStr">
        <is>
          <t>MRE-03-POPOVER-001</t>
        </is>
      </c>
      <c r="B25" s="68" t="inlineStr">
        <is>
          <t>MR-03</t>
        </is>
      </c>
      <c r="C25" s="68" t="inlineStr">
        <is>
          <t>MR-P2</t>
        </is>
      </c>
      <c r="D25" s="69" t="inlineStr">
        <is>
          <t>Popover</t>
        </is>
      </c>
      <c r="E25" s="69" t="inlineStr">
        <is>
          <t>desktop browser manual workflow covers pointer and keyboard; responsive mode is smoke only and is not mobile-device evidence</t>
        </is>
      </c>
      <c r="F25" s="69" t="inlineStr">
        <is>
          <t>Popover!ID-125 — desktop browser manual workflow covers pointer and keyboard behavior; mobile touch remains responsive smoke only</t>
        </is>
      </c>
      <c r="G25" s="70" t="inlineStr">
        <is>
          <t>narrow unsupported claim</t>
        </is>
      </c>
      <c r="H25" s="69" t="inlineStr">
        <is>
          <t>confirmed Atom implementation gap</t>
        </is>
      </c>
      <c r="I25" s="70" t="inlineStr">
        <is>
          <t>real device — iOS Safari</t>
        </is>
      </c>
      <c r="J25" s="68" t="inlineStr">
        <is>
          <t>iOS</t>
        </is>
      </c>
      <c r="K25" s="68" t="n"/>
      <c r="L25" s="68" t="inlineStr">
        <is>
          <t>Safari</t>
        </is>
      </c>
      <c r="M25" s="68" t="n"/>
      <c r="N25" s="68" t="n"/>
      <c r="O25" s="68" t="inlineStr">
        <is>
          <t>touch</t>
        </is>
      </c>
      <c r="P25" s="68" t="inlineStr">
        <is>
          <t>none</t>
        </is>
      </c>
      <c r="Q25" s="69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69" t="inlineStr">
        <is>
          <t>Long modal Popover content scrolls while background containment remains correct on the named device.</t>
        </is>
      </c>
      <c r="S25" s="69" t="n"/>
      <c r="T25" s="69" t="n"/>
      <c r="U25" s="71" t="inlineStr">
        <is>
          <t>not run</t>
        </is>
      </c>
      <c r="V25" s="68" t="n"/>
      <c r="W25" s="69" t="n"/>
      <c r="X25" s="69" t="inlineStr">
        <is>
          <t>Existing component coverage remains the verified desktop/manual baseline; this record is an additional device qualification.</t>
        </is>
      </c>
      <c r="Y25" s="71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t="inlineStr">
        <is>
          <t>Fieldset</t>
        </is>
      </c>
    </row>
    <row r="26" ht="48" customHeight="1" s="60">
      <c r="A26" s="68" t="inlineStr">
        <is>
          <t>MRE-03-POPOVER-002</t>
        </is>
      </c>
      <c r="B26" s="68" t="inlineStr">
        <is>
          <t>MR-03</t>
        </is>
      </c>
      <c r="C26" s="68" t="inlineStr">
        <is>
          <t>MR-P2</t>
        </is>
      </c>
      <c r="D26" s="69" t="inlineStr">
        <is>
          <t>Popover</t>
        </is>
      </c>
      <c r="E26" s="69" t="inlineStr">
        <is>
          <t>desktop browser manual workflow covers pointer and keyboard; responsive mode is smoke only and is not mobile-device evidence</t>
        </is>
      </c>
      <c r="F26" s="69" t="inlineStr">
        <is>
          <t>Popover!ID-125 — desktop browser manual workflow covers pointer and keyboard behavior; mobile touch remains responsive smoke only</t>
        </is>
      </c>
      <c r="G26" s="70" t="inlineStr">
        <is>
          <t>narrow unsupported claim</t>
        </is>
      </c>
      <c r="H26" s="69" t="inlineStr">
        <is>
          <t>confirmed Atom implementation gap</t>
        </is>
      </c>
      <c r="I26" s="70" t="inlineStr">
        <is>
          <t>real device — Android Chrome</t>
        </is>
      </c>
      <c r="J26" s="68" t="inlineStr">
        <is>
          <t>Android</t>
        </is>
      </c>
      <c r="K26" s="68" t="n"/>
      <c r="L26" s="68" t="inlineStr">
        <is>
          <t>Chrome</t>
        </is>
      </c>
      <c r="M26" s="68" t="n"/>
      <c r="N26" s="68" t="n"/>
      <c r="O26" s="68" t="inlineStr">
        <is>
          <t>touch</t>
        </is>
      </c>
      <c r="P26" s="68" t="inlineStr">
        <is>
          <t>none</t>
        </is>
      </c>
      <c r="Q26" s="69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69" t="inlineStr">
        <is>
          <t>Long modal Popover content scrolls while background containment remains correct on the named device.</t>
        </is>
      </c>
      <c r="S26" s="69" t="n"/>
      <c r="T26" s="69" t="n"/>
      <c r="U26" s="71" t="inlineStr">
        <is>
          <t>not run</t>
        </is>
      </c>
      <c r="V26" s="68" t="n"/>
      <c r="W26" s="69" t="n"/>
      <c r="X26" s="69" t="inlineStr">
        <is>
          <t>Existing component coverage remains the verified desktop/manual baseline; this record is an additional device qualification.</t>
        </is>
      </c>
      <c r="Y26" s="71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t="inlineStr">
        <is>
          <t>FileUpload</t>
        </is>
      </c>
    </row>
    <row r="27" ht="48" customHeight="1" s="60">
      <c r="A27" s="68" t="inlineStr">
        <is>
          <t>MRE-01-POPOVER-001</t>
        </is>
      </c>
      <c r="B27" s="68" t="inlineStr">
        <is>
          <t>MR-01</t>
        </is>
      </c>
      <c r="C27" s="68" t="inlineStr">
        <is>
          <t>MR-P5</t>
        </is>
      </c>
      <c r="D27" s="69" t="inlineStr">
        <is>
          <t>Popover</t>
        </is>
      </c>
      <c r="E27" s="69" t="inlineStr">
        <is>
          <t>collision, flip, and shift stay within the manually tested desktop layout viewport</t>
        </is>
      </c>
      <c r="F27" s="69" t="inlineStr">
        <is>
          <t>Popover!ID-130 — collision/flip/shift behavior stays in viewport</t>
        </is>
      </c>
      <c r="G27" s="70" t="inlineStr">
        <is>
          <t>narrow unsupported claim</t>
        </is>
      </c>
      <c r="H27" s="69" t="inlineStr">
        <is>
          <t>requires browser validation before concluding</t>
        </is>
      </c>
      <c r="I27" s="70" t="inlineStr">
        <is>
          <t>real device — iOS Safari</t>
        </is>
      </c>
      <c r="J27" s="68" t="inlineStr">
        <is>
          <t>iOS</t>
        </is>
      </c>
      <c r="K27" s="68" t="n"/>
      <c r="L27" s="68" t="inlineStr">
        <is>
          <t>Safari</t>
        </is>
      </c>
      <c r="M27" s="68" t="n"/>
      <c r="N27" s="68" t="n"/>
      <c r="O27" s="68" t="inlineStr">
        <is>
          <t>visual viewport</t>
        </is>
      </c>
      <c r="P27" s="68" t="inlineStr">
        <is>
          <t>none</t>
        </is>
      </c>
      <c r="Q27" s="69" t="inlineStr">
        <is>
          <t>On a named iOS device, exercise collision, flip, and shift stay within the manually tested desktop layout viewport and record OS, browser version, device, date, and reproduction notes.</t>
        </is>
      </c>
      <c r="R27" s="69" t="inlineStr">
        <is>
          <t>Popover content remains reachable and correctly anchored during named mobile viewport changes.</t>
        </is>
      </c>
      <c r="S27" s="69" t="n"/>
      <c r="T27" s="69" t="n"/>
      <c r="U27" s="71" t="inlineStr">
        <is>
          <t>not run</t>
        </is>
      </c>
      <c r="V27" s="68" t="n"/>
      <c r="W27" s="69" t="n"/>
      <c r="X27" s="69" t="inlineStr">
        <is>
          <t>Existing component coverage remains the verified desktop/manual baseline; this record is an additional device qualification.</t>
        </is>
      </c>
      <c r="Y27" s="71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t="inlineStr">
        <is>
          <t>Form</t>
        </is>
      </c>
    </row>
    <row r="28" ht="48" customHeight="1" s="60">
      <c r="A28" s="68" t="inlineStr">
        <is>
          <t>MRE-01-POPOVER-002</t>
        </is>
      </c>
      <c r="B28" s="68" t="inlineStr">
        <is>
          <t>MR-01</t>
        </is>
      </c>
      <c r="C28" s="68" t="inlineStr">
        <is>
          <t>MR-P5</t>
        </is>
      </c>
      <c r="D28" s="69" t="inlineStr">
        <is>
          <t>Popover</t>
        </is>
      </c>
      <c r="E28" s="69" t="inlineStr">
        <is>
          <t>collision, flip, and shift stay within the manually tested desktop layout viewport</t>
        </is>
      </c>
      <c r="F28" s="69" t="inlineStr">
        <is>
          <t>Popover!ID-130 — collision/flip/shift behavior stays in viewport</t>
        </is>
      </c>
      <c r="G28" s="70" t="inlineStr">
        <is>
          <t>narrow unsupported claim</t>
        </is>
      </c>
      <c r="H28" s="69" t="inlineStr">
        <is>
          <t>requires browser validation before concluding</t>
        </is>
      </c>
      <c r="I28" s="70" t="inlineStr">
        <is>
          <t>real device — Android Chrome</t>
        </is>
      </c>
      <c r="J28" s="68" t="inlineStr">
        <is>
          <t>Android</t>
        </is>
      </c>
      <c r="K28" s="68" t="n"/>
      <c r="L28" s="68" t="inlineStr">
        <is>
          <t>Chrome</t>
        </is>
      </c>
      <c r="M28" s="68" t="n"/>
      <c r="N28" s="68" t="n"/>
      <c r="O28" s="68" t="inlineStr">
        <is>
          <t>visual viewport</t>
        </is>
      </c>
      <c r="P28" s="68" t="inlineStr">
        <is>
          <t>none</t>
        </is>
      </c>
      <c r="Q28" s="69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69" t="inlineStr">
        <is>
          <t>Popover content remains reachable and correctly anchored during named mobile viewport changes.</t>
        </is>
      </c>
      <c r="S28" s="69" t="n"/>
      <c r="T28" s="69" t="n"/>
      <c r="U28" s="71" t="inlineStr">
        <is>
          <t>not run</t>
        </is>
      </c>
      <c r="V28" s="68" t="n"/>
      <c r="W28" s="69" t="n"/>
      <c r="X28" s="69" t="inlineStr">
        <is>
          <t>Existing component coverage remains the verified desktop/manual baseline; this record is an additional device qualification.</t>
        </is>
      </c>
      <c r="Y28" s="71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t="inlineStr">
        <is>
          <t>HoverCard</t>
        </is>
      </c>
    </row>
    <row r="29" ht="48" customHeight="1" s="60">
      <c r="A29" s="68" t="inlineStr">
        <is>
          <t>MRE-01-SELECT-001</t>
        </is>
      </c>
      <c r="B29" s="68" t="inlineStr">
        <is>
          <t>MR-01</t>
        </is>
      </c>
      <c r="C29" s="68" t="inlineStr">
        <is>
          <t>MR-P5</t>
        </is>
      </c>
      <c r="D29" s="69" t="inlineStr">
        <is>
          <t>Select</t>
        </is>
      </c>
      <c r="E29" s="69" t="inlineStr">
        <is>
          <t>flips and shifts near the edge of the manually tested desktop layout viewport</t>
        </is>
      </c>
      <c r="F29" s="69" t="inlineStr">
        <is>
          <t>Select!ID-82 — flips/shifts near viewport edge</t>
        </is>
      </c>
      <c r="G29" s="70" t="inlineStr">
        <is>
          <t>narrow unsupported claim</t>
        </is>
      </c>
      <c r="H29" s="69" t="inlineStr">
        <is>
          <t>requires browser validation before concluding</t>
        </is>
      </c>
      <c r="I29" s="70" t="inlineStr">
        <is>
          <t>real device — iOS Safari</t>
        </is>
      </c>
      <c r="J29" s="68" t="inlineStr">
        <is>
          <t>iOS</t>
        </is>
      </c>
      <c r="K29" s="68" t="n"/>
      <c r="L29" s="68" t="inlineStr">
        <is>
          <t>Safari</t>
        </is>
      </c>
      <c r="M29" s="68" t="n"/>
      <c r="N29" s="68" t="n"/>
      <c r="O29" s="68" t="inlineStr">
        <is>
          <t>visual viewport</t>
        </is>
      </c>
      <c r="P29" s="68" t="inlineStr">
        <is>
          <t>none</t>
        </is>
      </c>
      <c r="Q29" s="69" t="inlineStr">
        <is>
          <t>On a named iOS device, exercise flips and shifts near the edge of the manually tested desktop layout viewport and record OS, browser version, device, date, and reproduction notes.</t>
        </is>
      </c>
      <c r="R29" s="69" t="inlineStr">
        <is>
          <t>Select content stays reachable and correctly positioned at device viewport edges.</t>
        </is>
      </c>
      <c r="S29" s="69" t="n"/>
      <c r="T29" s="69" t="n"/>
      <c r="U29" s="71" t="inlineStr">
        <is>
          <t>not run</t>
        </is>
      </c>
      <c r="V29" s="68" t="n"/>
      <c r="W29" s="69" t="n"/>
      <c r="X29" s="69" t="inlineStr">
        <is>
          <t>Existing component coverage remains the verified desktop/manual baseline; this record is an additional device qualification.</t>
        </is>
      </c>
      <c r="Y29" s="71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t="inlineStr">
        <is>
          <t>Input</t>
        </is>
      </c>
    </row>
    <row r="30" ht="48" customHeight="1" s="60">
      <c r="A30" s="68" t="inlineStr">
        <is>
          <t>MRE-01-SELECT-002</t>
        </is>
      </c>
      <c r="B30" s="68" t="inlineStr">
        <is>
          <t>MR-01</t>
        </is>
      </c>
      <c r="C30" s="68" t="inlineStr">
        <is>
          <t>MR-P5</t>
        </is>
      </c>
      <c r="D30" s="69" t="inlineStr">
        <is>
          <t>Select</t>
        </is>
      </c>
      <c r="E30" s="69" t="inlineStr">
        <is>
          <t>flips and shifts near the edge of the manually tested desktop layout viewport</t>
        </is>
      </c>
      <c r="F30" s="69" t="inlineStr">
        <is>
          <t>Select!ID-82 — flips/shifts near viewport edge</t>
        </is>
      </c>
      <c r="G30" s="70" t="inlineStr">
        <is>
          <t>narrow unsupported claim</t>
        </is>
      </c>
      <c r="H30" s="69" t="inlineStr">
        <is>
          <t>requires browser validation before concluding</t>
        </is>
      </c>
      <c r="I30" s="70" t="inlineStr">
        <is>
          <t>real device — Android Chrome</t>
        </is>
      </c>
      <c r="J30" s="68" t="inlineStr">
        <is>
          <t>Android</t>
        </is>
      </c>
      <c r="K30" s="68" t="n"/>
      <c r="L30" s="68" t="inlineStr">
        <is>
          <t>Chrome</t>
        </is>
      </c>
      <c r="M30" s="68" t="n"/>
      <c r="N30" s="68" t="n"/>
      <c r="O30" s="68" t="inlineStr">
        <is>
          <t>visual viewport</t>
        </is>
      </c>
      <c r="P30" s="68" t="inlineStr">
        <is>
          <t>none</t>
        </is>
      </c>
      <c r="Q30" s="69" t="inlineStr">
        <is>
          <t>On a named Android device, exercise flips and shifts near the edge of the manually tested desktop layout viewport and record OS, browser version, device, date, and reproduction notes.</t>
        </is>
      </c>
      <c r="R30" s="69" t="inlineStr">
        <is>
          <t>Select content stays reachable and correctly positioned at device viewport edges.</t>
        </is>
      </c>
      <c r="S30" s="69" t="n"/>
      <c r="T30" s="69" t="n"/>
      <c r="U30" s="71" t="inlineStr">
        <is>
          <t>not run</t>
        </is>
      </c>
      <c r="V30" s="68" t="n"/>
      <c r="W30" s="69" t="n"/>
      <c r="X30" s="69" t="inlineStr">
        <is>
          <t>Existing component coverage remains the verified desktop/manual baseline; this record is an additional device qualification.</t>
        </is>
      </c>
      <c r="Y30" s="71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t="inlineStr">
        <is>
          <t>Label</t>
        </is>
      </c>
    </row>
    <row r="31" ht="48" customHeight="1" s="60">
      <c r="A31" s="68" t="inlineStr">
        <is>
          <t>MRE-06-SELECT-001</t>
        </is>
      </c>
      <c r="B31" s="68" t="inlineStr">
        <is>
          <t>MR-06</t>
        </is>
      </c>
      <c r="C31" s="68" t="inlineStr">
        <is>
          <t>MR-P3</t>
        </is>
      </c>
      <c r="D31" s="69" t="inlineStr">
        <is>
          <t>Select</t>
        </is>
      </c>
      <c r="E31" s="69" t="inlineStr">
        <is>
          <t>pointer/click trigger activation opens Select in the existing desktop manual scenario</t>
        </is>
      </c>
      <c r="F31" s="69" t="inlineStr">
        <is>
          <t>Select!ID-159 — tap trigger opens</t>
        </is>
      </c>
      <c r="G31" s="70" t="inlineStr">
        <is>
          <t>narrow unsupported claim</t>
        </is>
      </c>
      <c r="H31" s="69" t="inlineStr">
        <is>
          <t>confirmed Atom implementation gap</t>
        </is>
      </c>
      <c r="I31" s="70" t="inlineStr">
        <is>
          <t>real device — iOS Safari</t>
        </is>
      </c>
      <c r="J31" s="68" t="inlineStr">
        <is>
          <t>iOS</t>
        </is>
      </c>
      <c r="K31" s="68" t="n"/>
      <c r="L31" s="68" t="inlineStr">
        <is>
          <t>Safari</t>
        </is>
      </c>
      <c r="M31" s="68" t="n"/>
      <c r="N31" s="68" t="n"/>
      <c r="O31" s="68" t="inlineStr">
        <is>
          <t>touch</t>
        </is>
      </c>
      <c r="P31" s="68" t="inlineStr">
        <is>
          <t>none</t>
        </is>
      </c>
      <c r="Q31" s="69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69" t="inlineStr">
        <is>
          <t>A device tap opens Select once without conflicting dismissal or focus ordering.</t>
        </is>
      </c>
      <c r="S31" s="69" t="n"/>
      <c r="T31" s="69" t="n"/>
      <c r="U31" s="71" t="inlineStr">
        <is>
          <t>not run</t>
        </is>
      </c>
      <c r="V31" s="68" t="n"/>
      <c r="W31" s="69" t="n"/>
      <c r="X31" s="69" t="inlineStr">
        <is>
          <t>Existing component coverage remains the verified desktop/manual baseline; this record is an additional device qualification.</t>
        </is>
      </c>
      <c r="Y31" s="71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t="inlineStr">
        <is>
          <t>List</t>
        </is>
      </c>
    </row>
    <row r="32" ht="48" customHeight="1" s="60">
      <c r="A32" s="68" t="inlineStr">
        <is>
          <t>MRE-06-SELECT-002</t>
        </is>
      </c>
      <c r="B32" s="68" t="inlineStr">
        <is>
          <t>MR-06</t>
        </is>
      </c>
      <c r="C32" s="68" t="inlineStr">
        <is>
          <t>MR-P3</t>
        </is>
      </c>
      <c r="D32" s="69" t="inlineStr">
        <is>
          <t>Select</t>
        </is>
      </c>
      <c r="E32" s="69" t="inlineStr">
        <is>
          <t>pointer/click trigger activation opens Select in the existing desktop manual scenario</t>
        </is>
      </c>
      <c r="F32" s="69" t="inlineStr">
        <is>
          <t>Select!ID-159 — tap trigger opens</t>
        </is>
      </c>
      <c r="G32" s="70" t="inlineStr">
        <is>
          <t>narrow unsupported claim</t>
        </is>
      </c>
      <c r="H32" s="69" t="inlineStr">
        <is>
          <t>confirmed Atom implementation gap</t>
        </is>
      </c>
      <c r="I32" s="70" t="inlineStr">
        <is>
          <t>real device — Android Chrome</t>
        </is>
      </c>
      <c r="J32" s="68" t="inlineStr">
        <is>
          <t>Android</t>
        </is>
      </c>
      <c r="K32" s="68" t="n"/>
      <c r="L32" s="68" t="inlineStr">
        <is>
          <t>Chrome</t>
        </is>
      </c>
      <c r="M32" s="68" t="n"/>
      <c r="N32" s="68" t="n"/>
      <c r="O32" s="68" t="inlineStr">
        <is>
          <t>touch</t>
        </is>
      </c>
      <c r="P32" s="68" t="inlineStr">
        <is>
          <t>none</t>
        </is>
      </c>
      <c r="Q32" s="69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69" t="inlineStr">
        <is>
          <t>A device tap opens Select once without conflicting dismissal or focus ordering.</t>
        </is>
      </c>
      <c r="S32" s="69" t="n"/>
      <c r="T32" s="69" t="n"/>
      <c r="U32" s="71" t="inlineStr">
        <is>
          <t>not run</t>
        </is>
      </c>
      <c r="V32" s="68" t="n"/>
      <c r="W32" s="69" t="n"/>
      <c r="X32" s="69" t="inlineStr">
        <is>
          <t>Existing component coverage remains the verified desktop/manual baseline; this record is an additional device qualification.</t>
        </is>
      </c>
      <c r="Y32" s="71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t="inlineStr">
        <is>
          <t>Listbox</t>
        </is>
      </c>
    </row>
    <row r="33" ht="48" customHeight="1" s="60">
      <c r="A33" s="68" t="inlineStr">
        <is>
          <t>MRE-06-SELECT-003</t>
        </is>
      </c>
      <c r="B33" s="68" t="inlineStr">
        <is>
          <t>MR-06</t>
        </is>
      </c>
      <c r="C33" s="68" t="inlineStr">
        <is>
          <t>MR-P3</t>
        </is>
      </c>
      <c r="D33" s="69" t="inlineStr">
        <is>
          <t>Select</t>
        </is>
      </c>
      <c r="E33" s="69" t="inlineStr">
        <is>
          <t>pointer/click item activation selects in the existing desktop manual scenario</t>
        </is>
      </c>
      <c r="F33" s="69" t="inlineStr">
        <is>
          <t>Select!ID-160 — tap item selects</t>
        </is>
      </c>
      <c r="G33" s="70" t="inlineStr">
        <is>
          <t>narrow unsupported claim</t>
        </is>
      </c>
      <c r="H33" s="69" t="inlineStr">
        <is>
          <t>confirmed Atom implementation gap</t>
        </is>
      </c>
      <c r="I33" s="70" t="inlineStr">
        <is>
          <t>real device — iOS Safari</t>
        </is>
      </c>
      <c r="J33" s="68" t="inlineStr">
        <is>
          <t>iOS</t>
        </is>
      </c>
      <c r="K33" s="68" t="n"/>
      <c r="L33" s="68" t="inlineStr">
        <is>
          <t>Safari</t>
        </is>
      </c>
      <c r="M33" s="68" t="n"/>
      <c r="N33" s="68" t="n"/>
      <c r="O33" s="68" t="inlineStr">
        <is>
          <t>touch</t>
        </is>
      </c>
      <c r="P33" s="68" t="inlineStr">
        <is>
          <t>none</t>
        </is>
      </c>
      <c r="Q33" s="69" t="inlineStr">
        <is>
          <t>On a named iOS device, exercise pointer/click item activation selects in the existing desktop manual scenario and record OS, browser version, device, date, and reproduction notes.</t>
        </is>
      </c>
      <c r="R33" s="69" t="inlineStr">
        <is>
          <t>A device tap selects the intended item once and applies the documented close behavior.</t>
        </is>
      </c>
      <c r="S33" s="69" t="n"/>
      <c r="T33" s="69" t="n"/>
      <c r="U33" s="71" t="inlineStr">
        <is>
          <t>not run</t>
        </is>
      </c>
      <c r="V33" s="68" t="n"/>
      <c r="W33" s="69" t="n"/>
      <c r="X33" s="69" t="inlineStr">
        <is>
          <t>Existing component coverage remains the verified desktop/manual baseline; this record is an additional device qualification.</t>
        </is>
      </c>
      <c r="Y33" s="71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t="inlineStr">
        <is>
          <t>Menu</t>
        </is>
      </c>
    </row>
    <row r="34" ht="48" customHeight="1" s="60">
      <c r="A34" s="68" t="inlineStr">
        <is>
          <t>MRE-06-SELECT-004</t>
        </is>
      </c>
      <c r="B34" s="68" t="inlineStr">
        <is>
          <t>MR-06</t>
        </is>
      </c>
      <c r="C34" s="68" t="inlineStr">
        <is>
          <t>MR-P3</t>
        </is>
      </c>
      <c r="D34" s="69" t="inlineStr">
        <is>
          <t>Select</t>
        </is>
      </c>
      <c r="E34" s="69" t="inlineStr">
        <is>
          <t>pointer/click item activation selects in the existing desktop manual scenario</t>
        </is>
      </c>
      <c r="F34" s="69" t="inlineStr">
        <is>
          <t>Select!ID-160 — tap item selects</t>
        </is>
      </c>
      <c r="G34" s="70" t="inlineStr">
        <is>
          <t>narrow unsupported claim</t>
        </is>
      </c>
      <c r="H34" s="69" t="inlineStr">
        <is>
          <t>confirmed Atom implementation gap</t>
        </is>
      </c>
      <c r="I34" s="70" t="inlineStr">
        <is>
          <t>real device — Android Chrome</t>
        </is>
      </c>
      <c r="J34" s="68" t="inlineStr">
        <is>
          <t>Android</t>
        </is>
      </c>
      <c r="K34" s="68" t="n"/>
      <c r="L34" s="68" t="inlineStr">
        <is>
          <t>Chrome</t>
        </is>
      </c>
      <c r="M34" s="68" t="n"/>
      <c r="N34" s="68" t="n"/>
      <c r="O34" s="68" t="inlineStr">
        <is>
          <t>touch</t>
        </is>
      </c>
      <c r="P34" s="68" t="inlineStr">
        <is>
          <t>none</t>
        </is>
      </c>
      <c r="Q34" s="69" t="inlineStr">
        <is>
          <t>On a named Android device, exercise pointer/click item activation selects in the existing desktop manual scenario and record OS, browser version, device, date, and reproduction notes.</t>
        </is>
      </c>
      <c r="R34" s="69" t="inlineStr">
        <is>
          <t>A device tap selects the intended item once and applies the documented close behavior.</t>
        </is>
      </c>
      <c r="S34" s="69" t="n"/>
      <c r="T34" s="69" t="n"/>
      <c r="U34" s="71" t="inlineStr">
        <is>
          <t>not run</t>
        </is>
      </c>
      <c r="V34" s="68" t="n"/>
      <c r="W34" s="69" t="n"/>
      <c r="X34" s="69" t="inlineStr">
        <is>
          <t>Existing component coverage remains the verified desktop/manual baseline; this record is an additional device qualification.</t>
        </is>
      </c>
      <c r="Y34" s="71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t="inlineStr">
        <is>
          <t>Menubar</t>
        </is>
      </c>
    </row>
    <row r="35" ht="48" customHeight="1" s="60">
      <c r="A35" s="68" t="inlineStr">
        <is>
          <t>MRE-06-SELECT-005</t>
        </is>
      </c>
      <c r="B35" s="68" t="inlineStr">
        <is>
          <t>MR-06</t>
        </is>
      </c>
      <c r="C35" s="68" t="inlineStr">
        <is>
          <t>MR-P3</t>
        </is>
      </c>
      <c r="D35" s="69" t="inlineStr">
        <is>
          <t>Select</t>
        </is>
      </c>
      <c r="E35" s="69" t="inlineStr">
        <is>
          <t>current desktop pointer-down outside interaction closes Select</t>
        </is>
      </c>
      <c r="F35" s="69" t="inlineStr">
        <is>
          <t>Select!ID-161 — tap outside closes</t>
        </is>
      </c>
      <c r="G35" s="70" t="inlineStr">
        <is>
          <t>narrow unsupported claim</t>
        </is>
      </c>
      <c r="H35" s="69" t="inlineStr">
        <is>
          <t>confirmed Atom implementation gap</t>
        </is>
      </c>
      <c r="I35" s="70" t="inlineStr">
        <is>
          <t>real device — iOS Safari</t>
        </is>
      </c>
      <c r="J35" s="68" t="inlineStr">
        <is>
          <t>iOS</t>
        </is>
      </c>
      <c r="K35" s="68" t="n"/>
      <c r="L35" s="68" t="inlineStr">
        <is>
          <t>Safari</t>
        </is>
      </c>
      <c r="M35" s="68" t="n"/>
      <c r="N35" s="68" t="n"/>
      <c r="O35" s="68" t="inlineStr">
        <is>
          <t>touch</t>
        </is>
      </c>
      <c r="P35" s="68" t="inlineStr">
        <is>
          <t>none</t>
        </is>
      </c>
      <c r="Q35" s="69" t="inlineStr">
        <is>
          <t>On a named iOS device, exercise current desktop pointer-down outside interaction closes Select and record OS, browser version, device, date, and reproduction notes.</t>
        </is>
      </c>
      <c r="R35" s="69" t="inlineStr">
        <is>
          <t>Outside tap dismissal occurs at the approved event boundary and cancels correctly after movement or scrolling.</t>
        </is>
      </c>
      <c r="S35" s="69" t="n"/>
      <c r="T35" s="69" t="n"/>
      <c r="U35" s="71" t="inlineStr">
        <is>
          <t>not run</t>
        </is>
      </c>
      <c r="V35" s="68" t="n"/>
      <c r="W35" s="69" t="n"/>
      <c r="X35" s="69" t="inlineStr">
        <is>
          <t>Existing component coverage remains the verified desktop/manual baseline; this record is an additional device qualification.</t>
        </is>
      </c>
      <c r="Y35" s="71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t="inlineStr">
        <is>
          <t>Modal</t>
        </is>
      </c>
    </row>
    <row r="36" ht="48" customHeight="1" s="60">
      <c r="A36" s="68" t="inlineStr">
        <is>
          <t>MRE-06-SELECT-006</t>
        </is>
      </c>
      <c r="B36" s="68" t="inlineStr">
        <is>
          <t>MR-06</t>
        </is>
      </c>
      <c r="C36" s="68" t="inlineStr">
        <is>
          <t>MR-P3</t>
        </is>
      </c>
      <c r="D36" s="69" t="inlineStr">
        <is>
          <t>Select</t>
        </is>
      </c>
      <c r="E36" s="69" t="inlineStr">
        <is>
          <t>current desktop pointer-down outside interaction closes Select</t>
        </is>
      </c>
      <c r="F36" s="69" t="inlineStr">
        <is>
          <t>Select!ID-161 — tap outside closes</t>
        </is>
      </c>
      <c r="G36" s="70" t="inlineStr">
        <is>
          <t>narrow unsupported claim</t>
        </is>
      </c>
      <c r="H36" s="69" t="inlineStr">
        <is>
          <t>confirmed Atom implementation gap</t>
        </is>
      </c>
      <c r="I36" s="70" t="inlineStr">
        <is>
          <t>real device — Android Chrome</t>
        </is>
      </c>
      <c r="J36" s="68" t="inlineStr">
        <is>
          <t>Android</t>
        </is>
      </c>
      <c r="K36" s="68" t="n"/>
      <c r="L36" s="68" t="inlineStr">
        <is>
          <t>Chrome</t>
        </is>
      </c>
      <c r="M36" s="68" t="n"/>
      <c r="N36" s="68" t="n"/>
      <c r="O36" s="68" t="inlineStr">
        <is>
          <t>touch</t>
        </is>
      </c>
      <c r="P36" s="68" t="inlineStr">
        <is>
          <t>none</t>
        </is>
      </c>
      <c r="Q36" s="69" t="inlineStr">
        <is>
          <t>On a named Android device, exercise current desktop pointer-down outside interaction closes Select and record OS, browser version, device, date, and reproduction notes.</t>
        </is>
      </c>
      <c r="R36" s="69" t="inlineStr">
        <is>
          <t>Outside tap dismissal occurs at the approved event boundary and cancels correctly after movement or scrolling.</t>
        </is>
      </c>
      <c r="S36" s="69" t="n"/>
      <c r="T36" s="69" t="n"/>
      <c r="U36" s="71" t="inlineStr">
        <is>
          <t>not run</t>
        </is>
      </c>
      <c r="V36" s="68" t="n"/>
      <c r="W36" s="69" t="n"/>
      <c r="X36" s="69" t="inlineStr">
        <is>
          <t>Existing component coverage remains the verified desktop/manual baseline; this record is an additional device qualification.</t>
        </is>
      </c>
      <c r="Y36" s="71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t="inlineStr">
        <is>
          <t>NavList</t>
        </is>
      </c>
    </row>
    <row r="37" ht="48" customHeight="1" s="60">
      <c r="A37" s="68" t="inlineStr">
        <is>
          <t>MRE-01-SELECT-003</t>
        </is>
      </c>
      <c r="B37" s="68" t="inlineStr">
        <is>
          <t>MR-01</t>
        </is>
      </c>
      <c r="C37" s="68" t="inlineStr">
        <is>
          <t>MR-P5</t>
        </is>
      </c>
      <c r="D37" s="69" t="inlineStr">
        <is>
          <t>Select</t>
        </is>
      </c>
      <c r="E37" s="69" t="inlineStr">
        <is>
          <t>listbox fit and scrolling in the manually tested desktop layout viewport</t>
        </is>
      </c>
      <c r="F37" s="69" t="inlineStr">
        <is>
          <t>Select!ID-162 — viewport fit and scroll</t>
        </is>
      </c>
      <c r="G37" s="70" t="inlineStr">
        <is>
          <t>narrow unsupported claim</t>
        </is>
      </c>
      <c r="H37" s="69" t="inlineStr">
        <is>
          <t>requires browser validation before concluding</t>
        </is>
      </c>
      <c r="I37" s="70" t="inlineStr">
        <is>
          <t>real device — iOS Safari</t>
        </is>
      </c>
      <c r="J37" s="68" t="inlineStr">
        <is>
          <t>iOS</t>
        </is>
      </c>
      <c r="K37" s="68" t="n"/>
      <c r="L37" s="68" t="inlineStr">
        <is>
          <t>Safari</t>
        </is>
      </c>
      <c r="M37" s="68" t="n"/>
      <c r="N37" s="68" t="n"/>
      <c r="O37" s="68" t="inlineStr">
        <is>
          <t>visual viewport</t>
        </is>
      </c>
      <c r="P37" s="68" t="inlineStr">
        <is>
          <t>none</t>
        </is>
      </c>
      <c r="Q37" s="69" t="inlineStr">
        <is>
          <t>On a named iOS device, exercise listbox fit and scrolling in the manually tested desktop layout viewport and record OS, browser version, device, date, and reproduction notes.</t>
        </is>
      </c>
      <c r="R37" s="69" t="inlineStr">
        <is>
          <t>The listbox remains reachable and scrollable with mobile browser chrome and virtual-keyboard changes.</t>
        </is>
      </c>
      <c r="S37" s="69" t="n"/>
      <c r="T37" s="69" t="n"/>
      <c r="U37" s="71" t="inlineStr">
        <is>
          <t>not run</t>
        </is>
      </c>
      <c r="V37" s="68" t="n"/>
      <c r="W37" s="69" t="n"/>
      <c r="X37" s="69" t="inlineStr">
        <is>
          <t>Existing component coverage remains the verified desktop/manual baseline; this record is an additional device qualification.</t>
        </is>
      </c>
      <c r="Y37" s="71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t="inlineStr">
        <is>
          <t>NavigationMenu</t>
        </is>
      </c>
    </row>
    <row r="38" ht="48" customHeight="1" s="60">
      <c r="A38" s="68" t="inlineStr">
        <is>
          <t>MRE-01-SELECT-004</t>
        </is>
      </c>
      <c r="B38" s="68" t="inlineStr">
        <is>
          <t>MR-01</t>
        </is>
      </c>
      <c r="C38" s="68" t="inlineStr">
        <is>
          <t>MR-P5</t>
        </is>
      </c>
      <c r="D38" s="69" t="inlineStr">
        <is>
          <t>Select</t>
        </is>
      </c>
      <c r="E38" s="69" t="inlineStr">
        <is>
          <t>listbox fit and scrolling in the manually tested desktop layout viewport</t>
        </is>
      </c>
      <c r="F38" s="69" t="inlineStr">
        <is>
          <t>Select!ID-162 — viewport fit and scroll</t>
        </is>
      </c>
      <c r="G38" s="70" t="inlineStr">
        <is>
          <t>narrow unsupported claim</t>
        </is>
      </c>
      <c r="H38" s="69" t="inlineStr">
        <is>
          <t>requires browser validation before concluding</t>
        </is>
      </c>
      <c r="I38" s="70" t="inlineStr">
        <is>
          <t>real device — Android Chrome</t>
        </is>
      </c>
      <c r="J38" s="68" t="inlineStr">
        <is>
          <t>Android</t>
        </is>
      </c>
      <c r="K38" s="68" t="n"/>
      <c r="L38" s="68" t="inlineStr">
        <is>
          <t>Chrome</t>
        </is>
      </c>
      <c r="M38" s="68" t="n"/>
      <c r="N38" s="68" t="n"/>
      <c r="O38" s="68" t="inlineStr">
        <is>
          <t>visual viewport</t>
        </is>
      </c>
      <c r="P38" s="68" t="inlineStr">
        <is>
          <t>none</t>
        </is>
      </c>
      <c r="Q38" s="69" t="inlineStr">
        <is>
          <t>On a named Android device, exercise listbox fit and scrolling in the manually tested desktop layout viewport and record OS, browser version, device, date, and reproduction notes.</t>
        </is>
      </c>
      <c r="R38" s="69" t="inlineStr">
        <is>
          <t>The listbox remains reachable and scrollable with mobile browser chrome and virtual-keyboard changes.</t>
        </is>
      </c>
      <c r="S38" s="69" t="n"/>
      <c r="T38" s="69" t="n"/>
      <c r="U38" s="71" t="inlineStr">
        <is>
          <t>not run</t>
        </is>
      </c>
      <c r="V38" s="68" t="n"/>
      <c r="W38" s="69" t="n"/>
      <c r="X38" s="69" t="inlineStr">
        <is>
          <t>Existing component coverage remains the verified desktop/manual baseline; this record is an additional device qualification.</t>
        </is>
      </c>
      <c r="Y38" s="71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t="inlineStr">
        <is>
          <t>NumberInput</t>
        </is>
      </c>
    </row>
    <row r="39" ht="48" customHeight="1" s="60">
      <c r="A39" s="68" t="inlineStr">
        <is>
          <t>MRE-01-COMBOBOX-001</t>
        </is>
      </c>
      <c r="B39" s="68" t="inlineStr">
        <is>
          <t>MR-01</t>
        </is>
      </c>
      <c r="C39" s="68" t="inlineStr">
        <is>
          <t>MR-P5</t>
        </is>
      </c>
      <c r="D39" s="69" t="inlineStr">
        <is>
          <t>Combobox</t>
        </is>
      </c>
      <c r="E39" s="69" t="inlineStr">
        <is>
          <t>collision, flip, and shift stay within the manually tested desktop layout viewport</t>
        </is>
      </c>
      <c r="F39" s="69" t="inlineStr">
        <is>
          <t>Combobox!ID-174 — collision/flip/shift behavior stays in viewport</t>
        </is>
      </c>
      <c r="G39" s="70" t="inlineStr">
        <is>
          <t>narrow unsupported claim</t>
        </is>
      </c>
      <c r="H39" s="69" t="inlineStr">
        <is>
          <t>requires browser validation before concluding</t>
        </is>
      </c>
      <c r="I39" s="70" t="inlineStr">
        <is>
          <t>real device — iOS Safari</t>
        </is>
      </c>
      <c r="J39" s="68" t="inlineStr">
        <is>
          <t>iOS</t>
        </is>
      </c>
      <c r="K39" s="68" t="n"/>
      <c r="L39" s="68" t="inlineStr">
        <is>
          <t>Safari</t>
        </is>
      </c>
      <c r="M39" s="68" t="n"/>
      <c r="N39" s="68" t="n"/>
      <c r="O39" s="68" t="inlineStr">
        <is>
          <t>visual viewport</t>
        </is>
      </c>
      <c r="P39" s="68" t="inlineStr">
        <is>
          <t>none</t>
        </is>
      </c>
      <c r="Q39" s="69" t="inlineStr">
        <is>
          <t>On a named iOS device, exercise collision, flip, and shift stay within the manually tested desktop layout viewport and record OS, browser version, device, date, and reproduction notes.</t>
        </is>
      </c>
      <c r="R39" s="69" t="inlineStr">
        <is>
          <t>Combobox content remains reachable and correctly anchored during named mobile viewport and keyboard changes.</t>
        </is>
      </c>
      <c r="S39" s="69" t="n"/>
      <c r="T39" s="69" t="n"/>
      <c r="U39" s="71" t="inlineStr">
        <is>
          <t>not run</t>
        </is>
      </c>
      <c r="V39" s="68" t="n"/>
      <c r="W39" s="69" t="n"/>
      <c r="X39" s="69" t="inlineStr">
        <is>
          <t>Existing component coverage remains the verified desktop/manual baseline; this record is an additional device qualification.</t>
        </is>
      </c>
      <c r="Y39" s="71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t="inlineStr">
        <is>
          <t>OTPField</t>
        </is>
      </c>
    </row>
    <row r="40" ht="48" customHeight="1" s="60">
      <c r="A40" s="68" t="inlineStr">
        <is>
          <t>MRE-01-COMBOBOX-002</t>
        </is>
      </c>
      <c r="B40" s="68" t="inlineStr">
        <is>
          <t>MR-01</t>
        </is>
      </c>
      <c r="C40" s="68" t="inlineStr">
        <is>
          <t>MR-P5</t>
        </is>
      </c>
      <c r="D40" s="69" t="inlineStr">
        <is>
          <t>Combobox</t>
        </is>
      </c>
      <c r="E40" s="69" t="inlineStr">
        <is>
          <t>collision, flip, and shift stay within the manually tested desktop layout viewport</t>
        </is>
      </c>
      <c r="F40" s="69" t="inlineStr">
        <is>
          <t>Combobox!ID-174 — collision/flip/shift behavior stays in viewport</t>
        </is>
      </c>
      <c r="G40" s="70" t="inlineStr">
        <is>
          <t>narrow unsupported claim</t>
        </is>
      </c>
      <c r="H40" s="69" t="inlineStr">
        <is>
          <t>requires browser validation before concluding</t>
        </is>
      </c>
      <c r="I40" s="70" t="inlineStr">
        <is>
          <t>real device — Android Chrome</t>
        </is>
      </c>
      <c r="J40" s="68" t="inlineStr">
        <is>
          <t>Android</t>
        </is>
      </c>
      <c r="K40" s="68" t="n"/>
      <c r="L40" s="68" t="inlineStr">
        <is>
          <t>Chrome</t>
        </is>
      </c>
      <c r="M40" s="68" t="n"/>
      <c r="N40" s="68" t="n"/>
      <c r="O40" s="68" t="inlineStr">
        <is>
          <t>visual viewport</t>
        </is>
      </c>
      <c r="P40" s="68" t="inlineStr">
        <is>
          <t>none</t>
        </is>
      </c>
      <c r="Q40" s="69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69" t="inlineStr">
        <is>
          <t>Combobox content remains reachable and correctly anchored during named mobile viewport and keyboard changes.</t>
        </is>
      </c>
      <c r="S40" s="69" t="n"/>
      <c r="T40" s="69" t="n"/>
      <c r="U40" s="71" t="inlineStr">
        <is>
          <t>not run</t>
        </is>
      </c>
      <c r="V40" s="68" t="n"/>
      <c r="W40" s="69" t="n"/>
      <c r="X40" s="69" t="inlineStr">
        <is>
          <t>Existing component coverage remains the verified desktop/manual baseline; this record is an additional device qualification.</t>
        </is>
      </c>
      <c r="Y40" s="71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t="inlineStr">
        <is>
          <t>Pagination</t>
        </is>
      </c>
    </row>
    <row r="41" ht="48" customHeight="1" s="60">
      <c r="A41" s="68" t="inlineStr">
        <is>
          <t>MRE-01-MENU-001</t>
        </is>
      </c>
      <c r="B41" s="68" t="inlineStr">
        <is>
          <t>MR-01</t>
        </is>
      </c>
      <c r="C41" s="68" t="inlineStr">
        <is>
          <t>MR-P5</t>
        </is>
      </c>
      <c r="D41" s="69" t="inlineStr">
        <is>
          <t>Menu</t>
        </is>
      </c>
      <c r="E41" s="69" t="inlineStr">
        <is>
          <t>placement flips or shifts near the edge of the manually tested desktop layout viewport</t>
        </is>
      </c>
      <c r="F41" s="69" t="inlineStr">
        <is>
          <t>Menu!ID-156 — placement flips or shifts near viewport edge</t>
        </is>
      </c>
      <c r="G41" s="70" t="inlineStr">
        <is>
          <t>narrow unsupported claim</t>
        </is>
      </c>
      <c r="H41" s="69" t="inlineStr">
        <is>
          <t>requires browser validation before concluding</t>
        </is>
      </c>
      <c r="I41" s="70" t="inlineStr">
        <is>
          <t>real device — iOS Safari</t>
        </is>
      </c>
      <c r="J41" s="68" t="inlineStr">
        <is>
          <t>iOS</t>
        </is>
      </c>
      <c r="K41" s="68" t="n"/>
      <c r="L41" s="68" t="inlineStr">
        <is>
          <t>Safari</t>
        </is>
      </c>
      <c r="M41" s="68" t="n"/>
      <c r="N41" s="68" t="n"/>
      <c r="O41" s="68" t="inlineStr">
        <is>
          <t>visual viewport</t>
        </is>
      </c>
      <c r="P41" s="68" t="inlineStr">
        <is>
          <t>none</t>
        </is>
      </c>
      <c r="Q41" s="69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69" t="inlineStr">
        <is>
          <t>Menu content remains reachable and correctly placed at mobile viewport edges.</t>
        </is>
      </c>
      <c r="S41" s="69" t="n"/>
      <c r="T41" s="69" t="n"/>
      <c r="U41" s="71" t="inlineStr">
        <is>
          <t>not run</t>
        </is>
      </c>
      <c r="V41" s="68" t="n"/>
      <c r="W41" s="69" t="n"/>
      <c r="X41" s="69" t="inlineStr">
        <is>
          <t>Existing component coverage remains the verified desktop/manual baseline; this record is an additional device qualification.</t>
        </is>
      </c>
      <c r="Y41" s="71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t="inlineStr">
        <is>
          <t>PasswordToggleField</t>
        </is>
      </c>
    </row>
    <row r="42" ht="48" customHeight="1" s="60">
      <c r="A42" s="68" t="inlineStr">
        <is>
          <t>MRE-01-MENU-002</t>
        </is>
      </c>
      <c r="B42" s="68" t="inlineStr">
        <is>
          <t>MR-01</t>
        </is>
      </c>
      <c r="C42" s="68" t="inlineStr">
        <is>
          <t>MR-P5</t>
        </is>
      </c>
      <c r="D42" s="69" t="inlineStr">
        <is>
          <t>Menu</t>
        </is>
      </c>
      <c r="E42" s="69" t="inlineStr">
        <is>
          <t>placement flips or shifts near the edge of the manually tested desktop layout viewport</t>
        </is>
      </c>
      <c r="F42" s="69" t="inlineStr">
        <is>
          <t>Menu!ID-156 — placement flips or shifts near viewport edge</t>
        </is>
      </c>
      <c r="G42" s="70" t="inlineStr">
        <is>
          <t>narrow unsupported claim</t>
        </is>
      </c>
      <c r="H42" s="69" t="inlineStr">
        <is>
          <t>requires browser validation before concluding</t>
        </is>
      </c>
      <c r="I42" s="70" t="inlineStr">
        <is>
          <t>real device — Android Chrome</t>
        </is>
      </c>
      <c r="J42" s="68" t="inlineStr">
        <is>
          <t>Android</t>
        </is>
      </c>
      <c r="K42" s="68" t="n"/>
      <c r="L42" s="68" t="inlineStr">
        <is>
          <t>Chrome</t>
        </is>
      </c>
      <c r="M42" s="68" t="n"/>
      <c r="N42" s="68" t="n"/>
      <c r="O42" s="68" t="inlineStr">
        <is>
          <t>visual viewport</t>
        </is>
      </c>
      <c r="P42" s="68" t="inlineStr">
        <is>
          <t>none</t>
        </is>
      </c>
      <c r="Q42" s="69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69" t="inlineStr">
        <is>
          <t>Menu content remains reachable and correctly placed at mobile viewport edges.</t>
        </is>
      </c>
      <c r="S42" s="69" t="n"/>
      <c r="T42" s="69" t="n"/>
      <c r="U42" s="71" t="inlineStr">
        <is>
          <t>not run</t>
        </is>
      </c>
      <c r="V42" s="68" t="n"/>
      <c r="W42" s="69" t="n"/>
      <c r="X42" s="69" t="inlineStr">
        <is>
          <t>Existing component coverage remains the verified desktop/manual baseline; this record is an additional device qualification.</t>
        </is>
      </c>
      <c r="Y42" s="71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t="inlineStr">
        <is>
          <t>Popover</t>
        </is>
      </c>
    </row>
    <row r="43" ht="48" customHeight="1" s="60">
      <c r="A43" s="68" t="inlineStr">
        <is>
          <t>MRE-07-MENU-001</t>
        </is>
      </c>
      <c r="B43" s="68" t="inlineStr">
        <is>
          <t>MR-07</t>
        </is>
      </c>
      <c r="C43" s="68" t="inlineStr">
        <is>
          <t>MR-P7</t>
        </is>
      </c>
      <c r="D43" s="69" t="inlineStr">
        <is>
          <t>Menu</t>
        </is>
      </c>
      <c r="E43" s="69" t="inlineStr">
        <is>
          <t>pointer/click activation opens Menu in the existing desktop manual scenario</t>
        </is>
      </c>
      <c r="F43" s="69" t="inlineStr">
        <is>
          <t>Menu!ID-164 — touch opens menu</t>
        </is>
      </c>
      <c r="G43" s="70" t="inlineStr">
        <is>
          <t>narrow unsupported claim</t>
        </is>
      </c>
      <c r="H43" s="69" t="inlineStr">
        <is>
          <t>already adequately supported</t>
        </is>
      </c>
      <c r="I43" s="70" t="inlineStr">
        <is>
          <t>real device — iOS Safari</t>
        </is>
      </c>
      <c r="J43" s="68" t="inlineStr">
        <is>
          <t>iOS</t>
        </is>
      </c>
      <c r="K43" s="68" t="n"/>
      <c r="L43" s="68" t="inlineStr">
        <is>
          <t>Safari</t>
        </is>
      </c>
      <c r="M43" s="68" t="n"/>
      <c r="N43" s="68" t="n"/>
      <c r="O43" s="68" t="inlineStr">
        <is>
          <t>touch</t>
        </is>
      </c>
      <c r="P43" s="68" t="inlineStr">
        <is>
          <t>none</t>
        </is>
      </c>
      <c r="Q43" s="69" t="inlineStr">
        <is>
          <t>On a named iOS device, exercise pointer/click activation opens Menu in the existing desktop manual scenario and record OS, browser version, device, date, and reproduction notes.</t>
        </is>
      </c>
      <c r="R43" s="69" t="inlineStr">
        <is>
          <t>A device tap opens Menu once and preserves the current activation contract.</t>
        </is>
      </c>
      <c r="S43" s="69" t="n"/>
      <c r="T43" s="69" t="n"/>
      <c r="U43" s="71" t="inlineStr">
        <is>
          <t>not run</t>
        </is>
      </c>
      <c r="V43" s="68" t="n"/>
      <c r="W43" s="69" t="n"/>
      <c r="X43" s="69" t="inlineStr">
        <is>
          <t>Existing component coverage remains the verified desktop/manual baseline; this record is an additional device qualification.</t>
        </is>
      </c>
      <c r="Y43" s="71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t="inlineStr">
        <is>
          <t>Portal</t>
        </is>
      </c>
    </row>
    <row r="44" ht="48" customHeight="1" s="60">
      <c r="A44" s="68" t="inlineStr">
        <is>
          <t>MRE-07-MENU-002</t>
        </is>
      </c>
      <c r="B44" s="68" t="inlineStr">
        <is>
          <t>MR-07</t>
        </is>
      </c>
      <c r="C44" s="68" t="inlineStr">
        <is>
          <t>MR-P7</t>
        </is>
      </c>
      <c r="D44" s="69" t="inlineStr">
        <is>
          <t>Menu</t>
        </is>
      </c>
      <c r="E44" s="69" t="inlineStr">
        <is>
          <t>pointer/click activation opens Menu in the existing desktop manual scenario</t>
        </is>
      </c>
      <c r="F44" s="69" t="inlineStr">
        <is>
          <t>Menu!ID-164 — touch opens menu</t>
        </is>
      </c>
      <c r="G44" s="70" t="inlineStr">
        <is>
          <t>narrow unsupported claim</t>
        </is>
      </c>
      <c r="H44" s="69" t="inlineStr">
        <is>
          <t>already adequately supported</t>
        </is>
      </c>
      <c r="I44" s="70" t="inlineStr">
        <is>
          <t>real device — Android Chrome</t>
        </is>
      </c>
      <c r="J44" s="68" t="inlineStr">
        <is>
          <t>Android</t>
        </is>
      </c>
      <c r="K44" s="68" t="n"/>
      <c r="L44" s="68" t="inlineStr">
        <is>
          <t>Chrome</t>
        </is>
      </c>
      <c r="M44" s="68" t="n"/>
      <c r="N44" s="68" t="n"/>
      <c r="O44" s="68" t="inlineStr">
        <is>
          <t>touch</t>
        </is>
      </c>
      <c r="P44" s="68" t="inlineStr">
        <is>
          <t>none</t>
        </is>
      </c>
      <c r="Q44" s="69" t="inlineStr">
        <is>
          <t>On a named Android device, exercise pointer/click activation opens Menu in the existing desktop manual scenario and record OS, browser version, device, date, and reproduction notes.</t>
        </is>
      </c>
      <c r="R44" s="69" t="inlineStr">
        <is>
          <t>A device tap opens Menu once and preserves the current activation contract.</t>
        </is>
      </c>
      <c r="S44" s="69" t="n"/>
      <c r="T44" s="69" t="n"/>
      <c r="U44" s="71" t="inlineStr">
        <is>
          <t>not run</t>
        </is>
      </c>
      <c r="V44" s="68" t="n"/>
      <c r="W44" s="69" t="n"/>
      <c r="X44" s="69" t="inlineStr">
        <is>
          <t>Existing component coverage remains the verified desktop/manual baseline; this record is an additional device qualification.</t>
        </is>
      </c>
      <c r="Y44" s="71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t="inlineStr">
        <is>
          <t>Pressable</t>
        </is>
      </c>
    </row>
    <row r="45" ht="48" customHeight="1" s="60">
      <c r="A45" s="68" t="inlineStr">
        <is>
          <t>MRE-07-MENU-003</t>
        </is>
      </c>
      <c r="B45" s="68" t="inlineStr">
        <is>
          <t>MR-07</t>
        </is>
      </c>
      <c r="C45" s="68" t="inlineStr">
        <is>
          <t>MR-P7</t>
        </is>
      </c>
      <c r="D45" s="69" t="inlineStr">
        <is>
          <t>Menu</t>
        </is>
      </c>
      <c r="E45" s="69" t="inlineStr">
        <is>
          <t>pointer/click activation selects an action item in the existing desktop manual scenario</t>
        </is>
      </c>
      <c r="F45" s="69" t="inlineStr">
        <is>
          <t>Menu!ID-165 — touch selects action item</t>
        </is>
      </c>
      <c r="G45" s="70" t="inlineStr">
        <is>
          <t>narrow unsupported claim</t>
        </is>
      </c>
      <c r="H45" s="69" t="inlineStr">
        <is>
          <t>already adequately supported</t>
        </is>
      </c>
      <c r="I45" s="70" t="inlineStr">
        <is>
          <t>real device — iOS Safari</t>
        </is>
      </c>
      <c r="J45" s="68" t="inlineStr">
        <is>
          <t>iOS</t>
        </is>
      </c>
      <c r="K45" s="68" t="n"/>
      <c r="L45" s="68" t="inlineStr">
        <is>
          <t>Safari</t>
        </is>
      </c>
      <c r="M45" s="68" t="n"/>
      <c r="N45" s="68" t="n"/>
      <c r="O45" s="68" t="inlineStr">
        <is>
          <t>touch</t>
        </is>
      </c>
      <c r="P45" s="68" t="inlineStr">
        <is>
          <t>none</t>
        </is>
      </c>
      <c r="Q45" s="69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69" t="inlineStr">
        <is>
          <t>A device tap selects the intended action once.</t>
        </is>
      </c>
      <c r="S45" s="69" t="n"/>
      <c r="T45" s="69" t="n"/>
      <c r="U45" s="71" t="inlineStr">
        <is>
          <t>not run</t>
        </is>
      </c>
      <c r="V45" s="68" t="n"/>
      <c r="W45" s="69" t="n"/>
      <c r="X45" s="69" t="inlineStr">
        <is>
          <t>Existing component coverage remains the verified desktop/manual baseline; this record is an additional device qualification.</t>
        </is>
      </c>
      <c r="Y45" s="71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t="inlineStr">
        <is>
          <t>Progress</t>
        </is>
      </c>
    </row>
    <row r="46" ht="48" customHeight="1" s="60">
      <c r="A46" s="68" t="inlineStr">
        <is>
          <t>MRE-07-MENU-004</t>
        </is>
      </c>
      <c r="B46" s="68" t="inlineStr">
        <is>
          <t>MR-07</t>
        </is>
      </c>
      <c r="C46" s="68" t="inlineStr">
        <is>
          <t>MR-P7</t>
        </is>
      </c>
      <c r="D46" s="69" t="inlineStr">
        <is>
          <t>Menu</t>
        </is>
      </c>
      <c r="E46" s="69" t="inlineStr">
        <is>
          <t>pointer/click activation selects an action item in the existing desktop manual scenario</t>
        </is>
      </c>
      <c r="F46" s="69" t="inlineStr">
        <is>
          <t>Menu!ID-165 — touch selects action item</t>
        </is>
      </c>
      <c r="G46" s="70" t="inlineStr">
        <is>
          <t>narrow unsupported claim</t>
        </is>
      </c>
      <c r="H46" s="69" t="inlineStr">
        <is>
          <t>already adequately supported</t>
        </is>
      </c>
      <c r="I46" s="70" t="inlineStr">
        <is>
          <t>real device — Android Chrome</t>
        </is>
      </c>
      <c r="J46" s="68" t="inlineStr">
        <is>
          <t>Android</t>
        </is>
      </c>
      <c r="K46" s="68" t="n"/>
      <c r="L46" s="68" t="inlineStr">
        <is>
          <t>Chrome</t>
        </is>
      </c>
      <c r="M46" s="68" t="n"/>
      <c r="N46" s="68" t="n"/>
      <c r="O46" s="68" t="inlineStr">
        <is>
          <t>touch</t>
        </is>
      </c>
      <c r="P46" s="68" t="inlineStr">
        <is>
          <t>none</t>
        </is>
      </c>
      <c r="Q46" s="69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69" t="inlineStr">
        <is>
          <t>A device tap selects the intended action once.</t>
        </is>
      </c>
      <c r="S46" s="69" t="n"/>
      <c r="T46" s="69" t="n"/>
      <c r="U46" s="71" t="inlineStr">
        <is>
          <t>not run</t>
        </is>
      </c>
      <c r="V46" s="68" t="n"/>
      <c r="W46" s="69" t="n"/>
      <c r="X46" s="69" t="inlineStr">
        <is>
          <t>Existing component coverage remains the verified desktop/manual baseline; this record is an additional device qualification.</t>
        </is>
      </c>
      <c r="Y46" s="71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t="inlineStr">
        <is>
          <t>RadioGroup</t>
        </is>
      </c>
    </row>
    <row r="47" ht="48" customHeight="1" s="60">
      <c r="A47" s="68" t="inlineStr">
        <is>
          <t>MRE-07-MENU-005</t>
        </is>
      </c>
      <c r="B47" s="68" t="inlineStr">
        <is>
          <t>MR-07</t>
        </is>
      </c>
      <c r="C47" s="68" t="inlineStr">
        <is>
          <t>MR-P7</t>
        </is>
      </c>
      <c r="D47" s="69" t="inlineStr">
        <is>
          <t>Menu</t>
        </is>
      </c>
      <c r="E47" s="69" t="inlineStr">
        <is>
          <t>pointer/click activation toggles a checkbox item in the existing desktop manual scenario</t>
        </is>
      </c>
      <c r="F47" s="69" t="inlineStr">
        <is>
          <t>Menu!ID-166 — touch toggles checkbox item</t>
        </is>
      </c>
      <c r="G47" s="70" t="inlineStr">
        <is>
          <t>narrow unsupported claim</t>
        </is>
      </c>
      <c r="H47" s="69" t="inlineStr">
        <is>
          <t>already adequately supported</t>
        </is>
      </c>
      <c r="I47" s="70" t="inlineStr">
        <is>
          <t>real device — iOS Safari</t>
        </is>
      </c>
      <c r="J47" s="68" t="inlineStr">
        <is>
          <t>iOS</t>
        </is>
      </c>
      <c r="K47" s="68" t="n"/>
      <c r="L47" s="68" t="inlineStr">
        <is>
          <t>Safari</t>
        </is>
      </c>
      <c r="M47" s="68" t="n"/>
      <c r="N47" s="68" t="n"/>
      <c r="O47" s="68" t="inlineStr">
        <is>
          <t>touch</t>
        </is>
      </c>
      <c r="P47" s="68" t="inlineStr">
        <is>
          <t>none</t>
        </is>
      </c>
      <c r="Q47" s="69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69" t="inlineStr">
        <is>
          <t>A device tap toggles the intended checkbox item once.</t>
        </is>
      </c>
      <c r="S47" s="69" t="n"/>
      <c r="T47" s="69" t="n"/>
      <c r="U47" s="71" t="inlineStr">
        <is>
          <t>not run</t>
        </is>
      </c>
      <c r="V47" s="68" t="n"/>
      <c r="W47" s="69" t="n"/>
      <c r="X47" s="69" t="inlineStr">
        <is>
          <t>Existing component coverage remains the verified desktop/manual baseline; this record is an additional device qualification.</t>
        </is>
      </c>
      <c r="Y47" s="71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t="inlineStr">
        <is>
          <t>Rating</t>
        </is>
      </c>
    </row>
    <row r="48" ht="48" customHeight="1" s="60">
      <c r="A48" s="68" t="inlineStr">
        <is>
          <t>MRE-07-MENU-006</t>
        </is>
      </c>
      <c r="B48" s="68" t="inlineStr">
        <is>
          <t>MR-07</t>
        </is>
      </c>
      <c r="C48" s="68" t="inlineStr">
        <is>
          <t>MR-P7</t>
        </is>
      </c>
      <c r="D48" s="69" t="inlineStr">
        <is>
          <t>Menu</t>
        </is>
      </c>
      <c r="E48" s="69" t="inlineStr">
        <is>
          <t>pointer/click activation toggles a checkbox item in the existing desktop manual scenario</t>
        </is>
      </c>
      <c r="F48" s="69" t="inlineStr">
        <is>
          <t>Menu!ID-166 — touch toggles checkbox item</t>
        </is>
      </c>
      <c r="G48" s="70" t="inlineStr">
        <is>
          <t>narrow unsupported claim</t>
        </is>
      </c>
      <c r="H48" s="69" t="inlineStr">
        <is>
          <t>already adequately supported</t>
        </is>
      </c>
      <c r="I48" s="70" t="inlineStr">
        <is>
          <t>real device — Android Chrome</t>
        </is>
      </c>
      <c r="J48" s="68" t="inlineStr">
        <is>
          <t>Android</t>
        </is>
      </c>
      <c r="K48" s="68" t="n"/>
      <c r="L48" s="68" t="inlineStr">
        <is>
          <t>Chrome</t>
        </is>
      </c>
      <c r="M48" s="68" t="n"/>
      <c r="N48" s="68" t="n"/>
      <c r="O48" s="68" t="inlineStr">
        <is>
          <t>touch</t>
        </is>
      </c>
      <c r="P48" s="68" t="inlineStr">
        <is>
          <t>none</t>
        </is>
      </c>
      <c r="Q48" s="69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69" t="inlineStr">
        <is>
          <t>A device tap toggles the intended checkbox item once.</t>
        </is>
      </c>
      <c r="S48" s="69" t="n"/>
      <c r="T48" s="69" t="n"/>
      <c r="U48" s="71" t="inlineStr">
        <is>
          <t>not run</t>
        </is>
      </c>
      <c r="V48" s="68" t="n"/>
      <c r="W48" s="69" t="n"/>
      <c r="X48" s="69" t="inlineStr">
        <is>
          <t>Existing component coverage remains the verified desktop/manual baseline; this record is an additional device qualification.</t>
        </is>
      </c>
      <c r="Y48" s="71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t="inlineStr">
        <is>
          <t>ScrollArea</t>
        </is>
      </c>
    </row>
    <row r="49" ht="48" customHeight="1" s="60">
      <c r="A49" s="68" t="inlineStr">
        <is>
          <t>MRE-07-MENU-007</t>
        </is>
      </c>
      <c r="B49" s="68" t="inlineStr">
        <is>
          <t>MR-07</t>
        </is>
      </c>
      <c r="C49" s="68" t="inlineStr">
        <is>
          <t>MR-P7</t>
        </is>
      </c>
      <c r="D49" s="69" t="inlineStr">
        <is>
          <t>Menu</t>
        </is>
      </c>
      <c r="E49" s="69" t="inlineStr">
        <is>
          <t>pointer/click activation selects a radio item in the existing desktop manual scenario</t>
        </is>
      </c>
      <c r="F49" s="69" t="inlineStr">
        <is>
          <t>Menu!ID-167 — touch selects radio item</t>
        </is>
      </c>
      <c r="G49" s="70" t="inlineStr">
        <is>
          <t>narrow unsupported claim</t>
        </is>
      </c>
      <c r="H49" s="69" t="inlineStr">
        <is>
          <t>already adequately supported</t>
        </is>
      </c>
      <c r="I49" s="70" t="inlineStr">
        <is>
          <t>real device — iOS Safari</t>
        </is>
      </c>
      <c r="J49" s="68" t="inlineStr">
        <is>
          <t>iOS</t>
        </is>
      </c>
      <c r="K49" s="68" t="n"/>
      <c r="L49" s="68" t="inlineStr">
        <is>
          <t>Safari</t>
        </is>
      </c>
      <c r="M49" s="68" t="n"/>
      <c r="N49" s="68" t="n"/>
      <c r="O49" s="68" t="inlineStr">
        <is>
          <t>touch</t>
        </is>
      </c>
      <c r="P49" s="68" t="inlineStr">
        <is>
          <t>none</t>
        </is>
      </c>
      <c r="Q49" s="69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69" t="inlineStr">
        <is>
          <t>A device tap selects the intended radio item once.</t>
        </is>
      </c>
      <c r="S49" s="69" t="n"/>
      <c r="T49" s="69" t="n"/>
      <c r="U49" s="71" t="inlineStr">
        <is>
          <t>not run</t>
        </is>
      </c>
      <c r="V49" s="68" t="n"/>
      <c r="W49" s="69" t="n"/>
      <c r="X49" s="69" t="inlineStr">
        <is>
          <t>Existing component coverage remains the verified desktop/manual baseline; this record is an additional device qualification.</t>
        </is>
      </c>
      <c r="Y49" s="71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t="inlineStr">
        <is>
          <t>Select</t>
        </is>
      </c>
    </row>
    <row r="50" ht="48" customHeight="1" s="60">
      <c r="A50" s="68" t="inlineStr">
        <is>
          <t>MRE-07-MENU-008</t>
        </is>
      </c>
      <c r="B50" s="68" t="inlineStr">
        <is>
          <t>MR-07</t>
        </is>
      </c>
      <c r="C50" s="68" t="inlineStr">
        <is>
          <t>MR-P7</t>
        </is>
      </c>
      <c r="D50" s="69" t="inlineStr">
        <is>
          <t>Menu</t>
        </is>
      </c>
      <c r="E50" s="69" t="inlineStr">
        <is>
          <t>pointer/click activation selects a radio item in the existing desktop manual scenario</t>
        </is>
      </c>
      <c r="F50" s="69" t="inlineStr">
        <is>
          <t>Menu!ID-167 — touch selects radio item</t>
        </is>
      </c>
      <c r="G50" s="70" t="inlineStr">
        <is>
          <t>narrow unsupported claim</t>
        </is>
      </c>
      <c r="H50" s="69" t="inlineStr">
        <is>
          <t>already adequately supported</t>
        </is>
      </c>
      <c r="I50" s="70" t="inlineStr">
        <is>
          <t>real device — Android Chrome</t>
        </is>
      </c>
      <c r="J50" s="68" t="inlineStr">
        <is>
          <t>Android</t>
        </is>
      </c>
      <c r="K50" s="68" t="n"/>
      <c r="L50" s="68" t="inlineStr">
        <is>
          <t>Chrome</t>
        </is>
      </c>
      <c r="M50" s="68" t="n"/>
      <c r="N50" s="68" t="n"/>
      <c r="O50" s="68" t="inlineStr">
        <is>
          <t>touch</t>
        </is>
      </c>
      <c r="P50" s="68" t="inlineStr">
        <is>
          <t>none</t>
        </is>
      </c>
      <c r="Q50" s="69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69" t="inlineStr">
        <is>
          <t>A device tap selects the intended radio item once.</t>
        </is>
      </c>
      <c r="S50" s="69" t="n"/>
      <c r="T50" s="69" t="n"/>
      <c r="U50" s="71" t="inlineStr">
        <is>
          <t>not run</t>
        </is>
      </c>
      <c r="V50" s="68" t="n"/>
      <c r="W50" s="69" t="n"/>
      <c r="X50" s="69" t="inlineStr">
        <is>
          <t>Existing component coverage remains the verified desktop/manual baseline; this record is an additional device qualification.</t>
        </is>
      </c>
      <c r="Y50" s="71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t="inlineStr">
        <is>
          <t>Sidebar</t>
        </is>
      </c>
    </row>
    <row r="51" ht="48" customHeight="1" s="60">
      <c r="A51" s="68" t="inlineStr">
        <is>
          <t>MRE-08-MENU-001</t>
        </is>
      </c>
      <c r="B51" s="68" t="inlineStr">
        <is>
          <t>MR-08</t>
        </is>
      </c>
      <c r="C51" s="68" t="inlineStr">
        <is>
          <t>MR-P7</t>
        </is>
      </c>
      <c r="D51" s="69" t="inlineStr">
        <is>
          <t>Menu</t>
        </is>
      </c>
      <c r="E51" s="69" t="inlineStr">
        <is>
          <t>pointer/click activation opens a submenu in the existing desktop manual scenario</t>
        </is>
      </c>
      <c r="F51" s="69" t="inlineStr">
        <is>
          <t>Menu!ID-168 — touch opens submenu</t>
        </is>
      </c>
      <c r="G51" s="70" t="inlineStr">
        <is>
          <t>narrow unsupported claim</t>
        </is>
      </c>
      <c r="H51" s="69" t="inlineStr">
        <is>
          <t>Atom API/design decision required</t>
        </is>
      </c>
      <c r="I51" s="70" t="inlineStr">
        <is>
          <t>real device — iOS Safari</t>
        </is>
      </c>
      <c r="J51" s="68" t="inlineStr">
        <is>
          <t>iOS</t>
        </is>
      </c>
      <c r="K51" s="68" t="n"/>
      <c r="L51" s="68" t="inlineStr">
        <is>
          <t>Safari</t>
        </is>
      </c>
      <c r="M51" s="68" t="n"/>
      <c r="N51" s="68" t="n"/>
      <c r="O51" s="68" t="inlineStr">
        <is>
          <t>touch</t>
        </is>
      </c>
      <c r="P51" s="68" t="inlineStr">
        <is>
          <t>none</t>
        </is>
      </c>
      <c r="Q51" s="69" t="inlineStr">
        <is>
          <t>On a named iOS device, exercise pointer/click activation opens a submenu in the existing desktop manual scenario and record OS, browser version, device, date, and reproduction notes.</t>
        </is>
      </c>
      <c r="R51" s="69" t="inlineStr">
        <is>
          <t>A device tap opens the intended submenu; any drill-in presentation remains an explicit approved contract.</t>
        </is>
      </c>
      <c r="S51" s="69" t="n"/>
      <c r="T51" s="69" t="n"/>
      <c r="U51" s="71" t="inlineStr">
        <is>
          <t>not run</t>
        </is>
      </c>
      <c r="V51" s="68" t="n"/>
      <c r="W51" s="69" t="n"/>
      <c r="X51" s="69" t="inlineStr">
        <is>
          <t>Existing component coverage remains the verified desktop/manual baseline; this record is an additional device qualification.</t>
        </is>
      </c>
      <c r="Y51" s="71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t="inlineStr">
        <is>
          <t>SkipLink</t>
        </is>
      </c>
    </row>
    <row r="52" ht="48" customHeight="1" s="60">
      <c r="A52" s="68" t="inlineStr">
        <is>
          <t>MRE-08-MENU-002</t>
        </is>
      </c>
      <c r="B52" s="68" t="inlineStr">
        <is>
          <t>MR-08</t>
        </is>
      </c>
      <c r="C52" s="68" t="inlineStr">
        <is>
          <t>MR-P7</t>
        </is>
      </c>
      <c r="D52" s="69" t="inlineStr">
        <is>
          <t>Menu</t>
        </is>
      </c>
      <c r="E52" s="69" t="inlineStr">
        <is>
          <t>pointer/click activation opens a submenu in the existing desktop manual scenario</t>
        </is>
      </c>
      <c r="F52" s="69" t="inlineStr">
        <is>
          <t>Menu!ID-168 — touch opens submenu</t>
        </is>
      </c>
      <c r="G52" s="70" t="inlineStr">
        <is>
          <t>narrow unsupported claim</t>
        </is>
      </c>
      <c r="H52" s="69" t="inlineStr">
        <is>
          <t>Atom API/design decision required</t>
        </is>
      </c>
      <c r="I52" s="70" t="inlineStr">
        <is>
          <t>real device — Android Chrome</t>
        </is>
      </c>
      <c r="J52" s="68" t="inlineStr">
        <is>
          <t>Android</t>
        </is>
      </c>
      <c r="K52" s="68" t="n"/>
      <c r="L52" s="68" t="inlineStr">
        <is>
          <t>Chrome</t>
        </is>
      </c>
      <c r="M52" s="68" t="n"/>
      <c r="N52" s="68" t="n"/>
      <c r="O52" s="68" t="inlineStr">
        <is>
          <t>touch</t>
        </is>
      </c>
      <c r="P52" s="68" t="inlineStr">
        <is>
          <t>none</t>
        </is>
      </c>
      <c r="Q52" s="69" t="inlineStr">
        <is>
          <t>On a named Android device, exercise pointer/click activation opens a submenu in the existing desktop manual scenario and record OS, browser version, device, date, and reproduction notes.</t>
        </is>
      </c>
      <c r="R52" s="69" t="inlineStr">
        <is>
          <t>A device tap opens the intended submenu; any drill-in presentation remains an explicit approved contract.</t>
        </is>
      </c>
      <c r="S52" s="69" t="n"/>
      <c r="T52" s="69" t="n"/>
      <c r="U52" s="71" t="inlineStr">
        <is>
          <t>not run</t>
        </is>
      </c>
      <c r="V52" s="68" t="n"/>
      <c r="W52" s="69" t="n"/>
      <c r="X52" s="69" t="inlineStr">
        <is>
          <t>Existing component coverage remains the verified desktop/manual baseline; this record is an additional device qualification.</t>
        </is>
      </c>
      <c r="Y52" s="71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t="inlineStr">
        <is>
          <t>Slider</t>
        </is>
      </c>
    </row>
    <row r="53" ht="48" customHeight="1" s="60">
      <c r="A53" s="68" t="inlineStr">
        <is>
          <t>MRE-06-MENU-001</t>
        </is>
      </c>
      <c r="B53" s="68" t="inlineStr">
        <is>
          <t>MR-06</t>
        </is>
      </c>
      <c r="C53" s="68" t="inlineStr">
        <is>
          <t>MR-P3</t>
        </is>
      </c>
      <c r="D53" s="69" t="inlineStr">
        <is>
          <t>Menu</t>
        </is>
      </c>
      <c r="E53" s="69" t="inlineStr">
        <is>
          <t>current desktop pointer-down outside interaction closes Menu</t>
        </is>
      </c>
      <c r="F53" s="69" t="inlineStr">
        <is>
          <t>Menu!ID-169 — outside touch closes menu</t>
        </is>
      </c>
      <c r="G53" s="70" t="inlineStr">
        <is>
          <t>narrow unsupported claim</t>
        </is>
      </c>
      <c r="H53" s="69" t="inlineStr">
        <is>
          <t>confirmed Atom implementation gap</t>
        </is>
      </c>
      <c r="I53" s="70" t="inlineStr">
        <is>
          <t>real device — iOS Safari</t>
        </is>
      </c>
      <c r="J53" s="68" t="inlineStr">
        <is>
          <t>iOS</t>
        </is>
      </c>
      <c r="K53" s="68" t="n"/>
      <c r="L53" s="68" t="inlineStr">
        <is>
          <t>Safari</t>
        </is>
      </c>
      <c r="M53" s="68" t="n"/>
      <c r="N53" s="68" t="n"/>
      <c r="O53" s="68" t="inlineStr">
        <is>
          <t>touch</t>
        </is>
      </c>
      <c r="P53" s="68" t="inlineStr">
        <is>
          <t>none</t>
        </is>
      </c>
      <c r="Q53" s="69" t="inlineStr">
        <is>
          <t>On a named iOS device, exercise current desktop pointer-down outside interaction closes Menu and record OS, browser version, device, date, and reproduction notes.</t>
        </is>
      </c>
      <c r="R53" s="69" t="inlineStr">
        <is>
          <t>Outside tap dismissal occurs at the approved event boundary and cancels correctly after movement or scrolling.</t>
        </is>
      </c>
      <c r="S53" s="69" t="n"/>
      <c r="T53" s="69" t="n"/>
      <c r="U53" s="71" t="inlineStr">
        <is>
          <t>not run</t>
        </is>
      </c>
      <c r="V53" s="68" t="n"/>
      <c r="W53" s="69" t="n"/>
      <c r="X53" s="69" t="inlineStr">
        <is>
          <t>Existing component coverage remains the verified desktop/manual baseline; this record is an additional device qualification.</t>
        </is>
      </c>
      <c r="Y53" s="71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t="inlineStr">
        <is>
          <t>SwipeableItem</t>
        </is>
      </c>
    </row>
    <row r="54" ht="48" customHeight="1" s="60">
      <c r="A54" s="68" t="inlineStr">
        <is>
          <t>MRE-06-MENU-002</t>
        </is>
      </c>
      <c r="B54" s="68" t="inlineStr">
        <is>
          <t>MR-06</t>
        </is>
      </c>
      <c r="C54" s="68" t="inlineStr">
        <is>
          <t>MR-P3</t>
        </is>
      </c>
      <c r="D54" s="69" t="inlineStr">
        <is>
          <t>Menu</t>
        </is>
      </c>
      <c r="E54" s="69" t="inlineStr">
        <is>
          <t>current desktop pointer-down outside interaction closes Menu</t>
        </is>
      </c>
      <c r="F54" s="69" t="inlineStr">
        <is>
          <t>Menu!ID-169 — outside touch closes menu</t>
        </is>
      </c>
      <c r="G54" s="70" t="inlineStr">
        <is>
          <t>narrow unsupported claim</t>
        </is>
      </c>
      <c r="H54" s="69" t="inlineStr">
        <is>
          <t>confirmed Atom implementation gap</t>
        </is>
      </c>
      <c r="I54" s="70" t="inlineStr">
        <is>
          <t>real device — Android Chrome</t>
        </is>
      </c>
      <c r="J54" s="68" t="inlineStr">
        <is>
          <t>Android</t>
        </is>
      </c>
      <c r="K54" s="68" t="n"/>
      <c r="L54" s="68" t="inlineStr">
        <is>
          <t>Chrome</t>
        </is>
      </c>
      <c r="M54" s="68" t="n"/>
      <c r="N54" s="68" t="n"/>
      <c r="O54" s="68" t="inlineStr">
        <is>
          <t>touch</t>
        </is>
      </c>
      <c r="P54" s="68" t="inlineStr">
        <is>
          <t>none</t>
        </is>
      </c>
      <c r="Q54" s="69" t="inlineStr">
        <is>
          <t>On a named Android device, exercise current desktop pointer-down outside interaction closes Menu and record OS, browser version, device, date, and reproduction notes.</t>
        </is>
      </c>
      <c r="R54" s="69" t="inlineStr">
        <is>
          <t>Outside tap dismissal occurs at the approved event boundary and cancels correctly after movement or scrolling.</t>
        </is>
      </c>
      <c r="S54" s="69" t="n"/>
      <c r="T54" s="69" t="n"/>
      <c r="U54" s="71" t="inlineStr">
        <is>
          <t>not run</t>
        </is>
      </c>
      <c r="V54" s="68" t="n"/>
      <c r="W54" s="69" t="n"/>
      <c r="X54" s="69" t="inlineStr">
        <is>
          <t>Existing component coverage remains the verified desktop/manual baseline; this record is an additional device qualification.</t>
        </is>
      </c>
      <c r="Y54" s="71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t="inlineStr">
        <is>
          <t>Switch</t>
        </is>
      </c>
    </row>
    <row r="55" ht="48" customHeight="1" s="60">
      <c r="A55" s="68" t="inlineStr">
        <is>
          <t>MRE-01-DROPDOWNMENU-001</t>
        </is>
      </c>
      <c r="B55" s="68" t="inlineStr">
        <is>
          <t>MR-01</t>
        </is>
      </c>
      <c r="C55" s="68" t="inlineStr">
        <is>
          <t>MR-P5</t>
        </is>
      </c>
      <c r="D55" s="69" t="inlineStr">
        <is>
          <t>DropdownMenu</t>
        </is>
      </c>
      <c r="E55" s="69" t="inlineStr">
        <is>
          <t>placement flips or shifts near the edge of the manually tested desktop layout viewport</t>
        </is>
      </c>
      <c r="F55" s="69" t="inlineStr">
        <is>
          <t>DropdownMenu!ID-207 — placement flips or shifts near viewport edge</t>
        </is>
      </c>
      <c r="G55" s="70" t="inlineStr">
        <is>
          <t>narrow unsupported claim</t>
        </is>
      </c>
      <c r="H55" s="69" t="inlineStr">
        <is>
          <t>requires browser validation before concluding</t>
        </is>
      </c>
      <c r="I55" s="70" t="inlineStr">
        <is>
          <t>real device — iOS Safari</t>
        </is>
      </c>
      <c r="J55" s="68" t="inlineStr">
        <is>
          <t>iOS</t>
        </is>
      </c>
      <c r="K55" s="68" t="n"/>
      <c r="L55" s="68" t="inlineStr">
        <is>
          <t>Safari</t>
        </is>
      </c>
      <c r="M55" s="68" t="n"/>
      <c r="N55" s="68" t="n"/>
      <c r="O55" s="68" t="inlineStr">
        <is>
          <t>visual viewport</t>
        </is>
      </c>
      <c r="P55" s="68" t="inlineStr">
        <is>
          <t>none</t>
        </is>
      </c>
      <c r="Q55" s="69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69" t="inlineStr">
        <is>
          <t>DropdownMenu content remains reachable and correctly placed at mobile viewport edges.</t>
        </is>
      </c>
      <c r="S55" s="69" t="n"/>
      <c r="T55" s="69" t="n"/>
      <c r="U55" s="71" t="inlineStr">
        <is>
          <t>not run</t>
        </is>
      </c>
      <c r="V55" s="68" t="n"/>
      <c r="W55" s="69" t="n"/>
      <c r="X55" s="69" t="inlineStr">
        <is>
          <t>Existing component coverage remains the verified desktop/manual baseline; this record is an additional device qualification.</t>
        </is>
      </c>
      <c r="Y55" s="71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t="inlineStr">
        <is>
          <t>Table</t>
        </is>
      </c>
    </row>
    <row r="56" ht="48" customHeight="1" s="60">
      <c r="A56" s="68" t="inlineStr">
        <is>
          <t>MRE-01-DROPDOWNMENU-002</t>
        </is>
      </c>
      <c r="B56" s="68" t="inlineStr">
        <is>
          <t>MR-01</t>
        </is>
      </c>
      <c r="C56" s="68" t="inlineStr">
        <is>
          <t>MR-P5</t>
        </is>
      </c>
      <c r="D56" s="69" t="inlineStr">
        <is>
          <t>DropdownMenu</t>
        </is>
      </c>
      <c r="E56" s="69" t="inlineStr">
        <is>
          <t>placement flips or shifts near the edge of the manually tested desktop layout viewport</t>
        </is>
      </c>
      <c r="F56" s="69" t="inlineStr">
        <is>
          <t>DropdownMenu!ID-207 — placement flips or shifts near viewport edge</t>
        </is>
      </c>
      <c r="G56" s="70" t="inlineStr">
        <is>
          <t>narrow unsupported claim</t>
        </is>
      </c>
      <c r="H56" s="69" t="inlineStr">
        <is>
          <t>requires browser validation before concluding</t>
        </is>
      </c>
      <c r="I56" s="70" t="inlineStr">
        <is>
          <t>real device — Android Chrome</t>
        </is>
      </c>
      <c r="J56" s="68" t="inlineStr">
        <is>
          <t>Android</t>
        </is>
      </c>
      <c r="K56" s="68" t="n"/>
      <c r="L56" s="68" t="inlineStr">
        <is>
          <t>Chrome</t>
        </is>
      </c>
      <c r="M56" s="68" t="n"/>
      <c r="N56" s="68" t="n"/>
      <c r="O56" s="68" t="inlineStr">
        <is>
          <t>visual viewport</t>
        </is>
      </c>
      <c r="P56" s="68" t="inlineStr">
        <is>
          <t>none</t>
        </is>
      </c>
      <c r="Q56" s="69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69" t="inlineStr">
        <is>
          <t>DropdownMenu content remains reachable and correctly placed at mobile viewport edges.</t>
        </is>
      </c>
      <c r="S56" s="69" t="n"/>
      <c r="T56" s="69" t="n"/>
      <c r="U56" s="71" t="inlineStr">
        <is>
          <t>not run</t>
        </is>
      </c>
      <c r="V56" s="68" t="n"/>
      <c r="W56" s="69" t="n"/>
      <c r="X56" s="69" t="inlineStr">
        <is>
          <t>Existing component coverage remains the verified desktop/manual baseline; this record is an additional device qualification.</t>
        </is>
      </c>
      <c r="Y56" s="71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t="inlineStr">
        <is>
          <t>Tabs</t>
        </is>
      </c>
    </row>
    <row r="57" ht="48" customHeight="1" s="60">
      <c r="A57" s="68" t="inlineStr">
        <is>
          <t>MRE-07-DROPDOWNMENU-001</t>
        </is>
      </c>
      <c r="B57" s="68" t="inlineStr">
        <is>
          <t>MR-07</t>
        </is>
      </c>
      <c r="C57" s="68" t="inlineStr">
        <is>
          <t>MR-P7</t>
        </is>
      </c>
      <c r="D57" s="69" t="inlineStr">
        <is>
          <t>DropdownMenu</t>
        </is>
      </c>
      <c r="E57" s="69" t="inlineStr">
        <is>
          <t>pointer/click trigger activation opens DropdownMenu in the existing desktop manual scenario</t>
        </is>
      </c>
      <c r="F57" s="69" t="inlineStr">
        <is>
          <t>DropdownMenu!ID-220 — touch trigger opens dropdown</t>
        </is>
      </c>
      <c r="G57" s="70" t="inlineStr">
        <is>
          <t>narrow unsupported claim</t>
        </is>
      </c>
      <c r="H57" s="69" t="inlineStr">
        <is>
          <t>already adequately supported</t>
        </is>
      </c>
      <c r="I57" s="70" t="inlineStr">
        <is>
          <t>real device — iOS Safari</t>
        </is>
      </c>
      <c r="J57" s="68" t="inlineStr">
        <is>
          <t>iOS</t>
        </is>
      </c>
      <c r="K57" s="68" t="n"/>
      <c r="L57" s="68" t="inlineStr">
        <is>
          <t>Safari</t>
        </is>
      </c>
      <c r="M57" s="68" t="n"/>
      <c r="N57" s="68" t="n"/>
      <c r="O57" s="68" t="inlineStr">
        <is>
          <t>touch</t>
        </is>
      </c>
      <c r="P57" s="68" t="inlineStr">
        <is>
          <t>none</t>
        </is>
      </c>
      <c r="Q57" s="69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69" t="inlineStr">
        <is>
          <t>A device tap opens DropdownMenu once and preserves the current activation contract.</t>
        </is>
      </c>
      <c r="S57" s="69" t="n"/>
      <c r="T57" s="69" t="n"/>
      <c r="U57" s="71" t="inlineStr">
        <is>
          <t>not run</t>
        </is>
      </c>
      <c r="V57" s="68" t="n"/>
      <c r="W57" s="69" t="n"/>
      <c r="X57" s="69" t="inlineStr">
        <is>
          <t>Existing component coverage remains the verified desktop/manual baseline; this record is an additional device qualification.</t>
        </is>
      </c>
      <c r="Y57" s="71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t="inlineStr">
        <is>
          <t>Textarea</t>
        </is>
      </c>
    </row>
    <row r="58" ht="48" customHeight="1" s="60">
      <c r="A58" s="68" t="inlineStr">
        <is>
          <t>MRE-07-DROPDOWNMENU-002</t>
        </is>
      </c>
      <c r="B58" s="68" t="inlineStr">
        <is>
          <t>MR-07</t>
        </is>
      </c>
      <c r="C58" s="68" t="inlineStr">
        <is>
          <t>MR-P7</t>
        </is>
      </c>
      <c r="D58" s="69" t="inlineStr">
        <is>
          <t>DropdownMenu</t>
        </is>
      </c>
      <c r="E58" s="69" t="inlineStr">
        <is>
          <t>pointer/click trigger activation opens DropdownMenu in the existing desktop manual scenario</t>
        </is>
      </c>
      <c r="F58" s="69" t="inlineStr">
        <is>
          <t>DropdownMenu!ID-220 — touch trigger opens dropdown</t>
        </is>
      </c>
      <c r="G58" s="70" t="inlineStr">
        <is>
          <t>narrow unsupported claim</t>
        </is>
      </c>
      <c r="H58" s="69" t="inlineStr">
        <is>
          <t>already adequately supported</t>
        </is>
      </c>
      <c r="I58" s="70" t="inlineStr">
        <is>
          <t>real device — Android Chrome</t>
        </is>
      </c>
      <c r="J58" s="68" t="inlineStr">
        <is>
          <t>Android</t>
        </is>
      </c>
      <c r="K58" s="68" t="n"/>
      <c r="L58" s="68" t="inlineStr">
        <is>
          <t>Chrome</t>
        </is>
      </c>
      <c r="M58" s="68" t="n"/>
      <c r="N58" s="68" t="n"/>
      <c r="O58" s="68" t="inlineStr">
        <is>
          <t>touch</t>
        </is>
      </c>
      <c r="P58" s="68" t="inlineStr">
        <is>
          <t>none</t>
        </is>
      </c>
      <c r="Q58" s="69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69" t="inlineStr">
        <is>
          <t>A device tap opens DropdownMenu once and preserves the current activation contract.</t>
        </is>
      </c>
      <c r="S58" s="69" t="n"/>
      <c r="T58" s="69" t="n"/>
      <c r="U58" s="71" t="inlineStr">
        <is>
          <t>not run</t>
        </is>
      </c>
      <c r="V58" s="68" t="n"/>
      <c r="W58" s="69" t="n"/>
      <c r="X58" s="69" t="inlineStr">
        <is>
          <t>Existing component coverage remains the verified desktop/manual baseline; this record is an additional device qualification.</t>
        </is>
      </c>
      <c r="Y58" s="71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t="inlineStr">
        <is>
          <t>Toast</t>
        </is>
      </c>
    </row>
    <row r="59" ht="48" customHeight="1" s="60">
      <c r="A59" s="68" t="inlineStr">
        <is>
          <t>MRE-07-DROPDOWNMENU-003</t>
        </is>
      </c>
      <c r="B59" s="68" t="inlineStr">
        <is>
          <t>MR-07</t>
        </is>
      </c>
      <c r="C59" s="68" t="inlineStr">
        <is>
          <t>MR-P7</t>
        </is>
      </c>
      <c r="D59" s="69" t="inlineStr">
        <is>
          <t>DropdownMenu</t>
        </is>
      </c>
      <c r="E59" s="69" t="inlineStr">
        <is>
          <t>pointer/click trigger activation closes an open DropdownMenu in the existing desktop manual scenario</t>
        </is>
      </c>
      <c r="F59" s="69" t="inlineStr">
        <is>
          <t>DropdownMenu!ID-221 — touch trigger closes open dropdown</t>
        </is>
      </c>
      <c r="G59" s="70" t="inlineStr">
        <is>
          <t>narrow unsupported claim</t>
        </is>
      </c>
      <c r="H59" s="69" t="inlineStr">
        <is>
          <t>already adequately supported</t>
        </is>
      </c>
      <c r="I59" s="70" t="inlineStr">
        <is>
          <t>real device — iOS Safari</t>
        </is>
      </c>
      <c r="J59" s="68" t="inlineStr">
        <is>
          <t>iOS</t>
        </is>
      </c>
      <c r="K59" s="68" t="n"/>
      <c r="L59" s="68" t="inlineStr">
        <is>
          <t>Safari</t>
        </is>
      </c>
      <c r="M59" s="68" t="n"/>
      <c r="N59" s="68" t="n"/>
      <c r="O59" s="68" t="inlineStr">
        <is>
          <t>touch</t>
        </is>
      </c>
      <c r="P59" s="68" t="inlineStr">
        <is>
          <t>none</t>
        </is>
      </c>
      <c r="Q59" s="69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69" t="inlineStr">
        <is>
          <t>A device tap closes the open DropdownMenu once without reopen races.</t>
        </is>
      </c>
      <c r="S59" s="69" t="n"/>
      <c r="T59" s="69" t="n"/>
      <c r="U59" s="71" t="inlineStr">
        <is>
          <t>not run</t>
        </is>
      </c>
      <c r="V59" s="68" t="n"/>
      <c r="W59" s="69" t="n"/>
      <c r="X59" s="69" t="inlineStr">
        <is>
          <t>Existing component coverage remains the verified desktop/manual baseline; this record is an additional device qualification.</t>
        </is>
      </c>
      <c r="Y59" s="71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t="inlineStr">
        <is>
          <t>Toggle</t>
        </is>
      </c>
    </row>
    <row r="60" ht="48" customHeight="1" s="60">
      <c r="A60" s="68" t="inlineStr">
        <is>
          <t>MRE-07-DROPDOWNMENU-004</t>
        </is>
      </c>
      <c r="B60" s="68" t="inlineStr">
        <is>
          <t>MR-07</t>
        </is>
      </c>
      <c r="C60" s="68" t="inlineStr">
        <is>
          <t>MR-P7</t>
        </is>
      </c>
      <c r="D60" s="69" t="inlineStr">
        <is>
          <t>DropdownMenu</t>
        </is>
      </c>
      <c r="E60" s="69" t="inlineStr">
        <is>
          <t>pointer/click trigger activation closes an open DropdownMenu in the existing desktop manual scenario</t>
        </is>
      </c>
      <c r="F60" s="69" t="inlineStr">
        <is>
          <t>DropdownMenu!ID-221 — touch trigger closes open dropdown</t>
        </is>
      </c>
      <c r="G60" s="70" t="inlineStr">
        <is>
          <t>narrow unsupported claim</t>
        </is>
      </c>
      <c r="H60" s="69" t="inlineStr">
        <is>
          <t>already adequately supported</t>
        </is>
      </c>
      <c r="I60" s="70" t="inlineStr">
        <is>
          <t>real device — Android Chrome</t>
        </is>
      </c>
      <c r="J60" s="68" t="inlineStr">
        <is>
          <t>Android</t>
        </is>
      </c>
      <c r="K60" s="68" t="n"/>
      <c r="L60" s="68" t="inlineStr">
        <is>
          <t>Chrome</t>
        </is>
      </c>
      <c r="M60" s="68" t="n"/>
      <c r="N60" s="68" t="n"/>
      <c r="O60" s="68" t="inlineStr">
        <is>
          <t>touch</t>
        </is>
      </c>
      <c r="P60" s="68" t="inlineStr">
        <is>
          <t>none</t>
        </is>
      </c>
      <c r="Q60" s="69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69" t="inlineStr">
        <is>
          <t>A device tap closes the open DropdownMenu once without reopen races.</t>
        </is>
      </c>
      <c r="S60" s="69" t="n"/>
      <c r="T60" s="69" t="n"/>
      <c r="U60" s="71" t="inlineStr">
        <is>
          <t>not run</t>
        </is>
      </c>
      <c r="V60" s="68" t="n"/>
      <c r="W60" s="69" t="n"/>
      <c r="X60" s="69" t="inlineStr">
        <is>
          <t>Existing component coverage remains the verified desktop/manual baseline; this record is an additional device qualification.</t>
        </is>
      </c>
      <c r="Y60" s="71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t="inlineStr">
        <is>
          <t>ToggleGroup</t>
        </is>
      </c>
    </row>
    <row r="61" ht="48" customHeight="1" s="60">
      <c r="A61" s="68" t="inlineStr">
        <is>
          <t>MRE-07-DROPDOWNMENU-005</t>
        </is>
      </c>
      <c r="B61" s="68" t="inlineStr">
        <is>
          <t>MR-07</t>
        </is>
      </c>
      <c r="C61" s="68" t="inlineStr">
        <is>
          <t>MR-P7</t>
        </is>
      </c>
      <c r="D61" s="69" t="inlineStr">
        <is>
          <t>DropdownMenu</t>
        </is>
      </c>
      <c r="E61" s="69" t="inlineStr">
        <is>
          <t>pointer/click activation selects an action item in the existing desktop manual scenario</t>
        </is>
      </c>
      <c r="F61" s="69" t="inlineStr">
        <is>
          <t>DropdownMenu!ID-222 — touch selects action item</t>
        </is>
      </c>
      <c r="G61" s="70" t="inlineStr">
        <is>
          <t>narrow unsupported claim</t>
        </is>
      </c>
      <c r="H61" s="69" t="inlineStr">
        <is>
          <t>already adequately supported</t>
        </is>
      </c>
      <c r="I61" s="70" t="inlineStr">
        <is>
          <t>real device — iOS Safari</t>
        </is>
      </c>
      <c r="J61" s="68" t="inlineStr">
        <is>
          <t>iOS</t>
        </is>
      </c>
      <c r="K61" s="68" t="n"/>
      <c r="L61" s="68" t="inlineStr">
        <is>
          <t>Safari</t>
        </is>
      </c>
      <c r="M61" s="68" t="n"/>
      <c r="N61" s="68" t="n"/>
      <c r="O61" s="68" t="inlineStr">
        <is>
          <t>touch</t>
        </is>
      </c>
      <c r="P61" s="68" t="inlineStr">
        <is>
          <t>none</t>
        </is>
      </c>
      <c r="Q61" s="69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69" t="inlineStr">
        <is>
          <t>A device tap selects the intended action once.</t>
        </is>
      </c>
      <c r="S61" s="69" t="n"/>
      <c r="T61" s="69" t="n"/>
      <c r="U61" s="71" t="inlineStr">
        <is>
          <t>not run</t>
        </is>
      </c>
      <c r="V61" s="68" t="n"/>
      <c r="W61" s="69" t="n"/>
      <c r="X61" s="69" t="inlineStr">
        <is>
          <t>Existing component coverage remains the verified desktop/manual baseline; this record is an additional device qualification.</t>
        </is>
      </c>
      <c r="Y61" s="71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t="inlineStr">
        <is>
          <t>Toolbar</t>
        </is>
      </c>
    </row>
    <row r="62" ht="48" customHeight="1" s="60">
      <c r="A62" s="68" t="inlineStr">
        <is>
          <t>MRE-07-DROPDOWNMENU-006</t>
        </is>
      </c>
      <c r="B62" s="68" t="inlineStr">
        <is>
          <t>MR-07</t>
        </is>
      </c>
      <c r="C62" s="68" t="inlineStr">
        <is>
          <t>MR-P7</t>
        </is>
      </c>
      <c r="D62" s="69" t="inlineStr">
        <is>
          <t>DropdownMenu</t>
        </is>
      </c>
      <c r="E62" s="69" t="inlineStr">
        <is>
          <t>pointer/click activation selects an action item in the existing desktop manual scenario</t>
        </is>
      </c>
      <c r="F62" s="69" t="inlineStr">
        <is>
          <t>DropdownMenu!ID-222 — touch selects action item</t>
        </is>
      </c>
      <c r="G62" s="70" t="inlineStr">
        <is>
          <t>narrow unsupported claim</t>
        </is>
      </c>
      <c r="H62" s="69" t="inlineStr">
        <is>
          <t>already adequately supported</t>
        </is>
      </c>
      <c r="I62" s="70" t="inlineStr">
        <is>
          <t>real device — Android Chrome</t>
        </is>
      </c>
      <c r="J62" s="68" t="inlineStr">
        <is>
          <t>Android</t>
        </is>
      </c>
      <c r="K62" s="68" t="n"/>
      <c r="L62" s="68" t="inlineStr">
        <is>
          <t>Chrome</t>
        </is>
      </c>
      <c r="M62" s="68" t="n"/>
      <c r="N62" s="68" t="n"/>
      <c r="O62" s="68" t="inlineStr">
        <is>
          <t>touch</t>
        </is>
      </c>
      <c r="P62" s="68" t="inlineStr">
        <is>
          <t>none</t>
        </is>
      </c>
      <c r="Q62" s="69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69" t="inlineStr">
        <is>
          <t>A device tap selects the intended action once.</t>
        </is>
      </c>
      <c r="S62" s="69" t="n"/>
      <c r="T62" s="69" t="n"/>
      <c r="U62" s="71" t="inlineStr">
        <is>
          <t>not run</t>
        </is>
      </c>
      <c r="V62" s="68" t="n"/>
      <c r="W62" s="69" t="n"/>
      <c r="X62" s="69" t="inlineStr">
        <is>
          <t>Existing component coverage remains the verified desktop/manual baseline; this record is an additional device qualification.</t>
        </is>
      </c>
      <c r="Y62" s="71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t="inlineStr">
        <is>
          <t>Tooltip</t>
        </is>
      </c>
    </row>
    <row r="63" ht="48" customHeight="1" s="60">
      <c r="A63" s="68" t="inlineStr">
        <is>
          <t>MRE-07-DROPDOWNMENU-007</t>
        </is>
      </c>
      <c r="B63" s="68" t="inlineStr">
        <is>
          <t>MR-07</t>
        </is>
      </c>
      <c r="C63" s="68" t="inlineStr">
        <is>
          <t>MR-P7</t>
        </is>
      </c>
      <c r="D63" s="69" t="inlineStr">
        <is>
          <t>DropdownMenu</t>
        </is>
      </c>
      <c r="E63" s="69" t="inlineStr">
        <is>
          <t>pointer/click activation toggles a checkbox item in the existing desktop manual scenario</t>
        </is>
      </c>
      <c r="F63" s="69" t="inlineStr">
        <is>
          <t>DropdownMenu!ID-223 — touch toggles checkbox item</t>
        </is>
      </c>
      <c r="G63" s="70" t="inlineStr">
        <is>
          <t>narrow unsupported claim</t>
        </is>
      </c>
      <c r="H63" s="69" t="inlineStr">
        <is>
          <t>already adequately supported</t>
        </is>
      </c>
      <c r="I63" s="70" t="inlineStr">
        <is>
          <t>real device — iOS Safari</t>
        </is>
      </c>
      <c r="J63" s="68" t="inlineStr">
        <is>
          <t>iOS</t>
        </is>
      </c>
      <c r="K63" s="68" t="n"/>
      <c r="L63" s="68" t="inlineStr">
        <is>
          <t>Safari</t>
        </is>
      </c>
      <c r="M63" s="68" t="n"/>
      <c r="N63" s="68" t="n"/>
      <c r="O63" s="68" t="inlineStr">
        <is>
          <t>touch</t>
        </is>
      </c>
      <c r="P63" s="68" t="inlineStr">
        <is>
          <t>none</t>
        </is>
      </c>
      <c r="Q63" s="69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69" t="inlineStr">
        <is>
          <t>A device tap toggles the intended checkbox item once.</t>
        </is>
      </c>
      <c r="S63" s="69" t="n"/>
      <c r="T63" s="69" t="n"/>
      <c r="U63" s="71" t="inlineStr">
        <is>
          <t>not run</t>
        </is>
      </c>
      <c r="V63" s="68" t="n"/>
      <c r="W63" s="69" t="n"/>
      <c r="X63" s="69" t="inlineStr">
        <is>
          <t>Existing component coverage remains the verified desktop/manual baseline; this record is an additional device qualification.</t>
        </is>
      </c>
      <c r="Y63" s="71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t="inlineStr">
        <is>
          <t>Tree</t>
        </is>
      </c>
    </row>
    <row r="64" ht="48" customHeight="1" s="60">
      <c r="A64" s="68" t="inlineStr">
        <is>
          <t>MRE-07-DROPDOWNMENU-008</t>
        </is>
      </c>
      <c r="B64" s="68" t="inlineStr">
        <is>
          <t>MR-07</t>
        </is>
      </c>
      <c r="C64" s="68" t="inlineStr">
        <is>
          <t>MR-P7</t>
        </is>
      </c>
      <c r="D64" s="69" t="inlineStr">
        <is>
          <t>DropdownMenu</t>
        </is>
      </c>
      <c r="E64" s="69" t="inlineStr">
        <is>
          <t>pointer/click activation toggles a checkbox item in the existing desktop manual scenario</t>
        </is>
      </c>
      <c r="F64" s="69" t="inlineStr">
        <is>
          <t>DropdownMenu!ID-223 — touch toggles checkbox item</t>
        </is>
      </c>
      <c r="G64" s="70" t="inlineStr">
        <is>
          <t>narrow unsupported claim</t>
        </is>
      </c>
      <c r="H64" s="69" t="inlineStr">
        <is>
          <t>already adequately supported</t>
        </is>
      </c>
      <c r="I64" s="70" t="inlineStr">
        <is>
          <t>real device — Android Chrome</t>
        </is>
      </c>
      <c r="J64" s="68" t="inlineStr">
        <is>
          <t>Android</t>
        </is>
      </c>
      <c r="K64" s="68" t="n"/>
      <c r="L64" s="68" t="inlineStr">
        <is>
          <t>Chrome</t>
        </is>
      </c>
      <c r="M64" s="68" t="n"/>
      <c r="N64" s="68" t="n"/>
      <c r="O64" s="68" t="inlineStr">
        <is>
          <t>touch</t>
        </is>
      </c>
      <c r="P64" s="68" t="inlineStr">
        <is>
          <t>none</t>
        </is>
      </c>
      <c r="Q64" s="69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69" t="inlineStr">
        <is>
          <t>A device tap toggles the intended checkbox item once.</t>
        </is>
      </c>
      <c r="S64" s="69" t="n"/>
      <c r="T64" s="69" t="n"/>
      <c r="U64" s="71" t="inlineStr">
        <is>
          <t>not run</t>
        </is>
      </c>
      <c r="V64" s="68" t="n"/>
      <c r="W64" s="69" t="n"/>
      <c r="X64" s="69" t="inlineStr">
        <is>
          <t>Existing component coverage remains the verified desktop/manual baseline; this record is an additional device qualification.</t>
        </is>
      </c>
      <c r="Y64" s="71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t="inlineStr">
        <is>
          <t>TreeGrid</t>
        </is>
      </c>
    </row>
    <row r="65" ht="48" customHeight="1" s="60">
      <c r="A65" s="68" t="inlineStr">
        <is>
          <t>MRE-07-DROPDOWNMENU-009</t>
        </is>
      </c>
      <c r="B65" s="68" t="inlineStr">
        <is>
          <t>MR-07</t>
        </is>
      </c>
      <c r="C65" s="68" t="inlineStr">
        <is>
          <t>MR-P7</t>
        </is>
      </c>
      <c r="D65" s="69" t="inlineStr">
        <is>
          <t>DropdownMenu</t>
        </is>
      </c>
      <c r="E65" s="69" t="inlineStr">
        <is>
          <t>pointer/click activation selects a radio item in the existing desktop manual scenario</t>
        </is>
      </c>
      <c r="F65" s="69" t="inlineStr">
        <is>
          <t>DropdownMenu!ID-224 — touch selects radio item</t>
        </is>
      </c>
      <c r="G65" s="70" t="inlineStr">
        <is>
          <t>narrow unsupported claim</t>
        </is>
      </c>
      <c r="H65" s="69" t="inlineStr">
        <is>
          <t>already adequately supported</t>
        </is>
      </c>
      <c r="I65" s="70" t="inlineStr">
        <is>
          <t>real device — iOS Safari</t>
        </is>
      </c>
      <c r="J65" s="68" t="inlineStr">
        <is>
          <t>iOS</t>
        </is>
      </c>
      <c r="K65" s="68" t="n"/>
      <c r="L65" s="68" t="inlineStr">
        <is>
          <t>Safari</t>
        </is>
      </c>
      <c r="M65" s="68" t="n"/>
      <c r="N65" s="68" t="n"/>
      <c r="O65" s="68" t="inlineStr">
        <is>
          <t>touch</t>
        </is>
      </c>
      <c r="P65" s="68" t="inlineStr">
        <is>
          <t>none</t>
        </is>
      </c>
      <c r="Q65" s="69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69" t="inlineStr">
        <is>
          <t>A device tap selects the intended radio item once.</t>
        </is>
      </c>
      <c r="S65" s="69" t="n"/>
      <c r="T65" s="69" t="n"/>
      <c r="U65" s="71" t="inlineStr">
        <is>
          <t>not run</t>
        </is>
      </c>
      <c r="V65" s="68" t="n"/>
      <c r="W65" s="69" t="n"/>
      <c r="X65" s="69" t="inlineStr">
        <is>
          <t>Existing component coverage remains the verified desktop/manual baseline; this record is an additional device qualification.</t>
        </is>
      </c>
      <c r="Y65" s="71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t="inlineStr">
        <is>
          <t>Virtualizer</t>
        </is>
      </c>
    </row>
    <row r="66" ht="48" customHeight="1" s="60">
      <c r="A66" s="68" t="inlineStr">
        <is>
          <t>MRE-07-DROPDOWNMENU-010</t>
        </is>
      </c>
      <c r="B66" s="68" t="inlineStr">
        <is>
          <t>MR-07</t>
        </is>
      </c>
      <c r="C66" s="68" t="inlineStr">
        <is>
          <t>MR-P7</t>
        </is>
      </c>
      <c r="D66" s="69" t="inlineStr">
        <is>
          <t>DropdownMenu</t>
        </is>
      </c>
      <c r="E66" s="69" t="inlineStr">
        <is>
          <t>pointer/click activation selects a radio item in the existing desktop manual scenario</t>
        </is>
      </c>
      <c r="F66" s="69" t="inlineStr">
        <is>
          <t>DropdownMenu!ID-224 — touch selects radio item</t>
        </is>
      </c>
      <c r="G66" s="70" t="inlineStr">
        <is>
          <t>narrow unsupported claim</t>
        </is>
      </c>
      <c r="H66" s="69" t="inlineStr">
        <is>
          <t>already adequately supported</t>
        </is>
      </c>
      <c r="I66" s="70" t="inlineStr">
        <is>
          <t>real device — Android Chrome</t>
        </is>
      </c>
      <c r="J66" s="68" t="inlineStr">
        <is>
          <t>Android</t>
        </is>
      </c>
      <c r="K66" s="68" t="n"/>
      <c r="L66" s="68" t="inlineStr">
        <is>
          <t>Chrome</t>
        </is>
      </c>
      <c r="M66" s="68" t="n"/>
      <c r="N66" s="68" t="n"/>
      <c r="O66" s="68" t="inlineStr">
        <is>
          <t>touch</t>
        </is>
      </c>
      <c r="P66" s="68" t="inlineStr">
        <is>
          <t>none</t>
        </is>
      </c>
      <c r="Q66" s="69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69" t="inlineStr">
        <is>
          <t>A device tap selects the intended radio item once.</t>
        </is>
      </c>
      <c r="S66" s="69" t="n"/>
      <c r="T66" s="69" t="n"/>
      <c r="U66" s="71" t="inlineStr">
        <is>
          <t>not run</t>
        </is>
      </c>
      <c r="V66" s="68" t="n"/>
      <c r="W66" s="69" t="n"/>
      <c r="X66" s="69" t="inlineStr">
        <is>
          <t>Existing component coverage remains the verified desktop/manual baseline; this record is an additional device qualification.</t>
        </is>
      </c>
      <c r="Y66" s="71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t="inlineStr">
        <is>
          <t>VisuallyHidden</t>
        </is>
      </c>
    </row>
    <row r="67" ht="48" customHeight="1" s="60">
      <c r="A67" s="68" t="inlineStr">
        <is>
          <t>MRE-08-DROPDOWNMENU-001</t>
        </is>
      </c>
      <c r="B67" s="68" t="inlineStr">
        <is>
          <t>MR-08</t>
        </is>
      </c>
      <c r="C67" s="68" t="inlineStr">
        <is>
          <t>MR-P7</t>
        </is>
      </c>
      <c r="D67" s="69" t="inlineStr">
        <is>
          <t>DropdownMenu</t>
        </is>
      </c>
      <c r="E67" s="69" t="inlineStr">
        <is>
          <t>pointer/click activation opens a submenu in the existing desktop manual scenario</t>
        </is>
      </c>
      <c r="F67" s="69" t="inlineStr">
        <is>
          <t>DropdownMenu!ID-225 — touch opens submenu</t>
        </is>
      </c>
      <c r="G67" s="70" t="inlineStr">
        <is>
          <t>narrow unsupported claim</t>
        </is>
      </c>
      <c r="H67" s="69" t="inlineStr">
        <is>
          <t>Atom API/design decision required</t>
        </is>
      </c>
      <c r="I67" s="70" t="inlineStr">
        <is>
          <t>real device — iOS Safari</t>
        </is>
      </c>
      <c r="J67" s="68" t="inlineStr">
        <is>
          <t>iOS</t>
        </is>
      </c>
      <c r="K67" s="68" t="n"/>
      <c r="L67" s="68" t="inlineStr">
        <is>
          <t>Safari</t>
        </is>
      </c>
      <c r="M67" s="68" t="n"/>
      <c r="N67" s="68" t="n"/>
      <c r="O67" s="68" t="inlineStr">
        <is>
          <t>touch</t>
        </is>
      </c>
      <c r="P67" s="68" t="inlineStr">
        <is>
          <t>none</t>
        </is>
      </c>
      <c r="Q67" s="69" t="inlineStr">
        <is>
          <t>On a named iOS device, exercise pointer/click activation opens a submenu in the existing desktop manual scenario and record OS, browser version, device, date, and reproduction notes.</t>
        </is>
      </c>
      <c r="R67" s="69" t="inlineStr">
        <is>
          <t>A device tap opens the intended submenu; any drill-in presentation remains an explicit approved contract.</t>
        </is>
      </c>
      <c r="S67" s="69" t="n"/>
      <c r="T67" s="69" t="n"/>
      <c r="U67" s="71" t="inlineStr">
        <is>
          <t>not run</t>
        </is>
      </c>
      <c r="V67" s="68" t="n"/>
      <c r="W67" s="69" t="n"/>
      <c r="X67" s="69" t="inlineStr">
        <is>
          <t>Existing component coverage remains the verified desktop/manual baseline; this record is an additional device qualification.</t>
        </is>
      </c>
      <c r="Y67" s="71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60">
      <c r="A68" s="68" t="inlineStr">
        <is>
          <t>MRE-08-DROPDOWNMENU-002</t>
        </is>
      </c>
      <c r="B68" s="68" t="inlineStr">
        <is>
          <t>MR-08</t>
        </is>
      </c>
      <c r="C68" s="68" t="inlineStr">
        <is>
          <t>MR-P7</t>
        </is>
      </c>
      <c r="D68" s="69" t="inlineStr">
        <is>
          <t>DropdownMenu</t>
        </is>
      </c>
      <c r="E68" s="69" t="inlineStr">
        <is>
          <t>pointer/click activation opens a submenu in the existing desktop manual scenario</t>
        </is>
      </c>
      <c r="F68" s="69" t="inlineStr">
        <is>
          <t>DropdownMenu!ID-225 — touch opens submenu</t>
        </is>
      </c>
      <c r="G68" s="70" t="inlineStr">
        <is>
          <t>narrow unsupported claim</t>
        </is>
      </c>
      <c r="H68" s="69" t="inlineStr">
        <is>
          <t>Atom API/design decision required</t>
        </is>
      </c>
      <c r="I68" s="70" t="inlineStr">
        <is>
          <t>real device — Android Chrome</t>
        </is>
      </c>
      <c r="J68" s="68" t="inlineStr">
        <is>
          <t>Android</t>
        </is>
      </c>
      <c r="K68" s="68" t="n"/>
      <c r="L68" s="68" t="inlineStr">
        <is>
          <t>Chrome</t>
        </is>
      </c>
      <c r="M68" s="68" t="n"/>
      <c r="N68" s="68" t="n"/>
      <c r="O68" s="68" t="inlineStr">
        <is>
          <t>touch</t>
        </is>
      </c>
      <c r="P68" s="68" t="inlineStr">
        <is>
          <t>none</t>
        </is>
      </c>
      <c r="Q68" s="69" t="inlineStr">
        <is>
          <t>On a named Android device, exercise pointer/click activation opens a submenu in the existing desktop manual scenario and record OS, browser version, device, date, and reproduction notes.</t>
        </is>
      </c>
      <c r="R68" s="69" t="inlineStr">
        <is>
          <t>A device tap opens the intended submenu; any drill-in presentation remains an explicit approved contract.</t>
        </is>
      </c>
      <c r="S68" s="69" t="n"/>
      <c r="T68" s="69" t="n"/>
      <c r="U68" s="71" t="inlineStr">
        <is>
          <t>not run</t>
        </is>
      </c>
      <c r="V68" s="68" t="n"/>
      <c r="W68" s="69" t="n"/>
      <c r="X68" s="69" t="inlineStr">
        <is>
          <t>Existing component coverage remains the verified desktop/manual baseline; this record is an additional device qualification.</t>
        </is>
      </c>
      <c r="Y68" s="71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60">
      <c r="A69" s="68" t="inlineStr">
        <is>
          <t>MRE-06-DROPDOWNMENU-001</t>
        </is>
      </c>
      <c r="B69" s="68" t="inlineStr">
        <is>
          <t>MR-06</t>
        </is>
      </c>
      <c r="C69" s="68" t="inlineStr">
        <is>
          <t>MR-P3</t>
        </is>
      </c>
      <c r="D69" s="69" t="inlineStr">
        <is>
          <t>DropdownMenu</t>
        </is>
      </c>
      <c r="E69" s="69" t="inlineStr">
        <is>
          <t>current desktop pointer-down outside interaction closes DropdownMenu</t>
        </is>
      </c>
      <c r="F69" s="69" t="inlineStr">
        <is>
          <t>DropdownMenu!ID-226 — outside touch closes dropdown</t>
        </is>
      </c>
      <c r="G69" s="70" t="inlineStr">
        <is>
          <t>narrow unsupported claim</t>
        </is>
      </c>
      <c r="H69" s="69" t="inlineStr">
        <is>
          <t>confirmed Atom implementation gap</t>
        </is>
      </c>
      <c r="I69" s="70" t="inlineStr">
        <is>
          <t>real device — iOS Safari</t>
        </is>
      </c>
      <c r="J69" s="68" t="inlineStr">
        <is>
          <t>iOS</t>
        </is>
      </c>
      <c r="K69" s="68" t="n"/>
      <c r="L69" s="68" t="inlineStr">
        <is>
          <t>Safari</t>
        </is>
      </c>
      <c r="M69" s="68" t="n"/>
      <c r="N69" s="68" t="n"/>
      <c r="O69" s="68" t="inlineStr">
        <is>
          <t>touch</t>
        </is>
      </c>
      <c r="P69" s="68" t="inlineStr">
        <is>
          <t>none</t>
        </is>
      </c>
      <c r="Q69" s="69" t="inlineStr">
        <is>
          <t>On a named iOS device, exercise current desktop pointer-down outside interaction closes DropdownMenu and record OS, browser version, device, date, and reproduction notes.</t>
        </is>
      </c>
      <c r="R69" s="69" t="inlineStr">
        <is>
          <t>Outside tap dismissal occurs at the approved event boundary and cancels correctly after movement or scrolling.</t>
        </is>
      </c>
      <c r="S69" s="69" t="n"/>
      <c r="T69" s="69" t="n"/>
      <c r="U69" s="71" t="inlineStr">
        <is>
          <t>not run</t>
        </is>
      </c>
      <c r="V69" s="68" t="n"/>
      <c r="W69" s="69" t="n"/>
      <c r="X69" s="69" t="inlineStr">
        <is>
          <t>Existing component coverage remains the verified desktop/manual baseline; this record is an additional device qualification.</t>
        </is>
      </c>
      <c r="Y69" s="71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60">
      <c r="A70" s="68" t="inlineStr">
        <is>
          <t>MRE-06-DROPDOWNMENU-002</t>
        </is>
      </c>
      <c r="B70" s="68" t="inlineStr">
        <is>
          <t>MR-06</t>
        </is>
      </c>
      <c r="C70" s="68" t="inlineStr">
        <is>
          <t>MR-P3</t>
        </is>
      </c>
      <c r="D70" s="69" t="inlineStr">
        <is>
          <t>DropdownMenu</t>
        </is>
      </c>
      <c r="E70" s="69" t="inlineStr">
        <is>
          <t>current desktop pointer-down outside interaction closes DropdownMenu</t>
        </is>
      </c>
      <c r="F70" s="69" t="inlineStr">
        <is>
          <t>DropdownMenu!ID-226 — outside touch closes dropdown</t>
        </is>
      </c>
      <c r="G70" s="70" t="inlineStr">
        <is>
          <t>narrow unsupported claim</t>
        </is>
      </c>
      <c r="H70" s="69" t="inlineStr">
        <is>
          <t>confirmed Atom implementation gap</t>
        </is>
      </c>
      <c r="I70" s="70" t="inlineStr">
        <is>
          <t>real device — Android Chrome</t>
        </is>
      </c>
      <c r="J70" s="68" t="inlineStr">
        <is>
          <t>Android</t>
        </is>
      </c>
      <c r="K70" s="68" t="n"/>
      <c r="L70" s="68" t="inlineStr">
        <is>
          <t>Chrome</t>
        </is>
      </c>
      <c r="M70" s="68" t="n"/>
      <c r="N70" s="68" t="n"/>
      <c r="O70" s="68" t="inlineStr">
        <is>
          <t>touch</t>
        </is>
      </c>
      <c r="P70" s="68" t="inlineStr">
        <is>
          <t>none</t>
        </is>
      </c>
      <c r="Q70" s="69" t="inlineStr">
        <is>
          <t>On a named Android device, exercise current desktop pointer-down outside interaction closes DropdownMenu and record OS, browser version, device, date, and reproduction notes.</t>
        </is>
      </c>
      <c r="R70" s="69" t="inlineStr">
        <is>
          <t>Outside tap dismissal occurs at the approved event boundary and cancels correctly after movement or scrolling.</t>
        </is>
      </c>
      <c r="S70" s="69" t="n"/>
      <c r="T70" s="69" t="n"/>
      <c r="U70" s="71" t="inlineStr">
        <is>
          <t>not run</t>
        </is>
      </c>
      <c r="V70" s="68" t="n"/>
      <c r="W70" s="69" t="n"/>
      <c r="X70" s="69" t="inlineStr">
        <is>
          <t>Existing component coverage remains the verified desktop/manual baseline; this record is an additional device qualification.</t>
        </is>
      </c>
      <c r="Y70" s="71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60">
      <c r="A71" s="68" t="inlineStr">
        <is>
          <t>MRE-01-CONTEXTMENU-001</t>
        </is>
      </c>
      <c r="B71" s="68" t="inlineStr">
        <is>
          <t>MR-01</t>
        </is>
      </c>
      <c r="C71" s="68" t="inlineStr">
        <is>
          <t>MR-P5</t>
        </is>
      </c>
      <c r="D71" s="69" t="inlineStr">
        <is>
          <t>ContextMenu</t>
        </is>
      </c>
      <c r="E71" s="69" t="inlineStr">
        <is>
          <t>placement flips or shifts near the edge of the manually tested desktop layout viewport</t>
        </is>
      </c>
      <c r="F71" s="69" t="inlineStr">
        <is>
          <t>ContextMenu!ID-173 — placement flips or shifts near viewport edge</t>
        </is>
      </c>
      <c r="G71" s="70" t="inlineStr">
        <is>
          <t>narrow unsupported claim</t>
        </is>
      </c>
      <c r="H71" s="69" t="inlineStr">
        <is>
          <t>requires browser validation before concluding</t>
        </is>
      </c>
      <c r="I71" s="70" t="inlineStr">
        <is>
          <t>real device — iOS Safari</t>
        </is>
      </c>
      <c r="J71" s="68" t="inlineStr">
        <is>
          <t>iOS</t>
        </is>
      </c>
      <c r="K71" s="68" t="n"/>
      <c r="L71" s="68" t="inlineStr">
        <is>
          <t>Safari</t>
        </is>
      </c>
      <c r="M71" s="68" t="n"/>
      <c r="N71" s="68" t="n"/>
      <c r="O71" s="68" t="inlineStr">
        <is>
          <t>visual viewport</t>
        </is>
      </c>
      <c r="P71" s="68" t="inlineStr">
        <is>
          <t>none</t>
        </is>
      </c>
      <c r="Q71" s="69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69" t="inlineStr">
        <is>
          <t>ContextMenu content remains reachable and correctly placed at mobile viewport edges.</t>
        </is>
      </c>
      <c r="S71" s="69" t="n"/>
      <c r="T71" s="69" t="n"/>
      <c r="U71" s="71" t="inlineStr">
        <is>
          <t>not run</t>
        </is>
      </c>
      <c r="V71" s="68" t="n"/>
      <c r="W71" s="69" t="n"/>
      <c r="X71" s="69" t="inlineStr">
        <is>
          <t>Existing component coverage remains the verified desktop/manual baseline; this record is an additional device qualification.</t>
        </is>
      </c>
      <c r="Y71" s="71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60">
      <c r="A72" s="68" t="inlineStr">
        <is>
          <t>MRE-01-CONTEXTMENU-002</t>
        </is>
      </c>
      <c r="B72" s="68" t="inlineStr">
        <is>
          <t>MR-01</t>
        </is>
      </c>
      <c r="C72" s="68" t="inlineStr">
        <is>
          <t>MR-P5</t>
        </is>
      </c>
      <c r="D72" s="69" t="inlineStr">
        <is>
          <t>ContextMenu</t>
        </is>
      </c>
      <c r="E72" s="69" t="inlineStr">
        <is>
          <t>placement flips or shifts near the edge of the manually tested desktop layout viewport</t>
        </is>
      </c>
      <c r="F72" s="69" t="inlineStr">
        <is>
          <t>ContextMenu!ID-173 — placement flips or shifts near viewport edge</t>
        </is>
      </c>
      <c r="G72" s="70" t="inlineStr">
        <is>
          <t>narrow unsupported claim</t>
        </is>
      </c>
      <c r="H72" s="69" t="inlineStr">
        <is>
          <t>requires browser validation before concluding</t>
        </is>
      </c>
      <c r="I72" s="70" t="inlineStr">
        <is>
          <t>real device — Android Chrome</t>
        </is>
      </c>
      <c r="J72" s="68" t="inlineStr">
        <is>
          <t>Android</t>
        </is>
      </c>
      <c r="K72" s="68" t="n"/>
      <c r="L72" s="68" t="inlineStr">
        <is>
          <t>Chrome</t>
        </is>
      </c>
      <c r="M72" s="68" t="n"/>
      <c r="N72" s="68" t="n"/>
      <c r="O72" s="68" t="inlineStr">
        <is>
          <t>visual viewport</t>
        </is>
      </c>
      <c r="P72" s="68" t="inlineStr">
        <is>
          <t>none</t>
        </is>
      </c>
      <c r="Q72" s="69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69" t="inlineStr">
        <is>
          <t>ContextMenu content remains reachable and correctly placed at mobile viewport edges.</t>
        </is>
      </c>
      <c r="S72" s="69" t="n"/>
      <c r="T72" s="69" t="n"/>
      <c r="U72" s="71" t="inlineStr">
        <is>
          <t>not run</t>
        </is>
      </c>
      <c r="V72" s="68" t="n"/>
      <c r="W72" s="69" t="n"/>
      <c r="X72" s="69" t="inlineStr">
        <is>
          <t>Existing component coverage remains the verified desktop/manual baseline; this record is an additional device qualification.</t>
        </is>
      </c>
      <c r="Y72" s="71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60">
      <c r="A73" s="68" t="inlineStr">
        <is>
          <t>MRE-06-CONTEXTMENU-001</t>
        </is>
      </c>
      <c r="B73" s="68" t="inlineStr">
        <is>
          <t>MR-06</t>
        </is>
      </c>
      <c r="C73" s="68" t="inlineStr">
        <is>
          <t>MR-P3</t>
        </is>
      </c>
      <c r="D73" s="69" t="inlineStr">
        <is>
          <t>ContextMenu</t>
        </is>
      </c>
      <c r="E73" s="69" t="inlineStr">
        <is>
          <t>current desktop pointer-down outside interaction closes ContextMenu</t>
        </is>
      </c>
      <c r="F73" s="69" t="inlineStr">
        <is>
          <t>ContextMenu!ID-181 — touch outside closes context menu</t>
        </is>
      </c>
      <c r="G73" s="70" t="inlineStr">
        <is>
          <t>narrow unsupported claim</t>
        </is>
      </c>
      <c r="H73" s="69" t="inlineStr">
        <is>
          <t>confirmed Atom implementation gap</t>
        </is>
      </c>
      <c r="I73" s="70" t="inlineStr">
        <is>
          <t>real device — iOS Safari</t>
        </is>
      </c>
      <c r="J73" s="68" t="inlineStr">
        <is>
          <t>iOS</t>
        </is>
      </c>
      <c r="K73" s="68" t="n"/>
      <c r="L73" s="68" t="inlineStr">
        <is>
          <t>Safari</t>
        </is>
      </c>
      <c r="M73" s="68" t="n"/>
      <c r="N73" s="68" t="n"/>
      <c r="O73" s="68" t="inlineStr">
        <is>
          <t>touch</t>
        </is>
      </c>
      <c r="P73" s="68" t="inlineStr">
        <is>
          <t>none</t>
        </is>
      </c>
      <c r="Q73" s="69" t="inlineStr">
        <is>
          <t>On a named iOS device, exercise current desktop pointer-down outside interaction closes ContextMenu and record OS, browser version, device, date, and reproduction notes.</t>
        </is>
      </c>
      <c r="R73" s="69" t="inlineStr">
        <is>
          <t>Outside tap dismissal occurs at the approved event boundary and cancels correctly after movement or scrolling.</t>
        </is>
      </c>
      <c r="S73" s="69" t="n"/>
      <c r="T73" s="69" t="n"/>
      <c r="U73" s="71" t="inlineStr">
        <is>
          <t>not run</t>
        </is>
      </c>
      <c r="V73" s="68" t="n"/>
      <c r="W73" s="69" t="n"/>
      <c r="X73" s="69" t="inlineStr">
        <is>
          <t>Existing component coverage remains the verified desktop/manual baseline; this record is an additional device qualification.</t>
        </is>
      </c>
      <c r="Y73" s="71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60">
      <c r="A74" s="68" t="inlineStr">
        <is>
          <t>MRE-06-CONTEXTMENU-002</t>
        </is>
      </c>
      <c r="B74" s="68" t="inlineStr">
        <is>
          <t>MR-06</t>
        </is>
      </c>
      <c r="C74" s="68" t="inlineStr">
        <is>
          <t>MR-P3</t>
        </is>
      </c>
      <c r="D74" s="69" t="inlineStr">
        <is>
          <t>ContextMenu</t>
        </is>
      </c>
      <c r="E74" s="69" t="inlineStr">
        <is>
          <t>current desktop pointer-down outside interaction closes ContextMenu</t>
        </is>
      </c>
      <c r="F74" s="69" t="inlineStr">
        <is>
          <t>ContextMenu!ID-181 — touch outside closes context menu</t>
        </is>
      </c>
      <c r="G74" s="70" t="inlineStr">
        <is>
          <t>narrow unsupported claim</t>
        </is>
      </c>
      <c r="H74" s="69" t="inlineStr">
        <is>
          <t>confirmed Atom implementation gap</t>
        </is>
      </c>
      <c r="I74" s="70" t="inlineStr">
        <is>
          <t>real device — Android Chrome</t>
        </is>
      </c>
      <c r="J74" s="68" t="inlineStr">
        <is>
          <t>Android</t>
        </is>
      </c>
      <c r="K74" s="68" t="n"/>
      <c r="L74" s="68" t="inlineStr">
        <is>
          <t>Chrome</t>
        </is>
      </c>
      <c r="M74" s="68" t="n"/>
      <c r="N74" s="68" t="n"/>
      <c r="O74" s="68" t="inlineStr">
        <is>
          <t>touch</t>
        </is>
      </c>
      <c r="P74" s="68" t="inlineStr">
        <is>
          <t>none</t>
        </is>
      </c>
      <c r="Q74" s="69" t="inlineStr">
        <is>
          <t>On a named Android device, exercise current desktop pointer-down outside interaction closes ContextMenu and record OS, browser version, device, date, and reproduction notes.</t>
        </is>
      </c>
      <c r="R74" s="69" t="inlineStr">
        <is>
          <t>Outside tap dismissal occurs at the approved event boundary and cancels correctly after movement or scrolling.</t>
        </is>
      </c>
      <c r="S74" s="69" t="n"/>
      <c r="T74" s="69" t="n"/>
      <c r="U74" s="71" t="inlineStr">
        <is>
          <t>not run</t>
        </is>
      </c>
      <c r="V74" s="68" t="n"/>
      <c r="W74" s="69" t="n"/>
      <c r="X74" s="69" t="inlineStr">
        <is>
          <t>Existing component coverage remains the verified desktop/manual baseline; this record is an additional device qualification.</t>
        </is>
      </c>
      <c r="Y74" s="71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60">
      <c r="A75" s="68" t="inlineStr">
        <is>
          <t>MRE-07-CONTEXTMENU-001</t>
        </is>
      </c>
      <c r="B75" s="68" t="inlineStr">
        <is>
          <t>MR-07</t>
        </is>
      </c>
      <c r="C75" s="68" t="inlineStr">
        <is>
          <t>MR-P7</t>
        </is>
      </c>
      <c r="D75" s="69" t="inlineStr">
        <is>
          <t>ContextMenu</t>
        </is>
      </c>
      <c r="E75" s="69" t="inlineStr">
        <is>
          <t>pointer/click activation selects an action item in the existing desktop manual scenario</t>
        </is>
      </c>
      <c r="F75" s="69" t="inlineStr">
        <is>
          <t>ContextMenu!ID-182 — touch selects action item</t>
        </is>
      </c>
      <c r="G75" s="70" t="inlineStr">
        <is>
          <t>narrow unsupported claim</t>
        </is>
      </c>
      <c r="H75" s="69" t="inlineStr">
        <is>
          <t>already adequately supported</t>
        </is>
      </c>
      <c r="I75" s="70" t="inlineStr">
        <is>
          <t>real device — iOS Safari</t>
        </is>
      </c>
      <c r="J75" s="68" t="inlineStr">
        <is>
          <t>iOS</t>
        </is>
      </c>
      <c r="K75" s="68" t="n"/>
      <c r="L75" s="68" t="inlineStr">
        <is>
          <t>Safari</t>
        </is>
      </c>
      <c r="M75" s="68" t="n"/>
      <c r="N75" s="68" t="n"/>
      <c r="O75" s="68" t="inlineStr">
        <is>
          <t>touch</t>
        </is>
      </c>
      <c r="P75" s="68" t="inlineStr">
        <is>
          <t>none</t>
        </is>
      </c>
      <c r="Q75" s="69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69" t="inlineStr">
        <is>
          <t>A device tap selects the intended action once; no native long-press trigger is implied.</t>
        </is>
      </c>
      <c r="S75" s="69" t="n"/>
      <c r="T75" s="69" t="n"/>
      <c r="U75" s="71" t="inlineStr">
        <is>
          <t>not run</t>
        </is>
      </c>
      <c r="V75" s="68" t="n"/>
      <c r="W75" s="69" t="n"/>
      <c r="X75" s="69" t="inlineStr">
        <is>
          <t>Existing component coverage remains the verified desktop/manual baseline; this record is an additional device qualification.</t>
        </is>
      </c>
      <c r="Y75" s="71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60">
      <c r="A76" s="68" t="inlineStr">
        <is>
          <t>MRE-07-CONTEXTMENU-002</t>
        </is>
      </c>
      <c r="B76" s="68" t="inlineStr">
        <is>
          <t>MR-07</t>
        </is>
      </c>
      <c r="C76" s="68" t="inlineStr">
        <is>
          <t>MR-P7</t>
        </is>
      </c>
      <c r="D76" s="69" t="inlineStr">
        <is>
          <t>ContextMenu</t>
        </is>
      </c>
      <c r="E76" s="69" t="inlineStr">
        <is>
          <t>pointer/click activation selects an action item in the existing desktop manual scenario</t>
        </is>
      </c>
      <c r="F76" s="69" t="inlineStr">
        <is>
          <t>ContextMenu!ID-182 — touch selects action item</t>
        </is>
      </c>
      <c r="G76" s="70" t="inlineStr">
        <is>
          <t>narrow unsupported claim</t>
        </is>
      </c>
      <c r="H76" s="69" t="inlineStr">
        <is>
          <t>already adequately supported</t>
        </is>
      </c>
      <c r="I76" s="70" t="inlineStr">
        <is>
          <t>real device — Android Chrome</t>
        </is>
      </c>
      <c r="J76" s="68" t="inlineStr">
        <is>
          <t>Android</t>
        </is>
      </c>
      <c r="K76" s="68" t="n"/>
      <c r="L76" s="68" t="inlineStr">
        <is>
          <t>Chrome</t>
        </is>
      </c>
      <c r="M76" s="68" t="n"/>
      <c r="N76" s="68" t="n"/>
      <c r="O76" s="68" t="inlineStr">
        <is>
          <t>touch</t>
        </is>
      </c>
      <c r="P76" s="68" t="inlineStr">
        <is>
          <t>none</t>
        </is>
      </c>
      <c r="Q76" s="69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69" t="inlineStr">
        <is>
          <t>A device tap selects the intended action once; no native long-press trigger is implied.</t>
        </is>
      </c>
      <c r="S76" s="69" t="n"/>
      <c r="T76" s="69" t="n"/>
      <c r="U76" s="71" t="inlineStr">
        <is>
          <t>not run</t>
        </is>
      </c>
      <c r="V76" s="68" t="n"/>
      <c r="W76" s="69" t="n"/>
      <c r="X76" s="69" t="inlineStr">
        <is>
          <t>Existing component coverage remains the verified desktop/manual baseline; this record is an additional device qualification.</t>
        </is>
      </c>
      <c r="Y76" s="71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60">
      <c r="A77" s="68" t="inlineStr">
        <is>
          <t>MRE-07-CONTEXTMENU-003</t>
        </is>
      </c>
      <c r="B77" s="68" t="inlineStr">
        <is>
          <t>MR-07</t>
        </is>
      </c>
      <c r="C77" s="68" t="inlineStr">
        <is>
          <t>MR-P7</t>
        </is>
      </c>
      <c r="D77" s="69" t="inlineStr">
        <is>
          <t>ContextMenu</t>
        </is>
      </c>
      <c r="E77" s="69" t="inlineStr">
        <is>
          <t>pointer/click activation toggles a checkbox item in the existing desktop manual scenario</t>
        </is>
      </c>
      <c r="F77" s="69" t="inlineStr">
        <is>
          <t>ContextMenu!ID-183 — touch toggles checkbox item</t>
        </is>
      </c>
      <c r="G77" s="70" t="inlineStr">
        <is>
          <t>narrow unsupported claim</t>
        </is>
      </c>
      <c r="H77" s="69" t="inlineStr">
        <is>
          <t>already adequately supported</t>
        </is>
      </c>
      <c r="I77" s="70" t="inlineStr">
        <is>
          <t>real device — iOS Safari</t>
        </is>
      </c>
      <c r="J77" s="68" t="inlineStr">
        <is>
          <t>iOS</t>
        </is>
      </c>
      <c r="K77" s="68" t="n"/>
      <c r="L77" s="68" t="inlineStr">
        <is>
          <t>Safari</t>
        </is>
      </c>
      <c r="M77" s="68" t="n"/>
      <c r="N77" s="68" t="n"/>
      <c r="O77" s="68" t="inlineStr">
        <is>
          <t>touch</t>
        </is>
      </c>
      <c r="P77" s="68" t="inlineStr">
        <is>
          <t>none</t>
        </is>
      </c>
      <c r="Q77" s="69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69" t="inlineStr">
        <is>
          <t>A device tap toggles the intended checkbox item once; no native long-press trigger is implied.</t>
        </is>
      </c>
      <c r="S77" s="69" t="n"/>
      <c r="T77" s="69" t="n"/>
      <c r="U77" s="71" t="inlineStr">
        <is>
          <t>not run</t>
        </is>
      </c>
      <c r="V77" s="68" t="n"/>
      <c r="W77" s="69" t="n"/>
      <c r="X77" s="69" t="inlineStr">
        <is>
          <t>Existing component coverage remains the verified desktop/manual baseline; this record is an additional device qualification.</t>
        </is>
      </c>
      <c r="Y77" s="71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60">
      <c r="A78" s="68" t="inlineStr">
        <is>
          <t>MRE-07-CONTEXTMENU-004</t>
        </is>
      </c>
      <c r="B78" s="68" t="inlineStr">
        <is>
          <t>MR-07</t>
        </is>
      </c>
      <c r="C78" s="68" t="inlineStr">
        <is>
          <t>MR-P7</t>
        </is>
      </c>
      <c r="D78" s="69" t="inlineStr">
        <is>
          <t>ContextMenu</t>
        </is>
      </c>
      <c r="E78" s="69" t="inlineStr">
        <is>
          <t>pointer/click activation toggles a checkbox item in the existing desktop manual scenario</t>
        </is>
      </c>
      <c r="F78" s="69" t="inlineStr">
        <is>
          <t>ContextMenu!ID-183 — touch toggles checkbox item</t>
        </is>
      </c>
      <c r="G78" s="70" t="inlineStr">
        <is>
          <t>narrow unsupported claim</t>
        </is>
      </c>
      <c r="H78" s="69" t="inlineStr">
        <is>
          <t>already adequately supported</t>
        </is>
      </c>
      <c r="I78" s="70" t="inlineStr">
        <is>
          <t>real device — Android Chrome</t>
        </is>
      </c>
      <c r="J78" s="68" t="inlineStr">
        <is>
          <t>Android</t>
        </is>
      </c>
      <c r="K78" s="68" t="n"/>
      <c r="L78" s="68" t="inlineStr">
        <is>
          <t>Chrome</t>
        </is>
      </c>
      <c r="M78" s="68" t="n"/>
      <c r="N78" s="68" t="n"/>
      <c r="O78" s="68" t="inlineStr">
        <is>
          <t>touch</t>
        </is>
      </c>
      <c r="P78" s="68" t="inlineStr">
        <is>
          <t>none</t>
        </is>
      </c>
      <c r="Q78" s="69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69" t="inlineStr">
        <is>
          <t>A device tap toggles the intended checkbox item once; no native long-press trigger is implied.</t>
        </is>
      </c>
      <c r="S78" s="69" t="n"/>
      <c r="T78" s="69" t="n"/>
      <c r="U78" s="71" t="inlineStr">
        <is>
          <t>not run</t>
        </is>
      </c>
      <c r="V78" s="68" t="n"/>
      <c r="W78" s="69" t="n"/>
      <c r="X78" s="69" t="inlineStr">
        <is>
          <t>Existing component coverage remains the verified desktop/manual baseline; this record is an additional device qualification.</t>
        </is>
      </c>
      <c r="Y78" s="71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60">
      <c r="A79" s="68" t="inlineStr">
        <is>
          <t>MRE-07-CONTEXTMENU-005</t>
        </is>
      </c>
      <c r="B79" s="68" t="inlineStr">
        <is>
          <t>MR-07</t>
        </is>
      </c>
      <c r="C79" s="68" t="inlineStr">
        <is>
          <t>MR-P7</t>
        </is>
      </c>
      <c r="D79" s="69" t="inlineStr">
        <is>
          <t>ContextMenu</t>
        </is>
      </c>
      <c r="E79" s="69" t="inlineStr">
        <is>
          <t>pointer/click activation selects a radio item in the existing desktop manual scenario</t>
        </is>
      </c>
      <c r="F79" s="69" t="inlineStr">
        <is>
          <t>ContextMenu!ID-184 — touch selects radio item</t>
        </is>
      </c>
      <c r="G79" s="70" t="inlineStr">
        <is>
          <t>narrow unsupported claim</t>
        </is>
      </c>
      <c r="H79" s="69" t="inlineStr">
        <is>
          <t>already adequately supported</t>
        </is>
      </c>
      <c r="I79" s="70" t="inlineStr">
        <is>
          <t>real device — iOS Safari</t>
        </is>
      </c>
      <c r="J79" s="68" t="inlineStr">
        <is>
          <t>iOS</t>
        </is>
      </c>
      <c r="K79" s="68" t="n"/>
      <c r="L79" s="68" t="inlineStr">
        <is>
          <t>Safari</t>
        </is>
      </c>
      <c r="M79" s="68" t="n"/>
      <c r="N79" s="68" t="n"/>
      <c r="O79" s="68" t="inlineStr">
        <is>
          <t>touch</t>
        </is>
      </c>
      <c r="P79" s="68" t="inlineStr">
        <is>
          <t>none</t>
        </is>
      </c>
      <c r="Q79" s="69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69" t="inlineStr">
        <is>
          <t>A device tap selects the intended radio item once; no native long-press trigger is implied.</t>
        </is>
      </c>
      <c r="S79" s="69" t="n"/>
      <c r="T79" s="69" t="n"/>
      <c r="U79" s="71" t="inlineStr">
        <is>
          <t>not run</t>
        </is>
      </c>
      <c r="V79" s="68" t="n"/>
      <c r="W79" s="69" t="n"/>
      <c r="X79" s="69" t="inlineStr">
        <is>
          <t>Existing component coverage remains the verified desktop/manual baseline; this record is an additional device qualification.</t>
        </is>
      </c>
      <c r="Y79" s="71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60">
      <c r="A80" s="68" t="inlineStr">
        <is>
          <t>MRE-07-CONTEXTMENU-006</t>
        </is>
      </c>
      <c r="B80" s="68" t="inlineStr">
        <is>
          <t>MR-07</t>
        </is>
      </c>
      <c r="C80" s="68" t="inlineStr">
        <is>
          <t>MR-P7</t>
        </is>
      </c>
      <c r="D80" s="69" t="inlineStr">
        <is>
          <t>ContextMenu</t>
        </is>
      </c>
      <c r="E80" s="69" t="inlineStr">
        <is>
          <t>pointer/click activation selects a radio item in the existing desktop manual scenario</t>
        </is>
      </c>
      <c r="F80" s="69" t="inlineStr">
        <is>
          <t>ContextMenu!ID-184 — touch selects radio item</t>
        </is>
      </c>
      <c r="G80" s="70" t="inlineStr">
        <is>
          <t>narrow unsupported claim</t>
        </is>
      </c>
      <c r="H80" s="69" t="inlineStr">
        <is>
          <t>already adequately supported</t>
        </is>
      </c>
      <c r="I80" s="70" t="inlineStr">
        <is>
          <t>real device — Android Chrome</t>
        </is>
      </c>
      <c r="J80" s="68" t="inlineStr">
        <is>
          <t>Android</t>
        </is>
      </c>
      <c r="K80" s="68" t="n"/>
      <c r="L80" s="68" t="inlineStr">
        <is>
          <t>Chrome</t>
        </is>
      </c>
      <c r="M80" s="68" t="n"/>
      <c r="N80" s="68" t="n"/>
      <c r="O80" s="68" t="inlineStr">
        <is>
          <t>touch</t>
        </is>
      </c>
      <c r="P80" s="68" t="inlineStr">
        <is>
          <t>none</t>
        </is>
      </c>
      <c r="Q80" s="69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69" t="inlineStr">
        <is>
          <t>A device tap selects the intended radio item once; no native long-press trigger is implied.</t>
        </is>
      </c>
      <c r="S80" s="69" t="n"/>
      <c r="T80" s="69" t="n"/>
      <c r="U80" s="71" t="inlineStr">
        <is>
          <t>not run</t>
        </is>
      </c>
      <c r="V80" s="68" t="n"/>
      <c r="W80" s="69" t="n"/>
      <c r="X80" s="69" t="inlineStr">
        <is>
          <t>Existing component coverage remains the verified desktop/manual baseline; this record is an additional device qualification.</t>
        </is>
      </c>
      <c r="Y80" s="71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60">
      <c r="A81" s="68" t="inlineStr">
        <is>
          <t>MRE-08-CONTEXTMENU-001</t>
        </is>
      </c>
      <c r="B81" s="68" t="inlineStr">
        <is>
          <t>MR-08</t>
        </is>
      </c>
      <c r="C81" s="68" t="inlineStr">
        <is>
          <t>MR-P7</t>
        </is>
      </c>
      <c r="D81" s="69" t="inlineStr">
        <is>
          <t>ContextMenu</t>
        </is>
      </c>
      <c r="E81" s="69" t="inlineStr">
        <is>
          <t>pointer/click activation opens a submenu in the existing desktop manual scenario</t>
        </is>
      </c>
      <c r="F81" s="69" t="inlineStr">
        <is>
          <t>ContextMenu!ID-185 — touch opens submenu</t>
        </is>
      </c>
      <c r="G81" s="70" t="inlineStr">
        <is>
          <t>narrow unsupported claim</t>
        </is>
      </c>
      <c r="H81" s="69" t="inlineStr">
        <is>
          <t>Atom API/design decision required</t>
        </is>
      </c>
      <c r="I81" s="70" t="inlineStr">
        <is>
          <t>real device — iOS Safari</t>
        </is>
      </c>
      <c r="J81" s="68" t="inlineStr">
        <is>
          <t>iOS</t>
        </is>
      </c>
      <c r="K81" s="68" t="n"/>
      <c r="L81" s="68" t="inlineStr">
        <is>
          <t>Safari</t>
        </is>
      </c>
      <c r="M81" s="68" t="n"/>
      <c r="N81" s="68" t="n"/>
      <c r="O81" s="68" t="inlineStr">
        <is>
          <t>touch</t>
        </is>
      </c>
      <c r="P81" s="68" t="inlineStr">
        <is>
          <t>none</t>
        </is>
      </c>
      <c r="Q81" s="69" t="inlineStr">
        <is>
          <t>On a named iOS device, exercise pointer/click activation opens a submenu in the existing desktop manual scenario and record OS, browser version, device, date, and reproduction notes.</t>
        </is>
      </c>
      <c r="R81" s="69" t="inlineStr">
        <is>
          <t>A device tap opens the intended submenu; no native long-press trigger or implicit drill-in mode is implied.</t>
        </is>
      </c>
      <c r="S81" s="69" t="n"/>
      <c r="T81" s="69" t="n"/>
      <c r="U81" s="71" t="inlineStr">
        <is>
          <t>not run</t>
        </is>
      </c>
      <c r="V81" s="68" t="n"/>
      <c r="W81" s="69" t="n"/>
      <c r="X81" s="69" t="inlineStr">
        <is>
          <t>Existing component coverage remains the verified desktop/manual baseline; this record is an additional device qualification.</t>
        </is>
      </c>
      <c r="Y81" s="71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60">
      <c r="A82" s="68" t="inlineStr">
        <is>
          <t>MRE-08-CONTEXTMENU-002</t>
        </is>
      </c>
      <c r="B82" s="68" t="inlineStr">
        <is>
          <t>MR-08</t>
        </is>
      </c>
      <c r="C82" s="68" t="inlineStr">
        <is>
          <t>MR-P7</t>
        </is>
      </c>
      <c r="D82" s="69" t="inlineStr">
        <is>
          <t>ContextMenu</t>
        </is>
      </c>
      <c r="E82" s="69" t="inlineStr">
        <is>
          <t>pointer/click activation opens a submenu in the existing desktop manual scenario</t>
        </is>
      </c>
      <c r="F82" s="69" t="inlineStr">
        <is>
          <t>ContextMenu!ID-185 — touch opens submenu</t>
        </is>
      </c>
      <c r="G82" s="70" t="inlineStr">
        <is>
          <t>narrow unsupported claim</t>
        </is>
      </c>
      <c r="H82" s="69" t="inlineStr">
        <is>
          <t>Atom API/design decision required</t>
        </is>
      </c>
      <c r="I82" s="70" t="inlineStr">
        <is>
          <t>real device — Android Chrome</t>
        </is>
      </c>
      <c r="J82" s="68" t="inlineStr">
        <is>
          <t>Android</t>
        </is>
      </c>
      <c r="K82" s="68" t="n"/>
      <c r="L82" s="68" t="inlineStr">
        <is>
          <t>Chrome</t>
        </is>
      </c>
      <c r="M82" s="68" t="n"/>
      <c r="N82" s="68" t="n"/>
      <c r="O82" s="68" t="inlineStr">
        <is>
          <t>touch</t>
        </is>
      </c>
      <c r="P82" s="68" t="inlineStr">
        <is>
          <t>none</t>
        </is>
      </c>
      <c r="Q82" s="69" t="inlineStr">
        <is>
          <t>On a named Android device, exercise pointer/click activation opens a submenu in the existing desktop manual scenario and record OS, browser version, device, date, and reproduction notes.</t>
        </is>
      </c>
      <c r="R82" s="69" t="inlineStr">
        <is>
          <t>A device tap opens the intended submenu; no native long-press trigger or implicit drill-in mode is implied.</t>
        </is>
      </c>
      <c r="S82" s="69" t="n"/>
      <c r="T82" s="69" t="n"/>
      <c r="U82" s="71" t="inlineStr">
        <is>
          <t>not run</t>
        </is>
      </c>
      <c r="V82" s="68" t="n"/>
      <c r="W82" s="69" t="n"/>
      <c r="X82" s="69" t="inlineStr">
        <is>
          <t>Existing component coverage remains the verified desktop/manual baseline; this record is an additional device qualification.</t>
        </is>
      </c>
      <c r="Y82" s="71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60">
      <c r="A83" s="68" t="inlineStr">
        <is>
          <t>MRE-05-DIALOG-001</t>
        </is>
      </c>
      <c r="B83" s="68" t="inlineStr">
        <is>
          <t>MR-05</t>
        </is>
      </c>
      <c r="C83" s="68" t="inlineStr">
        <is>
          <t>MR-P4</t>
        </is>
      </c>
      <c r="D83" s="69" t="inlineStr">
        <is>
          <t>Dialog</t>
        </is>
      </c>
      <c r="E83" s="69" t="inlineStr">
        <is>
          <t>modal background isolation during screen-reader touch exploration</t>
        </is>
      </c>
      <c r="F83" s="69" t="inlineStr">
        <is>
          <t>Dialog!ID-95 — mobile focus expectations</t>
        </is>
      </c>
      <c r="G83" s="70" t="inlineStr">
        <is>
          <t>narrow unsupported claim</t>
        </is>
      </c>
      <c r="H83" s="69" t="inlineStr">
        <is>
          <t>confirmed Atom implementation gap</t>
        </is>
      </c>
      <c r="I83" s="70" t="inlineStr">
        <is>
          <t>real device + AT — iOS Safari + VoiceOver</t>
        </is>
      </c>
      <c r="J83" s="68" t="inlineStr">
        <is>
          <t>iOS</t>
        </is>
      </c>
      <c r="K83" s="68" t="n"/>
      <c r="L83" s="68" t="inlineStr">
        <is>
          <t>Safari</t>
        </is>
      </c>
      <c r="M83" s="68" t="n"/>
      <c r="N83" s="68" t="n"/>
      <c r="O83" s="68" t="inlineStr">
        <is>
          <t>screen-reader touch exploration</t>
        </is>
      </c>
      <c r="P83" s="68" t="inlineStr">
        <is>
          <t>VoiceOver</t>
        </is>
      </c>
      <c r="Q83" s="69" t="inlineStr">
        <is>
          <t>On a named iOS device with VoiceOver, open the modal and explore inside and outside it; record device, versions, date, and notes.</t>
        </is>
      </c>
      <c r="R83" s="69" t="inlineStr">
        <is>
          <t>Owned modal content remains operable and background content is unavailable to assistive-technology touch exploration.</t>
        </is>
      </c>
      <c r="S83" s="69" t="n"/>
      <c r="T83" s="69" t="n"/>
      <c r="U83" s="71" t="inlineStr">
        <is>
          <t>not run</t>
        </is>
      </c>
      <c r="V83" s="68" t="n"/>
      <c r="W83" s="69" t="n"/>
      <c r="X83" s="69" t="inlineStr">
        <is>
          <t>Separate AT qualification; the existing desktop focus baseline remains covered.</t>
        </is>
      </c>
      <c r="Y83" s="71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60">
      <c r="A84" s="68" t="inlineStr">
        <is>
          <t>MRE-05-DIALOG-002</t>
        </is>
      </c>
      <c r="B84" s="68" t="inlineStr">
        <is>
          <t>MR-05</t>
        </is>
      </c>
      <c r="C84" s="68" t="inlineStr">
        <is>
          <t>MR-P4</t>
        </is>
      </c>
      <c r="D84" s="69" t="inlineStr">
        <is>
          <t>Dialog</t>
        </is>
      </c>
      <c r="E84" s="69" t="inlineStr">
        <is>
          <t>modal background isolation during screen-reader touch exploration</t>
        </is>
      </c>
      <c r="F84" s="69" t="inlineStr">
        <is>
          <t>Dialog!ID-95 — mobile focus expectations</t>
        </is>
      </c>
      <c r="G84" s="70" t="inlineStr">
        <is>
          <t>narrow unsupported claim</t>
        </is>
      </c>
      <c r="H84" s="69" t="inlineStr">
        <is>
          <t>confirmed Atom implementation gap</t>
        </is>
      </c>
      <c r="I84" s="70" t="inlineStr">
        <is>
          <t>real device + AT — Android Chrome + TalkBack</t>
        </is>
      </c>
      <c r="J84" s="68" t="inlineStr">
        <is>
          <t>Android</t>
        </is>
      </c>
      <c r="K84" s="68" t="n"/>
      <c r="L84" s="68" t="inlineStr">
        <is>
          <t>Chrome</t>
        </is>
      </c>
      <c r="M84" s="68" t="n"/>
      <c r="N84" s="68" t="n"/>
      <c r="O84" s="68" t="inlineStr">
        <is>
          <t>screen-reader touch exploration</t>
        </is>
      </c>
      <c r="P84" s="68" t="inlineStr">
        <is>
          <t>TalkBack</t>
        </is>
      </c>
      <c r="Q84" s="69" t="inlineStr">
        <is>
          <t>On a named Android device with TalkBack, open the modal and explore inside and outside it; record device, versions, date, and notes.</t>
        </is>
      </c>
      <c r="R84" s="69" t="inlineStr">
        <is>
          <t>Owned modal content remains operable and background content is unavailable to assistive-technology touch exploration.</t>
        </is>
      </c>
      <c r="S84" s="69" t="n"/>
      <c r="T84" s="69" t="n"/>
      <c r="U84" s="71" t="inlineStr">
        <is>
          <t>not run</t>
        </is>
      </c>
      <c r="V84" s="68" t="n"/>
      <c r="W84" s="69" t="n"/>
      <c r="X84" s="69" t="inlineStr">
        <is>
          <t>Separate AT qualification; the existing desktop focus baseline remains covered.</t>
        </is>
      </c>
      <c r="Y84" s="71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60">
      <c r="A85" s="68" t="inlineStr">
        <is>
          <t>MRE-05-MODAL-001</t>
        </is>
      </c>
      <c r="B85" s="68" t="inlineStr">
        <is>
          <t>MR-05</t>
        </is>
      </c>
      <c r="C85" s="68" t="inlineStr">
        <is>
          <t>MR-P4</t>
        </is>
      </c>
      <c r="D85" s="69" t="inlineStr">
        <is>
          <t>Modal</t>
        </is>
      </c>
      <c r="E85" s="69" t="inlineStr">
        <is>
          <t>modal background isolation during screen-reader touch exploration</t>
        </is>
      </c>
      <c r="F85" s="69" t="inlineStr">
        <is>
          <t>Modal!ID-102 — mobile viewport/touch behavior</t>
        </is>
      </c>
      <c r="G85" s="70" t="inlineStr">
        <is>
          <t>narrow unsupported claim</t>
        </is>
      </c>
      <c r="H85" s="69" t="inlineStr">
        <is>
          <t>confirmed Atom implementation gap</t>
        </is>
      </c>
      <c r="I85" s="70" t="inlineStr">
        <is>
          <t>real device + AT — iOS Safari + VoiceOver</t>
        </is>
      </c>
      <c r="J85" s="68" t="inlineStr">
        <is>
          <t>iOS</t>
        </is>
      </c>
      <c r="K85" s="68" t="n"/>
      <c r="L85" s="68" t="inlineStr">
        <is>
          <t>Safari</t>
        </is>
      </c>
      <c r="M85" s="68" t="n"/>
      <c r="N85" s="68" t="n"/>
      <c r="O85" s="68" t="inlineStr">
        <is>
          <t>screen-reader touch exploration</t>
        </is>
      </c>
      <c r="P85" s="68" t="inlineStr">
        <is>
          <t>VoiceOver</t>
        </is>
      </c>
      <c r="Q85" s="69" t="inlineStr">
        <is>
          <t>On a named iOS device with VoiceOver, open the modal and explore inside and outside it; record device, versions, date, and notes.</t>
        </is>
      </c>
      <c r="R85" s="69" t="inlineStr">
        <is>
          <t>Owned modal content remains operable and background content is unavailable to assistive-technology touch exploration.</t>
        </is>
      </c>
      <c r="S85" s="69" t="n"/>
      <c r="T85" s="69" t="n"/>
      <c r="U85" s="71" t="inlineStr">
        <is>
          <t>not run</t>
        </is>
      </c>
      <c r="V85" s="68" t="n"/>
      <c r="W85" s="69" t="n"/>
      <c r="X85" s="69" t="inlineStr">
        <is>
          <t>Separate AT qualification; the existing desktop focus baseline remains covered.</t>
        </is>
      </c>
      <c r="Y85" s="71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60">
      <c r="A86" s="68" t="inlineStr">
        <is>
          <t>MRE-05-MODAL-002</t>
        </is>
      </c>
      <c r="B86" s="68" t="inlineStr">
        <is>
          <t>MR-05</t>
        </is>
      </c>
      <c r="C86" s="68" t="inlineStr">
        <is>
          <t>MR-P4</t>
        </is>
      </c>
      <c r="D86" s="69" t="inlineStr">
        <is>
          <t>Modal</t>
        </is>
      </c>
      <c r="E86" s="69" t="inlineStr">
        <is>
          <t>modal background isolation during screen-reader touch exploration</t>
        </is>
      </c>
      <c r="F86" s="69" t="inlineStr">
        <is>
          <t>Modal!ID-102 — mobile viewport/touch behavior</t>
        </is>
      </c>
      <c r="G86" s="70" t="inlineStr">
        <is>
          <t>narrow unsupported claim</t>
        </is>
      </c>
      <c r="H86" s="69" t="inlineStr">
        <is>
          <t>confirmed Atom implementation gap</t>
        </is>
      </c>
      <c r="I86" s="70" t="inlineStr">
        <is>
          <t>real device + AT — Android Chrome + TalkBack</t>
        </is>
      </c>
      <c r="J86" s="68" t="inlineStr">
        <is>
          <t>Android</t>
        </is>
      </c>
      <c r="K86" s="68" t="n"/>
      <c r="L86" s="68" t="inlineStr">
        <is>
          <t>Chrome</t>
        </is>
      </c>
      <c r="M86" s="68" t="n"/>
      <c r="N86" s="68" t="n"/>
      <c r="O86" s="68" t="inlineStr">
        <is>
          <t>screen-reader touch exploration</t>
        </is>
      </c>
      <c r="P86" s="68" t="inlineStr">
        <is>
          <t>TalkBack</t>
        </is>
      </c>
      <c r="Q86" s="69" t="inlineStr">
        <is>
          <t>On a named Android device with TalkBack, open the modal and explore inside and outside it; record device, versions, date, and notes.</t>
        </is>
      </c>
      <c r="R86" s="69" t="inlineStr">
        <is>
          <t>Owned modal content remains operable and background content is unavailable to assistive-technology touch exploration.</t>
        </is>
      </c>
      <c r="S86" s="69" t="n"/>
      <c r="T86" s="69" t="n"/>
      <c r="U86" s="71" t="inlineStr">
        <is>
          <t>not run</t>
        </is>
      </c>
      <c r="V86" s="68" t="n"/>
      <c r="W86" s="69" t="n"/>
      <c r="X86" s="69" t="inlineStr">
        <is>
          <t>Separate AT qualification; the existing desktop focus baseline remains covered.</t>
        </is>
      </c>
      <c r="Y86" s="71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>
      <c r="Y87" s="72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>
      <c r="Y88" s="72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>
      <c r="Y89" s="72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>
      <c r="Y90" s="72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>
      <c r="Y91" s="72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>
      <c r="Y92" s="72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>
      <c r="Y93" s="72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>
      <c r="Y94" s="72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>
      <c r="Y95" s="72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>
      <c r="Y96" s="72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>
      <c r="Y97" s="72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>
      <c r="Y98" s="72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>
      <c r="Y99" s="72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>
      <c r="Y100" s="72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>
      <c r="Y101" s="72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>
      <c r="Y102" s="72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>
      <c r="Y103" s="72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>
      <c r="Y104" s="72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>
      <c r="Y105" s="72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>
      <c r="Y106" s="72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>
      <c r="Y107" s="72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>
      <c r="Y108" s="72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>
      <c r="Y109" s="72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>
      <c r="Y110" s="72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>
      <c r="Y111" s="72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>
      <c r="Y112" s="72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>
      <c r="Y113" s="72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>
      <c r="Y114" s="72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>
      <c r="Y115" s="72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>
      <c r="Y116" s="72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>
      <c r="Y117" s="72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>
      <c r="Y118" s="72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>
      <c r="Y119" s="72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>
      <c r="Y120" s="72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>
      <c r="Y121" s="72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>
      <c r="Y122" s="72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>
      <c r="Y123" s="72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>
      <c r="Y124" s="72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>
      <c r="Y125" s="72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>
      <c r="Y126" s="72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>
      <c r="Y127" s="72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>
      <c r="Y128" s="72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>
      <c r="Y129" s="72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>
      <c r="Y130" s="72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>
      <c r="Y131" s="72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>
      <c r="Y132" s="72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>
      <c r="Y133" s="72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>
      <c r="Y134" s="72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>
      <c r="Y135" s="72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>
      <c r="Y136" s="72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>
      <c r="Y137" s="72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>
      <c r="Y138" s="72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>
      <c r="Y139" s="72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>
      <c r="Y140" s="72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>
      <c r="Y141" s="72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>
      <c r="Y142" s="72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>
      <c r="Y143" s="72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>
      <c r="Y144" s="72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>
      <c r="Y145" s="72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>
      <c r="Y146" s="72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>
      <c r="Y147" s="72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>
      <c r="Y148" s="72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>
      <c r="Y149" s="72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>
      <c r="Y150" s="72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>
      <c r="Y151" s="72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>
      <c r="Y152" s="72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>
      <c r="Y153" s="72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>
      <c r="Y154" s="72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>
      <c r="Y155" s="72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>
      <c r="Y156" s="72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>
      <c r="Y157" s="72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>
      <c r="Y158" s="72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>
      <c r="Y159" s="72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>
      <c r="Y160" s="72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>
      <c r="Y161" s="72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>
      <c r="Y162" s="72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>
      <c r="Y163" s="72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>
      <c r="Y164" s="72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>
      <c r="Y165" s="72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>
      <c r="Y166" s="72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>
      <c r="Y167" s="72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>
      <c r="Y168" s="72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>
      <c r="Y169" s="72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>
      <c r="Y170" s="72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>
      <c r="Y171" s="72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>
      <c r="Y172" s="72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>
      <c r="Y173" s="72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>
      <c r="Y174" s="72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>
      <c r="Y175" s="72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>
      <c r="Y176" s="72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>
      <c r="Y177" s="72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>
      <c r="Y178" s="72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>
      <c r="Y179" s="72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>
      <c r="Y180" s="72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>
      <c r="Y181" s="72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>
      <c r="Y182" s="72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>
      <c r="Y183" s="72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>
      <c r="Y184" s="72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>
      <c r="Y185" s="72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>
      <c r="Y186" s="72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>
      <c r="Y187" s="72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>
      <c r="Y188" s="72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>
      <c r="Y189" s="72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>
      <c r="Y190" s="72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>
      <c r="Y191" s="72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>
      <c r="Y192" s="72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>
      <c r="Y193" s="72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>
      <c r="Y194" s="72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>
      <c r="Y195" s="72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>
      <c r="Y196" s="72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>
      <c r="Y197" s="72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>
      <c r="Y198" s="72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>
      <c r="Y199" s="72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>
      <c r="Y200" s="72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priority="1" dxfId="8">
      <formula>$U9="passed"</formula>
    </cfRule>
    <cfRule type="expression" priority="2" dxfId="9">
      <formula>$U9="failed"</formula>
    </cfRule>
    <cfRule type="expression" priority="3" dxfId="10">
      <formula>$U9="blocked"</formula>
    </cfRule>
    <cfRule type="expression" priority="4" dxfId="11">
      <formula>$U9="not run"</formula>
    </cfRule>
    <cfRule type="expression" priority="5" dxfId="12">
      <formula>$U9="not applicable"</formula>
    </cfRule>
  </conditionalFormatting>
  <conditionalFormatting sqref="Y9:Y200">
    <cfRule type="expression" priority="6" dxfId="8">
      <formula>$Y9="ready"</formula>
    </cfRule>
    <cfRule type="expression" priority="7" dxfId="10">
      <formula>AND($A9&lt;&gt;"",$Y9&lt;&gt;"ready")</formula>
    </cfRule>
  </conditionalFormatting>
  <conditionalFormatting sqref="A9:A200">
    <cfRule type="expression" priority="8" dxfId="9">
      <formula>AND($A9&lt;&gt;"",COUNTIF($A$9:$A$200,$A9)&gt;1)</formula>
    </cfRule>
  </conditionalFormatting>
  <conditionalFormatting sqref="V9:V200">
    <cfRule type="expression" priority="9" dxfId="9">
      <formula>AND(OR($U9="passed",$U9="failed",$U9="blocked"),$V9="")</formula>
    </cfRule>
  </conditionalFormatting>
  <conditionalFormatting sqref="G9:G200">
    <cfRule type="expression" priority="10" dxfId="8">
      <formula>$G9="preserve verified baseline"</formula>
    </cfRule>
    <cfRule type="expression" priority="11" dxfId="10">
      <formula>$G9="narrow unsupported claim"</formula>
    </cfRule>
    <cfRule type="expression" priority="12" dxfId="9">
      <formula>$G9="reopen only when approved"</formula>
    </cfRule>
    <cfRule type="expression" priority="13" dxfId="12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=$AA$2:$AA$23</formula1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=$AB$2:$AB$10</formula1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=$AK$2:$AK$66</formula1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=$AC$2:$AC$6</formula1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=$AD$2:$AD$7</formula1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=$AE$2:$AE$12</formula1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=$AF$2:$AF$7</formula1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=$AJ$2:$AJ$8</formula1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=$AG$2:$AG$8</formula1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=$AH$2:$AH$6</formula1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>
      <formula1>=$AI$2:$AI$6</formula1>
    </dataValidation>
  </dataValidation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n"/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n"/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n"/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n"/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n"/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n"/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n"/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n"/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n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n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n"/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n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n"/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n"/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n"/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n"/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n"/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n"/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n"/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n"/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n"/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n"/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n"/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n"/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n"/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n"/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n"/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n"/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n"/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n"/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n"/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n"/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n"/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n"/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n"/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n"/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n"/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n"/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n"/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n"/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n"/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n"/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n"/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n"/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n"/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n"/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n"/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n"/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n"/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n"/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n"/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n"/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n"/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n"/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n"/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n"/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n"/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n"/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n"/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n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n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n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n"/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n"/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n"/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n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n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n"/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n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n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n"/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n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n"/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n"/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manual-tests/collapsible.md.</t>
        </is>
      </c>
      <c r="J15" s="20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manual-tests/collapsible.md.</t>
        </is>
      </c>
      <c r="J17" s="20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manual-tests/collapsible.md.</t>
        </is>
      </c>
      <c r="J19" s="20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manual-tests/collapsible.md.</t>
        </is>
      </c>
      <c r="J20" s="20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manual-tests/collapsible.md.</t>
        </is>
      </c>
      <c r="J21" s="20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manual-tests/collapsible.md.</t>
        </is>
      </c>
      <c r="J22" s="20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manual-tests/collapsible.md.</t>
        </is>
      </c>
      <c r="J23" s="20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manual-tests/collapsible.md.</t>
        </is>
      </c>
      <c r="J26" s="20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manual-tests/collapsible.md.</t>
        </is>
      </c>
      <c r="J27" s="20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manual-tests/collapsible.md.</t>
        </is>
      </c>
      <c r="J28" s="20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manual-tests/collapsible.md.</t>
        </is>
      </c>
      <c r="J29" s="20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manual-tests/collapsible.md.</t>
        </is>
      </c>
      <c r="J30" s="20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manual-tests/collapsible.md.</t>
        </is>
      </c>
      <c r="J31" s="20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manual-tests/collapsible.md.</t>
        </is>
      </c>
      <c r="J32" s="20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manual-tests/collapsible.md.</t>
        </is>
      </c>
      <c r="J33" s="20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manual-tests/collapsible.md.</t>
        </is>
      </c>
      <c r="J34" s="20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manual-tests/collapsible.md.</t>
        </is>
      </c>
      <c r="J35" s="20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manual-tests/collapsible.md.</t>
        </is>
      </c>
      <c r="J36" s="20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manual-tests/collapsible.md.</t>
        </is>
      </c>
      <c r="J37" s="20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manual-tests/collapsible.md.</t>
        </is>
      </c>
      <c r="J38" s="20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manual-tests/collapsible.md.</t>
        </is>
      </c>
      <c r="J41" s="20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manual-tests/collapsible.md.</t>
        </is>
      </c>
      <c r="J42" s="20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manual-tests/collapsible.md.</t>
        </is>
      </c>
      <c r="J43" s="20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manual-tests/collapsible.md.</t>
        </is>
      </c>
      <c r="J44" s="20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manual-tests/collapsible.md.</t>
        </is>
      </c>
      <c r="J45" s="20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manual-tests/collapsible.md.</t>
        </is>
      </c>
      <c r="J46" s="20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manual-tests/collapsible.md.</t>
        </is>
      </c>
      <c r="J47" s="20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manual-tests/collapsible.md.</t>
        </is>
      </c>
      <c r="J48" s="20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manual-tests/collapsible.md.</t>
        </is>
      </c>
      <c r="J49" s="20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manual-tests/collapsible.md.</t>
        </is>
      </c>
      <c r="J52" s="20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manual-tests/collapsible.md.</t>
        </is>
      </c>
      <c r="J53" s="20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manual-tests/collapsible.md.</t>
        </is>
      </c>
      <c r="J54" s="20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manual-tests/collapsible.md.</t>
        </is>
      </c>
      <c r="J55" s="20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manual-tests/collapsible.md.</t>
        </is>
      </c>
      <c r="J56" s="20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n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n"/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manual-tests/collapsible.md.</t>
        </is>
      </c>
      <c r="J59" s="20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manual-tests/collapsible.md.</t>
        </is>
      </c>
      <c r="J60" s="20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n"/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manual-tests/collapsible.md.</t>
        </is>
      </c>
      <c r="J62" s="20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manual-tests/collapsible.md.</t>
        </is>
      </c>
      <c r="J63" s="20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manual-tests/collapsible.md.</t>
        </is>
      </c>
      <c r="J64" s="20" t="n"/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manual-tests/collapsible.md.</t>
        </is>
      </c>
      <c r="J70" s="20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manual-tests/collapsible.md.</t>
        </is>
      </c>
      <c r="J71" s="20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manual-tests/collapsible.md.</t>
        </is>
      </c>
      <c r="J72" s="20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manual-tests/collapsible.md.</t>
        </is>
      </c>
      <c r="J73" s="20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manual-tests/collapsible.md.</t>
        </is>
      </c>
      <c r="J74" s="20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manual-tests/collapsible.md.</t>
        </is>
      </c>
      <c r="J75" s="20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manual-tests/collapsible.md.</t>
        </is>
      </c>
      <c r="J77" s="20" t="n"/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collision, flip, and shift stay within the manually tested desktop layout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 existing desktop browser/manual baseline; mobile device qualification not run</t>
        </is>
      </c>
      <c r="H182" s="9" t="inlineStr">
        <is>
          <t>covered</t>
        </is>
      </c>
      <c r="I182" s="5" t="inlineStr">
        <is>
          <t>Existing desktop browser/manual baseline; not real iOS Safari or Android Chrome evidence.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the edge of the manually tested desktop layout viewport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existing desktop browser/manual baseline; mobile device qualification not run</t>
        </is>
      </c>
      <c r="H181" s="11" t="inlineStr">
        <is>
          <t>covered</t>
        </is>
      </c>
      <c r="I181" s="5" t="inlineStr">
        <is>
          <t>Existing desktop browser/manual baseline; not real iOS Safari or Android Chrome evidence.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Interaction</t>
        </is>
      </c>
      <c r="C189" s="5" t="inlineStr">
        <is>
          <t>Outside interaction</t>
        </is>
      </c>
      <c r="D189" s="5" t="inlineStr">
        <is>
          <t>current desktop pointer-down outside interaction closes ContextMenu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existing desktop browser/manual baseline; mobile device qualification not run</t>
        </is>
      </c>
      <c r="H189" s="11" t="inlineStr">
        <is>
          <t>covered</t>
        </is>
      </c>
      <c r="I189" s="5" t="inlineStr">
        <is>
          <t>Existing desktop browser/manual baseline; not real iOS Safari or Android Chrome evidence.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Interaction</t>
        </is>
      </c>
      <c r="C190" s="5" t="inlineStr">
        <is>
          <t>Item</t>
        </is>
      </c>
      <c r="D190" s="5" t="inlineStr">
        <is>
          <t>pointer/click activation selects an action item in the existing desktop manual scenario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existing desktop browser/manual baseline; mobile device qualification not run</t>
        </is>
      </c>
      <c r="H190" s="11" t="inlineStr">
        <is>
          <t>covered</t>
        </is>
      </c>
      <c r="I190" s="5" t="inlineStr">
        <is>
          <t>Existing desktop browser/manual baseline; not real iOS Safari or Android Chrome evidence.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Interaction</t>
        </is>
      </c>
      <c r="C191" s="5" t="inlineStr">
        <is>
          <t>Checkbox item</t>
        </is>
      </c>
      <c r="D191" s="5" t="inlineStr">
        <is>
          <t>pointer/click activation toggles a checkbox item in the existing desktop manual scenario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existing desktop browser/manual baseline; mobile device qualification not run</t>
        </is>
      </c>
      <c r="H191" s="11" t="inlineStr">
        <is>
          <t>covered</t>
        </is>
      </c>
      <c r="I191" s="5" t="inlineStr">
        <is>
          <t>Existing desktop browser/manual baseline; not real iOS Safari or Android Chrome evidence.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Interaction</t>
        </is>
      </c>
      <c r="C192" s="5" t="inlineStr">
        <is>
          <t>Radio item</t>
        </is>
      </c>
      <c r="D192" s="5" t="inlineStr">
        <is>
          <t>pointer/click activation selects a radio item in the existing desktop manual scenario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existing desktop browser/manual baseline; mobile device qualification not run</t>
        </is>
      </c>
      <c r="H192" s="11" t="inlineStr">
        <is>
          <t>covered</t>
        </is>
      </c>
      <c r="I192" s="5" t="inlineStr">
        <is>
          <t>Existing desktop browser/manual baseline; not real iOS Safari or Android Chrome evidence.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Interaction</t>
        </is>
      </c>
      <c r="C193" s="5" t="inlineStr">
        <is>
          <t>Submenu</t>
        </is>
      </c>
      <c r="D193" s="5" t="inlineStr">
        <is>
          <t>pointer/click activation opens a submenu in the existing desktop manual scenario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existing desktop browser/manual baseline; mobile device qualification not run</t>
        </is>
      </c>
      <c r="H193" s="11" t="inlineStr">
        <is>
          <t>covered</t>
        </is>
      </c>
      <c r="I193" s="5" t="inlineStr">
        <is>
          <t>Existing desktop browser/manual baseline; not real iOS Safari or Android Chrome evidence.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n"/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n"/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n"/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DataGrid playground; manual-tests/data-grid.md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DataGrid playground; manual-tests/data-grid.md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DataGrid playground; manual-tests/data-grid.md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DataGrid playground; manual-tests/data-grid.md</t>
        </is>
      </c>
      <c r="J12" s="5" t="n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DataGrid playground; manual-tests/data-grid.md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DataGrid playground; manual-tests/data-grid.md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DataGrid playground; manual-tests/data-grid.md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DataGrid playground; manual-tests/data-grid.md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DataGrid playground; manual-tests/data-grid.md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DataGrid playground; manual-tests/data-grid.md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DataGrid playground; manual-tests/data-grid.md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DataGrid playground; manual-tests/data-grid.md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DataGrid playground; manual-tests/data-grid.md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DataGrid playground; manual-tests/data-grid.md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DataGrid playground; manual-tests/data-grid.md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DataGrid playground; manual-tests/data-grid.md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DataGrid playground; manual-tests/data-grid.md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DataGrid playground; manual-tests/data-grid.md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DataGrid playground; manual-tests/data-grid.md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DataGrid playground; manual-tests/data-grid.md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DataGrid playground; manual-tests/data-grid.md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DataGrid playground; manual-tests/data-grid.md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DataGrid playground; manual-tests/data-grid.md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DataGrid playground; manual-tests/data-grid.md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DataGrid playground; manual-tests/data-grid.md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DataGrid playground; manual-tests/data-grid.md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DataGrid playground; manual-tests/data-grid.md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DataGrid playground; manual-tests/data-grid.md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DataGrid playground; manual-tests/data-grid.md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DataGrid playground; manual-tests/data-grid.md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DataGrid playground; manual-tests/data-grid.md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DataGrid playground; manual-tests/data-grid.md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DataGrid playground; manual-tests/data-grid.md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DataGrid playground; manual-tests/data-grid.md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DataGrid playground; manual-tests/data-grid.md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DataGrid playground; manual-tests/data-grid.md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DataGrid playground; manual-tests/data-grid.md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DataGrid playground; manual-tests/data-grid.md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DataGrid playground; manual-tests/data-grid.md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DataGrid playground; manual-tests/data-grid.md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DataGrid playground; manual-tests/data-grid.md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DataGrid playground; manual-tests/data-grid.md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DataGrid playground; manual-tests/data-grid.md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DataGrid playground; manual-tests/data-grid.md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DataGrid playground; manual-tests/data-grid.md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DataGrid playground; manual-tests/data-grid.md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DataGrid playground; manual-tests/data-grid.md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DataGrid playground; manual-tests/data-grid.md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DataGrid playground; manual-tests/data-grid.md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DataGrid playground; manual-tests/data-grid.md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DataGrid playground; manual-tests/data-grid.md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DataGrid playground; manual-tests/data-grid.md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DataGrid playground; manual-tests/data-grid.md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DataGrid playground; manual-tests/data-grid.md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DataGrid playground; manual-tests/data-grid.md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DataGrid playground; manual-tests/data-grid.md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DataGrid playground; manual-tests/data-grid.md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DataGrid playground; manual-tests/data-grid.md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DataGrid playground; manual-tests/data-grid.md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DataGrid playground; manual-tests/data-grid.md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DataGrid playground; manual-tests/data-grid.md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DataGrid playground; manual-tests/data-grid.md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DataGrid playground; manual-tests/data-grid.md</t>
        </is>
      </c>
      <c r="J71" s="5" t="n"/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DataGrid playground; manual-tests/data-grid.md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DataGrid playground; manual-tests/data-grid.md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DataGrid playground; manual-tests/data-grid.md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DataGrid playground; manual-tests/data-grid.md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DataGrid playground; manual-tests/data-grid.md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DataGrid playground; manual-tests/data-grid.md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DataGrid playground; manual-tests/data-grid.md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DataGrid playground; manual-tests/data-grid.md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DataGrid playground; manual-tests/data-grid.md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DataGrid playground; manual-tests/data-grid.md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DataGrid playground; manual-tests/data-grid.md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DataGrid playground; manual-tests/data-grid.md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DataGrid playground; manual-tests/data-grid.md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DataGrid playground; manual-tests/data-grid.md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Header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DataGrid playground; manual-tests/data-grid.md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Header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DataGrid playground; manual-tests/data-grid.md</t>
        </is>
      </c>
      <c r="J87" s="5" t="n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Header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DataGrid playground; manual-tests/data-grid.md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Header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DataGrid playground; manual-tests/data-grid.md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Header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DataGrid playground; manual-tests/data-grid.md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Header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DataGrid playground; manual-tests/data-grid.md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Row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DataGrid playground; manual-tests/data-grid.md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Row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DataGrid playground; manual-tests/data-grid.md</t>
        </is>
      </c>
      <c r="J93" s="5" t="n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Row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DataGrid playground; manual-tests/data-grid.md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Row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DataGrid playground; manual-tests/data-grid.md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Row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DataGrid playground; manual-tests/data-grid.md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Row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DataGrid playground; manual-tests/data-grid.md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Row</t>
        </is>
      </c>
      <c r="D98" s="5" t="inlineStr">
        <is>
          <t>rowIndex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DataGrid playground; manual-tests/data-grid.md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Row</t>
        </is>
      </c>
      <c r="D99" s="5" t="inlineStr">
        <is>
          <t>index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DataGrid playground; manual-tests/data-grid.md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Row</t>
        </is>
      </c>
      <c r="D100" s="5" t="inlineStr">
        <is>
          <t>value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DataGrid playground; manual-tests/data-grid.md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Row</t>
        </is>
      </c>
      <c r="D101" s="5" t="inlineStr">
        <is>
          <t>disabled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DataGrid playground; manual-tests/data-grid.md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Row</t>
        </is>
      </c>
      <c r="D102" s="5" t="inlineStr">
        <is>
          <t>selectable prop blocks click, Enter, and Space selection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DataGrid playground; manual-tests/data-grid.md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aria-activedescendant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DataGrid playground; manual-tests/data-grid.md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aria-colcount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DataGrid playground; manual-tests/data-grid.md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aria-colindex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DataGrid playground; manual-tests/data-grid.md</t>
        </is>
      </c>
      <c r="J105" s="5" t="n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DataGrid playground; manual-tests/data-grid.md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aria-multiselectable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DataGrid playground; manual-tests/data-grid.md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aria-readonly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DataGrid playground; manual-tests/data-grid.md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ARIA</t>
        </is>
      </c>
      <c r="C109" s="5" t="inlineStr">
        <is>
          <t>Live DOM</t>
        </is>
      </c>
      <c r="D109" s="5" t="inlineStr">
        <is>
          <t>aria-rowcount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DataGrid playground; manual-tests/data-grid.md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ARIA</t>
        </is>
      </c>
      <c r="C110" s="5" t="inlineStr">
        <is>
          <t>Live DOM</t>
        </is>
      </c>
      <c r="D110" s="5" t="inlineStr">
        <is>
          <t>aria-rowindex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DataGrid playground; manual-tests/data-grid.md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ARIA</t>
        </is>
      </c>
      <c r="C111" s="5" t="inlineStr">
        <is>
          <t>Live DOM</t>
        </is>
      </c>
      <c r="D111" s="5" t="inlineStr">
        <is>
          <t>aria-selected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DataGrid playground; manual-tests/data-grid.md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ARIA</t>
        </is>
      </c>
      <c r="C112" s="5" t="inlineStr">
        <is>
          <t>Live DOM</t>
        </is>
      </c>
      <c r="D112" s="5" t="inlineStr">
        <is>
          <t>aria-sort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DataGrid playground; manual-tests/data-grid.md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data-active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DataGrid playground; manual-tests/data-grid.md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data-column-count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DataGrid playground; manual-tests/data-grid.md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Live DOM</t>
        </is>
      </c>
      <c r="D115" s="5" t="inlineStr">
        <is>
          <t>data-column-index is present at the correct time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DataGrid playground; manual-tests/data-grid.md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Data</t>
        </is>
      </c>
      <c r="C116" s="5" t="inlineStr">
        <is>
          <t>Live DOM</t>
        </is>
      </c>
      <c r="D116" s="5" t="inlineStr">
        <is>
          <t>data-disabled is present at the correct time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DataGrid playground; manual-tests/data-grid.md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Data</t>
        </is>
      </c>
      <c r="C117" s="5" t="inlineStr">
        <is>
          <t>Live DOM</t>
        </is>
      </c>
      <c r="D117" s="5" t="inlineStr">
        <is>
          <t>data-focused is present at the correct time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DataGrid playground; manual-tests/data-grid.md</t>
        </is>
      </c>
      <c r="J117" s="5" t="n"/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Data</t>
        </is>
      </c>
      <c r="C118" s="5" t="inlineStr">
        <is>
          <t>Live DOM</t>
        </is>
      </c>
      <c r="D118" s="5" t="inlineStr">
        <is>
          <t>data-readonly is present at the correct time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DataGrid playground; manual-tests/data-grid.md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Data</t>
        </is>
      </c>
      <c r="C119" s="5" t="inlineStr">
        <is>
          <t>Live DOM</t>
        </is>
      </c>
      <c r="D119" s="5" t="inlineStr">
        <is>
          <t>data-row-count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DataGrid playground; manual-tests/data-grid.md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Data</t>
        </is>
      </c>
      <c r="C120" s="5" t="inlineStr">
        <is>
          <t>Live DOM</t>
        </is>
      </c>
      <c r="D120" s="5" t="inlineStr">
        <is>
          <t>data-row-index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DataGrid playground; manual-tests/data-grid.md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Data</t>
        </is>
      </c>
      <c r="C121" s="5" t="inlineStr">
        <is>
          <t>Live DOM</t>
        </is>
      </c>
      <c r="D121" s="5" t="inlineStr">
        <is>
          <t>data-selected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DataGrid playground; manual-tests/data-grid.md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data-selectable is present for selectable valued rows when selection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DataGrid playground; manual-tests/data-grid.md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data-selection-disabled is present for rows with selectable={false} when selection is enabled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DataGrid playground; manual-tests/data-grid.md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data-selection-mode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DataGrid playground; manual-tests/data-grid.md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DataGrid playground; manual-tests/data-grid.md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data-sort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DataGrid playground; manual-tests/data-grid.md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data-value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DataGrid playground; manual-tests/data-grid.md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Composition</t>
        </is>
      </c>
      <c r="C128" s="5" t="inlineStr">
        <is>
          <t>All DOM parts</t>
        </is>
      </c>
      <c r="D128" s="5" t="inlineStr">
        <is>
          <t>asChild preserves child content without double nesting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DataGrid playground; manual-tests/data-grid.md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All DOM parts</t>
        </is>
      </c>
      <c r="D129" s="5" t="inlineStr">
        <is>
          <t>asChild merges Atom props and consumer props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DataGrid playground; manual-tests/data-grid.md</t>
        </is>
      </c>
      <c r="J129" s="5" t="n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Composition</t>
        </is>
      </c>
      <c r="C130" s="5" t="inlineStr">
        <is>
          <t>All DOM parts</t>
        </is>
      </c>
      <c r="D130" s="5" t="inlineStr">
        <is>
          <t>render prop renders custom element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DataGrid playground; manual-tests/data-grid.md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Composition</t>
        </is>
      </c>
      <c r="C131" s="5" t="inlineStr">
        <is>
          <t>All DOM parts</t>
        </is>
      </c>
      <c r="D131" s="5" t="inlineStr">
        <is>
          <t>render prop preserves refs and behavior props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DataGrid playground; manual-tests/data-grid.md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State</t>
        </is>
      </c>
      <c r="C132" s="5" t="inlineStr">
        <is>
          <t>Root</t>
        </is>
      </c>
      <c r="D132" s="5" t="inlineStr">
        <is>
          <t>controlled state path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DataGrid playground; manual-tests/data-grid.md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Root</t>
        </is>
      </c>
      <c r="D133" s="5" t="inlineStr">
        <is>
          <t>uncontrolled default state path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DataGrid playground; manual-tests/data-grid.md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State</t>
        </is>
      </c>
      <c r="C134" s="5" t="inlineStr">
        <is>
          <t>Root</t>
        </is>
      </c>
      <c r="D134" s="5" t="inlineStr">
        <is>
          <t>state change callback fires once with correct value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DataGrid playground; manual-tests/data-grid.md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DataGrid</t>
        </is>
      </c>
      <c r="D135" s="5" t="inlineStr">
        <is>
          <t>Arrow key navigation follows documented orientation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DataGrid playground; manual-tests/data-grid.md</t>
        </is>
      </c>
      <c r="J135" s="5" t="n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Keyboard</t>
        </is>
      </c>
      <c r="C136" s="5" t="inlineStr">
        <is>
          <t>DataGrid</t>
        </is>
      </c>
      <c r="D136" s="5" t="inlineStr">
        <is>
          <t>Home and End navigation where supported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DataGrid playground; manual-tests/data-grid.md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DataGrid</t>
        </is>
      </c>
      <c r="D137" s="5" t="inlineStr">
        <is>
          <t>disabled items are skipped or exposed according to pattern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DataGrid playground; manual-tests/data-grid.md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Focus</t>
        </is>
      </c>
      <c r="C138" s="5" t="inlineStr">
        <is>
          <t>DataGrid</t>
        </is>
      </c>
      <c r="D138" s="5" t="inlineStr">
        <is>
          <t>roving focus or active descendant state is visible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DataGrid playground; manual-tests/data-grid.md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Direction</t>
        </is>
      </c>
      <c r="C139" s="5" t="inlineStr">
        <is>
          <t>Grid</t>
        </is>
      </c>
      <c r="D139" s="5" t="inlineStr">
        <is>
          <t>reads Direction.Provider context for horizontal cell navigation</t>
        </is>
      </c>
      <c r="E139" s="10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10" t="inlineStr">
        <is>
          <t>covered</t>
        </is>
      </c>
      <c r="I139" s="5" t="inlineStr">
        <is>
          <t>DataGrid playground; manual-tests/data-grid.md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Direction</t>
        </is>
      </c>
      <c r="C140" s="5" t="inlineStr">
        <is>
          <t>Grid</t>
        </is>
      </c>
      <c r="D140" s="5" t="inlineStr">
        <is>
          <t>RTL mirrors ArrowLeft and ArrowRight cell movement</t>
        </is>
      </c>
      <c r="E140" s="10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10" t="inlineStr">
        <is>
          <t>covered</t>
        </is>
      </c>
      <c r="I140" s="5" t="inlineStr">
        <is>
          <t>DataGrid playground; manual-tests/data-grid.md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Direction</t>
        </is>
      </c>
      <c r="C141" s="5" t="inlineStr">
        <is>
          <t>Root</t>
        </is>
      </c>
      <c r="D141" s="5" t="inlineStr">
        <is>
          <t>local dir overrides Direction.Provider and raw dir is inspectable</t>
        </is>
      </c>
      <c r="E141" s="10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10" t="inlineStr">
        <is>
          <t>covered</t>
        </is>
      </c>
      <c r="I141" s="5" t="inlineStr">
        <is>
          <t>DataGrid playground; manual-tests/data-grid.md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Playground</t>
        </is>
      </c>
      <c r="C142" s="5" t="inlineStr">
        <is>
          <t>Direction controls</t>
        </is>
      </c>
      <c r="D142" s="5" t="inlineStr">
        <is>
          <t>scenario exposes Default, Provider RTL, Local LTR, and Local RTL controls</t>
        </is>
      </c>
      <c r="E142" s="10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10" t="inlineStr">
        <is>
          <t>covered</t>
        </is>
      </c>
      <c r="I142" s="5" t="inlineStr">
        <is>
          <t>DataGrid playground; manual-tests/data-grid.md</t>
        </is>
      </c>
      <c r="J142" s="5" t="n"/>
      <c r="K142" s="6">
        <f>IF(AND(E142="yes",F142="yes",H142="covered"),1,IF(H142="partial",0.5,0))</f>
        <v/>
      </c>
    </row>
    <row r="143" ht="15" customHeight="1" s="60"/>
    <row r="144" ht="15" customHeight="1" s="60"/>
    <row r="145" ht="15" customHeight="1" s="60"/>
    <row r="146" ht="15" customHeight="1" s="60"/>
    <row r="147" ht="15" customHeight="1" s="60"/>
    <row r="148" ht="15" customHeight="1" s="60"/>
    <row r="149" ht="15" customHeight="1" s="60"/>
    <row r="150" ht="15" customHeight="1" s="60"/>
    <row r="151" ht="15" customHeight="1" s="60"/>
    <row r="152" ht="15" customHeight="1" s="60"/>
    <row r="153" ht="15" customHeight="1" s="60"/>
    <row r="154" ht="15" customHeight="1" s="60"/>
    <row r="155" ht="15" customHeight="1" s="60"/>
    <row r="156" ht="15" customHeight="1" s="60"/>
    <row r="157" ht="15" customHeight="1" s="60"/>
    <row r="158" ht="15" customHeight="1" s="60"/>
    <row r="159" ht="15" customHeight="1" s="60"/>
    <row r="160" ht="15" customHeight="1" s="60"/>
    <row r="161" ht="15" customHeight="1" s="60"/>
    <row r="162" ht="15" customHeight="1" s="60"/>
    <row r="163" ht="15" customHeight="1" s="60"/>
    <row r="164" ht="15" customHeight="1" s="60"/>
    <row r="165" ht="15" customHeight="1" s="60"/>
    <row r="166" ht="15" customHeight="1" s="60"/>
    <row r="167" ht="15" customHeight="1" s="60"/>
    <row r="168" ht="15" customHeight="1" s="60"/>
    <row r="169" ht="15" customHeight="1" s="60"/>
    <row r="170" ht="15" customHeight="1" s="60"/>
    <row r="171" ht="15" customHeight="1" s="60"/>
    <row r="172" ht="15" customHeight="1" s="60"/>
    <row r="173" ht="15" customHeight="1" s="60"/>
    <row r="174" ht="15" customHeight="1" s="60"/>
    <row r="175" ht="15" customHeight="1" s="60"/>
    <row r="176" ht="15" customHeight="1" s="60"/>
    <row r="177" ht="30" customHeight="1" s="60"/>
    <row r="178" ht="15" customHeight="1" s="60"/>
    <row r="179" ht="15" customHeight="1" s="60"/>
    <row r="180" ht="15" customHeight="1" s="60"/>
    <row r="181" ht="15" customHeight="1" s="60"/>
    <row r="182" ht="15" customHeight="1" s="60"/>
    <row r="183" ht="15" customHeight="1" s="60"/>
    <row r="184" ht="15" customHeight="1" s="60"/>
    <row r="185" ht="15" customHeight="1" s="60"/>
    <row r="186" ht="15" customHeight="1" s="60"/>
    <row r="187" ht="15" customHeight="1" s="60"/>
    <row r="188" ht="30" customHeight="1" s="60"/>
    <row r="189" ht="15" customHeight="1" s="60"/>
    <row r="190" ht="30" customHeight="1" s="60"/>
    <row r="191" ht="30" customHeight="1" s="60"/>
    <row r="192" ht="30" customHeight="1" s="60"/>
    <row r="19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n"/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n"/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n"/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n"/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n"/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pointer/click trigger activation opens Dialog in the existing desktop manual scenario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existing desktop browser/manual baseline; mobile device qualification not run</t>
        </is>
      </c>
      <c r="H100" s="11" t="inlineStr">
        <is>
          <t>covered</t>
        </is>
      </c>
      <c r="I100" s="5" t="inlineStr">
        <is>
          <t>Existing desktop browser/manual baseline; not real iOS Safari or Android Chrome evidence.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Backdrop</t>
        </is>
      </c>
      <c r="D101" s="5" t="inlineStr">
        <is>
          <t>pointer/click backdrop activation dismisses Dialog in the existing desktop manual scenario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existing desktop browser/manual baseline; mobile device qualification not run</t>
        </is>
      </c>
      <c r="H101" s="11" t="inlineStr">
        <is>
          <t>covered</t>
        </is>
      </c>
      <c r="I101" s="5" t="inlineStr">
        <is>
          <t>Existing desktop browser/manual baseline; not real iOS Safari or Android Chrome evidence.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Positioning</t>
        </is>
      </c>
      <c r="C102" s="5" t="inlineStr">
        <is>
          <t>Dialog</t>
        </is>
      </c>
      <c r="D102" s="5" t="inlineStr">
        <is>
          <t>Dialog fits the manually tested desktop layout viewport; mobile safe-area, visual-viewport, and virtual-keyboard behavior is not qualified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existing desktop browser/manual baseline; mobile device qualification not run</t>
        </is>
      </c>
      <c r="H102" s="11" t="inlineStr">
        <is>
          <t>covered</t>
        </is>
      </c>
      <c r="I102" s="5" t="inlineStr">
        <is>
          <t>Existing desktop browser/manual baseline; not real iOS Safari or Android Chrome evidence.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Dialog</t>
        </is>
      </c>
      <c r="D103" s="5" t="inlineStr">
        <is>
          <t>desktop focus entry, trap, and restoration expectations; mobile screen-reader touch exploration is not qualified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existing desktop browser/manual baseline; mobile device qualification not run</t>
        </is>
      </c>
      <c r="H103" s="11" t="inlineStr">
        <is>
          <t>covered</t>
        </is>
      </c>
      <c r="I103" s="5" t="inlineStr">
        <is>
          <t>Existing desktop browser/manual baseline; not real iOS Safari or Android Chrome evidence.</t>
        </is>
      </c>
      <c r="J103" s="5" t="n"/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n"/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n"/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n"/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n"/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n"/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n"/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n"/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n"/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n"/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n"/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n"/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n"/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n"/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n"/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n"/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n"/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n"/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n"/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n"/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n"/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n"/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n"/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n"/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n"/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n"/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n"/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n"/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n"/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n"/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n"/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n"/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n"/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n"/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n"/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n"/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n"/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n"/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n"/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n"/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n"/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n"/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n"/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n"/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n"/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n"/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n"/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n"/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n"/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n"/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n"/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n"/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n"/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n"/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n"/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n"/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n"/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n"/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n"/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n"/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n"/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n"/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n"/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n"/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n"/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n"/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n"/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n"/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n"/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n"/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n"/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n"/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n"/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n"/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n"/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n"/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n"/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n"/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n"/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n"/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n"/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n"/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n"/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n"/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n"/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n"/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n"/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n"/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n"/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n"/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n"/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n"/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n"/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n"/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n"/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n"/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n"/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n"/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n"/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n"/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n"/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n"/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n"/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n"/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n"/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n"/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n"/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n"/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n"/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n"/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n"/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n"/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n"/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n"/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n"/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n"/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n"/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n"/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n"/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n"/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n"/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n"/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n"/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n"/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n"/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n"/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n"/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n"/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n"/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n"/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n"/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n"/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n"/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n"/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n"/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n"/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n"/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n"/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n"/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n"/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n"/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n"/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n"/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n"/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n"/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n"/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n"/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n"/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n"/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n"/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n"/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n"/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n"/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n"/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n"/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n"/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n"/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n"/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n"/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n"/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n"/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n"/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n"/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n"/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n"/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n"/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n"/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n"/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n"/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n"/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n"/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n"/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n"/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n"/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n"/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n"/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n"/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n"/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n"/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n"/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n"/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n"/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n"/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n"/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n"/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n"/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n"/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n"/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n"/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n"/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n"/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n"/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n"/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n"/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n"/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n"/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n"/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n"/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n"/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n"/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n"/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n"/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n"/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n"/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n"/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n"/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n"/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n"/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n"/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n"/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n"/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n"/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n"/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n"/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n"/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n"/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the edge of the manually tested desktop layout viewport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passed existing desktop browser/manual baseline; mobile device qualification not run</t>
        </is>
      </c>
      <c r="H215" s="37" t="inlineStr">
        <is>
          <t>covered</t>
        </is>
      </c>
      <c r="I215" s="38" t="inlineStr">
        <is>
          <t>Existing desktop browser/manual baseline; not real iOS Safari or Android Chrome evidence.</t>
        </is>
      </c>
      <c r="J215" s="38" t="n"/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n"/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n"/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n"/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n"/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n"/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n"/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n"/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n"/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n"/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n"/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n"/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n"/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Interaction</t>
        </is>
      </c>
      <c r="C228" s="38" t="inlineStr">
        <is>
          <t>Trigger</t>
        </is>
      </c>
      <c r="D228" s="38" t="inlineStr">
        <is>
          <t>pointer/click trigger activation opens DropdownMenu in the existing desktop manual scenario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passed existing desktop browser/manual baseline; mobile device qualification not run</t>
        </is>
      </c>
      <c r="H228" s="37" t="inlineStr">
        <is>
          <t>covered</t>
        </is>
      </c>
      <c r="I228" s="38" t="inlineStr">
        <is>
          <t>Existing desktop browser/manual baseline; not real iOS Safari or Android Chrome evidence.</t>
        </is>
      </c>
      <c r="J228" s="38" t="n"/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Interaction</t>
        </is>
      </c>
      <c r="C229" s="38" t="inlineStr">
        <is>
          <t>Trigger</t>
        </is>
      </c>
      <c r="D229" s="38" t="inlineStr">
        <is>
          <t>pointer/click trigger activation closes an open DropdownMenu in the existing desktop manual scenario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passed existing desktop browser/manual baseline; mobile device qualification not run</t>
        </is>
      </c>
      <c r="H229" s="37" t="inlineStr">
        <is>
          <t>covered</t>
        </is>
      </c>
      <c r="I229" s="38" t="inlineStr">
        <is>
          <t>Existing desktop browser/manual baseline; not real iOS Safari or Android Chrome evidence.</t>
        </is>
      </c>
      <c r="J229" s="38" t="n"/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Interaction</t>
        </is>
      </c>
      <c r="C230" s="38" t="inlineStr">
        <is>
          <t>Item</t>
        </is>
      </c>
      <c r="D230" s="38" t="inlineStr">
        <is>
          <t>pointer/click activation selects an action item in the existing desktop manual scenario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passed existing desktop browser/manual baseline; mobile device qualification not run</t>
        </is>
      </c>
      <c r="H230" s="37" t="inlineStr">
        <is>
          <t>covered</t>
        </is>
      </c>
      <c r="I230" s="38" t="inlineStr">
        <is>
          <t>Existing desktop browser/manual baseline; not real iOS Safari or Android Chrome evidence.</t>
        </is>
      </c>
      <c r="J230" s="38" t="n"/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Interaction</t>
        </is>
      </c>
      <c r="C231" s="38" t="inlineStr">
        <is>
          <t>Checkbox item</t>
        </is>
      </c>
      <c r="D231" s="38" t="inlineStr">
        <is>
          <t>pointer/click activation toggles a checkbox item in the existing desktop manual scenario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passed existing desktop browser/manual baseline; mobile device qualification not run</t>
        </is>
      </c>
      <c r="H231" s="37" t="inlineStr">
        <is>
          <t>covered</t>
        </is>
      </c>
      <c r="I231" s="38" t="inlineStr">
        <is>
          <t>Existing desktop browser/manual baseline; not real iOS Safari or Android Chrome evidence.</t>
        </is>
      </c>
      <c r="J231" s="38" t="n"/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Interaction</t>
        </is>
      </c>
      <c r="C232" s="38" t="inlineStr">
        <is>
          <t>Radio item</t>
        </is>
      </c>
      <c r="D232" s="38" t="inlineStr">
        <is>
          <t>pointer/click activation selects a radio item in the existing desktop manual scenario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passed existing desktop browser/manual baseline; mobile device qualification not run</t>
        </is>
      </c>
      <c r="H232" s="37" t="inlineStr">
        <is>
          <t>covered</t>
        </is>
      </c>
      <c r="I232" s="38" t="inlineStr">
        <is>
          <t>Existing desktop browser/manual baseline; not real iOS Safari or Android Chrome evidence.</t>
        </is>
      </c>
      <c r="J232" s="38" t="n"/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Interaction</t>
        </is>
      </c>
      <c r="C233" s="38" t="inlineStr">
        <is>
          <t>Submenu</t>
        </is>
      </c>
      <c r="D233" s="38" t="inlineStr">
        <is>
          <t>pointer/click activation opens a submenu in the existing desktop manual scenario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passed existing desktop browser/manual baseline; mobile device qualification not run</t>
        </is>
      </c>
      <c r="H233" s="37" t="inlineStr">
        <is>
          <t>covered</t>
        </is>
      </c>
      <c r="I233" s="38" t="inlineStr">
        <is>
          <t>Existing desktop browser/manual baseline; not real iOS Safari or Android Chrome evidence.</t>
        </is>
      </c>
      <c r="J233" s="38" t="n"/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Interaction</t>
        </is>
      </c>
      <c r="C234" s="38" t="inlineStr">
        <is>
          <t>Outside interaction</t>
        </is>
      </c>
      <c r="D234" s="38" t="inlineStr">
        <is>
          <t>current desktop pointer-down outside interaction closes DropdownMenu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passed existing desktop browser/manual baseline; mobile device qualification not run</t>
        </is>
      </c>
      <c r="H234" s="37" t="inlineStr">
        <is>
          <t>covered</t>
        </is>
      </c>
      <c r="I234" s="38" t="inlineStr">
        <is>
          <t>Existing desktop browser/manual baseline; not real iOS Safari or Android Chrome evidence.</t>
        </is>
      </c>
      <c r="J234" s="38" t="n"/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n"/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n"/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n"/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n"/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n"/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n"/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n"/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n"/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n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n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n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n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n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n"/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n"/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n"/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n"/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n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n"/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n"/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n"/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n"/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n"/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n"/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n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n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n"/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n"/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n"/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n"/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n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n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n"/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n"/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n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n"/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n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n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n"/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n"/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n"/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n"/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n"/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n"/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n"/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n"/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n"/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n"/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n"/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n"/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n"/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n"/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n"/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n"/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n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n"/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n"/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n"/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n"/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n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n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n"/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n"/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n"/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n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n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n"/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n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n"/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n"/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n"/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n"/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n"/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n"/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n"/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n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n"/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n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n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n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n"/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n"/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n"/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n"/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n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n"/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n"/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n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n"/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n"/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n"/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n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n"/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n"/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n"/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n"/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n"/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n"/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n"/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n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n"/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n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n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n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n"/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n"/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n"/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n"/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n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n"/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n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n"/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n"/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n"/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n"/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n"/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n"/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n"/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n"/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n"/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n"/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n"/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n"/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n"/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n"/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n"/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n"/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n"/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n"/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n"/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n"/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n"/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n"/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n"/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n"/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n"/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n"/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n"/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n"/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n"/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n"/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n"/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n"/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n"/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n"/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n"/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n"/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n"/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n"/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n"/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n"/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n"/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n"/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n"/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n"/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n"/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n"/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n"/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n"/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n"/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n"/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n"/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n"/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n"/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n"/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n"/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n"/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n"/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n"/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n"/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n"/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n"/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n"/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n"/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n"/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n"/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n"/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n"/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n"/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n"/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n"/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n"/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n"/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n"/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n"/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n"/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n"/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n"/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n"/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n"/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n"/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n"/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n"/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n"/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n"/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n"/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n"/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n"/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n"/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n"/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n"/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n"/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n"/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n"/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n"/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n"/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n"/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n"/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n"/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n"/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n"/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n"/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n"/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n"/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n"/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n"/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n"/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n"/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n"/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n"/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n"/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n"/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n"/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n"/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n"/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n"/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n"/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n"/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n"/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n"/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n"/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n"/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n"/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n"/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n"/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n"/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n"/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n"/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n"/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n"/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n"/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n"/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n"/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n"/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n"/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n"/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n"/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n"/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n"/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n"/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n"/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n"/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n"/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n"/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n"/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n"/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n"/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n"/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n"/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n"/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n"/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n"/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n"/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n"/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n"/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n"/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n"/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the edge of the manually tested desktop layout viewport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passed existing desktop browser/manual baseline; mobile device qualification not run</t>
        </is>
      </c>
      <c r="H164" s="37" t="inlineStr">
        <is>
          <t>covered</t>
        </is>
      </c>
      <c r="I164" s="38" t="inlineStr">
        <is>
          <t>Existing desktop browser/manual baseline; not real iOS Safari or Android Chrome evidence.</t>
        </is>
      </c>
      <c r="J164" s="38" t="n"/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n"/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n"/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n"/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n"/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n"/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n"/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n"/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Interaction</t>
        </is>
      </c>
      <c r="C172" s="38" t="inlineStr">
        <is>
          <t>Trigger</t>
        </is>
      </c>
      <c r="D172" s="38" t="inlineStr">
        <is>
          <t>pointer/click activation opens Menu in the existing desktop manual scenario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passed existing desktop browser/manual baseline; mobile device qualification not run</t>
        </is>
      </c>
      <c r="H172" s="37" t="inlineStr">
        <is>
          <t>covered</t>
        </is>
      </c>
      <c r="I172" s="38" t="inlineStr">
        <is>
          <t>Existing desktop browser/manual baseline; not real iOS Safari or Android Chrome evidence.</t>
        </is>
      </c>
      <c r="J172" s="38" t="n"/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Interaction</t>
        </is>
      </c>
      <c r="C173" s="38" t="inlineStr">
        <is>
          <t>Item</t>
        </is>
      </c>
      <c r="D173" s="38" t="inlineStr">
        <is>
          <t>pointer/click activation selects an action item in the existing desktop manual scenario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passed existing desktop browser/manual baseline; mobile device qualification not run</t>
        </is>
      </c>
      <c r="H173" s="37" t="inlineStr">
        <is>
          <t>covered</t>
        </is>
      </c>
      <c r="I173" s="38" t="inlineStr">
        <is>
          <t>Existing desktop browser/manual baseline; not real iOS Safari or Android Chrome evidence.</t>
        </is>
      </c>
      <c r="J173" s="38" t="n"/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Interaction</t>
        </is>
      </c>
      <c r="C174" s="38" t="inlineStr">
        <is>
          <t>Checkbox item</t>
        </is>
      </c>
      <c r="D174" s="38" t="inlineStr">
        <is>
          <t>pointer/click activation toggles a checkbox item in the existing desktop manual scenario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passed existing desktop browser/manual baseline; mobile device qualification not run</t>
        </is>
      </c>
      <c r="H174" s="37" t="inlineStr">
        <is>
          <t>covered</t>
        </is>
      </c>
      <c r="I174" s="38" t="inlineStr">
        <is>
          <t>Existing desktop browser/manual baseline; not real iOS Safari or Android Chrome evidence.</t>
        </is>
      </c>
      <c r="J174" s="38" t="n"/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Interaction</t>
        </is>
      </c>
      <c r="C175" s="38" t="inlineStr">
        <is>
          <t>Radio item</t>
        </is>
      </c>
      <c r="D175" s="38" t="inlineStr">
        <is>
          <t>pointer/click activation selects a radio item in the existing desktop manual scenario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passed existing desktop browser/manual baseline; mobile device qualification not run</t>
        </is>
      </c>
      <c r="H175" s="37" t="inlineStr">
        <is>
          <t>covered</t>
        </is>
      </c>
      <c r="I175" s="38" t="inlineStr">
        <is>
          <t>Existing desktop browser/manual baseline; not real iOS Safari or Android Chrome evidence.</t>
        </is>
      </c>
      <c r="J175" s="38" t="n"/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Interaction</t>
        </is>
      </c>
      <c r="C176" s="38" t="inlineStr">
        <is>
          <t>Submenu</t>
        </is>
      </c>
      <c r="D176" s="38" t="inlineStr">
        <is>
          <t>pointer/click activation opens a submenu in the existing desktop manual scenario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passed existing desktop browser/manual baseline; mobile device qualification not run</t>
        </is>
      </c>
      <c r="H176" s="37" t="inlineStr">
        <is>
          <t>covered</t>
        </is>
      </c>
      <c r="I176" s="38" t="inlineStr">
        <is>
          <t>Existing desktop browser/manual baseline; not real iOS Safari or Android Chrome evidence.</t>
        </is>
      </c>
      <c r="J176" s="38" t="n"/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Interaction</t>
        </is>
      </c>
      <c r="C177" s="38" t="inlineStr">
        <is>
          <t>Outside interaction</t>
        </is>
      </c>
      <c r="D177" s="38" t="inlineStr">
        <is>
          <t>current desktop pointer-down outside interaction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passed existing desktop browser/manual baseline; mobile device qualification not run</t>
        </is>
      </c>
      <c r="H177" s="37" t="inlineStr">
        <is>
          <t>covered</t>
        </is>
      </c>
      <c r="I177" s="38" t="inlineStr">
        <is>
          <t>Existing desktop browser/manual baseline; not real iOS Safari or Android Chrome evidence.</t>
        </is>
      </c>
      <c r="J177" s="38" t="n"/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n"/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n"/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n"/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n"/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n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n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n"/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Responsive smoke</t>
        </is>
      </c>
      <c r="C110" s="5" t="inlineStr">
        <is>
          <t>Modal</t>
        </is>
      </c>
      <c r="D110" s="5" t="inlineStr">
        <is>
          <t>desktop browser responsive smoke covers pointer, keyboard, focus, and layout-viewport behavior only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existing desktop browser/manual baseline; mobile device qualification not run</t>
        </is>
      </c>
      <c r="H110" s="9" t="inlineStr">
        <is>
          <t>covered</t>
        </is>
      </c>
      <c r="I110" s="5" t="inlineStr">
        <is>
          <t>Existing desktop browser/manual baseline; not real iOS Safari or Android Chrome evidence.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NavigationMenu</t>
        </is>
      </c>
      <c r="D9" s="5" t="inlineStr">
        <is>
          <t>scenario is reachable from the Navigation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NavigationMenu playground; manual-tests/navigation-menu.md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NavigationMenu</t>
        </is>
      </c>
      <c r="D10" s="5" t="inlineStr">
        <is>
          <t>default Canvas and Source show the simplest valid uncontrolled closed usage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NavigationMenu playground; manual-tests/navigation-menu.md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Source</t>
        </is>
      </c>
      <c r="D11" s="5" t="inlineStr">
        <is>
          <t>Source updates for state, direction, nesting, composition, force mount, and prop checks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NavigationMenu playground; manual-tests/navigation-menu.md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Anatomy</t>
        </is>
      </c>
      <c r="D12" s="5" t="inlineStr">
        <is>
          <t>public parts appear in documented order with repeated targets named separately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NavigationMenu playground; manual-tests/navigation-menu.md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Anatomy</t>
        </is>
      </c>
      <c r="D13" s="5" t="inlineStr">
        <is>
          <t>live Attributes, ARIA, and Data groups expose rendered DOM evidence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NavigationMenu playground; manual-tests/navigation-menu.md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Inspector / Logs</t>
        </is>
      </c>
      <c r="D14" s="5" t="inlineStr">
        <is>
          <t>Selected, Focused, and Logs expose real interaction evidence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NavigationMenu playground; manual-tests/navigation-menu.md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Playground</t>
        </is>
      </c>
      <c r="C15" s="5" t="inlineStr">
        <is>
          <t>Props</t>
        </is>
      </c>
      <c r="D15" s="5" t="inlineStr">
        <is>
          <t>Prop Check is off by default and adds data-prop-check only when enabled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NavigationMenu playground; manual-tests/navigation-menu.md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controlled and uncontrolled root value paths are available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NavigationMenu playground; manual-tests/navigation-menu.md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defaultValue remounts and initializes the uncontrolled active panel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NavigationMenu playground; manual-tests/navigation-menu.md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200 ms open delay and 300 ms skip-delay defaults can be compared with instant timing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NavigationMenu playground; manual-tests/navigation-menu.md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pointer hover, click, Enter, and Space open or close trigger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NavigationMenu playground; manual-tests/navigation-menu.md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horizontal and vertical orientation are testable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NavigationMenu playground; manual-tests/navigation-menu.md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NavigationMenu</t>
        </is>
      </c>
      <c r="D21" s="5" t="inlineStr">
        <is>
          <t>Default, Provider RTL, Local LTR, and Local RTL direction cases are testable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NavigationMenu playground; manual-tests/navigation-menu.md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NavigationMenu</t>
        </is>
      </c>
      <c r="D22" s="5" t="inlineStr">
        <is>
          <t>shared Viewport emits only the active Content and adapts to its size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NavigationMenu playground; manual-tests/navigation-menu.md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NavigationMenu</t>
        </is>
      </c>
      <c r="D23" s="5" t="inlineStr">
        <is>
          <t>optional Indicator tracks the active trigger geometry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NavigationMenu playground; manual-tests/navigation-menu.md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Feature</t>
        </is>
      </c>
      <c r="C24" s="5" t="inlineStr">
        <is>
          <t>NavigationMenu</t>
        </is>
      </c>
      <c r="D24" s="5" t="inlineStr">
        <is>
          <t>active links and aria-current are testable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NavigationMenu playground; manual-tests/navigation-menu.md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Feature</t>
        </is>
      </c>
      <c r="C25" s="5" t="inlineStr">
        <is>
          <t>NavigationMenu</t>
        </is>
      </c>
      <c r="D25" s="5" t="inlineStr">
        <is>
          <t>nested Sub scope supports independent controlled and uncontrolled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NavigationMenu playground; manual-tests/navigation-menu.md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nav with data-slot="navigation-menu"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NavigationMenu playground; manual-tests/navigation-menu.md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Accessibility</t>
        </is>
      </c>
      <c r="C27" s="5" t="inlineStr">
        <is>
          <t>Root</t>
        </is>
      </c>
      <c r="D27" s="5" t="inlineStr">
        <is>
          <t>default aria-label is "Main" and custom native aria-label passes through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NavigationMenu playground; manual-tests/navigation-menu.md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Data</t>
        </is>
      </c>
      <c r="C28" s="5" t="inlineStr">
        <is>
          <t>Root</t>
        </is>
      </c>
      <c r="D28" s="5" t="inlineStr">
        <is>
          <t>data-orientation defaults to horizontal and updates to vertical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NavigationMenu playground; manual-tests/navigation-menu.md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Direction</t>
        </is>
      </c>
      <c r="C29" s="5" t="inlineStr">
        <is>
          <t>Root</t>
        </is>
      </c>
      <c r="D29" s="5" t="inlineStr">
        <is>
          <t>rendered dir resolves local prop before Direction.Provider before ltr default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NavigationMenu playground; manual-tests/navigation-menu.md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controls active panel in controlled mode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NavigationMenu playground; manual-tests/navigation-menu.md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initializes active panel in uncontrolled mode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NavigationMenu playground; manual-tests/navigation-menu.md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Events</t>
        </is>
      </c>
      <c r="C32" s="5" t="inlineStr">
        <is>
          <t>Root</t>
        </is>
      </c>
      <c r="D32" s="5" t="inlineStr">
        <is>
          <t>onValueChange logs each open, switch, and close value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NavigationMenu playground; manual-tests/navigation-menu.md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Root</t>
        </is>
      </c>
      <c r="D33" s="5" t="inlineStr">
        <is>
          <t>data-slot override survives default, asChild, and render composition on Root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NavigationMenu playground; manual-tests/navigation-menu.md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Root</t>
        </is>
      </c>
      <c r="D34" s="5" t="inlineStr">
        <is>
          <t>consumer ref receives nav or composed render element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NavigationMenu playground; manual-tests/navigation-menu.md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replaces the default nav while preserving behavior props and ref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NavigationMenu playground; manual-tests/navigation-menu.md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List</t>
        </is>
      </c>
      <c r="D36" s="5" t="inlineStr">
        <is>
          <t>default tag is ul with role="list" and data-slot="navigation-menu-list"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NavigationMenu playground; manual-tests/navigation-menu.md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List</t>
        </is>
      </c>
      <c r="D37" s="5" t="inlineStr">
        <is>
          <t>data-orientation follows Root orientation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NavigationMenu playground; manual-tests/navigation-menu.md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List</t>
        </is>
      </c>
      <c r="D38" s="5" t="inlineStr">
        <is>
          <t>data-slot override survives default, asChild, and render composition on List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NavigationMenu playground; manual-tests/navigation-menu.md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List</t>
        </is>
      </c>
      <c r="D39" s="5" t="inlineStr">
        <is>
          <t>consumer ref receives the ul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NavigationMenu playground; manual-tests/navigation-menu.md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Item: Learn</t>
        </is>
      </c>
      <c r="D40" s="5" t="inlineStr">
        <is>
          <t>default tag is li with data-slot="navigation-menu-item"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NavigationMenu playground; manual-tests/navigation-menu.md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Item: Learn</t>
        </is>
      </c>
      <c r="D41" s="5" t="inlineStr">
        <is>
          <t>value scopes its Trigger and Content pair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NavigationMenu playground; manual-tests/navigation-menu.md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Item: Learn</t>
        </is>
      </c>
      <c r="D42" s="5" t="inlineStr">
        <is>
          <t>data-slot override survives default, asChild, and render composition on Item: Learn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NavigationMenu playground; manual-tests/navigation-menu.md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Item: Learn</t>
        </is>
      </c>
      <c r="D43" s="5" t="inlineStr">
        <is>
          <t>consumer ref receives the li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NavigationMenu playground; manual-tests/navigation-menu.md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Trigger: Learn</t>
        </is>
      </c>
      <c r="D44" s="5" t="inlineStr">
        <is>
          <t>default tag is button with type="button" and data-slot="navigation-menu-trigger"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NavigationMenu playground; manual-tests/navigation-menu.md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Trigger: Learn</t>
        </is>
      </c>
      <c r="D45" s="5" t="inlineStr">
        <is>
          <t>aria-expanded and data-state move between false/closed and true/open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NavigationMenu playground; manual-tests/navigation-menu.md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ARIA</t>
        </is>
      </c>
      <c r="C46" s="5" t="inlineStr">
        <is>
          <t>Trigger: Learn</t>
        </is>
      </c>
      <c r="D46" s="5" t="inlineStr">
        <is>
          <t>aria-controls stays present while closed and matches active Content id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NavigationMenu playground; manual-tests/navigation-menu.md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Trigger: Overview</t>
        </is>
      </c>
      <c r="D47" s="5" t="inlineStr">
        <is>
          <t>disabled emits disabled, aria-disabled="true", and data-disabled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NavigationMenu playground; manual-tests/navigation-menu.md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Interaction</t>
        </is>
      </c>
      <c r="C48" s="5" t="inlineStr">
        <is>
          <t>Trigger: Overview</t>
        </is>
      </c>
      <c r="D48" s="5" t="inlineStr">
        <is>
          <t>disabled blocks pointer and keyboard activation and is absent from roving registry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NavigationMenu playground; manual-tests/navigation-menu.md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Interaction</t>
        </is>
      </c>
      <c r="C49" s="5" t="inlineStr">
        <is>
          <t>Trigger: Learn</t>
        </is>
      </c>
      <c r="D49" s="5" t="inlineStr">
        <is>
          <t>consumer preventDefault blocks Atom click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NavigationMenu playground; manual-tests/navigation-menu.md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Trigger: Learn</t>
        </is>
      </c>
      <c r="D50" s="5" t="inlineStr">
        <is>
          <t>data-slot override survives default, asChild, and render composition on Trigger: Learn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NavigationMenu playground; manual-tests/navigation-menu.md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Trigger: Learn</t>
        </is>
      </c>
      <c r="D51" s="5" t="inlineStr">
        <is>
          <t>consumer ref receives the rendered trigger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NavigationMenu playground; manual-tests/navigation-menu.md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Trigger: Learn</t>
        </is>
      </c>
      <c r="D52" s="5" t="inlineStr">
        <is>
          <t>asChild preserves one button and merges behavior props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NavigationMenu playground; manual-tests/navigation-menu.md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Trigger: Learn</t>
        </is>
      </c>
      <c r="D53" s="5" t="inlineStr">
        <is>
          <t>render prop produces one button and preserves behavior props and ref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NavigationMenu playground; manual-tests/navigation-menu.md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Content: Learn</t>
        </is>
      </c>
      <c r="D54" s="5" t="inlineStr">
        <is>
          <t>Content registers and Viewport emits a div with data-slot="navigation-menu-content"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NavigationMenu playground; manual-tests/navigation-menu.md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Content: Learn</t>
        </is>
      </c>
      <c r="D55" s="5" t="inlineStr">
        <is>
          <t>active content has data-state="open" and tabIndex=-1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NavigationMenu playground; manual-tests/navigation-menu.md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Motion</t>
        </is>
      </c>
      <c r="C56" s="5" t="inlineStr">
        <is>
          <t>Content</t>
        </is>
      </c>
      <c r="D56" s="5" t="inlineStr">
        <is>
          <t>data-motion reports from-start or from-end when panels change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NavigationMenu playground; manual-tests/navigation-menu.md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Content</t>
        </is>
      </c>
      <c r="D57" s="5" t="inlineStr">
        <is>
          <t>generated id matches the owning Trigger aria-controls relationship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NavigationMenu playground; manual-tests/navigation-menu.md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Content: Learn</t>
        </is>
      </c>
      <c r="D58" s="5" t="inlineStr">
        <is>
          <t>data-slot override survives default, asChild, and render composition on Content: Learn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NavigationMenu playground; manual-tests/navigation-menu.md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Link: Atom UI</t>
        </is>
      </c>
      <c r="D59" s="5" t="inlineStr">
        <is>
          <t>default tag is a with href and data-slot="navigation-menu-link"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NavigationMenu playground; manual-tests/navigation-menu.md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Link: GitHub</t>
        </is>
      </c>
      <c r="D60" s="5" t="inlineStr">
        <is>
          <t>active emits data-active and aria-current="page"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NavigationMenu playground; manual-tests/navigation-menu.md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Events</t>
        </is>
      </c>
      <c r="C61" s="5" t="inlineStr">
        <is>
          <t>Link</t>
        </is>
      </c>
      <c r="D61" s="5" t="inlineStr">
        <is>
          <t>onSelect logs selection and closes an active root panel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NavigationMenu playground; manual-tests/navigation-menu.md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Link: Atom UI</t>
        </is>
      </c>
      <c r="D62" s="5" t="inlineStr">
        <is>
          <t>data-slot override survives default, asChild, and render composition on Link: Atom UI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NavigationMenu playground; manual-tests/navigation-menu.md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Link: Atom UI</t>
        </is>
      </c>
      <c r="D63" s="5" t="inlineStr">
        <is>
          <t>consumer ref receives the rendered anchor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NavigationMenu playground; manual-tests/navigation-menu.md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Link: Atom UI</t>
        </is>
      </c>
      <c r="D64" s="5" t="inlineStr">
        <is>
          <t>asChild preserves one anchor and uses the child href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NavigationMenu playground; manual-tests/navigation-menu.md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Presence</t>
        </is>
      </c>
      <c r="C65" s="5" t="inlineStr">
        <is>
          <t>Indicator</t>
        </is>
      </c>
      <c r="D65" s="5" t="inlineStr">
        <is>
          <t>optional Indicator is absent by default and appears when enabled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NavigationMenu playground; manual-tests/navigation-menu.md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Indicator</t>
        </is>
      </c>
      <c r="D66" s="5" t="inlineStr">
        <is>
          <t>default tag is div with data-slot="navigation-menu-indicator"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NavigationMenu playground; manual-tests/navigation-menu.md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Indicator</t>
        </is>
      </c>
      <c r="D67" s="5" t="inlineStr">
        <is>
          <t>aria-hidden="true" is always present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NavigationMenu playground; manual-tests/navigation-menu.md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Indicator</t>
        </is>
      </c>
      <c r="D68" s="5" t="inlineStr">
        <is>
          <t>data-state is visible for an active value and hidden when force-mounted closed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NavigationMenu playground; manual-tests/navigation-menu.md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Indicator</t>
        </is>
      </c>
      <c r="D69" s="5" t="inlineStr">
        <is>
          <t>data-orientation follows Root orientation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NavigationMenu playground; manual-tests/navigation-menu.md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Geometry</t>
        </is>
      </c>
      <c r="C70" s="5" t="inlineStr">
        <is>
          <t>Indicator</t>
        </is>
      </c>
      <c r="D70" s="5" t="inlineStr">
        <is>
          <t>trigger left, top, width, height, center-x, and center-y CSS variables are emitted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NavigationMenu playground; manual-tests/navigation-menu.md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Indicator</t>
        </is>
      </c>
      <c r="D71" s="5" t="inlineStr">
        <is>
          <t>data-slot override survives default, asChild, and render composition on Indicator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NavigationMenu playground; manual-tests/navigation-menu.md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Indicator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NavigationMenu playground; manual-tests/navigation-menu.md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Indicator</t>
        </is>
      </c>
      <c r="D73" s="5" t="inlineStr">
        <is>
          <t>asChild preserves one element and geometry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NavigationMenu playground; manual-tests/navigation-menu.md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Indicator</t>
        </is>
      </c>
      <c r="D74" s="5" t="inlineStr">
        <is>
          <t>render prop replaces the default div and preserves geometry behavior and ref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NavigationMenu playground; manual-tests/navigation-menu.md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Presence</t>
        </is>
      </c>
      <c r="C75" s="5" t="inlineStr">
        <is>
          <t>Viewport</t>
        </is>
      </c>
      <c r="D75" s="5" t="inlineStr">
        <is>
          <t>Viewport is absent while closed by default and forceMount keeps an empty closed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NavigationMenu playground; manual-tests/navigation-menu.md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Viewport</t>
        </is>
      </c>
      <c r="D76" s="5" t="inlineStr">
        <is>
          <t>default tag is div with data-slot="navigation-menu-viewport"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NavigationMenu playground; manual-tests/navigation-menu.md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Viewport</t>
        </is>
      </c>
      <c r="D77" s="5" t="inlineStr">
        <is>
          <t>data-state is open with active content and closed when force-mounted empty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NavigationMenu playground; manual-tests/navigation-menu.md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Viewport</t>
        </is>
      </c>
      <c r="D78" s="5" t="inlineStr">
        <is>
          <t>data-orientation follows Root orientation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NavigationMenu playground; manual-tests/navigation-menu.md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Geometry</t>
        </is>
      </c>
      <c r="C79" s="5" t="inlineStr">
        <is>
          <t>Viewport</t>
        </is>
      </c>
      <c r="D79" s="5" t="inlineStr">
        <is>
          <t>viewport width and height CSS variables match active content measurements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NavigationMenu playground; manual-tests/navigation-menu.md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Interaction</t>
        </is>
      </c>
      <c r="C80" s="5" t="inlineStr">
        <is>
          <t>Viewport</t>
        </is>
      </c>
      <c r="D80" s="5" t="inlineStr">
        <is>
          <t>pointer enter cancels delayed close and pointer leave restarts it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NavigationMenu playground; manual-tests/navigation-menu.md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Viewport</t>
        </is>
      </c>
      <c r="D81" s="5" t="inlineStr">
        <is>
          <t>data-slot override survives default, asChild, and render composition on Viewport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NavigationMenu playground; manual-tests/navigation-menu.md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Viewport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NavigationMenu playground; manual-tests/navigation-menu.md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Viewport</t>
        </is>
      </c>
      <c r="D83" s="5" t="inlineStr">
        <is>
          <t>render prop replaces the default div and preserves state, content, and ref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NavigationMenu playground; manual-tests/navigation-menu.md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Presence</t>
        </is>
      </c>
      <c r="C84" s="5" t="inlineStr">
        <is>
          <t>Sub</t>
        </is>
      </c>
      <c r="D84" s="5" t="inlineStr">
        <is>
          <t>Sub is optional and renders only in the nested scenario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NavigationMenu playground; manual-tests/navigation-menu.md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Sub</t>
        </is>
      </c>
      <c r="D85" s="5" t="inlineStr">
        <is>
          <t>default tag is div with data-slot="navigation-menu-sub"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NavigationMenu playground; manual-tests/navigation-menu.md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Sub</t>
        </is>
      </c>
      <c r="D86" s="5" t="inlineStr">
        <is>
          <t>value and onValueChange control nested active content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NavigationMenu playground; manual-tests/navigation-menu.md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Sub</t>
        </is>
      </c>
      <c r="D87" s="5" t="inlineStr">
        <is>
          <t>defaultValue initializes nested uncontrolled active content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NavigationMenu playground; manual-tests/navigation-menu.md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Sub</t>
        </is>
      </c>
      <c r="D88" s="5" t="inlineStr">
        <is>
          <t>data-orientation and dir inherit the parent scope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NavigationMenu playground; manual-tests/navigation-menu.md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Props</t>
        </is>
      </c>
      <c r="C89" s="5" t="inlineStr">
        <is>
          <t>Sub</t>
        </is>
      </c>
      <c r="D89" s="5" t="inlineStr">
        <is>
          <t>data-slot override survives default, asChild, and render composition on Sub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NavigationMenu playground; manual-tests/navigation-menu.md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Refs</t>
        </is>
      </c>
      <c r="C90" s="5" t="inlineStr">
        <is>
          <t>Sub</t>
        </is>
      </c>
      <c r="D90" s="5" t="inlineStr">
        <is>
          <t>consumer ref receives the rendered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NavigationMenu playground; manual-tests/navigation-menu.md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Sub</t>
        </is>
      </c>
      <c r="D91" s="5" t="inlineStr">
        <is>
          <t>asChild preserves one section and nested scope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NavigationMenu playground; manual-tests/navigation-menu.md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Sub</t>
        </is>
      </c>
      <c r="D92" s="5" t="inlineStr">
        <is>
          <t>render prop replaces the default div and preserves nested scope behavior and ref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NavigationMenu playground; manual-tests/navigation-menu.md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NavigationMenu</t>
        </is>
      </c>
      <c r="D93" s="5" t="inlineStr">
        <is>
          <t>ArrowRight and ArrowLeft move horizontal top-level focus across triggers and direct links and hand off an open panel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NavigationMenu playground; manual-tests/navigation-menu.md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NavigationMenu</t>
        </is>
      </c>
      <c r="D94" s="5" t="inlineStr">
        <is>
          <t>RTL mirrors ArrowRight and ArrowLeft trigger movement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NavigationMenu playground; manual-tests/navigation-menu.md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NavigationMenu</t>
        </is>
      </c>
      <c r="D95" s="5" t="inlineStr">
        <is>
          <t>Home and End focus the first and last enabled horizontal top-level control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NavigationMenu playground; manual-tests/navigation-menu.md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NavigationMenu</t>
        </is>
      </c>
      <c r="D96" s="5" t="inlineStr">
        <is>
          <t>ArrowDown opens and focuses the first focusable content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NavigationMenu playground; manual-tests/navigation-menu.md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NavigationMenu</t>
        </is>
      </c>
      <c r="D97" s="5" t="inlineStr">
        <is>
          <t>ArrowUp opens and focuses the last focusable content element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NavigationMenu playground; manual-tests/navigation-menu.md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Dismiss</t>
        </is>
      </c>
      <c r="C98" s="5" t="inlineStr">
        <is>
          <t>NavigationMenu</t>
        </is>
      </c>
      <c r="D98" s="5" t="inlineStr">
        <is>
          <t>Escape closes the root panel and restores focus to its trigger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NavigationMenu playground; manual-tests/navigation-menu.md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Dismiss</t>
        </is>
      </c>
      <c r="C99" s="5" t="inlineStr">
        <is>
          <t>NavigationMenu</t>
        </is>
      </c>
      <c r="D99" s="5" t="inlineStr">
        <is>
          <t>Escape closes nested Sub before the active root panel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NavigationMenu playground; manual-tests/navigation-menu.md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Pointer</t>
        </is>
      </c>
      <c r="C100" s="5" t="inlineStr">
        <is>
          <t>NavigationMenu</t>
        </is>
      </c>
      <c r="D100" s="5" t="inlineStr">
        <is>
          <t>first hover respects delayDuration and active-panel hover switches immediately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NavigationMenu playground; manual-tests/navigation-menu.md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Pointer</t>
        </is>
      </c>
      <c r="C101" s="5" t="inlineStr">
        <is>
          <t>NavigationMenu</t>
        </is>
      </c>
      <c r="D101" s="5" t="inlineStr">
        <is>
          <t>pointer leave closes after delay and skipDelayDuration accelerates reopen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NavigationMenu playground; manual-tests/navigation-menu.md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Root</t>
        </is>
      </c>
      <c r="D102" s="5" t="inlineStr">
        <is>
          <t>data-slot override survives default, asChild, and render composition on Root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NavigationMenu playground; manual-tests/navigation-menu.md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List</t>
        </is>
      </c>
      <c r="D103" s="5" t="inlineStr">
        <is>
          <t>data-slot override survives default, asChild, and render composition on List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NavigationMenu playground; manual-tests/navigation-menu.md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Item: Learn</t>
        </is>
      </c>
      <c r="D104" s="5" t="inlineStr">
        <is>
          <t>data-slot override survives default, asChild, and render composition on Item: Learn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NavigationMenu playground; manual-tests/navigation-menu.md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Trigger: Learn</t>
        </is>
      </c>
      <c r="D105" s="5" t="inlineStr">
        <is>
          <t>data-slot override survives default, asChild, and render composition on Trigger: Learn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NavigationMenu playground; manual-tests/navigation-menu.md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Props</t>
        </is>
      </c>
      <c r="C106" s="5" t="inlineStr">
        <is>
          <t>Content: Learn</t>
        </is>
      </c>
      <c r="D106" s="5" t="inlineStr">
        <is>
          <t>data-slot override survives default, asChild, and render composition on Content: Learn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NavigationMenu playground; manual-tests/navigation-menu.md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Link: Atom UI</t>
        </is>
      </c>
      <c r="D107" s="5" t="inlineStr">
        <is>
          <t>data-slot override survives default, asChild, and render composition on Link: Atom UI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NavigationMenu playground; manual-tests/navigation-menu.md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Indicator</t>
        </is>
      </c>
      <c r="D108" s="5" t="inlineStr">
        <is>
          <t>data-slot override survives default, asChild, and render composition on Indicator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NavigationMenu playground; manual-tests/navigation-menu.md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Props</t>
        </is>
      </c>
      <c r="C109" s="5" t="inlineStr">
        <is>
          <t>Viewport</t>
        </is>
      </c>
      <c r="D109" s="5" t="inlineStr">
        <is>
          <t>data-slot override survives default, asChild, and render composition on Viewport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NavigationMenu playground; manual-tests/navigation-menu.md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Props</t>
        </is>
      </c>
      <c r="C110" s="5" t="inlineStr">
        <is>
          <t>Sub</t>
        </is>
      </c>
      <c r="D110" s="5" t="inlineStr">
        <is>
          <t>data-slot override survives default, asChild, and render composition on Sub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NavigationMenu playground; manual-tests/navigation-menu.md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Root</t>
        </is>
      </c>
      <c r="D111" s="5" t="inlineStr">
        <is>
          <t>asChild preserves one section and Root behavior props and ref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NavigationMenu playground; manual-tests/navigation-menu.md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List</t>
        </is>
      </c>
      <c r="D112" s="5" t="inlineStr">
        <is>
          <t>asChild preserves one list element, list semantics, children, and ref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NavigationMenu playground; manual-tests/navigation-menu.md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List</t>
        </is>
      </c>
      <c r="D113" s="5" t="inlineStr">
        <is>
          <t>render prop replaces the default ul and preserves list semantics, children, and ref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NavigationMenu playground; manual-tests/navigation-menu.md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Composition</t>
        </is>
      </c>
      <c r="C114" s="5" t="inlineStr">
        <is>
          <t>Item: Learn</t>
        </is>
      </c>
      <c r="D114" s="5" t="inlineStr">
        <is>
          <t>asChild preserves one list item and its NavigationMenu item scope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NavigationMenu playground; manual-tests/navigation-menu.md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Item: Learn</t>
        </is>
      </c>
      <c r="D115" s="5" t="inlineStr">
        <is>
          <t>render prop preserves one list item and its NavigationMenu item scope and ref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NavigationMenu playground; manual-tests/navigation-menu.md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Content: Learn</t>
        </is>
      </c>
      <c r="D116" s="5" t="inlineStr">
        <is>
          <t>asChild customizes the Content wrapper emitted through Viewport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NavigationMenu playground; manual-tests/navigation-menu.md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Content: Learn</t>
        </is>
      </c>
      <c r="D117" s="5" t="inlineStr">
        <is>
          <t>render prop customizes the Content wrapper emitted through Viewport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NavigationMenu playground; manual-tests/navigation-menu.md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Link: Atom UI</t>
        </is>
      </c>
      <c r="D118" s="5" t="inlineStr">
        <is>
          <t>render prop preserves one anchor, href, selection behavior, and ref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NavigationMenu playground; manual-tests/navigation-menu.md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Viewport</t>
        </is>
      </c>
      <c r="D119" s="5" t="inlineStr">
        <is>
          <t>asChild preserves one viewport element, active Content, sizing behavior, and ref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NavigationMenu playground; manual-tests/navigation-menu.md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Root</t>
        </is>
      </c>
      <c r="D120" s="5" t="inlineStr">
        <is>
          <t>Root loop defaults true and loop={false} is exposed by the playground source and Root anatomy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NavigationMenu playground; manual-tests/navigation-menu.md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Content</t>
        </is>
      </c>
      <c r="D121" s="5" t="inlineStr">
        <is>
          <t>ArrowDown and ArrowUp move through visible content focusables in DOM order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NavigationMenu playground; manual-tests/navigation-menu.md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Content</t>
        </is>
      </c>
      <c r="D122" s="5" t="inlineStr">
        <is>
          <t>Home and End focus the first and last visible content focusable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NavigationMenu playground; manual-tests/navigation-menu.md</t>
        </is>
      </c>
      <c r="J122" s="5" t="n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Keyboard</t>
        </is>
      </c>
      <c r="C123" s="5" t="inlineStr">
        <is>
          <t>Root</t>
        </is>
      </c>
      <c r="D123" s="5" t="inlineStr">
        <is>
          <t>loop=true wraps top-level Trigger and direct Link navigation at both boundaries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NavigationMenu playground; manual-tests/navigation-menu.md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Root</t>
        </is>
      </c>
      <c r="D124" s="5" t="inlineStr">
        <is>
          <t>loop=false stops top-level Trigger and direct Link navigation at both boundaries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NavigationMenu playground; manual-tests/navigation-menu.md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NavigationMenu</t>
        </is>
      </c>
      <c r="D125" s="5" t="inlineStr">
        <is>
          <t>Shift+Tab from the first content focusable returns focus to its trigger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NavigationMenu playground; manual-tests/navigation-menu.md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Focus</t>
        </is>
      </c>
      <c r="C126" s="5" t="inlineStr">
        <is>
          <t>NavigationMenu</t>
        </is>
      </c>
      <c r="D126" s="5" t="inlineStr">
        <is>
          <t>Tab from the last content focusable closes the panel and focuses the next top-level control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NavigationMenu playground; manual-tests/navigation-menu.md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NavigationMenu</t>
        </is>
      </c>
      <c r="D127" s="5" t="inlineStr">
        <is>
          <t>moving focus outside the root closes the active panel without trapping focus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NavigationMenu playground; manual-tests/navigation-menu.md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Keyboard</t>
        </is>
      </c>
      <c r="C128" s="5" t="inlineStr">
        <is>
          <t>NavigationMenu</t>
        </is>
      </c>
      <c r="D128" s="5" t="inlineStr">
        <is>
          <t>vertical ArrowDown and ArrowUp move across enabled top-level controls including direct links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NavigationMenu playground; manual-tests/navigation-menu.md</t>
        </is>
      </c>
      <c r="J128" s="5" t="n"/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Keyboard</t>
        </is>
      </c>
      <c r="C129" s="5" t="inlineStr">
        <is>
          <t>NavigationMenu</t>
        </is>
      </c>
      <c r="D129" s="5" t="inlineStr">
        <is>
          <t>vertical ArrowRight in LTR and ArrowLeft in RTL open content and focus its first item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NavigationMenu playground; manual-tests/navigation-menu.md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Trigger</t>
        </is>
      </c>
      <c r="D130" s="5" t="inlineStr">
        <is>
          <t>Enter and Space toggle a trigger while retaining trigger focus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NavigationMenu playground; manual-tests/navigation-menu.md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Content: Learn</t>
        </is>
      </c>
      <c r="D131" s="5" t="inlineStr">
        <is>
          <t>omitted Content loop inherits Root and the playground exposes loop mode and effective value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NavigationMenu playground; manual-tests/navigation-menu.md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Content: Learn</t>
        </is>
      </c>
      <c r="D132" s="5" t="inlineStr">
        <is>
          <t>loop=false overrides Root loop=true and stops Content navigation at both boundaries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NavigationMenu playground; manual-tests/navigation-menu.md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Content: Learn</t>
        </is>
      </c>
      <c r="D133" s="5" t="inlineStr">
        <is>
          <t>loop=true overrides Root loop=false and wraps Content navigation at both boundaries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NavigationMenu playground; manual-tests/navigation-menu.md</t>
        </is>
      </c>
      <c r="J133" s="5" t="n"/>
      <c r="K133" s="6">
        <f>IF(AND(E133="yes",F133="yes",H133="covered"),1,IF(H133="partial",0.5,0))</f>
        <v/>
      </c>
    </row>
    <row r="134" ht="15" customHeight="1" s="60"/>
    <row r="135" ht="30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30" customHeight="1" s="60"/>
    <row r="142" ht="15" customHeight="1" s="60"/>
    <row r="143" ht="15" customHeight="1" s="60"/>
    <row r="144" ht="15" customHeight="1" s="60"/>
    <row r="145" ht="15" customHeight="1" s="60"/>
    <row r="146" ht="15" customHeight="1" s="60"/>
    <row r="147" ht="30" customHeight="1" s="60"/>
    <row r="148" ht="15" customHeight="1" s="60"/>
    <row r="149" ht="15" customHeight="1" s="60"/>
    <row r="150" ht="15" customHeight="1" s="60"/>
    <row r="151" ht="15" customHeight="1" s="60"/>
    <row r="152" ht="15" customHeight="1" s="60"/>
    <row r="153" ht="30" customHeight="1" s="60"/>
    <row r="154" ht="15" customHeight="1" s="60"/>
    <row r="155" ht="15" customHeight="1" s="60"/>
    <row r="156" ht="15" customHeight="1" s="60"/>
    <row r="157" ht="15" customHeight="1" s="60"/>
    <row r="158" ht="15" customHeight="1" s="60"/>
    <row r="159" ht="15" customHeight="1" s="60"/>
    <row r="160" ht="15" customHeight="1" s="60"/>
    <row r="161" ht="15" customHeight="1" s="60"/>
    <row r="162" ht="15" customHeight="1" s="60"/>
    <row r="163" ht="15" customHeight="1" s="60"/>
    <row r="164" ht="15" customHeight="1" s="60"/>
    <row r="165" ht="15" customHeight="1" s="60"/>
    <row r="166" ht="15" customHeight="1" s="60"/>
    <row r="167" ht="15" customHeight="1" s="60"/>
    <row r="168" ht="15" customHeight="1" s="60"/>
    <row r="169" ht="15" customHeight="1" s="60"/>
    <row r="170" ht="15" customHeight="1" s="60"/>
    <row r="171" ht="15" customHeight="1" s="60"/>
    <row r="172" ht="30" customHeight="1" s="60"/>
    <row r="173" ht="15" customHeight="1" s="60"/>
    <row r="174" ht="15" customHeight="1" s="60"/>
    <row r="175" ht="15" customHeight="1" s="60"/>
    <row r="176" ht="15" customHeight="1" s="60"/>
    <row r="177" ht="15" customHeight="1" s="60"/>
    <row r="178" ht="15" customHeight="1" s="60"/>
    <row r="179" ht="15" customHeight="1" s="60"/>
    <row r="180" ht="15" customHeight="1" s="60"/>
    <row r="181" ht="15" customHeight="1" s="60"/>
    <row r="182" ht="15" customHeight="1" s="60"/>
    <row r="183" ht="15" customHeight="1" s="60"/>
    <row r="184" ht="15" customHeight="1" s="60"/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30" customHeight="1" s="60"/>
    <row r="202" ht="30" customHeight="1" s="60"/>
    <row r="203" ht="30" customHeight="1" s="60"/>
    <row r="204" ht="30" customHeight="1" s="60"/>
    <row r="205" ht="30" customHeight="1" s="60"/>
    <row r="206" ht="30" customHeight="1" s="60"/>
  </sheetData>
  <autoFilter ref="A8:K133"/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n"/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n"/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n"/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n"/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n"/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n"/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n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n"/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n"/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n"/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n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n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n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n"/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n"/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n"/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n"/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n"/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n"/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n"/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n"/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n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n"/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n"/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n"/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n"/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n"/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Responsive smoke</t>
        </is>
      </c>
      <c r="C133" s="5" t="inlineStr">
        <is>
          <t>Popover</t>
        </is>
      </c>
      <c r="D133" s="5" t="inlineStr">
        <is>
          <t>desktop browser manual workflow covers pointer and keyboard; responsive mode is smoke only and is not mobile-device evidence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existing desktop browser/manual baseline; mobile device qualification not run</t>
        </is>
      </c>
      <c r="H133" s="9" t="inlineStr">
        <is>
          <t>covered</t>
        </is>
      </c>
      <c r="I133" s="5" t="inlineStr">
        <is>
          <t>Existing desktop browser/manual baseline; not real iOS Safari or Android Chrome evidence.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collision, flip, and shift stay within the manually tested desktop layout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existing desktop browser/manual baseline; mobile device qualification not run</t>
        </is>
      </c>
      <c r="H138" s="9" t="inlineStr">
        <is>
          <t>covered</t>
        </is>
      </c>
      <c r="I138" s="5" t="inlineStr">
        <is>
          <t>Existing desktop browser/manual baseline; not real iOS Safari or Android Chrome evidence.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n"/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n"/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n"/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n"/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n"/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n"/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n"/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n"/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n"/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n"/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n"/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n"/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n"/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n"/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n"/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n"/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n"/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n"/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n"/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n"/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n"/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n"/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n"/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n"/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n"/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n"/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n"/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n"/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n"/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n"/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n"/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n"/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n"/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n"/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n"/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n"/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n"/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n"/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n"/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n"/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n"/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n"/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n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n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n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n"/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n"/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n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n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n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n"/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n"/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n"/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n"/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n"/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n"/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n"/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n"/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n"/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n"/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n"/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n"/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n"/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n"/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n"/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n"/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n"/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n"/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n"/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n"/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n"/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n"/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n"/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n"/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n"/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n"/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n"/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n"/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n"/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n"/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n"/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n"/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n"/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n"/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n"/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n"/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n"/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n"/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n"/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n"/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n"/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n"/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n"/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n"/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n"/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n"/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n"/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n"/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n"/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n"/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n"/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n"/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n"/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n"/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n"/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n"/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n"/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n"/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n"/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n"/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n"/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n"/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n"/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n"/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n"/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n"/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n"/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n"/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n"/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n"/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n"/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n"/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n"/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n"/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n"/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n"/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n"/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n"/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n"/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n"/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n"/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n"/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n"/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n"/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n"/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n"/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n"/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n"/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n"/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n"/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n"/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n"/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n"/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n"/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n"/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n"/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n"/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n"/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n"/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n"/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n"/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n"/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n"/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n"/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n"/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n"/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n"/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n"/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 and shifts near the edge of the manually tested desktop layout viewport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passed existing desktop browser/manual baseline; mobile device qualification not run</t>
        </is>
      </c>
      <c r="H90" s="37" t="inlineStr">
        <is>
          <t>covered</t>
        </is>
      </c>
      <c r="I90" s="38" t="inlineStr">
        <is>
          <t>Existing desktop browser/manual baseline; not real iOS Safari or Android Chrome evidence.</t>
        </is>
      </c>
      <c r="J90" s="38" t="n"/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n"/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n"/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n"/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n"/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n"/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n"/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n"/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n"/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n"/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n"/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n"/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n"/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n"/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n"/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n"/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n"/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n"/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n"/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n"/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n"/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n"/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n"/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n"/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n"/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n"/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n"/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n"/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n"/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n"/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n"/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n"/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n"/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n"/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n"/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n"/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n"/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n"/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n"/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n"/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n"/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n"/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n"/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n"/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n"/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n"/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n"/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n"/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n"/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n"/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n"/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n"/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n"/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n"/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n"/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n"/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n"/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n"/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n"/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n"/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n"/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n"/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n"/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n"/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n"/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n"/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n"/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n"/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n"/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n"/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n"/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n"/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n"/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n"/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n"/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n"/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n"/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Trigger</t>
        </is>
      </c>
      <c r="D167" s="38" t="inlineStr">
        <is>
          <t>pointer/click trigger activation opens Select in the existing desktop manual scenario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passed existing desktop browser/manual baseline; mobile device qualification not run</t>
        </is>
      </c>
      <c r="H167" s="37" t="inlineStr">
        <is>
          <t>covered</t>
        </is>
      </c>
      <c r="I167" s="38" t="inlineStr">
        <is>
          <t>Existing desktop browser/manual baseline; not real iOS Safari or Android Chrome evidence.</t>
        </is>
      </c>
      <c r="J167" s="38" t="n"/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Item</t>
        </is>
      </c>
      <c r="D168" s="38" t="inlineStr">
        <is>
          <t>pointer/click item activation selects in the existing desktop manual scenario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passed existing desktop browser/manual baseline; mobile device qualification not run</t>
        </is>
      </c>
      <c r="H168" s="37" t="inlineStr">
        <is>
          <t>covered</t>
        </is>
      </c>
      <c r="I168" s="38" t="inlineStr">
        <is>
          <t>Existing desktop browser/manual baseline; not real iOS Safari or Android Chrome evidence.</t>
        </is>
      </c>
      <c r="J168" s="38" t="n"/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Outside interaction</t>
        </is>
      </c>
      <c r="D169" s="38" t="inlineStr">
        <is>
          <t>current desktop pointer-down outside interaction closes Select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passed existing desktop browser/manual baseline; mobile device qualification not run</t>
        </is>
      </c>
      <c r="H169" s="37" t="inlineStr">
        <is>
          <t>covered</t>
        </is>
      </c>
      <c r="I169" s="38" t="inlineStr">
        <is>
          <t>Existing desktop browser/manual baseline; not real iOS Safari or Android Chrome evidence.</t>
        </is>
      </c>
      <c r="J169" s="38" t="n"/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Positioning</t>
        </is>
      </c>
      <c r="C170" s="38" t="inlineStr">
        <is>
          <t>Content/Listbox</t>
        </is>
      </c>
      <c r="D170" s="38" t="inlineStr">
        <is>
          <t>listbox fit and scrolling in the manually tested desktop layout viewport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passed existing desktop browser/manual baseline; mobile device qualification not run</t>
        </is>
      </c>
      <c r="H170" s="37" t="inlineStr">
        <is>
          <t>covered</t>
        </is>
      </c>
      <c r="I170" s="38" t="inlineStr">
        <is>
          <t>Existing desktop browser/manual baseline; not real iOS Safari or Android Chrome evidence.</t>
        </is>
      </c>
      <c r="J170" s="38" t="n"/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n"/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n"/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n"/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n"/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n"/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n"/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n"/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n"/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n"/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n"/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n"/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n"/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n"/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n"/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n"/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n"/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n"/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n"/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n"/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n"/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n"/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n"/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n"/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n"/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n"/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n"/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n"/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n"/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n"/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n"/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n"/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n"/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n"/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n"/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n"/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n"/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n"/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n"/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n"/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n"/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n"/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n"/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n"/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n"/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n"/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n"/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n"/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n"/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n"/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n"/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n"/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n"/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n"/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n"/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n"/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n"/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n"/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n"/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n"/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n"/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n"/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n"/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n"/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n"/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n"/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n"/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n"/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n"/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n"/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n"/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n"/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n"/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n"/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n"/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n"/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n"/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n"/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n"/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n"/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n"/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n"/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n"/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n"/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n"/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n"/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n"/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n"/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n"/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n"/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n"/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n"/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n"/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n"/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n"/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n"/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n"/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n"/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n"/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Table playground scenario; manual-tests/table.md draft executed.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Table playground scenario; manual-tests/table.md draft executed.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Table playground scenario; manual-tests/table.md draft executed.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Table playground scenario; manual-tests/table.md draft executed.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Table playground scenario; manual-tests/table.md draft executed.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Table playground scenario; manual-tests/table.md draft executed.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Table playground scenario; manual-tests/table.md draft executed.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Table playground scenario; manual-tests/table.md draft executed.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Table playground scenario; manual-tests/table.md draft executed.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Table playground scenario; manual-tests/table.md draft executed.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Table playground scenario; manual-tests/table.md draft executed.</t>
        </is>
      </c>
      <c r="J19" s="5" t="n"/>
      <c r="K19" s="6">
        <f>IF(AND(E20="yes",F20="yes",H20="covered"),1,IF(H20="partial",0.5,0))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Table playground scenario; manual-tests/table.md draft executed.</t>
        </is>
      </c>
      <c r="J20" s="5" t="n"/>
      <c r="K20" s="6">
        <f>IF(AND(E21="yes",F21="yes",H21="covered"),1,IF(H21="partial",0.5,0))</f>
        <v/>
      </c>
    </row>
    <row r="21" ht="15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Table playground scenario; manual-tests/table.md draft executed.</t>
        </is>
      </c>
      <c r="J21" s="5" t="n"/>
      <c r="K21" s="6">
        <f>IF(AND(E22="yes",F22="yes",H22="covered"),1,IF(H22="partial",0.5,0))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Table playground scenario; manual-tests/table.md draft executed.</t>
        </is>
      </c>
      <c r="J22" s="5" t="n"/>
      <c r="K22" s="6">
        <f>IF(AND(E23="yes",F23="yes",H23="covered"),1,IF(H23="partial",0.5,0))</f>
        <v/>
      </c>
    </row>
    <row r="23" ht="15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Table playground scenario; manual-tests/table.md draft executed.</t>
        </is>
      </c>
      <c r="J23" s="5" t="n"/>
      <c r="K23" s="6">
        <f>IF(AND(E24="yes",F24="yes",H24="covered"),1,IF(H24="partial",0.5,0))</f>
        <v/>
      </c>
    </row>
    <row r="24" ht="15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Table playground scenario; manual-tests/table.md draft executed.</t>
        </is>
      </c>
      <c r="J24" s="5" t="n"/>
      <c r="K24" s="6">
        <f>IF(AND(E25="yes",F25="yes",H25="covered"),1,IF(H25="partial",0.5,0))</f>
        <v/>
      </c>
    </row>
    <row r="25" ht="15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Table playground scenario; manual-tests/table.md draft executed.</t>
        </is>
      </c>
      <c r="J25" s="5" t="n"/>
      <c r="K25" s="6">
        <f>IF(AND(E26="yes",F26="yes",H26="covered"),1,IF(H26="partial",0.5,0))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Table playground scenario; manual-tests/table.md draft executed.</t>
        </is>
      </c>
      <c r="J26" s="5" t="n"/>
      <c r="K26" s="6">
        <f>IF(AND(E27="yes",F27="yes",H27="covered"),1,IF(H27="partial",0.5,0))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Table playground scenario; manual-tests/table.md draft executed.</t>
        </is>
      </c>
      <c r="J27" s="5" t="n"/>
      <c r="K27" s="6">
        <f>IF(AND(E28="yes",F28="yes",H28="covered"),1,IF(H28="partial",0.5,0))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Body</t>
        </is>
      </c>
      <c r="D28" s="5" t="inlineStr">
        <is>
          <t>renders correct part when expected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Table playground scenario; manual-tests/table.md draft executed.</t>
        </is>
      </c>
      <c r="J28" s="5" t="n"/>
      <c r="K28" s="6">
        <f>IF(AND(E29="yes",F29="yes",H29="covered"),1,IF(H29="partial",0.5,0))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appears in documented order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Table playground scenario; manual-tests/table.md draft executed.</t>
        </is>
      </c>
      <c r="J29" s="5" t="n"/>
      <c r="K29" s="6">
        <f>IF(AND(E30="yes",F30="yes",H30="covered"),1,IF(H30="partial",0.5,0))</f>
        <v/>
      </c>
    </row>
    <row r="30" ht="15" customHeight="1" s="60">
      <c r="A30" s="4" t="n">
        <v>22</v>
      </c>
      <c r="B30" s="5" t="inlineStr">
        <is>
          <t>Identity</t>
        </is>
      </c>
      <c r="C30" s="5" t="inlineStr">
        <is>
          <t>Body</t>
        </is>
      </c>
      <c r="D30" s="5" t="inlineStr">
        <is>
          <t>default tag is visible in Anatomy/Inspector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Table playground scenario; manual-tests/table.md draft executed.</t>
        </is>
      </c>
      <c r="J30" s="5" t="n"/>
      <c r="K30" s="6">
        <f>IF(AND(E31="yes",F31="yes",H31="covered"),1,IF(H31="partial",0.5,0))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data-slot is present and correct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Table playground scenario; manual-tests/table.md draft executed.</t>
        </is>
      </c>
      <c r="J31" s="5" t="n"/>
      <c r="K31" s="6">
        <f>IF(AND(E32="yes",F32="yes",H32="covered"),1,IF(H32="partial",0.5,0))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Body</t>
        </is>
      </c>
      <c r="D32" s="5" t="inlineStr">
        <is>
          <t>non-Atom native props pass through with data-prop-check marker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Table playground scenario; manual-tests/table.md draft executed.</t>
        </is>
      </c>
      <c r="J32" s="5" t="n"/>
      <c r="K32" s="6">
        <f>IF(AND(E33="yes",F33="yes",H33="covered"),1,IF(H33="partial",0.5,0))</f>
        <v/>
      </c>
    </row>
    <row r="33" ht="15" customHeight="1" s="60">
      <c r="A33" s="4" t="n">
        <v>25</v>
      </c>
      <c r="B33" s="5" t="inlineStr">
        <is>
          <t>Refs</t>
        </is>
      </c>
      <c r="C33" s="5" t="inlineStr">
        <is>
          <t>Body</t>
        </is>
      </c>
      <c r="D33" s="5" t="inlineStr">
        <is>
          <t>consumer ref receives the rendered element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Table playground scenario; manual-tests/table.md draft executed.</t>
        </is>
      </c>
      <c r="J33" s="5" t="n"/>
      <c r="K33" s="6">
        <f>IF(AND(E34="yes",F34="yes",H34="covered"),1,IF(H34="partial",0.5,0))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Caption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Table playground scenario; manual-tests/table.md draft executed.</t>
        </is>
      </c>
      <c r="J34" s="5" t="n"/>
      <c r="K34" s="6">
        <f>IF(AND(E35="yes",F35="yes",H35="covered"),1,IF(H35="partial",0.5,0))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Table playground scenario; manual-tests/table.md draft executed.</t>
        </is>
      </c>
      <c r="J35" s="5" t="n"/>
      <c r="K35" s="6">
        <f>IF(AND(E36="yes",F36="yes",H36="covered"),1,IF(H36="partial",0.5,0))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Caption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Table playground scenario; manual-tests/table.md draft executed.</t>
        </is>
      </c>
      <c r="J36" s="5" t="n"/>
      <c r="K36" s="6">
        <f>IF(AND(E37="yes",F37="yes",H37="covered"),1,IF(H37="partial",0.5,0))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Table playground scenario; manual-tests/table.md draft executed.</t>
        </is>
      </c>
      <c r="J37" s="5" t="n"/>
      <c r="K37" s="6">
        <f>IF(AND(E38="yes",F38="yes",H38="covered"),1,IF(H38="partial",0.5,0))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Caption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Table playground scenario; manual-tests/table.md draft executed.</t>
        </is>
      </c>
      <c r="J38" s="5" t="n"/>
      <c r="K38" s="6">
        <f>IF(AND(E39="yes",F39="yes",H39="covered"),1,IF(H39="partial",0.5,0))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Caption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Table playground scenario; manual-tests/table.md draft executed.</t>
        </is>
      </c>
      <c r="J39" s="5" t="n"/>
      <c r="K39" s="6">
        <f>IF(AND(E40="yes",F40="yes",H40="covered"),1,IF(H40="partial",0.5,0))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Cell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Table playground scenario; manual-tests/table.md draft executed.</t>
        </is>
      </c>
      <c r="J40" s="5" t="n"/>
      <c r="K40" s="6">
        <f>IF(AND(E41="yes",F41="yes",H41="covered"),1,IF(H41="partial",0.5,0))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Table playground scenario; manual-tests/table.md draft executed.</t>
        </is>
      </c>
      <c r="J41" s="5" t="n"/>
      <c r="K41" s="6">
        <f>IF(AND(E42="yes",F42="yes",H42="covered"),1,IF(H42="partial",0.5,0))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Cell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Table playground scenario; manual-tests/table.md draft executed.</t>
        </is>
      </c>
      <c r="J42" s="5" t="n"/>
      <c r="K42" s="6">
        <f>IF(AND(E43="yes",F43="yes",H43="covered"),1,IF(H43="partial",0.5,0))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Table playground scenario; manual-tests/table.md draft executed.</t>
        </is>
      </c>
      <c r="J43" s="5" t="n"/>
      <c r="K43" s="6">
        <f>IF(AND(E44="yes",F44="yes",H44="covered"),1,IF(H44="partial",0.5,0))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Cell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Table playground scenario; manual-tests/table.md draft executed.</t>
        </is>
      </c>
      <c r="J44" s="5" t="n"/>
      <c r="K44" s="6">
        <f>IF(AND(E45="yes",F45="yes",H45="covered"),1,IF(H45="partial",0.5,0))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Cell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Table playground scenario; manual-tests/table.md draft executed.</t>
        </is>
      </c>
      <c r="J45" s="5" t="n"/>
      <c r="K45" s="6">
        <f>IF(AND(E46="yes",F46="yes",H46="covered"),1,IF(H46="partial",0.5,0))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Footer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Table playground scenario; manual-tests/table.md draft executed.</t>
        </is>
      </c>
      <c r="J46" s="5" t="n"/>
      <c r="K46" s="6">
        <f>IF(AND(E47="yes",F47="yes",H47="covered"),1,IF(H47="partial",0.5,0))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Table playground scenario; manual-tests/table.md draft executed.</t>
        </is>
      </c>
      <c r="J47" s="5" t="n"/>
      <c r="K47" s="6">
        <f>IF(AND(E48="yes",F48="yes",H48="covered"),1,IF(H48="partial",0.5,0))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Footer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Table playground scenario; manual-tests/table.md draft executed.</t>
        </is>
      </c>
      <c r="J48" s="5" t="n"/>
      <c r="K48" s="6">
        <f>IF(AND(E49="yes",F49="yes",H49="covered"),1,IF(H49="partial",0.5,0))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Table playground scenario; manual-tests/table.md draft executed.</t>
        </is>
      </c>
      <c r="J49" s="5" t="n"/>
      <c r="K49" s="6">
        <f>IF(AND(E50="yes",F50="yes",H50="covered"),1,IF(H50="partial",0.5,0))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Footer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Table playground scenario; manual-tests/table.md draft executed.</t>
        </is>
      </c>
      <c r="J50" s="5" t="n"/>
      <c r="K50" s="6">
        <f>IF(AND(E51="yes",F51="yes",H51="covered"),1,IF(H51="partial",0.5,0))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Footer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Table playground scenario; manual-tests/table.md draft executed.</t>
        </is>
      </c>
      <c r="J51" s="5" t="n"/>
      <c r="K51" s="6">
        <f>IF(AND(E52="yes",F52="yes",H52="covered"),1,IF(H52="partial",0.5,0))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Head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Table playground scenario; manual-tests/table.md draft executed.</t>
        </is>
      </c>
      <c r="J52" s="5" t="n"/>
      <c r="K52" s="6">
        <f>IF(AND(E53="yes",F53="yes",H53="covered"),1,IF(H53="partial",0.5,0))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Table playground scenario; manual-tests/table.md draft executed.</t>
        </is>
      </c>
      <c r="J53" s="5" t="n"/>
      <c r="K53" s="6">
        <f>IF(AND(E54="yes",F54="yes",H54="covered"),1,IF(H54="partial",0.5,0))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Head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Table playground scenario; manual-tests/table.md draft executed.</t>
        </is>
      </c>
      <c r="J54" s="5" t="n"/>
      <c r="K54" s="6">
        <f>IF(AND(E55="yes",F55="yes",H55="covered"),1,IF(H55="partial",0.5,0))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Table playground scenario; manual-tests/table.md draft executed.</t>
        </is>
      </c>
      <c r="J55" s="5" t="n"/>
      <c r="K55" s="6">
        <f>IF(AND(E56="yes",F56="yes",H56="covered"),1,IF(H56="partial",0.5,0))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Head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Table playground scenario; manual-tests/table.md draft executed.</t>
        </is>
      </c>
      <c r="J56" s="5" t="n"/>
      <c r="K56" s="6">
        <f>IF(AND(E57="yes",F57="yes",H57="covered"),1,IF(H57="partial",0.5,0))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Head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Table playground scenario; manual-tests/table.md draft executed.</t>
        </is>
      </c>
      <c r="J57" s="5" t="n"/>
      <c r="K57" s="6">
        <f>IF(AND(E58="yes",F58="yes",H58="covered"),1,IF(H58="partial",0.5,0))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Head</t>
        </is>
      </c>
      <c r="D58" s="5" t="inlineStr">
        <is>
          <t>scope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Table playground scenario; manual-tests/table.md draft executed.</t>
        </is>
      </c>
      <c r="J58" s="5" t="n"/>
      <c r="K58" s="6">
        <f>IF(AND(E59="yes",F59="yes",H59="covered"),1,IF(H59="partial",0.5,0))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sortDirection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Table playground scenario; manual-tests/table.md draft executed.</t>
        </is>
      </c>
      <c r="J59" s="5" t="n"/>
      <c r="K59" s="6">
        <f>IF(AND(E60="yes",F60="yes",H60="covered"),1,IF(H60="partial",0.5,0))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Head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Table playground scenario; manual-tests/table.md draft executed.</t>
        </is>
      </c>
      <c r="J60" s="5" t="n"/>
      <c r="K60" s="6">
        <f>IF(AND(E61="yes",F61="yes",H61="covered"),1,IF(H61="partial",0.5,0))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Table playground scenario; manual-tests/table.md draft executed.</t>
        </is>
      </c>
      <c r="J61" s="5" t="n"/>
      <c r="K61" s="6">
        <f>IF(AND(E62="yes",F62="yes",H62="covered"),1,IF(H62="partial",0.5,0))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Head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Table playground scenario; manual-tests/table.md draft executed.</t>
        </is>
      </c>
      <c r="J62" s="5" t="n"/>
      <c r="K62" s="6">
        <f>IF(AND(E63="yes",F63="yes",H63="covered"),1,IF(H63="partial",0.5,0))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[data-sort]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Table playground scenario; manual-tests/table.md draft executed.</t>
        </is>
      </c>
      <c r="J63" s="5" t="n"/>
      <c r="K63" s="6">
        <f>IF(AND(E64="yes",F64="yes",H64="covered"),1,IF(H64="partial",0.5,0))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Header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Table playground scenario; manual-tests/table.md draft executed.</t>
        </is>
      </c>
      <c r="J64" s="5" t="n"/>
      <c r="K64" s="6">
        <f>IF(AND(E65="yes",F65="yes",H65="covered"),1,IF(H65="partial",0.5,0))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Table playground scenario; manual-tests/table.md draft executed.</t>
        </is>
      </c>
      <c r="J65" s="5" t="n"/>
      <c r="K65" s="6">
        <f>IF(AND(E66="yes",F66="yes",H66="covered"),1,IF(H66="partial",0.5,0))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Header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Table playground scenario; manual-tests/table.md draft executed.</t>
        </is>
      </c>
      <c r="J66" s="5" t="n"/>
      <c r="K66" s="6">
        <f>IF(AND(E67="yes",F67="yes",H67="covered"),1,IF(H67="partial",0.5,0))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Table playground scenario; manual-tests/table.md draft executed.</t>
        </is>
      </c>
      <c r="J67" s="5" t="n"/>
      <c r="K67" s="6">
        <f>IF(AND(E68="yes",F68="yes",H68="covered"),1,IF(H68="partial",0.5,0))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Header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Table playground scenario; manual-tests/table.md draft executed.</t>
        </is>
      </c>
      <c r="J68" s="5" t="n"/>
      <c r="K68" s="6">
        <f>IF(AND(E69="yes",F69="yes",H69="covered"),1,IF(H69="partial",0.5,0))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Header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Table playground scenario; manual-tests/table.md draft executed.</t>
        </is>
      </c>
      <c r="J69" s="5" t="n"/>
      <c r="K69" s="6">
        <f>IF(AND(E70="yes",F70="yes",H70="covered"),1,IF(H70="partial",0.5,0))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Row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Table playground scenario; manual-tests/table.md draft executed.</t>
        </is>
      </c>
      <c r="J70" s="5" t="n"/>
      <c r="K70" s="6">
        <f>IF(AND(E71="yes",F71="yes",H71="covered"),1,IF(H71="partial",0.5,0))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Table playground scenario; manual-tests/table.md draft executed.</t>
        </is>
      </c>
      <c r="J71" s="5" t="n"/>
      <c r="K71" s="6">
        <f>IF(AND(E72="yes",F72="yes",H72="covered"),1,IF(H72="partial",0.5,0))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Row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Table playground scenario; manual-tests/table.md draft executed.</t>
        </is>
      </c>
      <c r="J72" s="5" t="n"/>
      <c r="K72" s="6">
        <f>IF(AND(E73="yes",F73="yes",H73="covered"),1,IF(H73="partial",0.5,0))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Table playground scenario; manual-tests/table.md draft executed.</t>
        </is>
      </c>
      <c r="J73" s="5" t="n"/>
      <c r="K73" s="6">
        <f>IF(AND(E74="yes",F74="yes",H74="covered"),1,IF(H74="partial",0.5,0))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Row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Table playground scenario; manual-tests/table.md draft executed.</t>
        </is>
      </c>
      <c r="J74" s="5" t="n"/>
      <c r="K74" s="6">
        <f>IF(AND(E75="yes",F75="yes",H75="covered"),1,IF(H75="partial",0.5,0))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Row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Table playground scenario; manual-tests/table.md draft executed.</t>
        </is>
      </c>
      <c r="J75" s="5" t="n"/>
      <c r="K75" s="6">
        <f>IF(AND(E76="yes",F76="yes",H76="covered"),1,IF(H76="partial",0.5,0))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Table playground scenario; manual-tests/table.md draft executed.</t>
        </is>
      </c>
      <c r="J76" s="5" t="n"/>
      <c r="K76" s="6">
        <f>IF(AND(E77="yes",F77="yes",H77="covered"),1,IF(H77="partial",0.5,0))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aria-labelledby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Table playground scenario; manual-tests/table.md draft executed.</t>
        </is>
      </c>
      <c r="J77" s="5" t="n"/>
      <c r="K77" s="6">
        <f>IF(AND(E78="yes",F78="yes",H78="covered"),1,IF(H78="partial",0.5,0))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aria-sort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Table playground scenario; manual-tests/table.md draft executed.</t>
        </is>
      </c>
      <c r="J78" s="5" t="n"/>
      <c r="K78" s="6">
        <f>IF(AND(E79="yes",F79="yes",H79="covered"),1,IF(H79="partial",0.5,0))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Table playground scenario; manual-tests/table.md draft executed.</t>
        </is>
      </c>
      <c r="J79" s="5" t="n"/>
      <c r="K79" s="6">
        <f>IF(AND(E80="yes",F80="yes",H80="covered"),1,IF(H80="partial",0.5,0))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data-sort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Table playground scenario; manual-tests/table.md draft executed.</t>
        </is>
      </c>
      <c r="J80" s="5" t="n"/>
      <c r="K80" s="6">
        <f>IF(AND(E81="yes",F81="yes",H81="covered"),1,IF(H81="partial",0.5,0))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Table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Table playground scenario; manual-tests/table.md draft executed.</t>
        </is>
      </c>
      <c r="J81" s="5" t="n"/>
      <c r="K81" s="6">
        <f>IF(AND(E82="yes",F82="yes",H82="covered"),1,IF(H82="partial",0.5,0))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Table playground scenario; manual-tests/table.md draft executed.</t>
        </is>
      </c>
      <c r="J82" s="5" t="n"/>
      <c r="K82" s="6">
        <f>IF(AND(E83="yes",F83="yes",H83="covered"),1,IF(H83="partial",0.5,0))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Table playground scenario; manual-tests/table.md draft executed.</t>
        </is>
      </c>
      <c r="J83" s="5" t="n"/>
      <c r="K83" s="6">
        <f>IF(AND(E85="yes",F85="yes",H85="covered"),1,IF(H85="partial",0.5,0))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Table playground scenario; manual-tests/table.md draft executed.</t>
        </is>
      </c>
      <c r="J84" s="5" t="n"/>
      <c r="K84" s="6">
        <f>IF(AND(E86="yes",F86="yes",H86="covered"),1,IF(H86="partial",0.5,0))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Caption</t>
        </is>
      </c>
      <c r="D85" s="5" t="inlineStr">
        <is>
          <t>asChild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Table playground scenario; manual-tests/table.md draft executed.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Caption</t>
        </is>
      </c>
      <c r="D86" s="5" t="inlineStr">
        <is>
          <t>render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Table playground scenario; manual-tests/table.md draft executed.</t>
        </is>
      </c>
      <c r="J86" s="5" t="n"/>
      <c r="K86" s="6">
        <f>IF(AND(E86="yes",F86="yes",H86="covered"),1,IF(H86="partial",0.5,0))</f>
        <v/>
      </c>
    </row>
    <row r="87">
      <c r="A87" s="4" t="n">
        <v>79</v>
      </c>
      <c r="B87" s="5" t="inlineStr">
        <is>
          <t>Composition</t>
        </is>
      </c>
      <c r="C87" s="5" t="inlineStr">
        <is>
          <t>Header</t>
        </is>
      </c>
      <c r="D87" s="5" t="inlineStr">
        <is>
          <t>asChild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Table playground scenario; manual-tests/table.md draft executed.</t>
        </is>
      </c>
      <c r="J87" s="5" t="n"/>
      <c r="K87" s="6">
        <f>IF(AND(E87="yes",F87="yes",H87="covered"),1,IF(H87="partial",0.5,0))</f>
        <v/>
      </c>
    </row>
    <row r="88">
      <c r="A88" s="4" t="n">
        <v>80</v>
      </c>
      <c r="B88" s="5" t="inlineStr">
        <is>
          <t>Composition</t>
        </is>
      </c>
      <c r="C88" s="5" t="inlineStr">
        <is>
          <t>Header</t>
        </is>
      </c>
      <c r="D88" s="5" t="inlineStr">
        <is>
          <t>render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Table playground scenario; manual-tests/table.md draft executed.</t>
        </is>
      </c>
      <c r="J88" s="5" t="n"/>
      <c r="K88" s="6">
        <f>IF(AND(E88="yes",F88="yes",H88="covered"),1,IF(H88="partial",0.5,0))</f>
        <v/>
      </c>
    </row>
    <row r="89">
      <c r="A89" s="4" t="n">
        <v>81</v>
      </c>
      <c r="B89" s="5" t="inlineStr">
        <is>
          <t>Composition</t>
        </is>
      </c>
      <c r="C89" s="5" t="inlineStr">
        <is>
          <t>Body</t>
        </is>
      </c>
      <c r="D89" s="5" t="inlineStr">
        <is>
          <t>asChild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Table playground scenario; manual-tests/table.md draft executed.</t>
        </is>
      </c>
      <c r="J89" s="5" t="n"/>
      <c r="K89" s="6">
        <f>IF(AND(E89="yes",F89="yes",H89="covered"),1,IF(H89="partial",0.5,0))</f>
        <v/>
      </c>
    </row>
    <row r="90">
      <c r="A90" s="4" t="n">
        <v>82</v>
      </c>
      <c r="B90" s="5" t="inlineStr">
        <is>
          <t>Composition</t>
        </is>
      </c>
      <c r="C90" s="5" t="inlineStr">
        <is>
          <t>Body</t>
        </is>
      </c>
      <c r="D90" s="5" t="inlineStr">
        <is>
          <t>render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Table playground scenario; manual-tests/table.md draft executed.</t>
        </is>
      </c>
      <c r="J90" s="5" t="n"/>
      <c r="K90" s="6">
        <f>IF(AND(E90="yes",F90="yes",H90="covered"),1,IF(H90="partial",0.5,0))</f>
        <v/>
      </c>
    </row>
    <row r="91">
      <c r="A91" s="4" t="n">
        <v>83</v>
      </c>
      <c r="B91" s="5" t="inlineStr">
        <is>
          <t>Composition</t>
        </is>
      </c>
      <c r="C91" s="5" t="inlineStr">
        <is>
          <t>Footer</t>
        </is>
      </c>
      <c r="D91" s="5" t="inlineStr">
        <is>
          <t>asChild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Table playground scenario; manual-tests/table.md draft executed.</t>
        </is>
      </c>
      <c r="J91" s="5" t="n"/>
      <c r="K91" s="6">
        <f>IF(AND(E91="yes",F91="yes",H91="covered"),1,IF(H91="partial",0.5,0))</f>
        <v/>
      </c>
    </row>
    <row r="92">
      <c r="A92" s="4" t="n">
        <v>84</v>
      </c>
      <c r="B92" s="5" t="inlineStr">
        <is>
          <t>Composition</t>
        </is>
      </c>
      <c r="C92" s="5" t="inlineStr">
        <is>
          <t>Footer</t>
        </is>
      </c>
      <c r="D92" s="5" t="inlineStr">
        <is>
          <t>render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Table playground scenario; manual-tests/table.md draft executed.</t>
        </is>
      </c>
      <c r="J92" s="5" t="n"/>
      <c r="K92" s="6">
        <f>IF(AND(E92="yes",F92="yes",H92="covered"),1,IF(H92="partial",0.5,0))</f>
        <v/>
      </c>
    </row>
    <row r="93">
      <c r="A93" s="4" t="n">
        <v>85</v>
      </c>
      <c r="B93" s="5" t="inlineStr">
        <is>
          <t>Composition</t>
        </is>
      </c>
      <c r="C93" s="5" t="inlineStr">
        <is>
          <t>Row</t>
        </is>
      </c>
      <c r="D93" s="5" t="inlineStr">
        <is>
          <t>asChild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Table playground scenario; manual-tests/table.md draft executed.</t>
        </is>
      </c>
      <c r="J93" s="5" t="n"/>
      <c r="K93" s="6">
        <f>IF(AND(E93="yes",F93="yes",H93="covered"),1,IF(H93="partial",0.5,0))</f>
        <v/>
      </c>
    </row>
    <row r="94">
      <c r="A94" s="4" t="n">
        <v>86</v>
      </c>
      <c r="B94" s="5" t="inlineStr">
        <is>
          <t>Composition</t>
        </is>
      </c>
      <c r="C94" s="5" t="inlineStr">
        <is>
          <t>Row</t>
        </is>
      </c>
      <c r="D94" s="5" t="inlineStr">
        <is>
          <t>render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Table playground scenario; manual-tests/table.md draft executed.</t>
        </is>
      </c>
      <c r="J94" s="5" t="n"/>
      <c r="K94" s="6">
        <f>IF(AND(E94="yes",F94="yes",H94="covered"),1,IF(H94="partial",0.5,0))</f>
        <v/>
      </c>
    </row>
    <row r="95">
      <c r="A95" s="4" t="n">
        <v>87</v>
      </c>
      <c r="B95" s="5" t="inlineStr">
        <is>
          <t>Composition</t>
        </is>
      </c>
      <c r="C95" s="5" t="inlineStr">
        <is>
          <t>Cell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Table playground scenario; manual-tests/table.md draft executed.</t>
        </is>
      </c>
      <c r="J95" s="5" t="n"/>
      <c r="K95" s="6">
        <f>IF(AND(E95="yes",F95="yes",H95="covered"),1,IF(H95="partial",0.5,0))</f>
        <v/>
      </c>
    </row>
    <row r="96">
      <c r="A96" s="4" t="n">
        <v>88</v>
      </c>
      <c r="B96" s="5" t="inlineStr">
        <is>
          <t>Composition</t>
        </is>
      </c>
      <c r="C96" s="5" t="inlineStr">
        <is>
          <t>Cell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Table playground scenario; manual-tests/table.md draft executed.</t>
        </is>
      </c>
      <c r="J96" s="5" t="n"/>
      <c r="K96" s="6">
        <f>IF(AND(E96="yes",F96="yes",H96="covered"),1,IF(H96="partial",0.5,0))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manual-tests/tabs.md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manual-tests/tabs.md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manual-tests/tabs.md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manual-tests/tabs.md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manual-tests/tabs.md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manual-tests/tabs.md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manual-tests/tabs.md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manual-tests/tabs.md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manual-tests/tabs.md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manual-tests/tabs.md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manual-tests/tabs.md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manual-tests/tabs.md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manual-tests/tabs.md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manual-tests/tabs.md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manual-tests/tabs.md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manual-tests/tabs.md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manual-tests/tabs.md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manual-tests/tabs.md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manual-tests/tabs.md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manual-tests/tabs.md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manual-tests/tabs.md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manual-tests/tabs.md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manual-tests/tabs.md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manual-tests/tabs.md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manual-tests/tabs.md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manual-tests/tabs.md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manual-tests/tabs.md</t>
        </is>
      </c>
      <c r="J35" s="5" t="inlineStr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manual-tests/tabs.md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manual-tests/tabs.md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manual-tests/tabs.md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manual-tests/tabs.md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manual-tests/tabs.md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manual-tests/tabs.md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manual-tests/tabs.md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manual-tests/tabs.md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manual-tests/tabs.md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manual-tests/tabs.md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manual-tests/tabs.md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manual-tests/tabs.md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manual-tests/tabs.md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manual-tests/tabs.md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manual-tests/tabs.md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manual-tests/tabs.md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manual-tests/tabs.md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manual-tests/tabs.md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manual-tests/tabs.md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manual-tests/tabs.md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manual-tests/tabs.md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manual-tests/tabs.md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manual-tests/tabs.md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manual-tests/tabs.md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manual-tests/tabs.md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manual-tests/tabs.md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manual-tests/tabs.md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manual-tests/tabs.md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manual-tests/tabs.md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manual-tests/tabs.md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manual-tests/tabs.md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manual-tests/tabs.md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manual-tests/tabs.md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manual-tests/tabs.md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manual-tests/tabs.md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Indicator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manual-tests/tabs.md</t>
        </is>
      </c>
      <c r="J71" s="5" t="inlineStr"/>
      <c r="K71" s="6">
        <f>IF(AND(E73="yes",F73="yes",H73="covered"),1,IF(H73="partial",0.5,0))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aria-controls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manual-tests/tabs.md</t>
        </is>
      </c>
      <c r="J72" s="5" t="inlineStr"/>
      <c r="K72" s="6">
        <f>IF(AND(E75="yes",F75="yes",H75="covered"),1,IF(H75="partial",0.5,0))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manual-tests/tabs.md</t>
        </is>
      </c>
      <c r="J73" s="5" t="inlineStr"/>
      <c r="K73" s="6">
        <f>IF(AND(E76="yes",F76="yes",H76="covered"),1,IF(H76="partial",0.5,0))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manual-tests/tabs.md</t>
        </is>
      </c>
      <c r="J74" s="5" t="inlineStr"/>
      <c r="K74" s="6">
        <f>IF(AND(E77="yes",F77="yes",H77="covered"),1,IF(H77="partial",0.5,0))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manual-tests/tabs.md</t>
        </is>
      </c>
      <c r="J75" s="5" t="inlineStr"/>
      <c r="K75" s="6">
        <f>IF(AND(E78="yes",F78="yes",H78="covered"),1,IF(H78="partial",0.5,0))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aria-orientation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manual-tests/tabs.md</t>
        </is>
      </c>
      <c r="J76" s="5" t="inlineStr"/>
      <c r="K76" s="6">
        <f>IF(AND(E79="yes",F79="yes",H79="covered"),1,IF(H79="partial",0.5,0))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aria-selected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manual-tests/tabs.md</t>
        </is>
      </c>
      <c r="J77" s="5" t="inlineStr"/>
      <c r="K77" s="6">
        <f>IF(AND(E80="yes",F80="yes",H80="covered"),1,IF(H80="partial",0.5,0))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manual-tests/tabs.md</t>
        </is>
      </c>
      <c r="J78" s="5" t="inlineStr"/>
      <c r="K78" s="6">
        <f>IF(AND(E81="yes",F81="yes",H81="covered"),1,IF(H81="partial",0.5,0))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manual-tests/tabs.md</t>
        </is>
      </c>
      <c r="J79" s="5" t="inlineStr"/>
      <c r="K79" s="6">
        <f>IF(AND(E82="yes",F82="yes",H82="covered"),1,IF(H82="partial",0.5,0))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manual-tests/tabs.md</t>
        </is>
      </c>
      <c r="J80" s="5" t="inlineStr"/>
      <c r="K80" s="6">
        <f>IF(AND(E83="yes",F83="yes",H83="covered"),1,IF(H83="partial",0.5,0))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manual-tests/tabs.md</t>
        </is>
      </c>
      <c r="J81" s="5" t="inlineStr"/>
      <c r="K81" s="6">
        <f>IF(AND(E84="yes",F84="yes",H84="covered"),1,IF(H84="partial",0.5,0))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data-value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manual-tests/tabs.md</t>
        </is>
      </c>
      <c r="J82" s="5" t="inlineStr"/>
      <c r="K82" s="6">
        <f>IF(AND(E85="yes",F85="yes",H85="covered"),1,IF(H85="partial",0.5,0))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Tabs</t>
        </is>
      </c>
      <c r="D83" s="5" t="inlineStr">
        <is>
          <t>asChild preserves child content without double nesting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manual-tests/tabs.md</t>
        </is>
      </c>
      <c r="J83" s="5" t="inlineStr"/>
      <c r="K83" s="6">
        <f>IF(AND(E86="yes",F86="yes",H86="covered"),1,IF(H86="partial",0.5,0))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Tabs</t>
        </is>
      </c>
      <c r="D84" s="5" t="inlineStr">
        <is>
          <t>asChild merges Atom props and consumer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manual-tests/tabs.md</t>
        </is>
      </c>
      <c r="J84" s="5" t="inlineStr"/>
      <c r="K84" s="6">
        <f>IF(AND(E87="yes",F87="yes",H87="covered"),1,IF(H87="partial",0.5,0))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Tabs</t>
        </is>
      </c>
      <c r="D85" s="5" t="inlineStr">
        <is>
          <t>asChild lets preventDefault block Atom behavior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manual-tests/tabs.md</t>
        </is>
      </c>
      <c r="J85" s="5" t="inlineStr"/>
      <c r="K85" s="6">
        <f>IF(AND(E88="yes",F88="yes",H88="covered"),1,IF(H88="partial",0.5,0))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render prop renders custom element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manual-tests/tabs.md</t>
        </is>
      </c>
      <c r="J86" s="5" t="inlineStr"/>
      <c r="K86" s="6">
        <f>IF(AND(E89="yes",F89="yes",H89="covered"),1,IF(H89="partial",0.5,0))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render prop preserves refs and behavior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manual-tests/tabs.md</t>
        </is>
      </c>
      <c r="J87" s="5" t="inlineStr"/>
      <c r="K87" s="6">
        <f>IF(AND(E90="yes",F90="yes",H90="covered"),1,IF(H90="partial",0.5,0))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controlled state path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manual-tests/tabs.md</t>
        </is>
      </c>
      <c r="J88" s="5" t="inlineStr"/>
      <c r="K88" s="6">
        <f>IF(AND(E91="yes",F91="yes",H91="covered"),1,IF(H91="partial",0.5,0))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uncontrolled default state path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manual-tests/tabs.md</t>
        </is>
      </c>
      <c r="J89" s="5" t="inlineStr"/>
      <c r="K89" s="6">
        <f>IF(AND(E92="yes",F92="yes",H92="covered"),1,IF(H92="partial",0.5,0))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Root</t>
        </is>
      </c>
      <c r="D90" s="5" t="inlineStr">
        <is>
          <t>state change callback fires once with correct value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manual-tests/tabs.md</t>
        </is>
      </c>
      <c r="J90" s="5" t="inlineStr"/>
      <c r="K90" s="6">
        <f>IF(AND(E93="yes",F93="yes",H93="covered"),1,IF(H93="partial",0.5,0))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mouse click or pointer activation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manual-tests/tabs.md</t>
        </is>
      </c>
      <c r="J91" s="5" t="inlineStr"/>
      <c r="K91" s="6">
        <f>IF(AND(E94="yes",F94="yes",H94="covered"),1,IF(H94="partial",0.5,0))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Enter key activation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manual-tests/tabs.md</t>
        </is>
      </c>
      <c r="J92" s="5" t="inlineStr"/>
      <c r="K92" s="6">
        <f>IF(AND(E95="yes",F95="yes",H95="covered"),1,IF(H95="partial",0.5,0))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Space key activation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manual-tests/tabs.md</t>
        </is>
      </c>
      <c r="J93" s="5" t="inlineStr"/>
      <c r="K93" s="6">
        <f>IF(AND(E96="yes",F96="yes",H96="covered"),1,IF(H96="partial",0.5,0))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disabled trigger blocks pointer and keyboard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manual-tests/tabs.md</t>
        </is>
      </c>
      <c r="J94" s="5" t="inlineStr"/>
      <c r="K94" s="6">
        <f>IF(AND(E97="yes",F97="yes",H97="covered"),1,IF(H97="partial",0.5,0))</f>
        <v/>
      </c>
    </row>
    <row r="95" ht="15" customHeight="1" s="60">
      <c r="A95" s="4" t="n">
        <v>87</v>
      </c>
      <c r="B95" s="5" t="inlineStr">
        <is>
          <t>Focus</t>
        </is>
      </c>
      <c r="C95" s="5" t="inlineStr">
        <is>
          <t>Trigger</t>
        </is>
      </c>
      <c r="D95" s="5" t="inlineStr">
        <is>
          <t>roving focus and tab stop state are visible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manual-tests/tabs.md</t>
        </is>
      </c>
      <c r="J95" s="5" t="inlineStr"/>
      <c r="K95" s="6">
        <f>IF(AND(E98="yes",F98="yes",H98="covered"),1,IF(H98="partial",0.5,0))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Tabs</t>
        </is>
      </c>
      <c r="D96" s="5" t="inlineStr">
        <is>
          <t>ArrowLeft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manual-tests/tabs.md</t>
        </is>
      </c>
      <c r="J96" s="5" t="inlineStr"/>
      <c r="K96" s="6">
        <f>IF(AND(E99="yes",F99="yes",H99="covered"),1,IF(H99="partial",0.5,0))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Tabs</t>
        </is>
      </c>
      <c r="D97" s="5" t="inlineStr">
        <is>
          <t>End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manual-tests/tabs.md</t>
        </is>
      </c>
      <c r="J97" s="5" t="inlineStr"/>
      <c r="K97" s="6">
        <f>IF(AND(E100="yes",F100="yes",H100="covered"),1,IF(H100="partial",0.5,0))</f>
        <v/>
      </c>
    </row>
    <row r="98" ht="15" customHeight="1" s="60">
      <c r="A98" s="4" t="n">
        <v>90</v>
      </c>
      <c r="B98" s="5" t="inlineStr">
        <is>
          <t>Keyboard</t>
        </is>
      </c>
      <c r="C98" s="5" t="inlineStr">
        <is>
          <t>Tabs</t>
        </is>
      </c>
      <c r="D98" s="5" t="inlineStr">
        <is>
          <t>Enter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manual-tests/tabs.md</t>
        </is>
      </c>
      <c r="J98" s="5" t="inlineStr"/>
      <c r="K98" s="6">
        <f>IF(AND(E101="yes",F101="yes",H101="covered"),1,IF(H101="partial",0.5,0))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>Home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manual-tests/tabs.md</t>
        </is>
      </c>
      <c r="J99" s="5" t="inlineStr"/>
      <c r="K99" s="6">
        <f>IF(AND(E102="yes",F102="yes",H102="covered"),1,IF(H102="partial",0.5,0))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Arrow key navigation follows documented orientation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manual-tests/tabs.md</t>
        </is>
      </c>
      <c r="J100" s="5" t="inlineStr"/>
      <c r="K100" s="6">
        <f>IF(AND(E103="yes",F103="yes",H103="covered"),1,IF(H103="partial",0.5,0))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Home and End navigation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manual-tests/tabs.md</t>
        </is>
      </c>
      <c r="J101" s="5" t="inlineStr"/>
      <c r="K101" s="6">
        <f>IF(AND(E104="yes",F104="yes",H104="covered"),1,IF(H104="partial",0.5,0))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disabled items are skipped or exposed according to pattern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manual-tests/tabs.md</t>
        </is>
      </c>
      <c r="J102" s="5" t="inlineStr"/>
      <c r="K102" s="6">
        <f>IF(AND(E105="yes",F105="yes",H105="covered"),1,IF(H105="partial",0.5,0))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Tabs</t>
        </is>
      </c>
      <c r="D103" s="5" t="inlineStr">
        <is>
          <t>roving focus or active descendant state is visible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manual-tests/tabs.md</t>
        </is>
      </c>
      <c r="J103" s="5" t="inlineStr"/>
      <c r="K103" s="6">
        <f>IF(AND(E107="yes",F107="yes",H107="covered"),1,IF(H107="partial",0.5,0))</f>
        <v/>
      </c>
    </row>
    <row r="104" ht="15" customHeight="1" s="60">
      <c r="A104" s="4" t="n">
        <v>96</v>
      </c>
      <c r="B104" s="5" t="inlineStr">
        <is>
          <t>Direction</t>
        </is>
      </c>
      <c r="C104" s="5" t="inlineStr">
        <is>
          <t>List</t>
        </is>
      </c>
      <c r="D104" s="5" t="inlineStr">
        <is>
          <t>reads Direction.Provider context for horizontal keyboard navigation</t>
        </is>
      </c>
      <c r="E104" s="10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10" t="inlineStr">
        <is>
          <t>covered</t>
        </is>
      </c>
      <c r="I104" s="5" t="inlineStr">
        <is>
          <t>manual-tests/tabs.md</t>
        </is>
      </c>
      <c r="J104" s="5" t="inlineStr"/>
      <c r="K104" s="6">
        <f>IF(AND(E108="yes",F108="yes",H108="covered"),1,IF(H108="partial",0.5,0))</f>
        <v/>
      </c>
    </row>
    <row r="105" ht="15" customHeight="1" s="60">
      <c r="A105" s="4" t="n">
        <v>97</v>
      </c>
      <c r="B105" s="5" t="inlineStr">
        <is>
          <t>Direction</t>
        </is>
      </c>
      <c r="C105" s="5" t="inlineStr">
        <is>
          <t>List</t>
        </is>
      </c>
      <c r="D105" s="5" t="inlineStr">
        <is>
          <t>RTL mirrors horizontal ArrowLeft and ArrowRight navigation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10" t="inlineStr">
        <is>
          <t>covered</t>
        </is>
      </c>
      <c r="I105" s="5" t="inlineStr">
        <is>
          <t>manual-tests/tabs.md</t>
        </is>
      </c>
      <c r="J105" s="5" t="inlineStr"/>
      <c r="K105" s="6">
        <f>IF(AND(E109="yes",F109="yes",H109="covered"),1,IF(H109="partial",0.5,0))</f>
        <v/>
      </c>
    </row>
    <row r="106" ht="30" customHeight="1" s="60">
      <c r="A106" s="4" t="n">
        <v>98</v>
      </c>
      <c r="B106" s="5" t="inlineStr">
        <is>
          <t>Playground</t>
        </is>
      </c>
      <c r="C106" s="5" t="inlineStr">
        <is>
          <t>Direction controls</t>
        </is>
      </c>
      <c r="D106" s="5" t="inlineStr">
        <is>
          <t>scenario exposes provider direction controls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10" t="inlineStr">
        <is>
          <t>covered</t>
        </is>
      </c>
      <c r="I106" s="5" t="inlineStr">
        <is>
          <t>manual-tests/tabs.md</t>
        </is>
      </c>
      <c r="J106" s="5" t="inlineStr"/>
      <c r="K106" s="6">
        <f>IF(AND(E110="yes",F110="yes",H110="covered"),1,IF(H110="partial",0.5,0))</f>
        <v/>
      </c>
    </row>
    <row r="107" ht="30" customHeight="1" s="60"/>
    <row r="108" ht="30" customHeight="1" s="60"/>
    <row r="109" ht="30" customHeight="1" s="60"/>
    <row r="110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n"/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n"/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n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n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n"/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n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n"/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n"/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n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n"/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n"/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n"/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n"/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n"/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n"/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n"/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n"/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n"/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n"/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n"/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n"/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n"/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n"/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n"/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n"/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n"/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n"/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n"/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n"/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n"/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n"/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n"/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n"/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n"/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n"/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n"/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n"/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n"/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n"/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n"/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n"/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n"/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n"/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n"/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n"/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n"/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n"/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n"/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n"/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n"/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n"/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n"/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n"/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n"/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n"/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n"/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n"/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n"/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n"/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n"/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n"/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n"/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n"/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n"/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n"/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n"/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n"/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n"/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n"/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n"/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n"/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n"/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n"/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n"/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n"/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n"/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n"/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n"/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n"/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n"/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n"/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n"/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n"/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n"/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n"/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n"/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n"/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n"/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n"/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n"/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n"/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n"/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n"/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n"/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n"/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n"/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n"/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n"/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n"/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n"/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n"/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Draft Manual Test Protocol manual-tests/toolbar.md passed in browser.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Draft Manual Test Protocol manual-tests/toolbar.md passed in browser.</t>
        </is>
      </c>
      <c r="J10" s="5" t="n"/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Draft Manual Test Protocol manual-tests/toolbar.md passed in browser.</t>
        </is>
      </c>
      <c r="J11" s="5" t="n"/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Draft Manual Test Protocol manual-tests/toolbar.md passed in browser.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Draft Manual Test Protocol manual-tests/toolbar.md passed in browser.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Draft Manual Test Protocol manual-tests/toolbar.md passed in browser.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Draft Manual Test Protocol manual-tests/toolbar.md passed in browser.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Draft Manual Test Protocol manual-tests/toolbar.md passed in browser.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Draft Manual Test Protocol manual-tests/toolbar.md passed in browser.</t>
        </is>
      </c>
      <c r="J17" s="5" t="n"/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Draft Manual Test Protocol manual-tests/toolbar.md passed in browser.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Draft Manual Test Protocol manual-tests/toolbar.md passed in browser.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Draft Manual Test Protocol manual-tests/toolbar.md passed in browser.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Draft Manual Test Protocol manual-tests/toolbar.md passed in browser.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Draft Manual Test Protocol manual-tests/toolbar.md passed in browser.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Draft Manual Test Protocol manual-tests/toolbar.md passed in browser.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Draft Manual Test Protocol manual-tests/toolbar.md passed in browser.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Draft Manual Test Protocol manual-tests/toolbar.md passed in browser.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Draft Manual Test Protocol manual-tests/toolbar.md passed in browser.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Draft Manual Test Protocol manual-tests/toolbar.md passed in browser.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Draft Manual Test Protocol manual-tests/toolbar.md passed in browser.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Draft Manual Test Protocol manual-tests/toolbar.md passed in browser.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Draft Manual Test Protocol manual-tests/toolbar.md passed in browser.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Draft Manual Test Protocol manual-tests/toolbar.md passed in browser.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Draft Manual Test Protocol manual-tests/toolbar.md passed in browser.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Draft Manual Test Protocol manual-tests/toolbar.md passed in browser.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Draft Manual Test Protocol manual-tests/toolbar.md passed in browser.</t>
        </is>
      </c>
      <c r="J34" s="5" t="n"/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Draft Manual Test Protocol manual-tests/toolbar.md passed in browser.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Draft Manual Test Protocol manual-tests/toolbar.md passed in browser.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Draft Manual Test Protocol manual-tests/toolbar.md passed in browser.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Draft Manual Test Protocol manual-tests/toolbar.md passed in browser.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Draft Manual Test Protocol manual-tests/toolbar.md passed in browser.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Draft Manual Test Protocol manual-tests/toolbar.md passed in browser.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Draft Manual Test Protocol manual-tests/toolbar.md passed in browser.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Draft Manual Test Protocol manual-tests/toolbar.md passed in browser.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Draft Manual Test Protocol manual-tests/toolbar.md passed in browser.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Draft Manual Test Protocol manual-tests/toolbar.md passed in browser.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Draft Manual Test Protocol manual-tests/toolbar.md passed in browser.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Draft Manual Test Protocol manual-tests/toolbar.md passed in browser.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Draft Manual Test Protocol manual-tests/toolbar.md passed in browser.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Draft Manual Test Protocol manual-tests/toolbar.md passed in browser.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Draft Manual Test Protocol manual-tests/toolbar.md passed in browser.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Draft Manual Test Protocol manual-tests/toolbar.md passed in browser.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Draft Manual Test Protocol manual-tests/toolbar.md passed in browser.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Draft Manual Test Protocol manual-tests/toolbar.md passed in browser.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Draft Manual Test Protocol manual-tests/toolbar.md passed in browser.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Draft Manual Test Protocol manual-tests/toolbar.md passed in browser.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Draft Manual Test Protocol manual-tests/toolbar.md passed in browser.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Draft Manual Test Protocol manual-tests/toolbar.md passed in browser.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Draft Manual Test Protocol manual-tests/toolbar.md passed in browser.</t>
        </is>
      </c>
      <c r="J57" s="5" t="n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Draft Manual Test Protocol manual-tests/toolbar.md passed in browser.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Draft Manual Test Protocol manual-tests/toolbar.md passed in browser.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Draft Manual Test Protocol manual-tests/toolbar.md passed in browser.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Separator</t>
        </is>
      </c>
      <c r="D61" s="5" t="inlineStr">
        <is>
          <t>orientation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Draft Manual Test Protocol manual-tests/toolbar.md passed in browser.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Draft Manual Test Protocol manual-tests/toolbar.md passed in browser.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[data-orientation]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Draft Manual Test Protocol manual-tests/toolbar.md passed in browser.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ToggleGroup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Draft Manual Test Protocol manual-tests/toolbar.md passed in browser.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Draft Manual Test Protocol manual-tests/toolbar.md passed in browser.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ToggleGroup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Draft Manual Test Protocol manual-tests/toolbar.md passed in browser.</t>
        </is>
      </c>
      <c r="J66" s="5" t="n"/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Draft Manual Test Protocol manual-tests/toolbar.md passed in browser.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ToggleGroup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Draft Manual Test Protocol manual-tests/toolbar.md passed in browser.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ToggleGroup</t>
        </is>
      </c>
      <c r="D69" s="5" t="inlineStr">
        <is>
          <t>type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Draft Manual Test Protocol manual-tests/toolbar.md passed in browser.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ToggleGroup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Draft Manual Test Protocol manual-tests/toolbar.md passed in browser.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ToggleGroup</t>
        </is>
      </c>
      <c r="D71" s="5" t="inlineStr">
        <is>
          <t>defaultValue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Draft Manual Test Protocol manual-tests/toolbar.md passed in browser.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onValueChange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Draft Manual Test Protocol manual-tests/toolbar.md passed in browser.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disabled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Draft Manual Test Protocol manual-tests/toolbar.md passed in browser.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Accessibility</t>
        </is>
      </c>
      <c r="C74" s="5" t="inlineStr">
        <is>
          <t>ToggleGroup</t>
        </is>
      </c>
      <c r="D74" s="5" t="inlineStr">
        <is>
          <t>ariaLabel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Draft Manual Test Protocol manual-tests/toolbar.md passed in browser.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ToggleGroup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Draft Manual Test Protocol manual-tests/toolbar.md passed in browser.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ToggleGroup</t>
        </is>
      </c>
      <c r="D76" s="5" t="inlineStr">
        <is>
          <t>[data-disabled]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Draft Manual Test Protocol manual-tests/toolbar.md passed in browser.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ToggleItem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Draft Manual Test Protocol manual-tests/toolbar.md passed in browser.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ToggleItem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Draft Manual Test Protocol manual-tests/toolbar.md passed in browser.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ToggleItem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Draft Manual Test Protocol manual-tests/toolbar.md passed in browser.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ToggleItem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Draft Manual Test Protocol manual-tests/toolbar.md passed in browser.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Props</t>
        </is>
      </c>
      <c r="C81" s="5" t="inlineStr">
        <is>
          <t>ToggleItem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Draft Manual Test Protocol manual-tests/toolbar.md passed in browser.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ToggleItem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Draft Manual Test Protocol manual-tests/toolbar.md passed in browser.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ToggleItem</t>
        </is>
      </c>
      <c r="D83" s="5" t="inlineStr">
        <is>
          <t>value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Draft Manual Test Protocol manual-tests/toolbar.md passed in browser.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State</t>
        </is>
      </c>
      <c r="C84" s="5" t="inlineStr">
        <is>
          <t>ToggleItem</t>
        </is>
      </c>
      <c r="D84" s="5" t="inlineStr">
        <is>
          <t>disabled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Draft Manual Test Protocol manual-tests/toolbar.md passed in browser.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Accessibility</t>
        </is>
      </c>
      <c r="C85" s="5" t="inlineStr">
        <is>
          <t>ToggleItem</t>
        </is>
      </c>
      <c r="D85" s="5" t="inlineStr">
        <is>
          <t>ariaLabel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Draft Manual Test Protocol manual-tests/toolbar.md passed in browser.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ToggleItem</t>
        </is>
      </c>
      <c r="D86" s="5" t="inlineStr">
        <is>
          <t>[data-slot]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Draft Manual Test Protocol manual-tests/toolbar.md passed in browser.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ToggleItem</t>
        </is>
      </c>
      <c r="D87" s="5" t="inlineStr">
        <is>
          <t>[data-state]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Draft Manual Test Protocol manual-tests/toolbar.md passed in browser.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ToggleItem</t>
        </is>
      </c>
      <c r="D88" s="5" t="inlineStr">
        <is>
          <t>[data-value]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Draft Manual Test Protocol manual-tests/toolbar.md passed in browser.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ToggleItem</t>
        </is>
      </c>
      <c r="D89" s="5" t="inlineStr">
        <is>
          <t>[data-disabled]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Draft Manual Test Protocol manual-tests/toolbar.md passed in browser.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Draft Manual Test Protocol manual-tests/toolbar.md passed in browser.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Draft Manual Test Protocol manual-tests/toolbar.md passed in browser.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Draft Manual Test Protocol manual-tests/toolbar.md passed in browser.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aria-pressed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Draft Manual Test Protocol manual-tests/toolbar.md passed in browser.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data-disabled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Draft Manual Test Protocol manual-tests/toolbar.md passed in browser.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data-orientation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Draft Manual Test Protocol manual-tests/toolbar.md passed in browser.</t>
        </is>
      </c>
      <c r="J95" s="5" t="n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data-slot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Draft Manual Test Protocol manual-tests/toolbar.md passed in browser.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data-state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Draft Manual Test Protocol manual-tests/toolbar.md passed in browser.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data-value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Draft Manual Test Protocol manual-tests/toolbar.md passed in browser.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Toolbar</t>
        </is>
      </c>
      <c r="D99" s="5" t="inlineStr">
        <is>
          <t>ArrowDown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Draft Manual Test Protocol manual-tests/toolbar.md passed in browser.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Toolbar</t>
        </is>
      </c>
      <c r="D100" s="5" t="inlineStr">
        <is>
          <t>ArrowLeft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Draft Manual Test Protocol manual-tests/toolbar.md passed in browser.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Toolbar</t>
        </is>
      </c>
      <c r="D101" s="5" t="inlineStr">
        <is>
          <t>ArrowRight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Draft Manual Test Protocol manual-tests/toolbar.md passed in browser.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Toolbar</t>
        </is>
      </c>
      <c r="D102" s="5" t="inlineStr">
        <is>
          <t>ArrowUp behavior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Draft Manual Test Protocol manual-tests/toolbar.md passed in browser.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Toolbar</t>
        </is>
      </c>
      <c r="D103" s="5" t="inlineStr">
        <is>
          <t>End behavior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Draft Manual Test Protocol manual-tests/toolbar.md passed in browser.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Home behavior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Draft Manual Test Protocol manual-tests/toolbar.md passed in browser.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 key navigation follows documented orientation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Draft Manual Test Protocol manual-tests/toolbar.md passed in browser.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Home and End navigation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Draft Manual Test Protocol manual-tests/toolbar.md passed in browser.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disabled items are skipped or exposed according to pattern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Draft Manual Test Protocol manual-tests/toolbar.md passed in browser.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Toolbar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Draft Manual Test Protocol manual-tests/toolbar.md passed in browser.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before defaulting to ltr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Draft Manual Test Protocol manual-tests/toolbar.md passed in browser.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direct dir prop overrides provider direction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Draft Manual Test Protocol manual-tests/toolbar.md passed in browser.</t>
        </is>
      </c>
      <c r="J110" s="5" t="n"/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horizontal ArrowLeft and ArrowRight navigation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Draft Manual Test Protocol manual-tests/toolbar.md passed in browser.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and direct dir override through a single Direction control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10" t="inlineStr">
        <is>
          <t>covered</t>
        </is>
      </c>
      <c r="I112" s="5" t="inlineStr">
        <is>
          <t>Draft Manual Test Protocol manual-tests/toolbar.md passed in browser.</t>
        </is>
      </c>
      <c r="J112" s="5" t="n"/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Composition</t>
        </is>
      </c>
      <c r="C113" s="5" t="inlineStr">
        <is>
          <t>Root</t>
        </is>
      </c>
      <c r="D113" s="5" t="inlineStr">
        <is>
          <t>asChild and render composition modes preserve toolbar behavior</t>
        </is>
      </c>
      <c r="E113" s="10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10" t="inlineStr">
        <is>
          <t>covered</t>
        </is>
      </c>
      <c r="I113" s="5" t="inlineStr">
        <is>
          <t>Draft Manual Test Protocol manual-tests/toolbar.md passed in browser.</t>
        </is>
      </c>
      <c r="J113" s="5" t="n"/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Composition</t>
        </is>
      </c>
      <c r="C114" s="5" t="inlineStr">
        <is>
          <t>Button</t>
        </is>
      </c>
      <c r="D114" s="5" t="inlineStr">
        <is>
          <t>asChild and render composition modes preserve button behavior</t>
        </is>
      </c>
      <c r="E114" s="10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10" t="inlineStr">
        <is>
          <t>covered</t>
        </is>
      </c>
      <c r="I114" s="5" t="inlineStr">
        <is>
          <t>Draft Manual Test Protocol manual-tests/toolbar.md passed in browser.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Link</t>
        </is>
      </c>
      <c r="D115" s="5" t="inlineStr">
        <is>
          <t>asChild and render composition modes preserve link behavior</t>
        </is>
      </c>
      <c r="E115" s="10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10" t="inlineStr">
        <is>
          <t>covered</t>
        </is>
      </c>
      <c r="I115" s="5" t="inlineStr">
        <is>
          <t>Draft Manual Test Protocol manual-tests/toolbar.md passed in browser.</t>
        </is>
      </c>
      <c r="J115" s="5" t="n"/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Composition</t>
        </is>
      </c>
      <c r="C116" s="5" t="inlineStr">
        <is>
          <t>Separator</t>
        </is>
      </c>
      <c r="D116" s="5" t="inlineStr">
        <is>
          <t>asChild and render composition modes preserve separator behavior</t>
        </is>
      </c>
      <c r="E116" s="10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10" t="inlineStr">
        <is>
          <t>covered</t>
        </is>
      </c>
      <c r="I116" s="5" t="inlineStr">
        <is>
          <t>Draft Manual Test Protocol manual-tests/toolbar.md passed in browser.</t>
        </is>
      </c>
      <c r="J116" s="5" t="n"/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Composition</t>
        </is>
      </c>
      <c r="C117" s="5" t="inlineStr">
        <is>
          <t>ToggleGroup</t>
        </is>
      </c>
      <c r="D117" s="5" t="inlineStr">
        <is>
          <t>asChild and render composition modes preserve toggle group behavior</t>
        </is>
      </c>
      <c r="E117" s="10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10" t="inlineStr">
        <is>
          <t>covered</t>
        </is>
      </c>
      <c r="I117" s="5" t="inlineStr">
        <is>
          <t>Draft Manual Test Protocol manual-tests/toolbar.md passed in browser.</t>
        </is>
      </c>
      <c r="J117" s="5" t="n"/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Composition</t>
        </is>
      </c>
      <c r="C118" s="5" t="inlineStr">
        <is>
          <t>ToggleItem</t>
        </is>
      </c>
      <c r="D118" s="5" t="inlineStr">
        <is>
          <t>asChild and render composition modes preserve toggle item behavior</t>
        </is>
      </c>
      <c r="E118" s="10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10" t="inlineStr">
        <is>
          <t>covered</t>
        </is>
      </c>
      <c r="I118" s="5" t="inlineStr">
        <is>
          <t>Draft Manual Test Protocol manual-tests/toolbar.md passed in browser.</t>
        </is>
      </c>
      <c r="J118" s="5" t="n"/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 and keyboard focus-visible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existing desktop browser/manual baseline; mobile device qualification not run</t>
        </is>
      </c>
      <c r="H17" s="9" t="inlineStr">
        <is>
          <t>covered</t>
        </is>
      </c>
      <c r="I17" s="5" t="inlineStr">
        <is>
          <t>Existing desktop browser/manual baseline; not real iOS Safari or Android Chrome evidence.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Responsive smoke</t>
        </is>
      </c>
      <c r="C86" s="5" t="inlineStr">
        <is>
          <t>Tooltip</t>
        </is>
      </c>
      <c r="D86" s="5" t="inlineStr">
        <is>
          <t>desktop responsive smoke only; mobile touch and viewport behavior is not qualified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existing desktop browser/manual baseline; mobile device qualification not run</t>
        </is>
      </c>
      <c r="H86" s="9" t="inlineStr">
        <is>
          <t>covered</t>
        </is>
      </c>
      <c r="I86" s="5" t="inlineStr">
        <is>
          <t>Existing desktop browser/manual baseline; not real iOS Safari or Android Chrome evidence.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collision, flip, and shift stay within the manually tested desktop layout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existing desktop browser/manual baseline; mobile device qualification not run</t>
        </is>
      </c>
      <c r="H91" s="9" t="inlineStr">
        <is>
          <t>covered</t>
        </is>
      </c>
      <c r="I91" s="5" t="inlineStr">
        <is>
          <t>Existing desktop browser/manual baseline; not real iOS Safari or Android Chrome evidence.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manual-tests/tree.md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manual-tests/tree.md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manual-tests/tree.md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manual-tests/tree.md</t>
        </is>
      </c>
      <c r="J12" s="5" t="inlineStr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manual-tests/tree.md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manual-tests/tree.md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manual-tests/tree.md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manual-tests/tree.md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manual-tests/tree.md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manual-tests/tree.md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manual-tests/tree.md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manual-tests/tree.md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manual-tests/tree.md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manual-tests/tree.md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manual-tests/tree.md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manual-tests/tree.md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manual-tests/tree.md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manual-tests/tree.md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manual-tests/tree.md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manual-tests/tree.md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manual-tests/tree.md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manual-tests/tree.md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manual-tests/tree.md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manual-tests/tree.md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manual-tests/tree.md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manual-tests/tree.md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manual-tests/tree.md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manual-tests/tree.md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manual-tests/tree.md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manual-tests/tree.md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manual-tests/tree.md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manual-tests/tree.md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manual-tests/tree.md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manual-tests/tree.md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manual-tests/tree.md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manual-tests/tree.md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manual-tests/tree.md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manual-tests/tree.md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manual-tests/tree.md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manual-tests/tree.md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manual-tests/tree.md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manual-tests/tree.md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manual-tests/tree.md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manual-tests/tree.md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manual-tests/tree.md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manual-tests/tree.md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manual-tests/tree.md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manual-tests/tree.md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manual-tests/tree.md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manual-tests/tree.md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manual-tests/tree.md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manual-tests/tree.md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manual-tests/tree.md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manual-tests/tree.md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manual-tests/tree.md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manual-tests/tree.md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manual-tests/tree.md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manual-tests/tree.md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manual-tests/tree.md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manual-tests/tree.md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manual-tests/tree.md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manual-tests/tree.md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manual-tests/tree.md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manual-tests/tree.md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manual-tests/tree.md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manual-tests/tree.md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manual-tests/tree.md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manual-tests/tree.md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manual-tests/tree.md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manual-tests/tree.md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manual-tests/tree.md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manual-tests/tree.md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manual-tests/tree.md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manual-tests/tree.md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manual-tests/tree.md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manual-tests/tree.md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manual-tests/tree.md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manual-tests/tree.md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manual-tests/tree.md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manual-tests/tree.md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manual-tests/tree.md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manual-tests/tree.md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manual-tests/tree.md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manual-tests/tree.md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manual-tests/tree.md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manual-tests/tree.md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manual-tests/tree.md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manual-tests/tree.md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manual-tests/tree.md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render prop renders custom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manual-tests/tree.md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preserves refs and behavior props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manual-tests/tree.md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controlled state path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manual-tests/tree.md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uncontrolled default state path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manual-tests/tree.md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state change callback fires once with correct value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manual-tests/tree.md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Tree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manual-tests/tree.md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manual-tests/tree.md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manual-tests/tree.md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manual-tests/tree.md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Tree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manual-tests/tree.md</t>
        </is>
      </c>
      <c r="J107" s="5" t="inlineStr"/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Root</t>
        </is>
      </c>
      <c r="D108" s="5" t="inlineStr">
        <is>
          <t>reads Direction.Provider context for horizontal tree navigation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10" t="inlineStr">
        <is>
          <t>covered</t>
        </is>
      </c>
      <c r="I108" s="5" t="inlineStr">
        <is>
          <t>manual-tests/tree.md</t>
        </is>
      </c>
      <c r="J108" s="5" t="inlineStr"/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Item</t>
        </is>
      </c>
      <c r="D109" s="5" t="inlineStr">
        <is>
          <t>RTL mirrors ArrowLeft and ArrowRight expand/collapse behavior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manual-tests/tree.md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10" t="inlineStr">
        <is>
          <t>covered</t>
        </is>
      </c>
      <c r="I110" s="5" t="inlineStr">
        <is>
          <t>manual-tests/tree.md</t>
        </is>
      </c>
      <c r="J110" s="5" t="inlineStr"/>
      <c r="K110" s="6">
        <f>IF(AND(E110="yes",F110="yes",H110="covered"),1,IF(H110="partial",0.5,0))</f>
        <v/>
      </c>
    </row>
    <row r="111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TreeGrid playground; manual-tests/tree-grid.md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TreeGrid playground; manual-tests/tree-grid.md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TreeGrid playground; manual-tests/tree-grid.md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TreeGrid playground; manual-tests/tree-grid.md</t>
        </is>
      </c>
      <c r="J12" s="5" t="n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TreeGrid playground; manual-tests/tree-grid.md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TreeGrid playground; manual-tests/tree-grid.md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TreeGrid playground; manual-tests/tree-grid.md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TreeGrid playground; manual-tests/tree-grid.md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TreeGrid playground; manual-tests/tree-grid.md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TreeGrid playground; manual-tests/tree-grid.md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TreeGrid playground; manual-tests/tree-grid.md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TreeGrid playground; manual-tests/tree-grid.md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TreeGrid playground; manual-tests/tree-grid.md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TreeGrid playground; manual-tests/tree-grid.md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TreeGrid playground; manual-tests/tree-grid.md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TreeGrid playground; manual-tests/tree-grid.md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TreeGrid playground; manual-tests/tree-grid.md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TreeGrid playground; manual-tests/tree-grid.md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TreeGrid playground; manual-tests/tree-grid.md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TreeGrid playground; manual-tests/tree-grid.md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TreeGrid playground; manual-tests/tree-grid.md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TreeGrid playground; manual-tests/tree-grid.md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TreeGrid playground; manual-tests/tree-grid.md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TreeGrid playground; manual-tests/tree-grid.md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TreeGrid playground; manual-tests/tree-grid.md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TreeGrid playground; manual-tests/tree-grid.md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TreeGrid playground; manual-tests/tree-grid.md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TreeGrid playground; manual-tests/tree-grid.md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TreeGrid playground; manual-tests/tree-grid.md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TreeGrid playground; manual-tests/tree-grid.md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TreeGrid playground; manual-tests/tree-grid.md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TreeGrid playground; manual-tests/tree-grid.md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TreeGrid playground; manual-tests/tree-grid.md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TreeGrid playground; manual-tests/tree-grid.md</t>
        </is>
      </c>
      <c r="J42" s="5" t="n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TreeGrid playground; manual-tests/tree-grid.md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TreeGrid playground; manual-tests/tree-grid.md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TreeGrid playground; manual-tests/tree-grid.md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TreeGrid playground; manual-tests/tree-grid.md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TreeGrid playground; manual-tests/tree-grid.md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TreeGrid playground; manual-tests/tree-grid.md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TreeGrid playground; manual-tests/tree-grid.md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TreeGrid playground; manual-tests/tree-grid.md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TreeGrid playground; manual-tests/tree-grid.md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TreeGrid playground; manual-tests/tree-grid.md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TreeGrid playground; manual-tests/tree-grid.md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TreeGrid playground; manual-tests/tree-grid.md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TreeGrid playground; manual-tests/tree-grid.md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TreeGrid playground; manual-tests/tree-grid.md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TreeGrid playground; manual-tests/tree-grid.md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TreeGrid playground; manual-tests/tree-grid.md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TreeGrid playground; manual-tests/tree-grid.md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TreeGrid playground; manual-tests/tree-grid.md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TreeGrid playground; manual-tests/tree-grid.md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TreeGrid playground; manual-tests/tree-grid.md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TreeGrid playground; manual-tests/tree-grid.md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TreeGrid playground; manual-tests/tree-grid.md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TreeGrid playground; manual-tests/tree-grid.md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TreeGrid playground; manual-tests/tree-grid.md</t>
        </is>
      </c>
      <c r="J66" s="5" t="n"/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TreeGrid playground; manual-tests/tree-grid.md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TreeGrid playground; manual-tests/tree-grid.md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TreeGrid playground; manual-tests/tree-grid.md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TreeGrid playground; manual-tests/tree-grid.md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TreeGrid playground; manual-tests/tree-grid.md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TreeGrid playground; manual-tests/tree-grid.md</t>
        </is>
      </c>
      <c r="J72" s="5" t="n"/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TreeGrid playground; manual-tests/tree-grid.md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TreeGrid playground; manual-tests/tree-grid.md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TreeGrid playground; manual-tests/tree-grid.md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TreeGrid playground; manual-tests/tree-grid.md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TreeGrid playground; manual-tests/tree-grid.md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TreeGrid playground; manual-tests/tree-grid.md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TreeGrid playground; manual-tests/tree-grid.md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TreeGrid playground; manual-tests/tree-grid.md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TreeGrid playground; manual-tests/tree-grid.md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TreeGrid playground; manual-tests/tree-grid.md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TreeGrid playground; manual-tests/tree-grid.md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TreeGrid playground; manual-tests/tree-grid.md</t>
        </is>
      </c>
      <c r="J84" s="5" t="n"/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TreeGrid playground; manual-tests/tree-grid.md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TreeGrid playground; manual-tests/tree-grid.md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TreeGrid playground; manual-tests/tree-grid.md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TreeGrid playground; manual-tests/tree-grid.md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TreeGrid playground; manual-tests/tree-grid.md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TreeGrid playground; manual-tests/tree-grid.md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TreeGrid playground; manual-tests/tree-grid.md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TreeGrid playground; manual-tests/tree-grid.md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TreeGrid playground; manual-tests/tree-grid.md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TreeGrid playground; manual-tests/tree-grid.md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TreeGrid playground; manual-tests/tree-grid.md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TreeGrid playground; manual-tests/tree-grid.md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TreeGrid playground; manual-tests/tree-grid.md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TreeGrid playground; manual-tests/tree-grid.md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TreeGrid playground; manual-tests/tree-grid.md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TreeGrid playground; manual-tests/tree-grid.md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TreeGrid playground; manual-tests/tree-grid.md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TreeGrid playground; manual-tests/tree-grid.md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TreeGrid playground; manual-tests/tree-grid.md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TreeGrid playground; manual-tests/tree-grid.md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TreeGrid playground; manual-tests/tree-grid.md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TreeGrid playground; manual-tests/tree-grid.md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TreeGrid playground; manual-tests/tree-grid.md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TreeGrid playground; manual-tests/tree-grid.md</t>
        </is>
      </c>
      <c r="J108" s="5" t="n"/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TreeGrid playground; manual-tests/tree-grid.md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TreeGrid playground; manual-tests/tree-grid.md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TreeGrid playground; manual-tests/tree-grid.md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TreeGrid playground; manual-tests/tree-grid.md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TreeGrid playground; manual-tests/tree-grid.md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TreeGrid playground; manual-tests/tree-grid.md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TreeGrid playground; manual-tests/tree-grid.md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TreeGrid playground; manual-tests/tree-grid.md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TreeGrid playground; manual-tests/tree-grid.md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TreeGrid playground; manual-tests/tree-grid.md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TreeGrid playground; manual-tests/tree-grid.md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TreeGrid playground; manual-tests/tree-grid.md</t>
        </is>
      </c>
      <c r="J120" s="5" t="n"/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TreeGrid playground; manual-tests/tree-grid.md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TreeGrid playground; manual-tests/tree-grid.md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TreeGrid playground; manual-tests/tree-grid.md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TreeGrid playground; manual-tests/tree-grid.md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TreeGrid playground; manual-tests/tree-grid.md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TreeGrid playground; manual-tests/tree-grid.md</t>
        </is>
      </c>
      <c r="J126" s="5" t="n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TreeGrid playground; manual-tests/tree-grid.md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TreeGrid playground; manual-tests/tree-grid.md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TreeGrid playground; manual-tests/tree-grid.md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TreeGrid playground; manual-tests/tree-grid.md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TreeGrid playground; manual-tests/tree-grid.md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TreeGrid playground; manual-tests/tree-grid.md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TreeGrid playground; manual-tests/tree-grid.md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TreeGrid playground; manual-tests/tree-grid.md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TreeGrid playground; manual-tests/tree-grid.md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TreeGrid playground; manual-tests/tree-grid.md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TreeGrid playground; manual-tests/tree-grid.md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TreeGrid playground; manual-tests/tree-grid.md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TreeGrid playground; manual-tests/tree-grid.md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TreeGrid playground; manual-tests/tree-grid.md</t>
        </is>
      </c>
      <c r="J140" s="5" t="n"/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TreeGrid playground; manual-tests/tree-grid.md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TreeGrid playground; manual-tests/tree-grid.md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 manual test</t>
        </is>
      </c>
      <c r="H143" s="9" t="inlineStr">
        <is>
          <t>covered</t>
        </is>
      </c>
      <c r="I143" s="5" t="inlineStr">
        <is>
          <t>TreeGrid playground; manual-tests/tree-grid.md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 manual test</t>
        </is>
      </c>
      <c r="H144" s="9" t="inlineStr">
        <is>
          <t>covered</t>
        </is>
      </c>
      <c r="I144" s="5" t="inlineStr">
        <is>
          <t>TreeGrid playground; manual-tests/tree-grid.md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 manual test</t>
        </is>
      </c>
      <c r="H145" s="9" t="inlineStr">
        <is>
          <t>covered</t>
        </is>
      </c>
      <c r="I145" s="5" t="inlineStr">
        <is>
          <t>TreeGrid playground; manual-tests/tree-grid.md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 manual test</t>
        </is>
      </c>
      <c r="H146" s="9" t="inlineStr">
        <is>
          <t>covered</t>
        </is>
      </c>
      <c r="I146" s="5" t="inlineStr">
        <is>
          <t>TreeGrid playground; manual-tests/tree-grid.md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 manual test</t>
        </is>
      </c>
      <c r="H147" s="9" t="inlineStr">
        <is>
          <t>covered</t>
        </is>
      </c>
      <c r="I147" s="5" t="inlineStr">
        <is>
          <t>TreeGrid playground; manual-tests/tree-grid.md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 manual test</t>
        </is>
      </c>
      <c r="H148" s="9" t="inlineStr">
        <is>
          <t>covered</t>
        </is>
      </c>
      <c r="I148" s="5" t="inlineStr">
        <is>
          <t>TreeGrid playground; manual-tests/tree-grid.md</t>
        </is>
      </c>
      <c r="J148" s="5" t="n"/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 manual test</t>
        </is>
      </c>
      <c r="H149" s="9" t="inlineStr">
        <is>
          <t>covered</t>
        </is>
      </c>
      <c r="I149" s="5" t="inlineStr">
        <is>
          <t>TreeGrid playground; manual-tests/tree-grid.md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 manual test</t>
        </is>
      </c>
      <c r="H150" s="9" t="inlineStr">
        <is>
          <t>covered</t>
        </is>
      </c>
      <c r="I150" s="5" t="inlineStr">
        <is>
          <t>TreeGrid playground; manual-tests/tree-grid.md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 manual test</t>
        </is>
      </c>
      <c r="H151" s="9" t="inlineStr">
        <is>
          <t>covered</t>
        </is>
      </c>
      <c r="I151" s="5" t="inlineStr">
        <is>
          <t>TreeGrid playground; manual-tests/tree-grid.md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 manual test</t>
        </is>
      </c>
      <c r="H152" s="9" t="inlineStr">
        <is>
          <t>covered</t>
        </is>
      </c>
      <c r="I152" s="5" t="inlineStr">
        <is>
          <t>TreeGrid playground; manual-tests/tree-grid.md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 manual test</t>
        </is>
      </c>
      <c r="H153" s="9" t="inlineStr">
        <is>
          <t>covered</t>
        </is>
      </c>
      <c r="I153" s="5" t="inlineStr">
        <is>
          <t>TreeGrid playground; manual-tests/tree-grid.md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 manual test</t>
        </is>
      </c>
      <c r="H154" s="9" t="inlineStr">
        <is>
          <t>covered</t>
        </is>
      </c>
      <c r="I154" s="5" t="inlineStr">
        <is>
          <t>TreeGrid playground; manual-tests/tree-grid.md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 manual test</t>
        </is>
      </c>
      <c r="H155" s="9" t="inlineStr">
        <is>
          <t>covered</t>
        </is>
      </c>
      <c r="I155" s="5" t="inlineStr">
        <is>
          <t>TreeGrid playground; manual-tests/tree-grid.md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 manual test</t>
        </is>
      </c>
      <c r="H156" s="9" t="inlineStr">
        <is>
          <t>covered</t>
        </is>
      </c>
      <c r="I156" s="5" t="inlineStr">
        <is>
          <t>TreeGrid playground; manual-tests/tree-grid.md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 manual test</t>
        </is>
      </c>
      <c r="H157" s="9" t="inlineStr">
        <is>
          <t>covered</t>
        </is>
      </c>
      <c r="I157" s="5" t="inlineStr">
        <is>
          <t>TreeGrid playground; manual-tests/tree-grid.md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 manual test</t>
        </is>
      </c>
      <c r="H158" s="9" t="inlineStr">
        <is>
          <t>covered</t>
        </is>
      </c>
      <c r="I158" s="5" t="inlineStr">
        <is>
          <t>TreeGrid playground; manual-tests/tree-grid.md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 manual test</t>
        </is>
      </c>
      <c r="H159" s="9" t="inlineStr">
        <is>
          <t>covered</t>
        </is>
      </c>
      <c r="I159" s="5" t="inlineStr">
        <is>
          <t>TreeGrid playground; manual-tests/tree-grid.md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 manual test</t>
        </is>
      </c>
      <c r="H160" s="9" t="inlineStr">
        <is>
          <t>covered</t>
        </is>
      </c>
      <c r="I160" s="5" t="inlineStr">
        <is>
          <t>TreeGrid playground; manual-tests/tree-grid.md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 manual test</t>
        </is>
      </c>
      <c r="H161" s="9" t="inlineStr">
        <is>
          <t>covered</t>
        </is>
      </c>
      <c r="I161" s="5" t="inlineStr">
        <is>
          <t>TreeGrid playground; manual-tests/tree-grid.md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 manual test</t>
        </is>
      </c>
      <c r="H162" s="9" t="inlineStr">
        <is>
          <t>covered</t>
        </is>
      </c>
      <c r="I162" s="5" t="inlineStr">
        <is>
          <t>TreeGrid playground; manual-tests/tree-grid.md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 manual test</t>
        </is>
      </c>
      <c r="H163" s="9" t="inlineStr">
        <is>
          <t>covered</t>
        </is>
      </c>
      <c r="I163" s="5" t="inlineStr">
        <is>
          <t>TreeGrid playground; manual-tests/tree-grid.md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 manual test</t>
        </is>
      </c>
      <c r="H164" s="9" t="inlineStr">
        <is>
          <t>covered</t>
        </is>
      </c>
      <c r="I164" s="5" t="inlineStr">
        <is>
          <t>TreeGrid playground; manual-tests/tree-grid.md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 manual test</t>
        </is>
      </c>
      <c r="H165" s="9" t="inlineStr">
        <is>
          <t>covered</t>
        </is>
      </c>
      <c r="I165" s="5" t="inlineStr">
        <is>
          <t>TreeGrid playground; manual-tests/tree-grid.md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 manual test</t>
        </is>
      </c>
      <c r="H166" s="9" t="inlineStr">
        <is>
          <t>covered</t>
        </is>
      </c>
      <c r="I166" s="5" t="inlineStr">
        <is>
          <t>TreeGrid playground; manual-tests/tree-grid.md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 manual test</t>
        </is>
      </c>
      <c r="H167" s="9" t="inlineStr">
        <is>
          <t>covered</t>
        </is>
      </c>
      <c r="I167" s="5" t="inlineStr">
        <is>
          <t>TreeGrid playground; manual-tests/tree-grid.md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 manual test</t>
        </is>
      </c>
      <c r="H168" s="9" t="inlineStr">
        <is>
          <t>covered</t>
        </is>
      </c>
      <c r="I168" s="5" t="inlineStr">
        <is>
          <t>TreeGrid playground; manual-tests/tree-grid.md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 manual test</t>
        </is>
      </c>
      <c r="H169" s="9" t="inlineStr">
        <is>
          <t>covered</t>
        </is>
      </c>
      <c r="I169" s="5" t="inlineStr">
        <is>
          <t>TreeGrid playground; manual-tests/tree-grid.md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 manual test</t>
        </is>
      </c>
      <c r="H170" s="9" t="inlineStr">
        <is>
          <t>covered</t>
        </is>
      </c>
      <c r="I170" s="5" t="inlineStr">
        <is>
          <t>TreeGrid playground; manual-tests/tree-grid.md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 manual test</t>
        </is>
      </c>
      <c r="H171" s="9" t="inlineStr">
        <is>
          <t>covered</t>
        </is>
      </c>
      <c r="I171" s="5" t="inlineStr">
        <is>
          <t>TreeGrid playground; manual-tests/tree-grid.md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 manual test</t>
        </is>
      </c>
      <c r="H172" s="9" t="inlineStr">
        <is>
          <t>covered</t>
        </is>
      </c>
      <c r="I172" s="5" t="inlineStr">
        <is>
          <t>TreeGrid playground; manual-tests/tree-grid.md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 manual test</t>
        </is>
      </c>
      <c r="H173" s="9" t="inlineStr">
        <is>
          <t>covered</t>
        </is>
      </c>
      <c r="I173" s="5" t="inlineStr">
        <is>
          <t>TreeGrid playground; manual-tests/tree-grid.md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 manual test</t>
        </is>
      </c>
      <c r="H174" s="9" t="inlineStr">
        <is>
          <t>covered</t>
        </is>
      </c>
      <c r="I174" s="5" t="inlineStr">
        <is>
          <t>TreeGrid playground; manual-tests/tree-grid.md</t>
        </is>
      </c>
      <c r="J174" s="5" t="n"/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 manual test</t>
        </is>
      </c>
      <c r="H175" s="9" t="inlineStr">
        <is>
          <t>covered</t>
        </is>
      </c>
      <c r="I175" s="5" t="inlineStr">
        <is>
          <t>TreeGrid playground; manual-tests/tree-grid.md</t>
        </is>
      </c>
      <c r="J175" s="5" t="n"/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 manual test</t>
        </is>
      </c>
      <c r="H176" s="9" t="inlineStr">
        <is>
          <t>covered</t>
        </is>
      </c>
      <c r="I176" s="5" t="inlineStr">
        <is>
          <t>TreeGrid playground; manual-tests/tree-grid.md</t>
        </is>
      </c>
      <c r="J176" s="5" t="n"/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 manual test</t>
        </is>
      </c>
      <c r="H177" s="9" t="inlineStr">
        <is>
          <t>covered</t>
        </is>
      </c>
      <c r="I177" s="5" t="inlineStr">
        <is>
          <t>TreeGrid playground; manual-tests/tree-grid.md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All DOM parts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 manual test</t>
        </is>
      </c>
      <c r="H178" s="9" t="inlineStr">
        <is>
          <t>covered</t>
        </is>
      </c>
      <c r="I178" s="5" t="inlineStr">
        <is>
          <t>TreeGrid playground; manual-tests/tree-grid.md</t>
        </is>
      </c>
      <c r="J178" s="5" t="n"/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All DOM parts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 manual test</t>
        </is>
      </c>
      <c r="H179" s="9" t="inlineStr">
        <is>
          <t>covered</t>
        </is>
      </c>
      <c r="I179" s="5" t="inlineStr">
        <is>
          <t>TreeGrid playground; manual-tests/tree-grid.md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All DOM parts</t>
        </is>
      </c>
      <c r="D180" s="5" t="inlineStr">
        <is>
          <t>asChild preserves semantic roles and Atom behavior per public DOM part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 manual test</t>
        </is>
      </c>
      <c r="H180" s="9" t="inlineStr">
        <is>
          <t>covered</t>
        </is>
      </c>
      <c r="I180" s="5" t="inlineStr">
        <is>
          <t>TreeGrid playground; manual-tests/tree-grid.md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All DOM parts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 manual test</t>
        </is>
      </c>
      <c r="H181" s="9" t="inlineStr">
        <is>
          <t>covered</t>
        </is>
      </c>
      <c r="I181" s="5" t="inlineStr">
        <is>
          <t>TreeGrid playground; manual-tests/tree-grid.md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All DOM parts</t>
        </is>
      </c>
      <c r="D182" s="5" t="inlineStr">
        <is>
          <t>render prop preserves refs, semantic roles, and behavior props per public DOM part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 manual test</t>
        </is>
      </c>
      <c r="H182" s="9" t="inlineStr">
        <is>
          <t>covered</t>
        </is>
      </c>
      <c r="I182" s="5" t="inlineStr">
        <is>
          <t>TreeGrid playground; manual-tests/tree-grid.md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 manual test</t>
        </is>
      </c>
      <c r="H183" s="9" t="inlineStr">
        <is>
          <t>covered</t>
        </is>
      </c>
      <c r="I183" s="5" t="inlineStr">
        <is>
          <t>TreeGrid playground; manual-tests/tree-grid.md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 manual test</t>
        </is>
      </c>
      <c r="H184" s="9" t="inlineStr">
        <is>
          <t>covered</t>
        </is>
      </c>
      <c r="I184" s="5" t="inlineStr">
        <is>
          <t>TreeGrid playground; manual-tests/tree-grid.md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yes</t>
        </is>
      </c>
      <c r="G185" s="4" t="inlineStr">
        <is>
          <t>passed manual test</t>
        </is>
      </c>
      <c r="H185" s="9" t="inlineStr">
        <is>
          <t>covered</t>
        </is>
      </c>
      <c r="I185" s="5" t="inlineStr">
        <is>
          <t>TreeGrid playground; manual-tests/tree-grid.md</t>
        </is>
      </c>
      <c r="J185" s="5" t="n"/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yes</t>
        </is>
      </c>
      <c r="G186" s="4" t="inlineStr">
        <is>
          <t>passed manual test</t>
        </is>
      </c>
      <c r="H186" s="9" t="inlineStr">
        <is>
          <t>covered</t>
        </is>
      </c>
      <c r="I186" s="5" t="inlineStr">
        <is>
          <t>TreeGrid playground; manual-tests/tree-grid.md</t>
        </is>
      </c>
      <c r="J186" s="5" t="n"/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yes</t>
        </is>
      </c>
      <c r="G187" s="4" t="inlineStr">
        <is>
          <t>passed manual test</t>
        </is>
      </c>
      <c r="H187" s="9" t="inlineStr">
        <is>
          <t>covered</t>
        </is>
      </c>
      <c r="I187" s="5" t="inlineStr">
        <is>
          <t>TreeGrid playground; manual-tests/tree-grid.md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yes</t>
        </is>
      </c>
      <c r="G188" s="4" t="inlineStr">
        <is>
          <t>passed manual test</t>
        </is>
      </c>
      <c r="H188" s="9" t="inlineStr">
        <is>
          <t>covered</t>
        </is>
      </c>
      <c r="I188" s="5" t="inlineStr">
        <is>
          <t>TreeGrid playground; manual-tests/tree-grid.md</t>
        </is>
      </c>
      <c r="J188" s="5" t="n"/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Direction</t>
        </is>
      </c>
      <c r="C189" s="5" t="inlineStr">
        <is>
          <t>Root</t>
        </is>
      </c>
      <c r="D189" s="5" t="inlineStr">
        <is>
          <t>local dir overrides Direction.Provider and raw dir is inspectable</t>
        </is>
      </c>
      <c r="E189" s="7" t="inlineStr">
        <is>
          <t>yes</t>
        </is>
      </c>
      <c r="F189" s="8" t="inlineStr">
        <is>
          <t>yes</t>
        </is>
      </c>
      <c r="G189" s="4" t="inlineStr">
        <is>
          <t>passed manual test</t>
        </is>
      </c>
      <c r="H189" s="9" t="inlineStr">
        <is>
          <t>covered</t>
        </is>
      </c>
      <c r="I189" s="5" t="inlineStr">
        <is>
          <t>TreeGrid playground; manual-tests/tree-grid.md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yes</t>
        </is>
      </c>
      <c r="G190" s="4" t="inlineStr">
        <is>
          <t>passed manual test</t>
        </is>
      </c>
      <c r="H190" s="9" t="inlineStr">
        <is>
          <t>covered</t>
        </is>
      </c>
      <c r="I190" s="5" t="inlineStr">
        <is>
          <t>TreeGrid playground; manual-tests/tree-grid.md</t>
        </is>
      </c>
      <c r="J190" s="5" t="n"/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Root</t>
        </is>
      </c>
      <c r="D191" s="5" t="inlineStr">
        <is>
          <t>reads Direction.Provider context for horizontal cell navigation</t>
        </is>
      </c>
      <c r="E191" s="10" t="inlineStr">
        <is>
          <t>yes</t>
        </is>
      </c>
      <c r="F191" s="8" t="inlineStr">
        <is>
          <t>yes</t>
        </is>
      </c>
      <c r="G191" s="4" t="inlineStr">
        <is>
          <t>passed manual test</t>
        </is>
      </c>
      <c r="H191" s="10" t="inlineStr">
        <is>
          <t>covered</t>
        </is>
      </c>
      <c r="I191" s="5" t="inlineStr">
        <is>
          <t>TreeGrid playground; manual-tests/tree-grid.md</t>
        </is>
      </c>
      <c r="J191" s="5" t="n"/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Root</t>
        </is>
      </c>
      <c r="D192" s="5" t="inlineStr">
        <is>
          <t>RTL mirrors ArrowLeft and ArrowRight cell movement</t>
        </is>
      </c>
      <c r="E192" s="10" t="inlineStr">
        <is>
          <t>yes</t>
        </is>
      </c>
      <c r="F192" s="8" t="inlineStr">
        <is>
          <t>yes</t>
        </is>
      </c>
      <c r="G192" s="4" t="inlineStr">
        <is>
          <t>passed manual test</t>
        </is>
      </c>
      <c r="H192" s="10" t="inlineStr">
        <is>
          <t>covered</t>
        </is>
      </c>
      <c r="I192" s="5" t="inlineStr">
        <is>
          <t>TreeGrid playground; manual-tests/tree-grid.md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Home and End retain documented row-edge behavior in RTL</t>
        </is>
      </c>
      <c r="E193" s="10" t="inlineStr">
        <is>
          <t>yes</t>
        </is>
      </c>
      <c r="F193" s="8" t="inlineStr">
        <is>
          <t>yes</t>
        </is>
      </c>
      <c r="G193" s="4" t="inlineStr">
        <is>
          <t>passed manual test</t>
        </is>
      </c>
      <c r="H193" s="10" t="inlineStr">
        <is>
          <t>covered</t>
        </is>
      </c>
      <c r="I193" s="5" t="inlineStr">
        <is>
          <t>TreeGrid playground; manual-tests/tree-grid.md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Default, Provider RTL, Local LTR, and Local RTL controls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passed manual test</t>
        </is>
      </c>
      <c r="H194" s="10" t="inlineStr">
        <is>
          <t>covered</t>
        </is>
      </c>
      <c r="I194" s="5" t="inlineStr">
        <is>
          <t>TreeGrid playground; manual-tests/tree-grid.md</t>
        </is>
      </c>
      <c r="J194" s="5" t="n"/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n"/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n"/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n"/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n"/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n"/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n"/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n"/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n"/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n"/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2026-07-14T17:02:55Z</dcterms:modified>
  <cp:lastModifiedBy>Will Donin</cp:lastModifiedBy>
</cp:coreProperties>
</file>