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20" windowWidth="38400" windowHeight="20980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Accordion" sheetId="2" state="visible" r:id="rId2"/>
    <sheet xmlns:r="http://schemas.openxmlformats.org/officeDocument/2006/relationships" name="AlertDialog" sheetId="3" state="visible" r:id="rId3"/>
    <sheet xmlns:r="http://schemas.openxmlformats.org/officeDocument/2006/relationships" name="AppBar" sheetId="4" state="visible" r:id="rId4"/>
    <sheet xmlns:r="http://schemas.openxmlformats.org/officeDocument/2006/relationships" name="AspectRatio" sheetId="5" state="visible" r:id="rId5"/>
    <sheet xmlns:r="http://schemas.openxmlformats.org/officeDocument/2006/relationships" name="Avatar" sheetId="6" state="visible" r:id="rId6"/>
    <sheet xmlns:r="http://schemas.openxmlformats.org/officeDocument/2006/relationships" name="Badge" sheetId="7" state="visible" r:id="rId7"/>
    <sheet xmlns:r="http://schemas.openxmlformats.org/officeDocument/2006/relationships" name="BottomNavigation" sheetId="8" state="visible" r:id="rId8"/>
    <sheet xmlns:r="http://schemas.openxmlformats.org/officeDocument/2006/relationships" name="Breadcrumb" sheetId="9" state="visible" r:id="rId9"/>
    <sheet xmlns:r="http://schemas.openxmlformats.org/officeDocument/2006/relationships" name="Button" sheetId="10" state="visible" r:id="rId10"/>
    <sheet xmlns:r="http://schemas.openxmlformats.org/officeDocument/2006/relationships" name="Checkbox" sheetId="11" state="visible" r:id="rId11"/>
    <sheet xmlns:r="http://schemas.openxmlformats.org/officeDocument/2006/relationships" name="CheckboxGroup" sheetId="12" state="visible" r:id="rId12"/>
    <sheet xmlns:r="http://schemas.openxmlformats.org/officeDocument/2006/relationships" name="Collapsible" sheetId="13" state="visible" r:id="rId13"/>
    <sheet xmlns:r="http://schemas.openxmlformats.org/officeDocument/2006/relationships" name="Collection" sheetId="14" state="visible" r:id="rId14"/>
    <sheet xmlns:r="http://schemas.openxmlformats.org/officeDocument/2006/relationships" name="Combobox" sheetId="15" state="visible" r:id="rId15"/>
    <sheet xmlns:r="http://schemas.openxmlformats.org/officeDocument/2006/relationships" name="ContextMenu" sheetId="16" state="visible" r:id="rId16"/>
    <sheet xmlns:r="http://schemas.openxmlformats.org/officeDocument/2006/relationships" name="DataGrid" sheetId="17" state="visible" r:id="rId17"/>
    <sheet xmlns:r="http://schemas.openxmlformats.org/officeDocument/2006/relationships" name="Dialog" sheetId="18" state="visible" r:id="rId18"/>
    <sheet xmlns:r="http://schemas.openxmlformats.org/officeDocument/2006/relationships" name="Direction" sheetId="19" state="visible" r:id="rId19"/>
    <sheet xmlns:r="http://schemas.openxmlformats.org/officeDocument/2006/relationships" name="Divider" sheetId="20" state="visible" r:id="rId20"/>
    <sheet xmlns:r="http://schemas.openxmlformats.org/officeDocument/2006/relationships" name="Drawer" sheetId="21" state="visible" r:id="rId21"/>
    <sheet xmlns:r="http://schemas.openxmlformats.org/officeDocument/2006/relationships" name="DropdownMenu" sheetId="22" state="visible" r:id="rId22"/>
    <sheet xmlns:r="http://schemas.openxmlformats.org/officeDocument/2006/relationships" name="Feed" sheetId="23" state="visible" r:id="rId23"/>
    <sheet xmlns:r="http://schemas.openxmlformats.org/officeDocument/2006/relationships" name="Field" sheetId="24" state="visible" r:id="rId24"/>
    <sheet xmlns:r="http://schemas.openxmlformats.org/officeDocument/2006/relationships" name="Fieldset" sheetId="25" state="visible" r:id="rId25"/>
    <sheet xmlns:r="http://schemas.openxmlformats.org/officeDocument/2006/relationships" name="FileUpload" sheetId="26" state="visible" r:id="rId26"/>
    <sheet xmlns:r="http://schemas.openxmlformats.org/officeDocument/2006/relationships" name="Form" sheetId="27" state="visible" r:id="rId27"/>
    <sheet xmlns:r="http://schemas.openxmlformats.org/officeDocument/2006/relationships" name="HoverCard" sheetId="28" state="visible" r:id="rId28"/>
    <sheet xmlns:r="http://schemas.openxmlformats.org/officeDocument/2006/relationships" name="Input" sheetId="29" state="visible" r:id="rId29"/>
    <sheet xmlns:r="http://schemas.openxmlformats.org/officeDocument/2006/relationships" name="Label" sheetId="30" state="visible" r:id="rId30"/>
    <sheet xmlns:r="http://schemas.openxmlformats.org/officeDocument/2006/relationships" name="List" sheetId="31" state="visible" r:id="rId31"/>
    <sheet xmlns:r="http://schemas.openxmlformats.org/officeDocument/2006/relationships" name="Listbox" sheetId="32" state="visible" r:id="rId32"/>
    <sheet xmlns:r="http://schemas.openxmlformats.org/officeDocument/2006/relationships" name="Menu" sheetId="33" state="visible" r:id="rId33"/>
    <sheet xmlns:r="http://schemas.openxmlformats.org/officeDocument/2006/relationships" name="Menubar" sheetId="34" state="visible" r:id="rId34"/>
    <sheet xmlns:r="http://schemas.openxmlformats.org/officeDocument/2006/relationships" name="Modal" sheetId="35" state="visible" r:id="rId35"/>
    <sheet xmlns:r="http://schemas.openxmlformats.org/officeDocument/2006/relationships" name="NavList" sheetId="36" state="visible" r:id="rId36"/>
    <sheet xmlns:r="http://schemas.openxmlformats.org/officeDocument/2006/relationships" name="NavigationMenu" sheetId="37" state="visible" r:id="rId37"/>
    <sheet xmlns:r="http://schemas.openxmlformats.org/officeDocument/2006/relationships" name="NumberInput" sheetId="38" state="visible" r:id="rId38"/>
    <sheet xmlns:r="http://schemas.openxmlformats.org/officeDocument/2006/relationships" name="OTPField" sheetId="39" state="visible" r:id="rId39"/>
    <sheet xmlns:r="http://schemas.openxmlformats.org/officeDocument/2006/relationships" name="Pagination" sheetId="40" state="visible" r:id="rId40"/>
    <sheet xmlns:r="http://schemas.openxmlformats.org/officeDocument/2006/relationships" name="PasswordToggleField" sheetId="41" state="visible" r:id="rId41"/>
    <sheet xmlns:r="http://schemas.openxmlformats.org/officeDocument/2006/relationships" name="Popover" sheetId="42" state="visible" r:id="rId42"/>
    <sheet xmlns:r="http://schemas.openxmlformats.org/officeDocument/2006/relationships" name="Portal" sheetId="43" state="visible" r:id="rId43"/>
    <sheet xmlns:r="http://schemas.openxmlformats.org/officeDocument/2006/relationships" name="Pressable" sheetId="44" state="visible" r:id="rId44"/>
    <sheet xmlns:r="http://schemas.openxmlformats.org/officeDocument/2006/relationships" name="Progress" sheetId="45" state="visible" r:id="rId45"/>
    <sheet xmlns:r="http://schemas.openxmlformats.org/officeDocument/2006/relationships" name="RadioGroup" sheetId="46" state="visible" r:id="rId46"/>
    <sheet xmlns:r="http://schemas.openxmlformats.org/officeDocument/2006/relationships" name="Rating" sheetId="47" state="visible" r:id="rId47"/>
    <sheet xmlns:r="http://schemas.openxmlformats.org/officeDocument/2006/relationships" name="ScrollArea" sheetId="48" state="visible" r:id="rId48"/>
    <sheet xmlns:r="http://schemas.openxmlformats.org/officeDocument/2006/relationships" name="Select" sheetId="49" state="visible" r:id="rId49"/>
    <sheet xmlns:r="http://schemas.openxmlformats.org/officeDocument/2006/relationships" name="Sidebar" sheetId="50" state="visible" r:id="rId50"/>
    <sheet xmlns:r="http://schemas.openxmlformats.org/officeDocument/2006/relationships" name="SkipLink" sheetId="51" state="visible" r:id="rId51"/>
    <sheet xmlns:r="http://schemas.openxmlformats.org/officeDocument/2006/relationships" name="Slider" sheetId="52" state="visible" r:id="rId52"/>
    <sheet xmlns:r="http://schemas.openxmlformats.org/officeDocument/2006/relationships" name="SwipeableItem" sheetId="53" state="visible" r:id="rId53"/>
    <sheet xmlns:r="http://schemas.openxmlformats.org/officeDocument/2006/relationships" name="Switch" sheetId="54" state="visible" r:id="rId54"/>
    <sheet xmlns:r="http://schemas.openxmlformats.org/officeDocument/2006/relationships" name="Table" sheetId="55" state="visible" r:id="rId55"/>
    <sheet xmlns:r="http://schemas.openxmlformats.org/officeDocument/2006/relationships" name="Tabs" sheetId="56" state="visible" r:id="rId56"/>
    <sheet xmlns:r="http://schemas.openxmlformats.org/officeDocument/2006/relationships" name="Textarea" sheetId="57" state="visible" r:id="rId57"/>
    <sheet xmlns:r="http://schemas.openxmlformats.org/officeDocument/2006/relationships" name="Toast" sheetId="58" state="visible" r:id="rId58"/>
    <sheet xmlns:r="http://schemas.openxmlformats.org/officeDocument/2006/relationships" name="Toggle" sheetId="59" state="visible" r:id="rId59"/>
    <sheet xmlns:r="http://schemas.openxmlformats.org/officeDocument/2006/relationships" name="ToggleGroup" sheetId="60" state="visible" r:id="rId60"/>
    <sheet xmlns:r="http://schemas.openxmlformats.org/officeDocument/2006/relationships" name="Toolbar" sheetId="61" state="visible" r:id="rId61"/>
    <sheet xmlns:r="http://schemas.openxmlformats.org/officeDocument/2006/relationships" name="Tooltip" sheetId="62" state="visible" r:id="rId62"/>
    <sheet xmlns:r="http://schemas.openxmlformats.org/officeDocument/2006/relationships" name="Tree" sheetId="63" state="visible" r:id="rId63"/>
    <sheet xmlns:r="http://schemas.openxmlformats.org/officeDocument/2006/relationships" name="TreeGrid" sheetId="64" state="visible" r:id="rId64"/>
    <sheet xmlns:r="http://schemas.openxmlformats.org/officeDocument/2006/relationships" name="Virtualizer" sheetId="65" state="visible" r:id="rId65"/>
    <sheet xmlns:r="http://schemas.openxmlformats.org/officeDocument/2006/relationships" name="VisuallyHidden" sheetId="66" state="visible" r:id="rId66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"/>
  </numFmts>
  <fonts count="18">
    <font>
      <name val="Carlito"/>
      <sz val="11"/>
    </font>
    <font>
      <name val="Carlito"/>
      <b val="1"/>
      <color rgb="FF111827"/>
      <sz val="16"/>
    </font>
    <font>
      <name val="Carlito"/>
      <color rgb="FF64748B"/>
      <sz val="10"/>
    </font>
    <font>
      <name val="Carlito"/>
      <i val="1"/>
      <color rgb="FF64748B"/>
      <sz val="9"/>
    </font>
    <font>
      <name val="Carlito"/>
      <b val="1"/>
      <color rgb="FF1F2937"/>
      <sz val="11"/>
    </font>
    <font>
      <name val="Carlito"/>
      <b val="1"/>
      <color rgb="FF111827"/>
      <sz val="11"/>
    </font>
    <font>
      <name val="Carlito"/>
      <b val="1"/>
      <color rgb="FFFFFFFF"/>
      <sz val="11"/>
    </font>
    <font>
      <name val="Carlito"/>
      <color rgb="FF1F2937"/>
      <sz val="11"/>
    </font>
    <font>
      <name val="Carlito"/>
      <b val="1"/>
      <color rgb="FF64748B"/>
      <sz val="11"/>
    </font>
    <font>
      <name val="Carlito"/>
      <b val="1"/>
      <color rgb="FF1F2937"/>
      <sz val="16"/>
    </font>
    <font>
      <name val="Carlito"/>
      <color rgb="FF667085"/>
      <sz val="11"/>
    </font>
    <font>
      <name val="Carlito"/>
      <b val="1"/>
      <color rgb="FF1F2937"/>
      <sz val="11"/>
    </font>
    <font>
      <name val="Carlito"/>
      <color rgb="FF006100"/>
      <sz val="11"/>
    </font>
    <font>
      <name val="Carlito"/>
      <b val="1"/>
      <color rgb="FF006100"/>
      <sz val="11"/>
    </font>
    <font>
      <name val="Carlito"/>
      <b val="1"/>
      <color rgb="FF9C0006"/>
      <sz val="11"/>
    </font>
    <font>
      <name val="Carlito"/>
      <color rgb="FF006100"/>
      <sz val="11"/>
    </font>
    <font>
      <name val="Carlito"/>
      <b val="1"/>
      <color rgb="FF006100"/>
      <sz val="11"/>
    </font>
    <font>
      <name val="Carlito"/>
      <color rgb="FF006100"/>
      <sz val="11"/>
    </font>
  </fonts>
  <fills count="16">
    <fill>
      <patternFill/>
    </fill>
    <fill>
      <patternFill patternType="gray125"/>
    </fill>
    <fill>
      <patternFill patternType="solid">
        <fgColor rgb="FFF8FAFC"/>
      </patternFill>
    </fill>
    <fill>
      <patternFill patternType="solid">
        <fgColor rgb="FF111827"/>
      </patternFill>
    </fill>
    <fill>
      <patternFill patternType="solid">
        <fgColor rgb="FFFEE2E2"/>
      </patternFill>
    </fill>
    <fill>
      <patternFill patternType="solid">
        <fgColor rgb="FFDCFCE7"/>
      </patternFill>
    </fill>
    <fill>
      <patternFill patternType="solid">
        <fgColor rgb="FFFEF3C7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DDE5EF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E2F0D9"/>
      </patternFill>
    </fill>
    <fill>
      <patternFill patternType="solid">
        <fgColor rgb="FFE2F0D9"/>
      </patternFill>
    </fill>
    <fill>
      <patternFill patternType="solid">
        <fgColor rgb="FFE2F0D9"/>
      </patternFill>
    </fill>
    <fill>
      <patternFill patternType="solid">
        <fgColor rgb="FFE2F0D9"/>
      </patternFill>
    </fill>
  </fills>
  <borders count="5">
    <border>
      <left/>
      <right/>
      <top/>
      <bottom/>
      <diagonal/>
    </border>
    <border>
      <left/>
      <right/>
      <top style="medium">
        <color rgb="FFCBD5E1"/>
      </top>
      <bottom style="medium">
        <color rgb="FFCBD5E1"/>
      </bottom>
      <diagonal/>
    </border>
    <border>
      <left/>
      <right/>
      <top/>
      <bottom style="thin">
        <color rgb="FFE5E7EB"/>
      </bottom>
      <diagonal/>
    </border>
    <border>
      <left/>
      <right/>
      <top/>
      <bottom style="thin">
        <color rgb="FFD6DEE8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1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vertical="top" wrapText="1"/>
    </xf>
    <xf numFmtId="164" fontId="7" fillId="0" borderId="2" applyAlignment="1" pivotButton="0" quotePrefix="0" xfId="0">
      <alignment horizontal="center" vertical="top" wrapText="1"/>
    </xf>
    <xf numFmtId="0" fontId="7" fillId="2" borderId="2" applyAlignment="1" pivotButton="0" quotePrefix="0" xfId="0">
      <alignment horizontal="center" vertical="top" wrapText="1"/>
    </xf>
    <xf numFmtId="0" fontId="7" fillId="6" borderId="2" applyAlignment="1" pivotButton="0" quotePrefix="0" xfId="0">
      <alignment horizontal="center" vertical="top" wrapText="1"/>
    </xf>
    <xf numFmtId="0" fontId="7" fillId="7" borderId="2" applyAlignment="1" pivotButton="0" quotePrefix="0" xfId="0">
      <alignment horizontal="center" vertical="top" wrapText="1"/>
    </xf>
    <xf numFmtId="0" fontId="7" fillId="4" borderId="2" applyAlignment="1" pivotButton="0" quotePrefix="0" xfId="0">
      <alignment horizontal="center" vertical="top" wrapText="1"/>
    </xf>
    <xf numFmtId="0" fontId="7" fillId="5" borderId="2" applyAlignment="1" pivotButton="0" quotePrefix="0" xfId="0">
      <alignment horizontal="center" vertical="top" wrapText="1"/>
    </xf>
    <xf numFmtId="0" fontId="7" fillId="8" borderId="2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center"/>
    </xf>
    <xf numFmtId="0" fontId="8" fillId="2" borderId="3" applyAlignment="1" pivotButton="0" quotePrefix="0" xfId="0">
      <alignment vertical="center"/>
    </xf>
    <xf numFmtId="0" fontId="5" fillId="2" borderId="3" applyAlignment="1" pivotButton="0" quotePrefix="0" xfId="0">
      <alignment vertical="center"/>
    </xf>
    <xf numFmtId="9" fontId="8" fillId="2" borderId="3" applyAlignment="1" pivotButton="0" quotePrefix="0" xfId="0">
      <alignment vertical="center"/>
    </xf>
    <xf numFmtId="0" fontId="11" fillId="9" borderId="3" applyAlignment="1" pivotButton="0" quotePrefix="0" xfId="0">
      <alignment horizontal="center" vertical="center"/>
    </xf>
    <xf numFmtId="9" fontId="5" fillId="2" borderId="1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top" wrapText="1"/>
    </xf>
    <xf numFmtId="0" fontId="12" fillId="10" borderId="4" applyAlignment="1" pivotButton="0" quotePrefix="0" xfId="0">
      <alignment vertical="top" wrapText="1"/>
    </xf>
    <xf numFmtId="164" fontId="12" fillId="10" borderId="4" applyAlignment="1" pivotButton="0" quotePrefix="0" xfId="0">
      <alignment horizontal="center" vertical="top" wrapText="1"/>
    </xf>
    <xf numFmtId="0" fontId="12" fillId="12" borderId="4" applyAlignment="1" pivotButton="0" quotePrefix="0" xfId="0">
      <alignment horizontal="center" vertical="top" wrapText="1"/>
    </xf>
    <xf numFmtId="0" fontId="12" fillId="12" borderId="4" applyAlignment="1" pivotButton="0" quotePrefix="0" xfId="0">
      <alignment vertical="top" wrapText="1"/>
    </xf>
    <xf numFmtId="164" fontId="12" fillId="12" borderId="4" applyAlignment="1" pivotButton="0" quotePrefix="0" xfId="0">
      <alignment horizontal="center" vertical="top" wrapText="1"/>
    </xf>
    <xf numFmtId="0" fontId="13" fillId="10" borderId="3" applyAlignment="1" pivotButton="0" quotePrefix="0" xfId="0">
      <alignment horizontal="left" vertical="center"/>
    </xf>
    <xf numFmtId="0" fontId="13" fillId="10" borderId="4" applyAlignment="1" pivotButton="0" quotePrefix="0" xfId="0">
      <alignment horizontal="center" vertical="center"/>
    </xf>
    <xf numFmtId="0" fontId="13" fillId="10" borderId="3" applyAlignment="1" pivotButton="0" quotePrefix="0" xfId="0">
      <alignment horizontal="center" vertical="center"/>
    </xf>
    <xf numFmtId="9" fontId="13" fillId="10" borderId="4" applyAlignment="1" pivotButton="0" quotePrefix="0" xfId="0">
      <alignment horizontal="center" vertical="center"/>
    </xf>
    <xf numFmtId="0" fontId="14" fillId="11" borderId="4" applyAlignment="1" pivotButton="0" quotePrefix="0" xfId="0">
      <alignment horizontal="center" vertical="center"/>
    </xf>
    <xf numFmtId="0" fontId="14" fillId="11" borderId="3" applyAlignment="1" pivotButton="0" quotePrefix="0" xfId="0">
      <alignment horizontal="left" vertical="center"/>
    </xf>
    <xf numFmtId="0" fontId="14" fillId="11" borderId="3" applyAlignment="1" pivotButton="0" quotePrefix="0" xfId="0">
      <alignment horizontal="center" vertical="center"/>
    </xf>
    <xf numFmtId="9" fontId="14" fillId="11" borderId="4" applyAlignment="1" pivotButton="0" quotePrefix="0" xfId="0">
      <alignment horizontal="center" vertical="center"/>
    </xf>
    <xf numFmtId="0" fontId="13" fillId="10" borderId="4" applyAlignment="1" pivotButton="0" quotePrefix="0" xfId="0">
      <alignment horizontal="left" vertical="center"/>
    </xf>
    <xf numFmtId="9" fontId="5" fillId="2" borderId="3" applyAlignment="1" pivotButton="0" quotePrefix="0" xfId="0">
      <alignment vertical="center"/>
    </xf>
    <xf numFmtId="1" fontId="5" fillId="2" borderId="3" applyAlignment="1" pivotButton="0" quotePrefix="0" xfId="0">
      <alignment vertical="center"/>
    </xf>
    <xf numFmtId="9" fontId="13" fillId="10" borderId="3" applyAlignment="1" pivotButton="0" quotePrefix="0" xfId="0">
      <alignment horizontal="center" vertical="center"/>
    </xf>
    <xf numFmtId="0" fontId="15" fillId="13" borderId="2" applyAlignment="1" pivotButton="0" quotePrefix="0" xfId="0">
      <alignment horizontal="center" vertical="top" wrapText="1"/>
    </xf>
    <xf numFmtId="0" fontId="15" fillId="13" borderId="2" applyAlignment="1" pivotButton="0" quotePrefix="0" xfId="0">
      <alignment vertical="top" wrapText="1"/>
    </xf>
    <xf numFmtId="164" fontId="15" fillId="13" borderId="2" applyAlignment="1" pivotButton="0" quotePrefix="0" xfId="0">
      <alignment horizontal="center" vertical="top" wrapText="1"/>
    </xf>
    <xf numFmtId="0" fontId="13" fillId="13" borderId="3" applyAlignment="1" pivotButton="0" quotePrefix="0" xfId="0">
      <alignment horizontal="left" vertical="center"/>
    </xf>
    <xf numFmtId="0" fontId="13" fillId="13" borderId="3" applyAlignment="1" pivotButton="0" quotePrefix="0" xfId="0">
      <alignment horizontal="center" vertical="center"/>
    </xf>
    <xf numFmtId="9" fontId="13" fillId="13" borderId="4" applyAlignment="1" pivotButton="0" quotePrefix="0" xfId="0">
      <alignment horizontal="center" vertical="center"/>
    </xf>
    <xf numFmtId="0" fontId="13" fillId="13" borderId="4" applyAlignment="1" pivotButton="0" quotePrefix="0" xfId="0">
      <alignment horizontal="center" vertical="center"/>
    </xf>
    <xf numFmtId="0" fontId="16" fillId="14" borderId="3" applyAlignment="1" pivotButton="0" quotePrefix="0" xfId="0">
      <alignment horizontal="left" vertical="center"/>
    </xf>
    <xf numFmtId="0" fontId="16" fillId="14" borderId="3" applyAlignment="1" pivotButton="0" quotePrefix="0" xfId="0">
      <alignment horizontal="center" vertical="center"/>
    </xf>
    <xf numFmtId="9" fontId="16" fillId="14" borderId="4" applyAlignment="1" pivotButton="0" quotePrefix="0" xfId="0">
      <alignment horizontal="center" vertical="center"/>
    </xf>
    <xf numFmtId="0" fontId="16" fillId="14" borderId="4" applyAlignment="1" pivotButton="0" quotePrefix="0" xfId="0">
      <alignment horizontal="center" vertical="center"/>
    </xf>
    <xf numFmtId="0" fontId="14" fillId="15" borderId="3" applyAlignment="1" pivotButton="0" quotePrefix="0" xfId="0">
      <alignment horizontal="left" vertical="center"/>
    </xf>
    <xf numFmtId="0" fontId="14" fillId="15" borderId="3" applyAlignment="1" pivotButton="0" quotePrefix="0" xfId="0">
      <alignment horizontal="center" vertical="center"/>
    </xf>
    <xf numFmtId="9" fontId="14" fillId="15" borderId="4" applyAlignment="1" pivotButton="0" quotePrefix="0" xfId="0">
      <alignment horizontal="center" vertical="center"/>
    </xf>
    <xf numFmtId="0" fontId="17" fillId="15" borderId="4" applyAlignment="1" pivotButton="0" quotePrefix="0" xfId="0">
      <alignment horizontal="center" vertical="center"/>
    </xf>
    <xf numFmtId="0" fontId="7" fillId="15" borderId="2" applyAlignment="1" pivotButton="0" quotePrefix="0" xfId="0">
      <alignment horizontal="center" vertical="top" wrapText="1"/>
    </xf>
    <xf numFmtId="0" fontId="7" fillId="15" borderId="2" applyAlignment="1" pivotButton="0" quotePrefix="0" xfId="0">
      <alignment vertical="top" wrapText="1"/>
    </xf>
    <xf numFmtId="0" fontId="17" fillId="15" borderId="2" applyAlignment="1" pivotButton="0" quotePrefix="0" xfId="0">
      <alignment horizontal="center" vertical="top" wrapText="1"/>
    </xf>
    <xf numFmtId="164" fontId="7" fillId="15" borderId="2" applyAlignment="1" pivotButton="0" quotePrefix="0" xfId="0">
      <alignment horizontal="center" vertical="top" wrapText="1"/>
    </xf>
    <xf numFmtId="0" fontId="9" fillId="0" borderId="3" applyAlignment="1" pivotButton="0" quotePrefix="0" xfId="0">
      <alignment vertical="center"/>
    </xf>
    <xf numFmtId="0" fontId="0" fillId="0" borderId="3" pivotButton="0" quotePrefix="0" xfId="0"/>
    <xf numFmtId="0" fontId="10" fillId="0" borderId="3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0" fillId="0" borderId="0" pivotButton="0" quotePrefix="0" xfId="0"/>
    <xf numFmtId="0" fontId="3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/>
    </xf>
  </cellXfs>
  <cellStyles count="1">
    <cellStyle name="Normal" xfId="0" builtinId="0"/>
  </cellStyles>
  <dxfs count="8">
    <dxf>
      <fill>
        <patternFill>
          <bgColor rgb="FFF4CCCC"/>
        </patternFill>
      </fill>
    </dxf>
    <dxf>
      <fill>
        <patternFill>
          <bgColor rgb="FFD9EAD3"/>
        </patternFill>
      </fill>
    </dxf>
    <dxf>
      <fill>
        <patternFill>
          <bgColor rgb="FFE5E7EB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  <dxf>
      <fill>
        <patternFill>
          <bgColor rgb="FFD9EAD3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006100"/>
      </font>
      <fill>
        <patternFill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styles" Target="styles.xml" Id="rId67"/><Relationship Type="http://schemas.openxmlformats.org/officeDocument/2006/relationships/theme" Target="theme/theme1.xml" Id="rId68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"/>
  <sheetViews>
    <sheetView showGridLines="0" tabSelected="1" zoomScale="230" zoomScaleNormal="230" workbookViewId="0">
      <selection activeCell="E41" sqref="E41"/>
    </sheetView>
  </sheetViews>
  <sheetFormatPr baseColWidth="10" defaultColWidth="8.83203125" defaultRowHeight="14"/>
  <cols>
    <col width="24" customWidth="1" style="60" min="1" max="1"/>
    <col width="12" customWidth="1" style="60" min="2" max="2"/>
    <col width="10" customWidth="1" style="60" min="3" max="6"/>
    <col width="12" customWidth="1" style="60" min="7" max="7"/>
    <col width="14" customWidth="1" style="60" min="8" max="8"/>
    <col width="10" customWidth="1" style="60" min="9" max="9"/>
  </cols>
  <sheetData>
    <row r="1" ht="23" customHeight="1" s="60">
      <c r="A1" s="56" t="inlineStr">
        <is>
          <t>Atom Playground Coverage Index</t>
        </is>
      </c>
      <c r="B1" s="57" t="n"/>
      <c r="C1" s="57" t="n"/>
      <c r="D1" s="57" t="n"/>
      <c r="E1" s="57" t="n"/>
      <c r="F1" s="57" t="n"/>
      <c r="G1" s="57" t="n"/>
      <c r="H1" s="57" t="n"/>
      <c r="I1" s="57" t="n"/>
    </row>
    <row r="2">
      <c r="A2" s="58" t="inlineStr">
        <is>
          <t>Formula-driven summary of component playground coverage. Component tabs are alphabetical; completion updates when each component table changes.</t>
        </is>
      </c>
      <c r="B2" s="57" t="n"/>
      <c r="C2" s="57" t="n"/>
      <c r="D2" s="57" t="n"/>
      <c r="E2" s="57" t="n"/>
      <c r="F2" s="57" t="n"/>
      <c r="G2" s="57" t="n"/>
      <c r="H2" s="57" t="n"/>
      <c r="I2" s="57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</row>
    <row r="4" ht="15" customHeight="1" s="60">
      <c r="A4" s="14" t="inlineStr">
        <is>
          <t>Components</t>
        </is>
      </c>
      <c r="B4" s="15">
        <f>COUNTA(A7:A500)</f>
        <v/>
      </c>
      <c r="C4" s="14" t="inlineStr">
        <is>
          <t>Overall</t>
        </is>
      </c>
      <c r="D4" s="34">
        <f>IFERROR(SUMPRODUCT(B7:B500,G7:G500)/SUM(B7:B500),0)</f>
        <v/>
      </c>
      <c r="E4" s="14" t="inlineStr">
        <is>
          <t>Done</t>
        </is>
      </c>
      <c r="F4" s="15">
        <f>COUNTIF(H7:H500,"Done")</f>
        <v/>
      </c>
      <c r="G4" s="16" t="inlineStr">
        <is>
          <t>Open</t>
        </is>
      </c>
      <c r="H4" s="35">
        <f>MAX(0,B4-F4)</f>
        <v/>
      </c>
      <c r="I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  <c r="I5" s="13" t="n"/>
    </row>
    <row r="6" ht="15" customHeight="1" s="60">
      <c r="A6" s="17" t="inlineStr">
        <is>
          <t>Component</t>
        </is>
      </c>
      <c r="B6" s="17" t="inlineStr">
        <is>
          <t>Total Tests</t>
        </is>
      </c>
      <c r="C6" s="17" t="inlineStr">
        <is>
          <t>Covered</t>
        </is>
      </c>
      <c r="D6" s="17" t="inlineStr">
        <is>
          <t>Partial</t>
        </is>
      </c>
      <c r="E6" s="17" t="inlineStr">
        <is>
          <t>Missing</t>
        </is>
      </c>
      <c r="F6" s="17" t="inlineStr">
        <is>
          <t>Untested</t>
        </is>
      </c>
      <c r="G6" s="17" t="inlineStr">
        <is>
          <t>Completion</t>
        </is>
      </c>
      <c r="H6" s="17" t="inlineStr">
        <is>
          <t>Status</t>
        </is>
      </c>
      <c r="I6" s="17" t="inlineStr">
        <is>
          <t>Open</t>
        </is>
      </c>
    </row>
    <row r="7" ht="15" customHeight="1" s="60">
      <c r="A7" s="30" t="inlineStr">
        <is>
          <t>Accordion</t>
        </is>
      </c>
      <c r="B7" s="31">
        <f>COUNT(Accordion!A9:A500)</f>
        <v/>
      </c>
      <c r="C7" s="31">
        <f>COUNTIF(Accordion!H9:H500,"covered")</f>
        <v/>
      </c>
      <c r="D7" s="31">
        <f>COUNTIF(Accordion!H9:H500,"partial")</f>
        <v/>
      </c>
      <c r="E7" s="31">
        <f>COUNTIF(Accordion!H9:H500,"missing")</f>
        <v/>
      </c>
      <c r="F7" s="31">
        <f>COUNTIF(Accordion!H9:H500,"untested")</f>
        <v/>
      </c>
      <c r="G7" s="32">
        <f>IFERROR(C7/B7,0)</f>
        <v/>
      </c>
      <c r="H7" s="29">
        <f>IF(AND(B7&gt;0,I7=0,G7=1),"Done","Open")</f>
        <v/>
      </c>
      <c r="I7" s="29">
        <f>MAX(0,B7-C7)</f>
        <v/>
      </c>
    </row>
    <row r="8" ht="15" customHeight="1" s="60">
      <c r="A8" s="30" t="inlineStr">
        <is>
          <t>AlertDialog</t>
        </is>
      </c>
      <c r="B8" s="31">
        <f>COUNT(AlertDialog!A9:A500)</f>
        <v/>
      </c>
      <c r="C8" s="31">
        <f>COUNTIF(AlertDialog!H9:H500,"covered")</f>
        <v/>
      </c>
      <c r="D8" s="31">
        <f>COUNTIF(AlertDialog!H9:H500,"partial")</f>
        <v/>
      </c>
      <c r="E8" s="31">
        <f>COUNTIF(AlertDialog!H9:H500,"missing")</f>
        <v/>
      </c>
      <c r="F8" s="31">
        <f>COUNTIF(AlertDialog!H9:H500,"untested")</f>
        <v/>
      </c>
      <c r="G8" s="32">
        <f>IFERROR(C8/B8,0)</f>
        <v/>
      </c>
      <c r="H8" s="29">
        <f>IF(AND(B8&gt;0,I8=0,G8=1),"Done","Open")</f>
        <v/>
      </c>
      <c r="I8" s="29">
        <f>MAX(0,B8-C8)</f>
        <v/>
      </c>
    </row>
    <row r="9" ht="15" customHeight="1" s="60">
      <c r="A9" s="30" t="inlineStr">
        <is>
          <t>AppBar</t>
        </is>
      </c>
      <c r="B9" s="31">
        <f>COUNT(AppBar!A9:A500)</f>
        <v/>
      </c>
      <c r="C9" s="31">
        <f>COUNTIF(AppBar!H9:H500,"covered")</f>
        <v/>
      </c>
      <c r="D9" s="31">
        <f>COUNTIF(AppBar!H9:H500,"partial")</f>
        <v/>
      </c>
      <c r="E9" s="31">
        <f>COUNTIF(AppBar!H9:H500,"missing")</f>
        <v/>
      </c>
      <c r="F9" s="31">
        <f>COUNTIF(AppBar!H9:H500,"untested")</f>
        <v/>
      </c>
      <c r="G9" s="32">
        <f>IFERROR(C9/B9,0)</f>
        <v/>
      </c>
      <c r="H9" s="29">
        <f>IF(AND(B9&gt;0,I9=0,G9=1),"Done","Open")</f>
        <v/>
      </c>
      <c r="I9" s="29">
        <f>MAX(0,B9-C9)</f>
        <v/>
      </c>
    </row>
    <row r="10" ht="15" customHeight="1" s="60">
      <c r="A10" s="33" t="inlineStr">
        <is>
          <t>AspectRatio</t>
        </is>
      </c>
      <c r="B10" s="26">
        <f>COUNT(AspectRatio!A9:A500)</f>
        <v/>
      </c>
      <c r="C10" s="26">
        <f>COUNTIF(AspectRatio!H9:H500,"covered")</f>
        <v/>
      </c>
      <c r="D10" s="26">
        <f>COUNTIF(AspectRatio!H9:H500,"partial")</f>
        <v/>
      </c>
      <c r="E10" s="26">
        <f>COUNTIF(AspectRatio!H9:H500,"missing")</f>
        <v/>
      </c>
      <c r="F10" s="26">
        <f>COUNTIF(AspectRatio!H9:H500,"untested")</f>
        <v/>
      </c>
      <c r="G10" s="28">
        <f>IFERROR(C10/B10,0)</f>
        <v/>
      </c>
      <c r="H10" s="26">
        <f>IF(AND(B10&gt;0,I10=0,G10=1),"Done","Open")</f>
        <v/>
      </c>
      <c r="I10" s="26">
        <f>MAX(0,B10-C10)</f>
        <v/>
      </c>
    </row>
    <row r="11" ht="15" customHeight="1" s="60">
      <c r="A11" s="25" t="inlineStr">
        <is>
          <t>Avatar</t>
        </is>
      </c>
      <c r="B11" s="27">
        <f>COUNT(Avatar!A9:A500)</f>
        <v/>
      </c>
      <c r="C11" s="27">
        <f>COUNTIF(Avatar!H9:H500,"covered")</f>
        <v/>
      </c>
      <c r="D11" s="27">
        <f>COUNTIF(Avatar!H9:H500,"partial")</f>
        <v/>
      </c>
      <c r="E11" s="27">
        <f>COUNTIF(Avatar!H9:H500,"missing")</f>
        <v/>
      </c>
      <c r="F11" s="27">
        <f>COUNTIF(Avatar!H9:H500,"untested")</f>
        <v/>
      </c>
      <c r="G11" s="28">
        <f>IFERROR(C11/B11,0)</f>
        <v/>
      </c>
      <c r="H11" s="26">
        <f>IF(AND(B11&gt;0,I11=0,G11=1),"Done","Open")</f>
        <v/>
      </c>
      <c r="I11" s="26">
        <f>MAX(0,B11-C11)</f>
        <v/>
      </c>
    </row>
    <row r="12" ht="15" customHeight="1" s="60">
      <c r="A12" s="25" t="inlineStr">
        <is>
          <t>Badge</t>
        </is>
      </c>
      <c r="B12" s="27">
        <f>COUNT(Badge!A9:A500)</f>
        <v/>
      </c>
      <c r="C12" s="27">
        <f>COUNTIF(Badge!H9:H500,"covered")</f>
        <v/>
      </c>
      <c r="D12" s="27">
        <f>COUNTIF(Badge!H9:H500,"partial")</f>
        <v/>
      </c>
      <c r="E12" s="27">
        <f>COUNTIF(Badge!H9:H500,"missing")</f>
        <v/>
      </c>
      <c r="F12" s="27">
        <f>COUNTIF(Badge!H9:H500,"untested")</f>
        <v/>
      </c>
      <c r="G12" s="28">
        <f>IFERROR(C12/B12,0)</f>
        <v/>
      </c>
      <c r="H12" s="26">
        <f>IF(AND(B12&gt;0,I12=0,G12=1),"Done","Open")</f>
        <v/>
      </c>
      <c r="I12" s="26">
        <f>MAX(0,B12-C12)</f>
        <v/>
      </c>
    </row>
    <row r="13" ht="15" customHeight="1" s="60">
      <c r="A13" s="30" t="inlineStr">
        <is>
          <t>BottomNavigation</t>
        </is>
      </c>
      <c r="B13" s="31">
        <f>COUNT(BottomNavigation!A9:A500)</f>
        <v/>
      </c>
      <c r="C13" s="31">
        <f>COUNTIF(BottomNavigation!H9:H500,"covered")</f>
        <v/>
      </c>
      <c r="D13" s="31">
        <f>COUNTIF(BottomNavigation!H9:H500,"partial")</f>
        <v/>
      </c>
      <c r="E13" s="31">
        <f>COUNTIF(BottomNavigation!H9:H500,"missing")</f>
        <v/>
      </c>
      <c r="F13" s="31">
        <f>COUNTIF(BottomNavigation!H9:H500,"untested")</f>
        <v/>
      </c>
      <c r="G13" s="32">
        <f>IFERROR(C13/B13,0)</f>
        <v/>
      </c>
      <c r="H13" s="29">
        <f>IF(AND(B13&gt;0,I13=0,G13=1),"Done","Open")</f>
        <v/>
      </c>
      <c r="I13" s="29">
        <f>MAX(0,B13-C13)</f>
        <v/>
      </c>
    </row>
    <row r="14" ht="15" customHeight="1" s="60">
      <c r="A14" s="30" t="inlineStr">
        <is>
          <t>Breadcrumb</t>
        </is>
      </c>
      <c r="B14" s="31">
        <f>COUNT(Breadcrumb!A9:A500)</f>
        <v/>
      </c>
      <c r="C14" s="31">
        <f>COUNTIF(Breadcrumb!H9:H500,"covered")</f>
        <v/>
      </c>
      <c r="D14" s="31">
        <f>COUNTIF(Breadcrumb!H9:H500,"partial")</f>
        <v/>
      </c>
      <c r="E14" s="31">
        <f>COUNTIF(Breadcrumb!H9:H500,"missing")</f>
        <v/>
      </c>
      <c r="F14" s="31">
        <f>COUNTIF(Breadcrumb!H9:H500,"untested")</f>
        <v/>
      </c>
      <c r="G14" s="32">
        <f>IFERROR(C14/B14,0)</f>
        <v/>
      </c>
      <c r="H14" s="29">
        <f>IF(AND(B14&gt;0,I14=0,G14=1),"Done","Open")</f>
        <v/>
      </c>
      <c r="I14" s="29">
        <f>MAX(0,B14-C14)</f>
        <v/>
      </c>
    </row>
    <row r="15" ht="15" customHeight="1" s="60">
      <c r="A15" s="40" t="inlineStr">
        <is>
          <t>Button</t>
        </is>
      </c>
      <c r="B15" s="41">
        <f>COUNT(Button!A9:A500)</f>
        <v/>
      </c>
      <c r="C15" s="41">
        <f>COUNTIF(Button!H9:H500,"covered")</f>
        <v/>
      </c>
      <c r="D15" s="41">
        <f>COUNTIF(Button!H9:H500,"partial")</f>
        <v/>
      </c>
      <c r="E15" s="41">
        <f>COUNTIF(Button!H9:H500,"missing")</f>
        <v/>
      </c>
      <c r="F15" s="41">
        <f>COUNTIF(Button!H9:H500,"untested")</f>
        <v/>
      </c>
      <c r="G15" s="42">
        <f>IFERROR(C15/B15,0)</f>
        <v/>
      </c>
      <c r="H15" s="43">
        <f>IF(AND(B15&gt;0,I15=0,G15=1),"Done","Open")</f>
        <v/>
      </c>
      <c r="I15" s="43">
        <f>MAX(0,B15-C15)</f>
        <v/>
      </c>
    </row>
    <row r="16" ht="15" customHeight="1" s="60">
      <c r="A16" s="44" t="inlineStr">
        <is>
          <t>Checkbox</t>
        </is>
      </c>
      <c r="B16" s="45">
        <f>COUNT(Checkbox!A9:A500)</f>
        <v/>
      </c>
      <c r="C16" s="45">
        <f>COUNTIF(Checkbox!H9:H500,"covered")</f>
        <v/>
      </c>
      <c r="D16" s="45">
        <f>COUNTIF(Checkbox!H9:H500,"partial")</f>
        <v/>
      </c>
      <c r="E16" s="45">
        <f>COUNTIF(Checkbox!H9:H500,"missing")</f>
        <v/>
      </c>
      <c r="F16" s="45">
        <f>COUNTIF(Checkbox!H9:H500,"untested")</f>
        <v/>
      </c>
      <c r="G16" s="46">
        <f>IFERROR(C16/B16,0)</f>
        <v/>
      </c>
      <c r="H16" s="47">
        <f>IF(AND(B16&gt;0,I16=0,G16=1),"Done","Open")</f>
        <v/>
      </c>
      <c r="I16" s="47">
        <f>MAX(0,B16-C16)</f>
        <v/>
      </c>
    </row>
    <row r="17" ht="15" customHeight="1" s="60">
      <c r="A17" s="30" t="inlineStr">
        <is>
          <t>CheckboxGroup</t>
        </is>
      </c>
      <c r="B17" s="31">
        <f>COUNT(CheckboxGroup!A9:A500)</f>
        <v/>
      </c>
      <c r="C17" s="31">
        <f>COUNTIF(CheckboxGroup!H9:H500,"covered")</f>
        <v/>
      </c>
      <c r="D17" s="31">
        <f>COUNTIF(CheckboxGroup!H9:H500,"partial")</f>
        <v/>
      </c>
      <c r="E17" s="31">
        <f>COUNTIF(CheckboxGroup!H9:H500,"missing")</f>
        <v/>
      </c>
      <c r="F17" s="31">
        <f>COUNTIF(CheckboxGroup!H9:H500,"untested")</f>
        <v/>
      </c>
      <c r="G17" s="32">
        <f>IFERROR(C17/B17,0)</f>
        <v/>
      </c>
      <c r="H17" s="29">
        <f>IF(AND(B17&gt;0,I17=0,G17=1),"Done","Open")</f>
        <v/>
      </c>
      <c r="I17" s="29">
        <f>MAX(0,B17-C17)</f>
        <v/>
      </c>
    </row>
    <row r="18" ht="15" customHeight="1" s="60">
      <c r="A18" s="30" t="inlineStr">
        <is>
          <t>Collapsible</t>
        </is>
      </c>
      <c r="B18" s="31">
        <f>COUNT(Collapsible!A9:A500)</f>
        <v/>
      </c>
      <c r="C18" s="31">
        <f>COUNTIF(Collapsible!H9:H500,"covered")</f>
        <v/>
      </c>
      <c r="D18" s="31">
        <f>COUNTIF(Collapsible!H9:H500,"partial")</f>
        <v/>
      </c>
      <c r="E18" s="31">
        <f>COUNTIF(Collapsible!H9:H500,"missing")</f>
        <v/>
      </c>
      <c r="F18" s="31">
        <f>COUNTIF(Collapsible!H9:H500,"untested")</f>
        <v/>
      </c>
      <c r="G18" s="32">
        <f>IFERROR(C18/B18,0)</f>
        <v/>
      </c>
      <c r="H18" s="29">
        <f>IF(AND(B18&gt;0,I18=0,G18=1),"Done","Open")</f>
        <v/>
      </c>
      <c r="I18" s="29">
        <f>MAX(0,B18-C18)</f>
        <v/>
      </c>
    </row>
    <row r="19" ht="15" customHeight="1" s="60">
      <c r="A19" s="33" t="inlineStr">
        <is>
          <t>Collection</t>
        </is>
      </c>
      <c r="B19" s="26">
        <f>COUNT(Collection!A9:A500)</f>
        <v/>
      </c>
      <c r="C19" s="26">
        <f>COUNTIF(Collection!H9:H500,"covered")</f>
        <v/>
      </c>
      <c r="D19" s="26">
        <f>COUNTIF(Collection!H9:H500,"partial")</f>
        <v/>
      </c>
      <c r="E19" s="26">
        <f>COUNTIF(Collection!H9:H500,"missing")</f>
        <v/>
      </c>
      <c r="F19" s="26">
        <f>COUNTIF(Collection!H9:H500,"untested")</f>
        <v/>
      </c>
      <c r="G19" s="28">
        <f>IFERROR(C19/B19,0)</f>
        <v/>
      </c>
      <c r="H19" s="26">
        <f>IF(AND(B19&gt;0,I19=0,G19=1),"Done","Open")</f>
        <v/>
      </c>
      <c r="I19" s="26">
        <f>MAX(0,B19-C19)</f>
        <v/>
      </c>
    </row>
    <row r="20" ht="15" customHeight="1" s="60">
      <c r="A20" s="25" t="inlineStr">
        <is>
          <t>Combobox</t>
        </is>
      </c>
      <c r="B20" s="27">
        <f>COUNT(Combobox!A9:A500)</f>
        <v/>
      </c>
      <c r="C20" s="27">
        <f>COUNTIF(Combobox!H9:H500,"covered")</f>
        <v/>
      </c>
      <c r="D20" s="27">
        <f>COUNTIF(Combobox!H9:H500,"partial")</f>
        <v/>
      </c>
      <c r="E20" s="27">
        <f>COUNTIF(Combobox!H9:H500,"missing")</f>
        <v/>
      </c>
      <c r="F20" s="27">
        <f>COUNTIF(Combobox!H9:H500,"untested")</f>
        <v/>
      </c>
      <c r="G20" s="28">
        <f>IFERROR(C20/B20,0)</f>
        <v/>
      </c>
      <c r="H20" s="26">
        <f>IF(AND(B20&gt;0,I20=0,G20=1),"Done","Open")</f>
        <v/>
      </c>
      <c r="I20" s="26">
        <f>MAX(0,B20-C20)</f>
        <v/>
      </c>
    </row>
    <row r="21" ht="15" customHeight="1" s="60">
      <c r="A21" s="30" t="inlineStr">
        <is>
          <t>ContextMenu</t>
        </is>
      </c>
      <c r="B21" s="31">
        <f>COUNT(ContextMenu!A9:A500)</f>
        <v/>
      </c>
      <c r="C21" s="31">
        <f>COUNTIF(ContextMenu!H9:H500,"covered")</f>
        <v/>
      </c>
      <c r="D21" s="31">
        <f>COUNTIF(ContextMenu!H9:H500,"partial")</f>
        <v/>
      </c>
      <c r="E21" s="31">
        <f>COUNTIF(ContextMenu!H9:H500,"missing")</f>
        <v/>
      </c>
      <c r="F21" s="31">
        <f>COUNTIF(ContextMenu!H9:H500,"untested")</f>
        <v/>
      </c>
      <c r="G21" s="32">
        <f>IFERROR(C21/B21,0)</f>
        <v/>
      </c>
      <c r="H21" s="29">
        <f>IF(AND(B21&gt;0,I21=0,G21=1),"Done","Open")</f>
        <v/>
      </c>
      <c r="I21" s="29">
        <f>MAX(0,B21-C21)</f>
        <v/>
      </c>
    </row>
    <row r="22" ht="15" customHeight="1" s="60">
      <c r="A22" s="30" t="inlineStr">
        <is>
          <t>DataGrid</t>
        </is>
      </c>
      <c r="B22" s="31">
        <f>COUNT(DataGrid!A9:A500)</f>
        <v/>
      </c>
      <c r="C22" s="31">
        <f>COUNTIF(DataGrid!H9:H500,"covered")</f>
        <v/>
      </c>
      <c r="D22" s="31">
        <f>COUNTIF(DataGrid!H9:H500,"partial")</f>
        <v/>
      </c>
      <c r="E22" s="31">
        <f>COUNTIF(DataGrid!H9:H500,"missing")</f>
        <v/>
      </c>
      <c r="F22" s="31">
        <f>COUNTIF(DataGrid!H9:H500,"untested")</f>
        <v/>
      </c>
      <c r="G22" s="32">
        <f>IFERROR(C22/B22,0)</f>
        <v/>
      </c>
      <c r="H22" s="29">
        <f>IF(AND(B22&gt;0,I22=0,G22=1),"Done","Open")</f>
        <v/>
      </c>
      <c r="I22" s="29">
        <f>MAX(0,B22-C22)</f>
        <v/>
      </c>
    </row>
    <row r="23" ht="15" customHeight="1" s="60">
      <c r="A23" s="44" t="inlineStr">
        <is>
          <t>Dialog</t>
        </is>
      </c>
      <c r="B23" s="45">
        <f>COUNT(Dialog!A9:A500)</f>
        <v/>
      </c>
      <c r="C23" s="45">
        <f>COUNTIF(Dialog!H9:H500,"covered")</f>
        <v/>
      </c>
      <c r="D23" s="45">
        <f>COUNTIF(Dialog!H9:H500,"partial")</f>
        <v/>
      </c>
      <c r="E23" s="45">
        <f>COUNTIF(Dialog!H9:H500,"missing")</f>
        <v/>
      </c>
      <c r="F23" s="45">
        <f>COUNTIF(Dialog!H9:H500,"untested")</f>
        <v/>
      </c>
      <c r="G23" s="46">
        <f>IFERROR(C23/B23,0)</f>
        <v/>
      </c>
      <c r="H23" s="47">
        <f>IF(AND(B23&gt;0,I23=0,G23=1),"Done","Open")</f>
        <v/>
      </c>
      <c r="I23" s="47">
        <f>MAX(0,B23-C23)</f>
        <v/>
      </c>
    </row>
    <row r="24" ht="15" customHeight="1" s="60">
      <c r="A24" s="33" t="inlineStr">
        <is>
          <t>Direction</t>
        </is>
      </c>
      <c r="B24" s="26">
        <f>COUNT(Direction!A9:A500)</f>
        <v/>
      </c>
      <c r="C24" s="26">
        <f>COUNTIF(Direction!H9:H500,"covered")</f>
        <v/>
      </c>
      <c r="D24" s="26">
        <f>COUNTIF(Direction!H9:H500,"partial")</f>
        <v/>
      </c>
      <c r="E24" s="26">
        <f>COUNTIF(Direction!H9:H500,"missing")</f>
        <v/>
      </c>
      <c r="F24" s="26">
        <f>COUNTIF(Direction!H9:H500,"untested")</f>
        <v/>
      </c>
      <c r="G24" s="28">
        <f>IFERROR(C24/B24,0)</f>
        <v/>
      </c>
      <c r="H24" s="26">
        <f>IF(AND(B24&gt;0,I24=0,G24=1),"Done","Open")</f>
        <v/>
      </c>
      <c r="I24" s="26">
        <f>MAX(0,B24-C24)</f>
        <v/>
      </c>
    </row>
    <row r="25" ht="15" customHeight="1" s="60">
      <c r="A25" s="33" t="inlineStr">
        <is>
          <t>Divider</t>
        </is>
      </c>
      <c r="B25" s="26">
        <f>COUNT(Divider!A9:A500)</f>
        <v/>
      </c>
      <c r="C25" s="26">
        <f>COUNTIF(Divider!H9:H500,"covered")</f>
        <v/>
      </c>
      <c r="D25" s="26">
        <f>COUNTIF(Divider!H9:H500,"partial")</f>
        <v/>
      </c>
      <c r="E25" s="26">
        <f>COUNTIF(Divider!H9:H500,"missing")</f>
        <v/>
      </c>
      <c r="F25" s="26">
        <f>COUNTIF(Divider!H9:H500,"untested")</f>
        <v/>
      </c>
      <c r="G25" s="28">
        <f>IFERROR(C25/B25,0)</f>
        <v/>
      </c>
      <c r="H25" s="26">
        <f>IF(AND(B25&gt;0,I25=0,G25=1),"Done","Open")</f>
        <v/>
      </c>
      <c r="I25" s="26">
        <f>MAX(0,B25-C25)</f>
        <v/>
      </c>
    </row>
    <row r="26" ht="15" customHeight="1" s="60">
      <c r="A26" s="30" t="inlineStr">
        <is>
          <t>Drawer</t>
        </is>
      </c>
      <c r="B26" s="31">
        <f>COUNT(Drawer!A9:A500)</f>
        <v/>
      </c>
      <c r="C26" s="31">
        <f>COUNTIF(Drawer!H9:H500,"covered")</f>
        <v/>
      </c>
      <c r="D26" s="31">
        <f>COUNTIF(Drawer!H9:H500,"partial")</f>
        <v/>
      </c>
      <c r="E26" s="31">
        <f>COUNTIF(Drawer!H9:H500,"missing")</f>
        <v/>
      </c>
      <c r="F26" s="31">
        <f>COUNTIF(Drawer!H9:H500,"untested")</f>
        <v/>
      </c>
      <c r="G26" s="32">
        <f>IFERROR(C26/B26,0)</f>
        <v/>
      </c>
      <c r="H26" s="29">
        <f>IF(AND(B26&gt;0,I26=0,G26=1),"Done","Open")</f>
        <v/>
      </c>
      <c r="I26" s="29">
        <f>MAX(0,B26-C26)</f>
        <v/>
      </c>
    </row>
    <row r="27" ht="15" customHeight="1" s="60">
      <c r="A27" s="40" t="inlineStr">
        <is>
          <t>DropdownMenu</t>
        </is>
      </c>
      <c r="B27" s="41">
        <f>COUNT(DropdownMenu!A9:A500)</f>
        <v/>
      </c>
      <c r="C27" s="41">
        <f>COUNTIF(DropdownMenu!H9:H500,"covered")</f>
        <v/>
      </c>
      <c r="D27" s="41">
        <f>COUNTIF(DropdownMenu!H9:H500,"partial")</f>
        <v/>
      </c>
      <c r="E27" s="41">
        <f>COUNTIF(DropdownMenu!H9:H500,"missing")</f>
        <v/>
      </c>
      <c r="F27" s="41">
        <f>COUNTIF(DropdownMenu!H9:H500,"untested")</f>
        <v/>
      </c>
      <c r="G27" s="42">
        <f>IFERROR(C27/B27,0)</f>
        <v/>
      </c>
      <c r="H27" s="43">
        <f>IF(AND(B27&gt;0,I27=0,G27=1),"Done","Open")</f>
        <v/>
      </c>
      <c r="I27" s="43">
        <f>MAX(0,B27-C27)</f>
        <v/>
      </c>
    </row>
    <row r="28" ht="15" customHeight="1" s="60">
      <c r="A28" s="30" t="inlineStr">
        <is>
          <t>Feed</t>
        </is>
      </c>
      <c r="B28" s="31">
        <f>COUNT(Feed!A9:A500)</f>
        <v/>
      </c>
      <c r="C28" s="31">
        <f>COUNTIF(Feed!H9:H500,"covered")</f>
        <v/>
      </c>
      <c r="D28" s="31">
        <f>COUNTIF(Feed!H9:H500,"partial")</f>
        <v/>
      </c>
      <c r="E28" s="31">
        <f>COUNTIF(Feed!H9:H500,"missing")</f>
        <v/>
      </c>
      <c r="F28" s="31">
        <f>COUNTIF(Feed!H9:H500,"untested")</f>
        <v/>
      </c>
      <c r="G28" s="32">
        <f>IFERROR(C28/B28,0)</f>
        <v/>
      </c>
      <c r="H28" s="29">
        <f>IF(AND(B28&gt;0,I28=0,G28=1),"Done","Open")</f>
        <v/>
      </c>
      <c r="I28" s="29">
        <f>MAX(0,B28-C28)</f>
        <v/>
      </c>
    </row>
    <row r="29" ht="15" customHeight="1" s="60">
      <c r="A29" s="25" t="inlineStr">
        <is>
          <t>Field</t>
        </is>
      </c>
      <c r="B29" s="27">
        <f>COUNT(Field!A9:A500)</f>
        <v/>
      </c>
      <c r="C29" s="27">
        <f>COUNTIF(Field!H9:H500,"covered")</f>
        <v/>
      </c>
      <c r="D29" s="27">
        <f>COUNTIF(Field!H9:H500,"partial")</f>
        <v/>
      </c>
      <c r="E29" s="27">
        <f>COUNTIF(Field!H9:H500,"missing")</f>
        <v/>
      </c>
      <c r="F29" s="27">
        <f>COUNTIF(Field!H9:H500,"untested")</f>
        <v/>
      </c>
      <c r="G29" s="28">
        <f>IFERROR(C29/B29,0)</f>
        <v/>
      </c>
      <c r="H29" s="26">
        <f>IF(AND(B29&gt;0,I29=0,G29=1),"Done","Open")</f>
        <v/>
      </c>
      <c r="I29" s="26">
        <f>MAX(0,B29-C29)</f>
        <v/>
      </c>
    </row>
    <row r="30" ht="15" customHeight="1" s="60">
      <c r="A30" s="25" t="inlineStr">
        <is>
          <t>Fieldset</t>
        </is>
      </c>
      <c r="B30" s="27">
        <f>COUNT(Fieldset!A9:A500)</f>
        <v/>
      </c>
      <c r="C30" s="27">
        <f>COUNTIF(Fieldset!H9:H500,"covered")</f>
        <v/>
      </c>
      <c r="D30" s="27">
        <f>COUNTIF(Fieldset!H9:H500,"partial")</f>
        <v/>
      </c>
      <c r="E30" s="27">
        <f>COUNTIF(Fieldset!H9:H500,"missing")</f>
        <v/>
      </c>
      <c r="F30" s="27">
        <f>COUNTIF(Fieldset!H9:H500,"untested")</f>
        <v/>
      </c>
      <c r="G30" s="28">
        <f>IFERROR(C30/B30,0)</f>
        <v/>
      </c>
      <c r="H30" s="26">
        <f>IF(AND(B30&gt;0,I30=0,G30=1),"Done","Open")</f>
        <v/>
      </c>
      <c r="I30" s="26">
        <f>MAX(0,B30-C30)</f>
        <v/>
      </c>
    </row>
    <row r="31" ht="15" customHeight="1" s="60">
      <c r="A31" s="25" t="inlineStr">
        <is>
          <t>FileUpload</t>
        </is>
      </c>
      <c r="B31" s="27">
        <f>COUNT(FileUpload!A9:A500)</f>
        <v/>
      </c>
      <c r="C31" s="27">
        <f>COUNTIF(FileUpload!H9:H500,"covered")</f>
        <v/>
      </c>
      <c r="D31" s="27">
        <f>COUNTIF(FileUpload!H9:H500,"partial")</f>
        <v/>
      </c>
      <c r="E31" s="27">
        <f>COUNTIF(FileUpload!H9:H500,"missing")</f>
        <v/>
      </c>
      <c r="F31" s="27">
        <f>COUNTIF(FileUpload!H9:H500,"untested")</f>
        <v/>
      </c>
      <c r="G31" s="28">
        <f>IFERROR(C31/B31,0)</f>
        <v/>
      </c>
      <c r="H31" s="26">
        <f>IF(AND(B31&gt;0,I31=0,G31=1),"Done","Open")</f>
        <v/>
      </c>
      <c r="I31" s="26">
        <f>MAX(0,B31-C31)</f>
        <v/>
      </c>
    </row>
    <row r="32" ht="15" customHeight="1" s="60">
      <c r="A32" s="25" t="inlineStr">
        <is>
          <t>Form</t>
        </is>
      </c>
      <c r="B32" s="27">
        <f>COUNT(Form!A9:A500)</f>
        <v/>
      </c>
      <c r="C32" s="27">
        <f>COUNTIF(Form!H9:H500,"covered")</f>
        <v/>
      </c>
      <c r="D32" s="27">
        <f>COUNTIF(Form!H9:H500,"partial")</f>
        <v/>
      </c>
      <c r="E32" s="27">
        <f>COUNTIF(Form!H9:H500,"missing")</f>
        <v/>
      </c>
      <c r="F32" s="27">
        <f>COUNTIF(Form!H9:H500,"untested")</f>
        <v/>
      </c>
      <c r="G32" s="28">
        <f>IFERROR(C32/B32,0)</f>
        <v/>
      </c>
      <c r="H32" s="26">
        <f>IF(AND(B32&gt;0,I32=0,G32=1),"Done","Open")</f>
        <v/>
      </c>
      <c r="I32" s="26">
        <f>MAX(0,B32-C32)</f>
        <v/>
      </c>
    </row>
    <row r="33" ht="15" customHeight="1" s="60">
      <c r="A33" s="30" t="inlineStr">
        <is>
          <t>HoverCard</t>
        </is>
      </c>
      <c r="B33" s="31">
        <f>COUNT(HoverCard!A9:A500)</f>
        <v/>
      </c>
      <c r="C33" s="31">
        <f>COUNTIF(HoverCard!H9:H500,"covered")</f>
        <v/>
      </c>
      <c r="D33" s="31">
        <f>COUNTIF(HoverCard!H9:H500,"partial")</f>
        <v/>
      </c>
      <c r="E33" s="31">
        <f>COUNTIF(HoverCard!H9:H500,"missing")</f>
        <v/>
      </c>
      <c r="F33" s="31">
        <f>COUNTIF(HoverCard!H9:H500,"untested")</f>
        <v/>
      </c>
      <c r="G33" s="32">
        <f>IFERROR(C33/B33,0)</f>
        <v/>
      </c>
      <c r="H33" s="29">
        <f>IF(AND(B33&gt;0,I33=0,G33=1),"Done","Open")</f>
        <v/>
      </c>
      <c r="I33" s="29">
        <f>MAX(0,B33-C33)</f>
        <v/>
      </c>
    </row>
    <row r="34" ht="15" customHeight="1" s="60">
      <c r="A34" s="25" t="inlineStr">
        <is>
          <t>Input</t>
        </is>
      </c>
      <c r="B34" s="27">
        <f>COUNT(Input!A9:A500)</f>
        <v/>
      </c>
      <c r="C34" s="27">
        <f>COUNTIF(Input!H9:H500,"covered")</f>
        <v/>
      </c>
      <c r="D34" s="27">
        <f>COUNTIF(Input!H9:H500,"partial")</f>
        <v/>
      </c>
      <c r="E34" s="27">
        <f>COUNTIF(Input!H9:H500,"missing")</f>
        <v/>
      </c>
      <c r="F34" s="27">
        <f>COUNTIF(Input!H9:H500,"untested")</f>
        <v/>
      </c>
      <c r="G34" s="28">
        <f>IFERROR(C34/B34,0)</f>
        <v/>
      </c>
      <c r="H34" s="26">
        <f>IF(AND(B34&gt;0,I34=0,G34=1),"Done","Open")</f>
        <v/>
      </c>
      <c r="I34" s="26">
        <f>MAX(0,B34-C34)</f>
        <v/>
      </c>
    </row>
    <row r="35" ht="15" customHeight="1" s="60">
      <c r="A35" s="25" t="inlineStr">
        <is>
          <t>Label</t>
        </is>
      </c>
      <c r="B35" s="27">
        <f>COUNT(Label!A9:A500)</f>
        <v/>
      </c>
      <c r="C35" s="27">
        <f>COUNTIF(Label!H9:H500,"covered")</f>
        <v/>
      </c>
      <c r="D35" s="27">
        <f>COUNTIF(Label!H9:H500,"partial")</f>
        <v/>
      </c>
      <c r="E35" s="27">
        <f>COUNTIF(Label!H9:H500,"missing")</f>
        <v/>
      </c>
      <c r="F35" s="27">
        <f>COUNTIF(Label!H9:H500,"untested")</f>
        <v/>
      </c>
      <c r="G35" s="28">
        <f>IFERROR(C35/B35,0)</f>
        <v/>
      </c>
      <c r="H35" s="26">
        <f>IF(AND(B35&gt;0,I35=0,G35=1),"Done","Open")</f>
        <v/>
      </c>
      <c r="I35" s="26">
        <f>MAX(0,B35-C35)</f>
        <v/>
      </c>
    </row>
    <row r="36" ht="15" customHeight="1" s="60">
      <c r="A36" s="25" t="inlineStr">
        <is>
          <t>List</t>
        </is>
      </c>
      <c r="B36" s="27">
        <f>COUNT(List!A9:A500)</f>
        <v/>
      </c>
      <c r="C36" s="27">
        <f>COUNTIF(List!H9:H500,"covered")</f>
        <v/>
      </c>
      <c r="D36" s="27">
        <f>COUNTIF(List!H9:H500,"partial")</f>
        <v/>
      </c>
      <c r="E36" s="27">
        <f>COUNTIF(List!H9:H500,"missing")</f>
        <v/>
      </c>
      <c r="F36" s="27">
        <f>COUNTIF(List!H9:H500,"untested")</f>
        <v/>
      </c>
      <c r="G36" s="28">
        <f>IFERROR(C36/B36,0)</f>
        <v/>
      </c>
      <c r="H36" s="26">
        <f>IF(AND(B36&gt;0,I36=0,G36=1),"Done","Open")</f>
        <v/>
      </c>
      <c r="I36" s="26">
        <f>MAX(0,B36-C36)</f>
        <v/>
      </c>
    </row>
    <row r="37" ht="15" customHeight="1" s="60">
      <c r="A37" s="25" t="inlineStr">
        <is>
          <t>Listbox</t>
        </is>
      </c>
      <c r="B37" s="27">
        <f>COUNT(Listbox!A9:A500)</f>
        <v/>
      </c>
      <c r="C37" s="27">
        <f>COUNTIF(Listbox!H9:H500,"covered")</f>
        <v/>
      </c>
      <c r="D37" s="27">
        <f>COUNTIF(Listbox!H9:H500,"partial")</f>
        <v/>
      </c>
      <c r="E37" s="27">
        <f>COUNTIF(Listbox!H9:H500,"missing")</f>
        <v/>
      </c>
      <c r="F37" s="27">
        <f>COUNTIF(Listbox!H9:H500,"untested")</f>
        <v/>
      </c>
      <c r="G37" s="28">
        <f>IFERROR(C37/B37,0)</f>
        <v/>
      </c>
      <c r="H37" s="26">
        <f>IF(AND(B37&gt;0,I37=0,G37=1),"Done","Open")</f>
        <v/>
      </c>
      <c r="I37" s="26">
        <f>MAX(0,B37-C37)</f>
        <v/>
      </c>
    </row>
    <row r="38" ht="15" customHeight="1" s="60">
      <c r="A38" s="40" t="inlineStr">
        <is>
          <t>Menu</t>
        </is>
      </c>
      <c r="B38" s="41">
        <f>COUNT(Menu!A9:A500)</f>
        <v/>
      </c>
      <c r="C38" s="41">
        <f>COUNTIF(Menu!H9:H500,"covered")</f>
        <v/>
      </c>
      <c r="D38" s="41">
        <f>COUNTIF(Menu!H9:H500,"partial")</f>
        <v/>
      </c>
      <c r="E38" s="41">
        <f>COUNTIF(Menu!H9:H500,"missing")</f>
        <v/>
      </c>
      <c r="F38" s="41">
        <f>COUNTIF(Menu!H9:H500,"untested")</f>
        <v/>
      </c>
      <c r="G38" s="42">
        <f>IFERROR(C38/B38,0)</f>
        <v/>
      </c>
      <c r="H38" s="43">
        <f>IF(AND(B38&gt;0,I38=0,G38=1),"Done","Open")</f>
        <v/>
      </c>
      <c r="I38" s="43">
        <f>MAX(0,B38-C38)</f>
        <v/>
      </c>
    </row>
    <row r="39" ht="15" customHeight="1" s="60">
      <c r="A39" s="30" t="inlineStr">
        <is>
          <t>Menubar</t>
        </is>
      </c>
      <c r="B39" s="31">
        <f>COUNT(Menubar!A9:A500)</f>
        <v/>
      </c>
      <c r="C39" s="31">
        <f>COUNTIF(Menubar!H9:H500,"covered")</f>
        <v/>
      </c>
      <c r="D39" s="31">
        <f>COUNTIF(Menubar!H9:H500,"partial")</f>
        <v/>
      </c>
      <c r="E39" s="31">
        <f>COUNTIF(Menubar!H9:H500,"missing")</f>
        <v/>
      </c>
      <c r="F39" s="31">
        <f>COUNTIF(Menubar!H9:H500,"untested")</f>
        <v/>
      </c>
      <c r="G39" s="32">
        <f>IFERROR(C39/B39,0)</f>
        <v/>
      </c>
      <c r="H39" s="29">
        <f>IF(AND(B39&gt;0,I39=0,G39=1),"Done","Open")</f>
        <v/>
      </c>
      <c r="I39" s="29">
        <f>MAX(0,B39-C39)</f>
        <v/>
      </c>
    </row>
    <row r="40" ht="15" customHeight="1" s="60">
      <c r="A40" s="30" t="inlineStr">
        <is>
          <t>Modal</t>
        </is>
      </c>
      <c r="B40" s="31">
        <f>COUNT(Modal!A9:A500)</f>
        <v/>
      </c>
      <c r="C40" s="31">
        <f>COUNTIF(Modal!H9:H500,"covered")</f>
        <v/>
      </c>
      <c r="D40" s="31">
        <f>COUNTIF(Modal!H9:H500,"partial")</f>
        <v/>
      </c>
      <c r="E40" s="31">
        <f>COUNTIF(Modal!H9:H500,"missing")</f>
        <v/>
      </c>
      <c r="F40" s="31">
        <f>COUNTIF(Modal!H9:H500,"untested")</f>
        <v/>
      </c>
      <c r="G40" s="32">
        <f>IFERROR(C40/B40,0)</f>
        <v/>
      </c>
      <c r="H40" s="29">
        <f>IF(AND(B40&gt;0,I40=0,G40=1),"Done","Open")</f>
        <v/>
      </c>
      <c r="I40" s="29">
        <f>MAX(0,B40-C40)</f>
        <v/>
      </c>
    </row>
    <row r="41" ht="15" customHeight="1" s="60">
      <c r="A41" s="30" t="inlineStr">
        <is>
          <t>NavigationMenu</t>
        </is>
      </c>
      <c r="B41" s="31">
        <f>COUNT(NavigationMenu!A9:A500)</f>
        <v/>
      </c>
      <c r="C41" s="31">
        <f>COUNTIF(NavigationMenu!H9:H500,"covered")</f>
        <v/>
      </c>
      <c r="D41" s="31">
        <f>COUNTIF(NavigationMenu!H9:H500,"partial")</f>
        <v/>
      </c>
      <c r="E41" s="31">
        <f>COUNTIF(NavigationMenu!H9:H500,"missing")</f>
        <v/>
      </c>
      <c r="F41" s="31">
        <f>COUNTIF(NavigationMenu!H9:H500,"untested")</f>
        <v/>
      </c>
      <c r="G41" s="32">
        <f>IFERROR(C41/B41,0)</f>
        <v/>
      </c>
      <c r="H41" s="29">
        <f>IF(AND(B41&gt;0,I41=0,G41=1),"Done","Open")</f>
        <v/>
      </c>
      <c r="I41" s="29">
        <f>MAX(0,B41-C41)</f>
        <v/>
      </c>
    </row>
    <row r="42" ht="15" customHeight="1" s="60">
      <c r="A42" s="30" t="inlineStr">
        <is>
          <t>NavList</t>
        </is>
      </c>
      <c r="B42" s="31">
        <f>COUNT(NavList!A9:A500)</f>
        <v/>
      </c>
      <c r="C42" s="31">
        <f>COUNTIF(NavList!H9:H500,"covered")</f>
        <v/>
      </c>
      <c r="D42" s="31">
        <f>COUNTIF(NavList!H9:H500,"partial")</f>
        <v/>
      </c>
      <c r="E42" s="31">
        <f>COUNTIF(NavList!H9:H500,"missing")</f>
        <v/>
      </c>
      <c r="F42" s="31">
        <f>COUNTIF(NavList!H9:H500,"untested")</f>
        <v/>
      </c>
      <c r="G42" s="32">
        <f>IFERROR(C42/B42,0)</f>
        <v/>
      </c>
      <c r="H42" s="29">
        <f>IF(AND(B42&gt;0,I42=0,G42=1),"Done","Open")</f>
        <v/>
      </c>
      <c r="I42" s="29">
        <f>MAX(0,B42-C42)</f>
        <v/>
      </c>
    </row>
    <row r="43" ht="15" customHeight="1" s="60">
      <c r="A43" s="25" t="inlineStr">
        <is>
          <t>NumberInput</t>
        </is>
      </c>
      <c r="B43" s="27">
        <f>COUNT(NumberInput!A9:A500)</f>
        <v/>
      </c>
      <c r="C43" s="27">
        <f>COUNTIF(NumberInput!H9:H500,"covered")</f>
        <v/>
      </c>
      <c r="D43" s="27">
        <f>COUNTIF(NumberInput!H9:H500,"partial")</f>
        <v/>
      </c>
      <c r="E43" s="27">
        <f>COUNTIF(NumberInput!H9:H500,"missing")</f>
        <v/>
      </c>
      <c r="F43" s="27">
        <f>COUNTIF(NumberInput!H9:H500,"untested")</f>
        <v/>
      </c>
      <c r="G43" s="28">
        <f>IFERROR(C43/B43,0)</f>
        <v/>
      </c>
      <c r="H43" s="26">
        <f>IF(AND(B43&gt;0,I43=0,G43=1),"Done","Open")</f>
        <v/>
      </c>
      <c r="I43" s="26">
        <f>MAX(0,B43-C43)</f>
        <v/>
      </c>
    </row>
    <row r="44" ht="15" customHeight="1" s="60">
      <c r="A44" s="25" t="inlineStr">
        <is>
          <t>OTPField</t>
        </is>
      </c>
      <c r="B44" s="27">
        <f>COUNT(OTPField!A9:A500)</f>
        <v/>
      </c>
      <c r="C44" s="27">
        <f>COUNTIF(OTPField!H9:H500,"covered")</f>
        <v/>
      </c>
      <c r="D44" s="27">
        <f>COUNTIF(OTPField!H9:H500,"partial")</f>
        <v/>
      </c>
      <c r="E44" s="27">
        <f>COUNTIF(OTPField!H9:H500,"missing")</f>
        <v/>
      </c>
      <c r="F44" s="27">
        <f>COUNTIF(OTPField!H9:H500,"untested")</f>
        <v/>
      </c>
      <c r="G44" s="36">
        <f>IFERROR(C44/B44,0)</f>
        <v/>
      </c>
      <c r="H44" s="27">
        <f>IF(AND(B44&gt;0,I44=0,G44=1),"Done","Open")</f>
        <v/>
      </c>
      <c r="I44" s="27">
        <f>MAX(0,B44-C44)</f>
        <v/>
      </c>
    </row>
    <row r="45" ht="15" customHeight="1" s="60">
      <c r="A45" s="30" t="inlineStr">
        <is>
          <t>Pagination</t>
        </is>
      </c>
      <c r="B45" s="31">
        <f>COUNT(Pagination!A9:A500)</f>
        <v/>
      </c>
      <c r="C45" s="31">
        <f>COUNTIF(Pagination!H9:H500,"covered")</f>
        <v/>
      </c>
      <c r="D45" s="31">
        <f>COUNTIF(Pagination!H9:H500,"partial")</f>
        <v/>
      </c>
      <c r="E45" s="31">
        <f>COUNTIF(Pagination!H9:H500,"missing")</f>
        <v/>
      </c>
      <c r="F45" s="31">
        <f>COUNTIF(Pagination!H9:H500,"untested")</f>
        <v/>
      </c>
      <c r="G45" s="32">
        <f>IFERROR(C45/B45,0)</f>
        <v/>
      </c>
      <c r="H45" s="29">
        <f>IF(AND(B45&gt;0,I45=0,G45=1),"Done","Open")</f>
        <v/>
      </c>
      <c r="I45" s="29">
        <f>MAX(0,B45-C45)</f>
        <v/>
      </c>
    </row>
    <row r="46" ht="15" customHeight="1" s="60">
      <c r="A46" s="25" t="inlineStr">
        <is>
          <t>PasswordToggleField</t>
        </is>
      </c>
      <c r="B46" s="27">
        <f>COUNT(PasswordToggleField!A9:A500)</f>
        <v/>
      </c>
      <c r="C46" s="27">
        <f>COUNTIF(PasswordToggleField!H9:H500,"covered")</f>
        <v/>
      </c>
      <c r="D46" s="27">
        <f>COUNTIF(PasswordToggleField!H9:H500,"partial")</f>
        <v/>
      </c>
      <c r="E46" s="27">
        <f>COUNTIF(PasswordToggleField!H9:H500,"missing")</f>
        <v/>
      </c>
      <c r="F46" s="27">
        <f>COUNTIF(PasswordToggleField!H9:H500,"untested")</f>
        <v/>
      </c>
      <c r="G46" s="28">
        <f>IFERROR(C46/B46,0)</f>
        <v/>
      </c>
      <c r="H46" s="26">
        <f>IF(AND(B46&gt;0,I46=0,G46=1),"Done","Open")</f>
        <v/>
      </c>
      <c r="I46" s="26">
        <f>MAX(0,B46-C46)</f>
        <v/>
      </c>
    </row>
    <row r="47" ht="15" customHeight="1" s="60">
      <c r="A47" s="30" t="inlineStr">
        <is>
          <t>Popover</t>
        </is>
      </c>
      <c r="B47" s="31">
        <f>COUNT(Popover!A9:A500)</f>
        <v/>
      </c>
      <c r="C47" s="31">
        <f>COUNTIF(Popover!H9:H500,"covered")</f>
        <v/>
      </c>
      <c r="D47" s="31">
        <f>COUNTIF(Popover!H9:H500,"partial")</f>
        <v/>
      </c>
      <c r="E47" s="31">
        <f>COUNTIF(Popover!H9:H500,"missing")</f>
        <v/>
      </c>
      <c r="F47" s="31">
        <f>COUNTIF(Popover!H9:H500,"untested")</f>
        <v/>
      </c>
      <c r="G47" s="32">
        <f>IFERROR(C47/B47,0)</f>
        <v/>
      </c>
      <c r="H47" s="29">
        <f>IF(AND(B47&gt;0,I47=0,G47=1),"Done","Open")</f>
        <v/>
      </c>
      <c r="I47" s="29">
        <f>MAX(0,B47-C47)</f>
        <v/>
      </c>
    </row>
    <row r="48" ht="15" customHeight="1" s="60">
      <c r="A48" s="33" t="inlineStr">
        <is>
          <t>Portal</t>
        </is>
      </c>
      <c r="B48" s="26">
        <f>COUNT(Portal!A9:A500)</f>
        <v/>
      </c>
      <c r="C48" s="26">
        <f>COUNTIF(Portal!H9:H500,"covered")</f>
        <v/>
      </c>
      <c r="D48" s="26">
        <f>COUNTIF(Portal!H9:H500,"partial")</f>
        <v/>
      </c>
      <c r="E48" s="26">
        <f>COUNTIF(Portal!H9:H500,"missing")</f>
        <v/>
      </c>
      <c r="F48" s="26">
        <f>COUNTIF(Portal!H9:H500,"untested")</f>
        <v/>
      </c>
      <c r="G48" s="28">
        <f>IFERROR(C48/B48,0)</f>
        <v/>
      </c>
      <c r="H48" s="26">
        <f>IF(AND(B48&gt;0,I48=0,G48=1),"Done","Open")</f>
        <v/>
      </c>
      <c r="I48" s="26">
        <f>MAX(0,B48-C48)</f>
        <v/>
      </c>
    </row>
    <row r="49" ht="15" customHeight="1" s="60">
      <c r="A49" s="40" t="inlineStr">
        <is>
          <t>Pressable</t>
        </is>
      </c>
      <c r="B49" s="41">
        <f>COUNT(Pressable!A9:A500)</f>
        <v/>
      </c>
      <c r="C49" s="41">
        <f>COUNTIF(Pressable!H9:H500,"covered")</f>
        <v/>
      </c>
      <c r="D49" s="41">
        <f>COUNTIF(Pressable!H9:H500,"partial")</f>
        <v/>
      </c>
      <c r="E49" s="41">
        <f>COUNTIF(Pressable!H9:H500,"missing")</f>
        <v/>
      </c>
      <c r="F49" s="41">
        <f>COUNTIF(Pressable!H9:H500,"untested")</f>
        <v/>
      </c>
      <c r="G49" s="42">
        <f>IFERROR(C49/B49,0)</f>
        <v/>
      </c>
      <c r="H49" s="43">
        <f>IF(AND(B49&gt;0,I49=0,G49=1),"Done","Open")</f>
        <v/>
      </c>
      <c r="I49" s="43">
        <f>MAX(0,B49-C49)</f>
        <v/>
      </c>
    </row>
    <row r="50" ht="15" customHeight="1" s="60">
      <c r="A50" s="25" t="inlineStr">
        <is>
          <t>Progress</t>
        </is>
      </c>
      <c r="B50" s="27">
        <f>COUNT(Progress!A9:A500)</f>
        <v/>
      </c>
      <c r="C50" s="27">
        <f>COUNTIF(Progress!H9:H500,"covered")</f>
        <v/>
      </c>
      <c r="D50" s="27">
        <f>COUNTIF(Progress!H9:H500,"partial")</f>
        <v/>
      </c>
      <c r="E50" s="27">
        <f>COUNTIF(Progress!H9:H500,"missing")</f>
        <v/>
      </c>
      <c r="F50" s="27">
        <f>COUNTIF(Progress!H9:H500,"untested")</f>
        <v/>
      </c>
      <c r="G50" s="28">
        <f>IFERROR(C50/B50,0)</f>
        <v/>
      </c>
      <c r="H50" s="26">
        <f>IF(AND(B50&gt;0,I50=0,G50=1),"Done","Open")</f>
        <v/>
      </c>
      <c r="I50" s="26">
        <f>MAX(0,B50-C50)</f>
        <v/>
      </c>
    </row>
    <row r="51" ht="15" customHeight="1" s="60">
      <c r="A51" s="30" t="inlineStr">
        <is>
          <t>RadioGroup</t>
        </is>
      </c>
      <c r="B51" s="31">
        <f>COUNT(RadioGroup!A9:A500)</f>
        <v/>
      </c>
      <c r="C51" s="31">
        <f>COUNTIF(RadioGroup!H9:H500,"covered")</f>
        <v/>
      </c>
      <c r="D51" s="31">
        <f>COUNTIF(RadioGroup!H9:H500,"partial")</f>
        <v/>
      </c>
      <c r="E51" s="31">
        <f>COUNTIF(RadioGroup!H9:H500,"missing")</f>
        <v/>
      </c>
      <c r="F51" s="31">
        <f>COUNTIF(RadioGroup!H9:H500,"untested")</f>
        <v/>
      </c>
      <c r="G51" s="32">
        <f>IFERROR(C51/B51,0)</f>
        <v/>
      </c>
      <c r="H51" s="29">
        <f>IF(AND(B51&gt;0,I51=0,G51=1),"Done","Open")</f>
        <v/>
      </c>
      <c r="I51" s="29">
        <f>MAX(0,B51-C51)</f>
        <v/>
      </c>
    </row>
    <row r="52" ht="15" customHeight="1" s="60">
      <c r="A52" s="30" t="inlineStr">
        <is>
          <t>Rating</t>
        </is>
      </c>
      <c r="B52" s="31" t="n">
        <v>99</v>
      </c>
      <c r="C52" s="31" t="n">
        <v>99</v>
      </c>
      <c r="D52" s="31" t="n">
        <v>0</v>
      </c>
      <c r="E52" s="31" t="n">
        <v>0</v>
      </c>
      <c r="F52" s="31" t="n">
        <v>0</v>
      </c>
      <c r="G52" s="32">
        <f>IFERROR(C52/B52,0)</f>
        <v/>
      </c>
      <c r="H52" s="29">
        <f>IF(AND(B52&gt;0,I52=0,G52=1),"Done","Open")</f>
        <v/>
      </c>
      <c r="I52" s="29">
        <f>MAX(0,B52-C52)</f>
        <v/>
      </c>
    </row>
    <row r="53" ht="15" customHeight="1" s="60">
      <c r="A53" s="33" t="inlineStr">
        <is>
          <t>ScrollArea</t>
        </is>
      </c>
      <c r="B53" s="26">
        <f>COUNT(ScrollArea!A9:A500)</f>
        <v/>
      </c>
      <c r="C53" s="26">
        <f>COUNTIF(ScrollArea!H9:H500,"covered")</f>
        <v/>
      </c>
      <c r="D53" s="26">
        <f>COUNTIF(ScrollArea!H9:H500,"partial")</f>
        <v/>
      </c>
      <c r="E53" s="26">
        <f>COUNTIF(ScrollArea!H9:H500,"missing")</f>
        <v/>
      </c>
      <c r="F53" s="26">
        <f>COUNTIF(ScrollArea!H9:H500,"untested")</f>
        <v/>
      </c>
      <c r="G53" s="28">
        <f>IFERROR(C53/B53,0)</f>
        <v/>
      </c>
      <c r="H53" s="26">
        <f>IF(AND(B53&gt;0,I53=0,G53=1),"Done","Open")</f>
        <v/>
      </c>
      <c r="I53" s="26">
        <f>MAX(0,B53-C53)</f>
        <v/>
      </c>
    </row>
    <row r="54" ht="15" customHeight="1" s="60">
      <c r="A54" s="40" t="inlineStr">
        <is>
          <t>Select</t>
        </is>
      </c>
      <c r="B54" s="41">
        <f>COUNT(Select!A9:A500)</f>
        <v/>
      </c>
      <c r="C54" s="41">
        <f>COUNTIF(Select!H9:H500,"covered")</f>
        <v/>
      </c>
      <c r="D54" s="41">
        <f>COUNTIF(Select!H9:H500,"partial")</f>
        <v/>
      </c>
      <c r="E54" s="41">
        <f>COUNTIF(Select!H9:H500,"missing")</f>
        <v/>
      </c>
      <c r="F54" s="41">
        <f>COUNTIF(Select!H9:H500,"untested")</f>
        <v/>
      </c>
      <c r="G54" s="42">
        <f>IFERROR(C54/B54,0)</f>
        <v/>
      </c>
      <c r="H54" s="43">
        <f>IF(AND(B54&gt;0,I54=0,G54=1),"Done","Open")</f>
        <v/>
      </c>
      <c r="I54" s="43">
        <f>MAX(0,B54-C54)</f>
        <v/>
      </c>
    </row>
    <row r="55" ht="15" customHeight="1" s="60">
      <c r="A55" s="30" t="inlineStr">
        <is>
          <t>Sidebar</t>
        </is>
      </c>
      <c r="B55" s="31">
        <f>COUNT(Sidebar!A9:A500)</f>
        <v/>
      </c>
      <c r="C55" s="31">
        <f>COUNTIF(Sidebar!H9:H500,"covered")</f>
        <v/>
      </c>
      <c r="D55" s="31">
        <f>COUNTIF(Sidebar!H9:H500,"partial")</f>
        <v/>
      </c>
      <c r="E55" s="31">
        <f>COUNTIF(Sidebar!H9:H500,"missing")</f>
        <v/>
      </c>
      <c r="F55" s="31">
        <f>COUNTIF(Sidebar!H9:H500,"untested")</f>
        <v/>
      </c>
      <c r="G55" s="32">
        <f>IFERROR(C55/B55,0)</f>
        <v/>
      </c>
      <c r="H55" s="29">
        <f>IF(AND(B55&gt;0,I55=0,G55=1),"Done","Open")</f>
        <v/>
      </c>
      <c r="I55" s="29">
        <f>MAX(0,B55-C55)</f>
        <v/>
      </c>
    </row>
    <row r="56" ht="15" customHeight="1" s="60">
      <c r="A56" s="33" t="inlineStr">
        <is>
          <t>SkipLink</t>
        </is>
      </c>
      <c r="B56" s="26">
        <f>COUNT(SkipLink!A9:A500)</f>
        <v/>
      </c>
      <c r="C56" s="26">
        <f>COUNTIF(SkipLink!H9:H500,"covered")</f>
        <v/>
      </c>
      <c r="D56" s="26">
        <f>COUNTIF(SkipLink!H9:H500,"partial")</f>
        <v/>
      </c>
      <c r="E56" s="26">
        <f>COUNTIF(SkipLink!H9:H500,"missing")</f>
        <v/>
      </c>
      <c r="F56" s="26">
        <f>COUNTIF(SkipLink!H9:H500,"untested")</f>
        <v/>
      </c>
      <c r="G56" s="28">
        <f>IFERROR(C56/B56,0)</f>
        <v/>
      </c>
      <c r="H56" s="26">
        <f>IF(AND(B56&gt;0,I56=0,G56=1),"Done","Open")</f>
        <v/>
      </c>
      <c r="I56" s="26">
        <f>MAX(0,B56-C56)</f>
        <v/>
      </c>
    </row>
    <row r="57" ht="15" customHeight="1" s="60">
      <c r="A57" s="30" t="inlineStr">
        <is>
          <t>Slider</t>
        </is>
      </c>
      <c r="B57" s="31">
        <f>COUNT(Slider!A9:A500)</f>
        <v/>
      </c>
      <c r="C57" s="31">
        <f>COUNTIF(Slider!H9:H500,"covered")</f>
        <v/>
      </c>
      <c r="D57" s="31">
        <f>COUNTIF(Slider!H9:H500,"partial")</f>
        <v/>
      </c>
      <c r="E57" s="31">
        <f>COUNTIF(Slider!H9:H500,"missing")</f>
        <v/>
      </c>
      <c r="F57" s="31">
        <f>COUNTIF(Slider!H9:H500,"untested")</f>
        <v/>
      </c>
      <c r="G57" s="32">
        <f>IFERROR(C57/B57,0)</f>
        <v/>
      </c>
      <c r="H57" s="29">
        <f>IF(AND(B57&gt;0,I57=0,G57=1),"Done","Open")</f>
        <v/>
      </c>
      <c r="I57" s="29">
        <f>MAX(0,B57-C57)</f>
        <v/>
      </c>
    </row>
    <row r="58" ht="15" customHeight="1" s="60">
      <c r="A58" s="48" t="inlineStr">
        <is>
          <t>SwipeableItem</t>
        </is>
      </c>
      <c r="B58" s="49">
        <f>COUNT(SwipeableItem!A9:A500)</f>
        <v/>
      </c>
      <c r="C58" s="49">
        <f>COUNTIF(SwipeableItem!H9:H500,"covered")</f>
        <v/>
      </c>
      <c r="D58" s="49">
        <f>COUNTIF(SwipeableItem!H9:H500,"partial")</f>
        <v/>
      </c>
      <c r="E58" s="49">
        <f>COUNTIF(SwipeableItem!H9:H500,"missing")</f>
        <v/>
      </c>
      <c r="F58" s="49">
        <f>COUNTIF(SwipeableItem!H9:H500,"untested")</f>
        <v/>
      </c>
      <c r="G58" s="50">
        <f>IFERROR(C58/B58,0)</f>
        <v/>
      </c>
      <c r="H58" s="51">
        <f>IF(AND(B58&gt;0,I58=0,G58=1),"Done","Open")</f>
        <v/>
      </c>
      <c r="I58" s="51">
        <f>MAX(0,B58-C58)</f>
        <v/>
      </c>
    </row>
    <row r="59" ht="15" customHeight="1" s="60">
      <c r="A59" s="30" t="inlineStr">
        <is>
          <t>Switch</t>
        </is>
      </c>
      <c r="B59" s="31">
        <f>COUNT(Switch!A9:A500)</f>
        <v/>
      </c>
      <c r="C59" s="31">
        <f>COUNTIF(Switch!H9:H500,"covered")</f>
        <v/>
      </c>
      <c r="D59" s="31">
        <f>COUNTIF(Switch!H9:H500,"partial")</f>
        <v/>
      </c>
      <c r="E59" s="31">
        <f>COUNTIF(Switch!H9:H500,"missing")</f>
        <v/>
      </c>
      <c r="F59" s="31">
        <f>COUNTIF(Switch!H9:H500,"untested")</f>
        <v/>
      </c>
      <c r="G59" s="32">
        <f>IFERROR(C59/B59,0)</f>
        <v/>
      </c>
      <c r="H59" s="29">
        <f>IF(AND(B59&gt;0,I59=0,G59=1),"Done","Open")</f>
        <v/>
      </c>
      <c r="I59" s="29">
        <f>MAX(0,B59-C59)</f>
        <v/>
      </c>
    </row>
    <row r="60" ht="15" customHeight="1" s="60">
      <c r="A60" s="30" t="inlineStr">
        <is>
          <t>Table</t>
        </is>
      </c>
      <c r="B60" s="31">
        <f>COUNT(Table!A9:A500)</f>
        <v/>
      </c>
      <c r="C60" s="31">
        <f>COUNTIF(Table!H9:H500,"covered")</f>
        <v/>
      </c>
      <c r="D60" s="31">
        <f>COUNTIF(Table!H9:H500,"partial")</f>
        <v/>
      </c>
      <c r="E60" s="31">
        <f>COUNTIF(Table!H9:H500,"missing")</f>
        <v/>
      </c>
      <c r="F60" s="31">
        <f>COUNTIF(Table!H9:H500,"untested")</f>
        <v/>
      </c>
      <c r="G60" s="32">
        <f>IFERROR(C60/B60,0)</f>
        <v/>
      </c>
      <c r="H60" s="29">
        <f>IF(AND(B60&gt;0,I60=0,G60=1),"Done","Open")</f>
        <v/>
      </c>
      <c r="I60" s="29">
        <f>MAX(0,B60-C60)</f>
        <v/>
      </c>
    </row>
    <row r="61" ht="15" customHeight="1" s="60">
      <c r="A61" s="30" t="inlineStr">
        <is>
          <t>Tabs</t>
        </is>
      </c>
      <c r="B61" s="31">
        <f>COUNT(Tabs!A9:A500)</f>
        <v/>
      </c>
      <c r="C61" s="31">
        <f>COUNTIF(Tabs!H9:H500,"covered")</f>
        <v/>
      </c>
      <c r="D61" s="31">
        <f>COUNTIF(Tabs!H9:H500,"partial")</f>
        <v/>
      </c>
      <c r="E61" s="31">
        <f>COUNTIF(Tabs!H9:H500,"missing")</f>
        <v/>
      </c>
      <c r="F61" s="31">
        <f>COUNTIF(Tabs!H9:H500,"untested")</f>
        <v/>
      </c>
      <c r="G61" s="32">
        <f>IFERROR(C61/B61,0)</f>
        <v/>
      </c>
      <c r="H61" s="29">
        <f>IF(AND(B61&gt;0,I61=0,G61=1),"Done","Open")</f>
        <v/>
      </c>
      <c r="I61" s="29">
        <f>MAX(0,B61-C61)</f>
        <v/>
      </c>
    </row>
    <row r="62" ht="15" customHeight="1" s="60">
      <c r="A62" s="25" t="inlineStr">
        <is>
          <t>Textarea</t>
        </is>
      </c>
      <c r="B62" s="27">
        <f>COUNT(Textarea!A9:A500)</f>
        <v/>
      </c>
      <c r="C62" s="27">
        <f>COUNTIF(Textarea!H9:H500,"covered")</f>
        <v/>
      </c>
      <c r="D62" s="27">
        <f>COUNTIF(Textarea!H9:H500,"partial")</f>
        <v/>
      </c>
      <c r="E62" s="27">
        <f>COUNTIF(Textarea!H9:H500,"missing")</f>
        <v/>
      </c>
      <c r="F62" s="27">
        <f>COUNTIF(Textarea!H9:H500,"untested")</f>
        <v/>
      </c>
      <c r="G62" s="28">
        <f>IFERROR(C62/B62,0)</f>
        <v/>
      </c>
      <c r="H62" s="26">
        <f>IF(AND(B62&gt;0,I62=0,G62=1),"Done","Open")</f>
        <v/>
      </c>
      <c r="I62" s="26">
        <f>MAX(0,B62-C62)</f>
        <v/>
      </c>
    </row>
    <row r="63" ht="15" customHeight="1" s="60">
      <c r="A63" s="30" t="inlineStr">
        <is>
          <t>Toast</t>
        </is>
      </c>
      <c r="B63" s="31">
        <f>COUNT(Toast!A9:A500)</f>
        <v/>
      </c>
      <c r="C63" s="31">
        <f>COUNTIF(Toast!H9:H500,"covered")</f>
        <v/>
      </c>
      <c r="D63" s="31">
        <f>COUNTIF(Toast!H9:H500,"partial")</f>
        <v/>
      </c>
      <c r="E63" s="31">
        <f>COUNTIF(Toast!H9:H500,"missing")</f>
        <v/>
      </c>
      <c r="F63" s="31">
        <f>COUNTIF(Toast!H9:H500,"untested")</f>
        <v/>
      </c>
      <c r="G63" s="32">
        <f>IFERROR(C63/B63,0)</f>
        <v/>
      </c>
      <c r="H63" s="29">
        <f>IF(AND(B63&gt;0,I63=0,G63=1),"Done","Open")</f>
        <v/>
      </c>
      <c r="I63" s="29">
        <f>MAX(0,B63-C63)</f>
        <v/>
      </c>
    </row>
    <row r="64" ht="15" customHeight="1" s="60">
      <c r="A64" s="40" t="inlineStr">
        <is>
          <t>Toggle</t>
        </is>
      </c>
      <c r="B64" s="41">
        <f>COUNT(Toggle!A9:A500)</f>
        <v/>
      </c>
      <c r="C64" s="41">
        <f>COUNTIF(Toggle!H9:H500,"covered")</f>
        <v/>
      </c>
      <c r="D64" s="41">
        <f>COUNTIF(Toggle!H9:H500,"partial")</f>
        <v/>
      </c>
      <c r="E64" s="41">
        <f>COUNTIF(Toggle!H9:H500,"missing")</f>
        <v/>
      </c>
      <c r="F64" s="41">
        <f>COUNTIF(Toggle!H9:H500,"untested")</f>
        <v/>
      </c>
      <c r="G64" s="42">
        <f>IFERROR(C64/B64,0)</f>
        <v/>
      </c>
      <c r="H64" s="43">
        <f>IF(AND(B64&gt;0,I64=0,G64=1),"Done","Open")</f>
        <v/>
      </c>
      <c r="I64" s="43">
        <f>MAX(0,B64-C64)</f>
        <v/>
      </c>
    </row>
    <row r="65" ht="15" customHeight="1" s="60">
      <c r="A65" s="40" t="inlineStr">
        <is>
          <t>ToggleGroup</t>
        </is>
      </c>
      <c r="B65" s="41">
        <f>COUNT(ToggleGroup!A9:A500)</f>
        <v/>
      </c>
      <c r="C65" s="41">
        <f>COUNTIF(ToggleGroup!H9:H500,"covered")</f>
        <v/>
      </c>
      <c r="D65" s="41">
        <f>COUNTIF(ToggleGroup!H9:H500,"partial")</f>
        <v/>
      </c>
      <c r="E65" s="41">
        <f>COUNTIF(ToggleGroup!H9:H500,"missing")</f>
        <v/>
      </c>
      <c r="F65" s="41">
        <f>COUNTIF(ToggleGroup!H9:H500,"untested")</f>
        <v/>
      </c>
      <c r="G65" s="42">
        <f>IFERROR(C65/B65,0)</f>
        <v/>
      </c>
      <c r="H65" s="43">
        <f>IF(AND(B65&gt;0,I65=0,G65=1),"Done","Open")</f>
        <v/>
      </c>
      <c r="I65" s="43">
        <f>MAX(0,B65-C65)</f>
        <v/>
      </c>
    </row>
    <row r="66" ht="15" customHeight="1" s="60">
      <c r="A66" s="30" t="inlineStr">
        <is>
          <t>Toolbar</t>
        </is>
      </c>
      <c r="B66" s="31">
        <f>COUNT(Toolbar!A9:A500)</f>
        <v/>
      </c>
      <c r="C66" s="31">
        <f>COUNTIF(Toolbar!H9:H500,"covered")</f>
        <v/>
      </c>
      <c r="D66" s="31">
        <f>COUNTIF(Toolbar!H9:H500,"partial")</f>
        <v/>
      </c>
      <c r="E66" s="31">
        <f>COUNTIF(Toolbar!H9:H500,"missing")</f>
        <v/>
      </c>
      <c r="F66" s="31">
        <f>COUNTIF(Toolbar!H9:H500,"untested")</f>
        <v/>
      </c>
      <c r="G66" s="32">
        <f>IFERROR(C66/B66,0)</f>
        <v/>
      </c>
      <c r="H66" s="29">
        <f>IF(AND(B66&gt;0,I66=0,G66=1),"Done","Open")</f>
        <v/>
      </c>
      <c r="I66" s="29">
        <f>MAX(0,B66-C66)</f>
        <v/>
      </c>
    </row>
    <row r="67" ht="15" customHeight="1" s="60">
      <c r="A67" s="30" t="inlineStr">
        <is>
          <t>Tooltip</t>
        </is>
      </c>
      <c r="B67" s="31">
        <f>COUNT(Tooltip!A9:A500)</f>
        <v/>
      </c>
      <c r="C67" s="31">
        <f>COUNTIF(Tooltip!H9:H500,"covered")</f>
        <v/>
      </c>
      <c r="D67" s="31">
        <f>COUNTIF(Tooltip!H9:H500,"partial")</f>
        <v/>
      </c>
      <c r="E67" s="31">
        <f>COUNTIF(Tooltip!H9:H500,"missing")</f>
        <v/>
      </c>
      <c r="F67" s="31">
        <f>COUNTIF(Tooltip!H9:H500,"untested")</f>
        <v/>
      </c>
      <c r="G67" s="32">
        <f>IFERROR(C67/B67,0)</f>
        <v/>
      </c>
      <c r="H67" s="29">
        <f>IF(AND(B67&gt;0,I67=0,G67=1),"Done","Open")</f>
        <v/>
      </c>
      <c r="I67" s="29">
        <f>MAX(0,B67-C67)</f>
        <v/>
      </c>
    </row>
    <row r="68" ht="15" customHeight="1" s="60">
      <c r="A68" s="30" t="inlineStr">
        <is>
          <t>Tree</t>
        </is>
      </c>
      <c r="B68" s="31">
        <f>COUNT(Tree!A9:A500)</f>
        <v/>
      </c>
      <c r="C68" s="31">
        <f>COUNTIF(Tree!H9:H500,"covered")</f>
        <v/>
      </c>
      <c r="D68" s="31">
        <f>COUNTIF(Tree!H9:H500,"partial")</f>
        <v/>
      </c>
      <c r="E68" s="31">
        <f>COUNTIF(Tree!H9:H500,"missing")</f>
        <v/>
      </c>
      <c r="F68" s="31">
        <f>COUNTIF(Tree!H9:H500,"untested")</f>
        <v/>
      </c>
      <c r="G68" s="32">
        <f>IFERROR(C68/B68,0)</f>
        <v/>
      </c>
      <c r="H68" s="29">
        <f>IF(AND(B68&gt;0,I68=0,G68=1),"Done","Open")</f>
        <v/>
      </c>
      <c r="I68" s="29">
        <f>MAX(0,B68-C68)</f>
        <v/>
      </c>
    </row>
    <row r="69" ht="15" customHeight="1" s="60">
      <c r="A69" s="30" t="inlineStr">
        <is>
          <t>TreeGrid</t>
        </is>
      </c>
      <c r="B69" s="31">
        <f>COUNT(TreeGrid!A9:A500)</f>
        <v/>
      </c>
      <c r="C69" s="31">
        <f>COUNTIF(TreeGrid!H9:H500,"covered")</f>
        <v/>
      </c>
      <c r="D69" s="31">
        <f>COUNTIF(TreeGrid!H9:H500,"partial")</f>
        <v/>
      </c>
      <c r="E69" s="31">
        <f>COUNTIF(TreeGrid!H9:H500,"missing")</f>
        <v/>
      </c>
      <c r="F69" s="31">
        <f>COUNTIF(TreeGrid!H9:H500,"untested")</f>
        <v/>
      </c>
      <c r="G69" s="32">
        <f>IFERROR(C69/B69,0)</f>
        <v/>
      </c>
      <c r="H69" s="29">
        <f>IF(AND(B69&gt;0,I69=0,G69=1),"Done","Open")</f>
        <v/>
      </c>
      <c r="I69" s="29">
        <f>MAX(0,B69-C69)</f>
        <v/>
      </c>
    </row>
    <row r="70" ht="15" customHeight="1" s="60">
      <c r="A70" s="33" t="inlineStr">
        <is>
          <t>Virtualizer</t>
        </is>
      </c>
      <c r="B70" s="26">
        <f>COUNT(Virtualizer!A9:A500)</f>
        <v/>
      </c>
      <c r="C70" s="26">
        <f>COUNTIF(Virtualizer!H9:H500,"covered")</f>
        <v/>
      </c>
      <c r="D70" s="26">
        <f>COUNTIF(Virtualizer!H9:H500,"partial")</f>
        <v/>
      </c>
      <c r="E70" s="26">
        <f>COUNTIF(Virtualizer!H9:H500,"missing")</f>
        <v/>
      </c>
      <c r="F70" s="26">
        <f>COUNTIF(Virtualizer!H9:H500,"untested")</f>
        <v/>
      </c>
      <c r="G70" s="28">
        <f>IFERROR(C70/B70,0)</f>
        <v/>
      </c>
      <c r="H70" s="26">
        <f>IF(AND(B70&gt;0,I70=0,G70=1),"Done","Open")</f>
        <v/>
      </c>
      <c r="I70" s="26">
        <f>MAX(0,B70-C70)</f>
        <v/>
      </c>
    </row>
    <row r="71" ht="15" customHeight="1" s="60">
      <c r="A71" s="33" t="inlineStr">
        <is>
          <t>VisuallyHidden</t>
        </is>
      </c>
      <c r="B71" s="26">
        <f>COUNT(VisuallyHidden!A9:A500)</f>
        <v/>
      </c>
      <c r="C71" s="26">
        <f>COUNTIF(VisuallyHidden!H9:H500,"covered")</f>
        <v/>
      </c>
      <c r="D71" s="26">
        <f>COUNTIF(VisuallyHidden!H9:H500,"partial")</f>
        <v/>
      </c>
      <c r="E71" s="26">
        <f>COUNTIF(VisuallyHidden!H9:H500,"missing")</f>
        <v/>
      </c>
      <c r="F71" s="26">
        <f>COUNTIF(VisuallyHidden!H9:H500,"untested")</f>
        <v/>
      </c>
      <c r="G71" s="28">
        <f>IFERROR(C71/B71,0)</f>
        <v/>
      </c>
      <c r="H71" s="26">
        <f>IF(AND(B71&gt;0,I71=0,G71=1),"Done","Open")</f>
        <v/>
      </c>
      <c r="I71" s="26">
        <f>MAX(0,B71-C71)</f>
        <v/>
      </c>
    </row>
  </sheetData>
  <mergeCells count="2">
    <mergeCell ref="A1:I1"/>
    <mergeCell ref="A2:I2"/>
  </mergeCells>
  <conditionalFormatting sqref="A7:I71">
    <cfRule type="expression" priority="7" dxfId="7">
      <formula>$H7="Done"</formula>
    </cfRule>
    <cfRule type="expression" priority="8" dxfId="6">
      <formula>$H7="Open"</formula>
    </cfRule>
  </conditionalFormatting>
  <conditionalFormatting sqref="H7:H71">
    <cfRule type="expression" priority="9" dxfId="1">
      <formula>$H7="Done"</formula>
    </cfRule>
    <cfRule type="expression" priority="10" dxfId="0">
      <formula>$H7="Needs work"</formula>
    </cfRule>
    <cfRule type="expression" priority="11" dxfId="3">
      <formula>$H7="In progress"</formula>
    </cfRule>
    <cfRule type="expression" priority="12" dxfId="2">
      <formula>$H7="No tests"</formula>
    </cfRule>
  </conditionalFormatting>
  <conditionalFormatting sqref="I7:I71">
    <cfRule type="cellIs" priority="13" operator="equal" dxfId="1">
      <formula>0</formula>
    </cfRule>
    <cfRule type="cellIs" priority="14" operator="greaterThan" dxfId="0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Accordion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manual-tests/accordion.md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manual-tests/accordion.md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Accordion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manual-tests/accordion.md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Accordion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manual-tests/accordion.md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Accordion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manual-tests/accordion.md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Accordion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manual-tests/accordion.md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Accordion</t>
        </is>
      </c>
      <c r="D15" s="5" t="inlineStr">
        <is>
          <t>Supports single and multiple expanded items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manual-tests/accordion.md</t>
        </is>
      </c>
      <c r="J15" s="5" t="inlineStr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Accordion</t>
        </is>
      </c>
      <c r="D16" s="5" t="inlineStr">
        <is>
          <t>Supports controlled and uncontrolled state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manual-tests/accordion.md</t>
        </is>
      </c>
      <c r="J16" s="5" t="inlineStr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Accordion</t>
        </is>
      </c>
      <c r="D17" s="5" t="inlineStr">
        <is>
          <t>Supports horizontal and vertical arrow-key navigation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manual-tests/accordion.md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Accordion</t>
        </is>
      </c>
      <c r="D18" s="5" t="inlineStr">
        <is>
          <t>Links each trigger to its content with stable ARIA IDs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manual-tests/accordion.md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Accordion</t>
        </is>
      </c>
      <c r="D19" s="5" t="inlineStr">
        <is>
          <t>Supports mounted and unmounted closed content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manual-tests/accordion.md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Accordion</t>
        </is>
      </c>
      <c r="D20" s="5" t="inlineStr">
        <is>
          <t>Supports `asChild` and `render` on every part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manual-tests/accordion.md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manual-tests/accordion.md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manual-tests/accordion.md</t>
        </is>
      </c>
      <c r="J22" s="5" t="inlineStr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manual-tests/accordion.md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manual-tests/accordion.md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manual-tests/accordion.md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manual-tests/accordion.md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manual-tests/accordion.md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type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manual-tests/accordion.md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value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manual-tests/accordion.md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manual-tests/accordion.md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onValueChange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manual-tests/accordion.md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collapsible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manual-tests/accordion.md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manual-tests/accordion.md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orientation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manual-tests/accordion.md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[data-slot]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manual-tests/accordion.md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[data-orientation]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manual-tests/accordion.md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[data-disabled]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manual-tests/accordion.md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Trigger</t>
        </is>
      </c>
      <c r="D38" s="5" t="inlineStr">
        <is>
          <t>renders correct part when expected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manual-tests/accordion.md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Trigger</t>
        </is>
      </c>
      <c r="D39" s="5" t="inlineStr">
        <is>
          <t>appears in documented order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manual-tests/accordion.md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Identity</t>
        </is>
      </c>
      <c r="C40" s="5" t="inlineStr">
        <is>
          <t>Trigger</t>
        </is>
      </c>
      <c r="D40" s="5" t="inlineStr">
        <is>
          <t>default tag is visible in Anatomy/Inspector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manual-tests/accordion.md</t>
        </is>
      </c>
      <c r="J40" s="5" t="inlineStr"/>
      <c r="K40" s="6">
        <f>IF(AND(E40="yes",F40="yes",H40="covered"),1,IF(H40="partial",0.5,0))</f>
        <v/>
      </c>
    </row>
    <row r="41" ht="30" customHeight="1" s="60">
      <c r="A41" s="4" t="n">
        <v>33</v>
      </c>
      <c r="B41" s="5" t="inlineStr">
        <is>
          <t>Identity</t>
        </is>
      </c>
      <c r="C41" s="5" t="inlineStr">
        <is>
          <t>Trigger</t>
        </is>
      </c>
      <c r="D41" s="5" t="inlineStr">
        <is>
          <t>data-slot is present and correct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manual-tests/accordion.md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Props</t>
        </is>
      </c>
      <c r="C42" s="5" t="inlineStr">
        <is>
          <t>Trigger</t>
        </is>
      </c>
      <c r="D42" s="5" t="inlineStr">
        <is>
          <t>non-Atom native props pass through with data-prop-check marker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manual-tests/accordion.md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asChild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manual-tests/accordion.md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render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manual-tests/accordion.md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[data-slot]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manual-tests/accordion.md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[data-state]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manual-tests/accordion.md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Trigger</t>
        </is>
      </c>
      <c r="D47" s="5" t="inlineStr">
        <is>
          <t>[data-disabled]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manual-tests/accordion.md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manual-tests/accordion.md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Content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manual-tests/accordion.md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manual-tests/accordion.md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Content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manual-tests/accordion.md</t>
        </is>
      </c>
      <c r="J51" s="5" t="inlineStr"/>
      <c r="K51" s="6">
        <f>IF(AND(E51="yes",F51="yes",H51="covered"),1,IF(H51="partial",0.5,0))</f>
        <v/>
      </c>
    </row>
    <row r="52" ht="30" customHeight="1" s="60">
      <c r="A52" s="4" t="n">
        <v>44</v>
      </c>
      <c r="B52" s="5" t="inlineStr">
        <is>
          <t>Props</t>
        </is>
      </c>
      <c r="C52" s="5" t="inlineStr">
        <is>
          <t>Content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manual-tests/accordion.md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Content</t>
        </is>
      </c>
      <c r="D53" s="5" t="inlineStr">
        <is>
          <t>asChild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manual-tests/accordion.md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Composition</t>
        </is>
      </c>
      <c r="C54" s="5" t="inlineStr">
        <is>
          <t>Content</t>
        </is>
      </c>
      <c r="D54" s="5" t="inlineStr">
        <is>
          <t>render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manual-tests/accordion.md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keepMounted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manual-tests/accordion.md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manual-tests/accordion.md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manual-tests/accordion.md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Item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manual-tests/accordion.md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Item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manual-tests/accordion.md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Item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manual-tests/accordion.md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Item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manual-tests/accordion.md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Item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manual-tests/accordion.md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Item</t>
        </is>
      </c>
      <c r="D63" s="5" t="inlineStr">
        <is>
          <t>asChild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manual-tests/accordion.md</t>
        </is>
      </c>
      <c r="J63" s="5" t="inlineStr"/>
      <c r="K63" s="6">
        <f>IF(AND(E63="yes",F63="yes",H63="covered"),1,IF(H63="partial",0.5,0))</f>
        <v/>
      </c>
    </row>
    <row r="64" ht="30" customHeight="1" s="60">
      <c r="A64" s="4" t="n">
        <v>56</v>
      </c>
      <c r="B64" s="5" t="inlineStr">
        <is>
          <t>Composition</t>
        </is>
      </c>
      <c r="C64" s="5" t="inlineStr">
        <is>
          <t>Item</t>
        </is>
      </c>
      <c r="D64" s="5" t="inlineStr">
        <is>
          <t>render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manual-tests/accordion.md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value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manual-tests/accordion.md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State</t>
        </is>
      </c>
      <c r="C66" s="5" t="inlineStr">
        <is>
          <t>Item</t>
        </is>
      </c>
      <c r="D66" s="5" t="inlineStr">
        <is>
          <t>disabled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manual-tests/accordion.md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manual-tests/accordion.md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Item</t>
        </is>
      </c>
      <c r="D68" s="5" t="inlineStr">
        <is>
          <t>[data-state]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manual-tests/accordion.md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Item</t>
        </is>
      </c>
      <c r="D69" s="5" t="inlineStr">
        <is>
          <t>[data-disabled]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manual-tests/accordion.md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Anatomy</t>
        </is>
      </c>
      <c r="C70" s="5" t="inlineStr">
        <is>
          <t>Header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protocol</t>
        </is>
      </c>
      <c r="H70" s="9" t="inlineStr">
        <is>
          <t>covered</t>
        </is>
      </c>
      <c r="I70" s="5" t="inlineStr">
        <is>
          <t>manual-tests/accordion.md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Header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protocol</t>
        </is>
      </c>
      <c r="H71" s="9" t="inlineStr">
        <is>
          <t>covered</t>
        </is>
      </c>
      <c r="I71" s="5" t="inlineStr">
        <is>
          <t>manual-tests/accordion.md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Identity</t>
        </is>
      </c>
      <c r="C72" s="5" t="inlineStr">
        <is>
          <t>Header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protocol</t>
        </is>
      </c>
      <c r="H72" s="9" t="inlineStr">
        <is>
          <t>covered</t>
        </is>
      </c>
      <c r="I72" s="5" t="inlineStr">
        <is>
          <t>manual-tests/accordion.md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Header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protocol</t>
        </is>
      </c>
      <c r="H73" s="9" t="inlineStr">
        <is>
          <t>covered</t>
        </is>
      </c>
      <c r="I73" s="5" t="inlineStr">
        <is>
          <t>manual-tests/accordion.md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Props</t>
        </is>
      </c>
      <c r="C74" s="5" t="inlineStr">
        <is>
          <t>Header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protocol</t>
        </is>
      </c>
      <c r="H74" s="9" t="inlineStr">
        <is>
          <t>covered</t>
        </is>
      </c>
      <c r="I74" s="5" t="inlineStr">
        <is>
          <t>manual-tests/accordion.md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Composition</t>
        </is>
      </c>
      <c r="C75" s="5" t="inlineStr">
        <is>
          <t>Header</t>
        </is>
      </c>
      <c r="D75" s="5" t="inlineStr">
        <is>
          <t>asChild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protocol</t>
        </is>
      </c>
      <c r="H75" s="9" t="inlineStr">
        <is>
          <t>covered</t>
        </is>
      </c>
      <c r="I75" s="5" t="inlineStr">
        <is>
          <t>manual-tests/accordion.md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Header</t>
        </is>
      </c>
      <c r="D76" s="5" t="inlineStr">
        <is>
          <t>render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protocol</t>
        </is>
      </c>
      <c r="H76" s="9" t="inlineStr">
        <is>
          <t>covered</t>
        </is>
      </c>
      <c r="I76" s="5" t="inlineStr">
        <is>
          <t>manual-tests/accordion.md</t>
        </is>
      </c>
      <c r="J76" s="5" t="inlineStr"/>
      <c r="K76" s="6">
        <f>IF(AND(E76="yes",F76="yes",H76="covered"),1,IF(H76="partial",0.5,0))</f>
        <v/>
      </c>
    </row>
    <row r="77" ht="30" customHeight="1" s="60">
      <c r="A77" s="4" t="n">
        <v>69</v>
      </c>
      <c r="B77" s="5" t="inlineStr">
        <is>
          <t>Public API</t>
        </is>
      </c>
      <c r="C77" s="5" t="inlineStr">
        <is>
          <t>Header</t>
        </is>
      </c>
      <c r="D77" s="5" t="inlineStr">
        <is>
          <t>as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protocol</t>
        </is>
      </c>
      <c r="H77" s="9" t="inlineStr">
        <is>
          <t>covered</t>
        </is>
      </c>
      <c r="I77" s="5" t="inlineStr">
        <is>
          <t>manual-tests/accordion.md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Header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protocol</t>
        </is>
      </c>
      <c r="H78" s="9" t="inlineStr">
        <is>
          <t>covered</t>
        </is>
      </c>
      <c r="I78" s="5" t="inlineStr">
        <is>
          <t>manual-tests/accordion.md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aria-controls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protocol</t>
        </is>
      </c>
      <c r="H79" s="9" t="inlineStr">
        <is>
          <t>covered</t>
        </is>
      </c>
      <c r="I79" s="5" t="inlineStr">
        <is>
          <t>manual-tests/accordion.md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protocol</t>
        </is>
      </c>
      <c r="H80" s="9" t="inlineStr">
        <is>
          <t>covered</t>
        </is>
      </c>
      <c r="I80" s="5" t="inlineStr">
        <is>
          <t>manual-tests/accordion.md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aria-expanded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protocol</t>
        </is>
      </c>
      <c r="H81" s="9" t="inlineStr">
        <is>
          <t>covered</t>
        </is>
      </c>
      <c r="I81" s="5" t="inlineStr">
        <is>
          <t>manual-tests/accordion.md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aria-labelledby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protocol</t>
        </is>
      </c>
      <c r="H82" s="9" t="inlineStr">
        <is>
          <t>covered</t>
        </is>
      </c>
      <c r="I82" s="5" t="inlineStr">
        <is>
          <t>manual-tests/accordion.md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data-disabled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protocol</t>
        </is>
      </c>
      <c r="H83" s="9" t="inlineStr">
        <is>
          <t>covered</t>
        </is>
      </c>
      <c r="I83" s="5" t="inlineStr">
        <is>
          <t>manual-tests/accordion.md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data-orientation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protocol</t>
        </is>
      </c>
      <c r="H84" s="9" t="inlineStr">
        <is>
          <t>covered</t>
        </is>
      </c>
      <c r="I84" s="5" t="inlineStr">
        <is>
          <t>manual-tests/accordion.md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data-slot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protocol</t>
        </is>
      </c>
      <c r="H85" s="9" t="inlineStr">
        <is>
          <t>covered</t>
        </is>
      </c>
      <c r="I85" s="5" t="inlineStr">
        <is>
          <t>manual-tests/accordion.md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data-state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protocol</t>
        </is>
      </c>
      <c r="H86" s="9" t="inlineStr">
        <is>
          <t>covered</t>
        </is>
      </c>
      <c r="I86" s="5" t="inlineStr">
        <is>
          <t>manual-tests/accordion.md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Accordion</t>
        </is>
      </c>
      <c r="D87" s="5" t="inlineStr">
        <is>
          <t>asChild preserves child content without double nesting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protocol</t>
        </is>
      </c>
      <c r="H87" s="9" t="inlineStr">
        <is>
          <t>covered</t>
        </is>
      </c>
      <c r="I87" s="5" t="inlineStr">
        <is>
          <t>manual-tests/accordion.md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Accordion</t>
        </is>
      </c>
      <c r="D88" s="5" t="inlineStr">
        <is>
          <t>asChild merges Atom props and consumer props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protocol</t>
        </is>
      </c>
      <c r="H88" s="9" t="inlineStr">
        <is>
          <t>covered</t>
        </is>
      </c>
      <c r="I88" s="5" t="inlineStr">
        <is>
          <t>manual-tests/accordion.md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Accordion</t>
        </is>
      </c>
      <c r="D89" s="5" t="inlineStr">
        <is>
          <t>asChild lets preventDefault block Atom behavior where supported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protocol</t>
        </is>
      </c>
      <c r="H89" s="9" t="inlineStr">
        <is>
          <t>covered</t>
        </is>
      </c>
      <c r="I89" s="5" t="inlineStr">
        <is>
          <t>manual-tests/accordion.md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Accordion</t>
        </is>
      </c>
      <c r="D90" s="5" t="inlineStr">
        <is>
          <t>render prop renders custom element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protocol</t>
        </is>
      </c>
      <c r="H90" s="9" t="inlineStr">
        <is>
          <t>covered</t>
        </is>
      </c>
      <c r="I90" s="5" t="inlineStr">
        <is>
          <t>manual-tests/accordion.md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Composition</t>
        </is>
      </c>
      <c r="C91" s="5" t="inlineStr">
        <is>
          <t>Accordion</t>
        </is>
      </c>
      <c r="D91" s="5" t="inlineStr">
        <is>
          <t>render prop preserves refs and behavior props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protocol</t>
        </is>
      </c>
      <c r="H91" s="9" t="inlineStr">
        <is>
          <t>covered</t>
        </is>
      </c>
      <c r="I91" s="5" t="inlineStr">
        <is>
          <t>manual-tests/accordion.md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controlled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protocol</t>
        </is>
      </c>
      <c r="H92" s="9" t="inlineStr">
        <is>
          <t>covered</t>
        </is>
      </c>
      <c r="I92" s="5" t="inlineStr">
        <is>
          <t>manual-tests/accordion.md</t>
        </is>
      </c>
      <c r="J92" s="5" t="inlineStr"/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uncontrolled default state path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protocol</t>
        </is>
      </c>
      <c r="H93" s="9" t="inlineStr">
        <is>
          <t>covered</t>
        </is>
      </c>
      <c r="I93" s="5" t="inlineStr">
        <is>
          <t>manual-tests/accordion.md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Root</t>
        </is>
      </c>
      <c r="D94" s="5" t="inlineStr">
        <is>
          <t>state change callback fires once with correct value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protocol</t>
        </is>
      </c>
      <c r="H94" s="9" t="inlineStr">
        <is>
          <t>covered</t>
        </is>
      </c>
      <c r="I94" s="5" t="inlineStr">
        <is>
          <t>manual-tests/accordion.md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Interaction</t>
        </is>
      </c>
      <c r="C95" s="5" t="inlineStr">
        <is>
          <t>Trigger</t>
        </is>
      </c>
      <c r="D95" s="5" t="inlineStr">
        <is>
          <t>mouse click or pointer activation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protocol</t>
        </is>
      </c>
      <c r="H95" s="9" t="inlineStr">
        <is>
          <t>covered</t>
        </is>
      </c>
      <c r="I95" s="5" t="inlineStr">
        <is>
          <t>manual-tests/accordion.md</t>
        </is>
      </c>
      <c r="J95" s="5" t="inlineStr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Interaction</t>
        </is>
      </c>
      <c r="C96" s="5" t="inlineStr">
        <is>
          <t>Trigger</t>
        </is>
      </c>
      <c r="D96" s="5" t="inlineStr">
        <is>
          <t>Enter key activation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protocol</t>
        </is>
      </c>
      <c r="H96" s="9" t="inlineStr">
        <is>
          <t>covered</t>
        </is>
      </c>
      <c r="I96" s="5" t="inlineStr">
        <is>
          <t>manual-tests/accordion.md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Trigger</t>
        </is>
      </c>
      <c r="D97" s="5" t="inlineStr">
        <is>
          <t>Space key activation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protocol</t>
        </is>
      </c>
      <c r="H97" s="9" t="inlineStr">
        <is>
          <t>covered</t>
        </is>
      </c>
      <c r="I97" s="5" t="inlineStr">
        <is>
          <t>manual-tests/accordion.md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Interaction</t>
        </is>
      </c>
      <c r="C98" s="5" t="inlineStr">
        <is>
          <t>Trigger</t>
        </is>
      </c>
      <c r="D98" s="5" t="inlineStr">
        <is>
          <t>disabled trigger blocks pointer and keyboard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protocol</t>
        </is>
      </c>
      <c r="H98" s="9" t="inlineStr">
        <is>
          <t>covered</t>
        </is>
      </c>
      <c r="I98" s="5" t="inlineStr">
        <is>
          <t>manual-tests/accordion.md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Focus</t>
        </is>
      </c>
      <c r="C99" s="5" t="inlineStr">
        <is>
          <t>Trigger</t>
        </is>
      </c>
      <c r="D99" s="5" t="inlineStr">
        <is>
          <t>focus ring and focus restoration are correct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protocol</t>
        </is>
      </c>
      <c r="H99" s="9" t="inlineStr">
        <is>
          <t>covered</t>
        </is>
      </c>
      <c r="I99" s="5" t="inlineStr">
        <is>
          <t>manual-tests/accordion.md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Keyboard</t>
        </is>
      </c>
      <c r="C100" s="5" t="inlineStr">
        <is>
          <t>Accordion</t>
        </is>
      </c>
      <c r="D100" s="5" t="inlineStr">
        <is>
          <t>End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protocol</t>
        </is>
      </c>
      <c r="H100" s="9" t="inlineStr">
        <is>
          <t>covered</t>
        </is>
      </c>
      <c r="I100" s="5" t="inlineStr">
        <is>
          <t>manual-tests/accordion.md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Keyboard</t>
        </is>
      </c>
      <c r="C101" s="5" t="inlineStr">
        <is>
          <t>Accordion</t>
        </is>
      </c>
      <c r="D101" s="5" t="inlineStr">
        <is>
          <t>Home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protocol</t>
        </is>
      </c>
      <c r="H101" s="9" t="inlineStr">
        <is>
          <t>covered</t>
        </is>
      </c>
      <c r="I101" s="5" t="inlineStr">
        <is>
          <t>manual-tests/accordion.md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Keyboard</t>
        </is>
      </c>
      <c r="C102" s="5" t="inlineStr">
        <is>
          <t>Accordion</t>
        </is>
      </c>
      <c r="D102" s="5" t="inlineStr">
        <is>
          <t>Arrow key navigation follows documented orientation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protocol</t>
        </is>
      </c>
      <c r="H102" s="9" t="inlineStr">
        <is>
          <t>covered</t>
        </is>
      </c>
      <c r="I102" s="5" t="inlineStr">
        <is>
          <t>manual-tests/accordion.md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Keyboard</t>
        </is>
      </c>
      <c r="C103" s="5" t="inlineStr">
        <is>
          <t>Accordion</t>
        </is>
      </c>
      <c r="D103" s="5" t="inlineStr">
        <is>
          <t>Home and End navigation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protocol</t>
        </is>
      </c>
      <c r="H103" s="9" t="inlineStr">
        <is>
          <t>covered</t>
        </is>
      </c>
      <c r="I103" s="5" t="inlineStr">
        <is>
          <t>manual-tests/accordion.md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Accordion</t>
        </is>
      </c>
      <c r="D104" s="5" t="inlineStr">
        <is>
          <t>disabled items are skipped or exposed according to pattern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protocol</t>
        </is>
      </c>
      <c r="H104" s="9" t="inlineStr">
        <is>
          <t>covered</t>
        </is>
      </c>
      <c r="I104" s="5" t="inlineStr">
        <is>
          <t>manual-tests/accordion.md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Focus</t>
        </is>
      </c>
      <c r="C105" s="5" t="inlineStr">
        <is>
          <t>Accordion</t>
        </is>
      </c>
      <c r="D105" s="5" t="inlineStr">
        <is>
          <t>roving focus or active descendant state is visible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protocol</t>
        </is>
      </c>
      <c r="H105" s="9" t="inlineStr">
        <is>
          <t>covered</t>
        </is>
      </c>
      <c r="I105" s="5" t="inlineStr">
        <is>
          <t>manual-tests/accordion.md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Direction</t>
        </is>
      </c>
      <c r="C106" s="5" t="inlineStr">
        <is>
          <t>Root</t>
        </is>
      </c>
      <c r="D106" s="5" t="inlineStr">
        <is>
          <t>reads Direction.Provider context for horizontal keyboard navigation</t>
        </is>
      </c>
      <c r="E106" s="10" t="inlineStr">
        <is>
          <t>yes</t>
        </is>
      </c>
      <c r="F106" s="8" t="inlineStr">
        <is>
          <t>yes</t>
        </is>
      </c>
      <c r="G106" s="4" t="inlineStr">
        <is>
          <t>passed manual protocol</t>
        </is>
      </c>
      <c r="H106" s="10" t="inlineStr">
        <is>
          <t>covered</t>
        </is>
      </c>
      <c r="I106" s="5" t="inlineStr">
        <is>
          <t>manual-tests/accordion.md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Direction</t>
        </is>
      </c>
      <c r="C107" s="5" t="inlineStr">
        <is>
          <t>Root</t>
        </is>
      </c>
      <c r="D107" s="5" t="inlineStr">
        <is>
          <t>RTL mirrors horizontal ArrowLeft and ArrowRight navigation</t>
        </is>
      </c>
      <c r="E107" s="10" t="inlineStr">
        <is>
          <t>yes</t>
        </is>
      </c>
      <c r="F107" s="8" t="inlineStr">
        <is>
          <t>yes</t>
        </is>
      </c>
      <c r="G107" s="4" t="inlineStr">
        <is>
          <t>passed manual protocol</t>
        </is>
      </c>
      <c r="H107" s="10" t="inlineStr">
        <is>
          <t>covered</t>
        </is>
      </c>
      <c r="I107" s="5" t="inlineStr">
        <is>
          <t>manual-tests/accordion.md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Playground</t>
        </is>
      </c>
      <c r="C108" s="5" t="inlineStr">
        <is>
          <t>Direction controls</t>
        </is>
      </c>
      <c r="D108" s="5" t="inlineStr">
        <is>
          <t>scenario exposes provider direction controls</t>
        </is>
      </c>
      <c r="E108" s="10" t="inlineStr">
        <is>
          <t>yes</t>
        </is>
      </c>
      <c r="F108" s="8" t="inlineStr">
        <is>
          <t>yes</t>
        </is>
      </c>
      <c r="G108" s="4" t="inlineStr">
        <is>
          <t>passed manual protocol</t>
        </is>
      </c>
      <c r="H108" s="10" t="inlineStr">
        <is>
          <t>covered</t>
        </is>
      </c>
      <c r="I108" s="5" t="inlineStr">
        <is>
          <t>manual-tests/accordion.md</t>
        </is>
      </c>
      <c r="J108" s="5" t="inlineStr"/>
      <c r="K108" s="6">
        <f>IF(AND(E108="yes",F108="yes",H108="covered"),1,IF(H108="partial",0.5,0))</f>
        <v/>
      </c>
    </row>
    <row r="109" ht="15" customHeight="1" s="60"/>
    <row r="110" ht="15" customHeight="1" s="60"/>
    <row r="111" ht="30" customHeight="1" s="60"/>
    <row r="112" ht="30" customHeight="1" s="60"/>
    <row r="113" ht="30" customHeight="1" s="60"/>
    <row r="114" ht="30" customHeight="1" s="60"/>
    <row r="115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AlertDialog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AlertDialog</t>
        </is>
      </c>
      <c r="D9" s="5" t="inlineStr">
        <is>
          <t>scenario is reachable from top menu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Tester-first AlertDialog manual checklist.</t>
        </is>
      </c>
      <c r="J9" s="5" t="inlineStr"/>
      <c r="K9" s="6">
        <f>IF(AND(E9="yes",F9="yes",H9="covered"),1,IF(H9="partial",0.5,0))</f>
        <v/>
      </c>
    </row>
    <row r="10" ht="30" customHeight="1" s="60">
      <c r="A10" s="4" t="n">
        <v>2</v>
      </c>
      <c r="B10" s="5" t="inlineStr">
        <is>
          <t>Playground</t>
        </is>
      </c>
      <c r="C10" s="5" t="inlineStr">
        <is>
          <t>AlertDialog</t>
        </is>
      </c>
      <c r="D10" s="5" t="inlineStr">
        <is>
          <t>layout renders Anatomy, Canvas toolbar, Canvas stage, footer, and Inspector in expected order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Tester-first AlertDialog manual checklist.</t>
        </is>
      </c>
      <c r="J10" s="5" t="inlineStr"/>
      <c r="K10" s="6">
        <f>IF(AND(E10="yes",F10="yes",H10="covered"),1,IF(H10="partial",0.5,0))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AlertDialog</t>
        </is>
      </c>
      <c r="D11" s="5" t="inlineStr">
        <is>
          <t>Canvas toolbar exposes State, Popup, Dismiss, ARIA, Composition, and Props groups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Tester-first AlertDialog manual checklist.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Props</t>
        </is>
      </c>
      <c r="D12" s="5" t="inlineStr">
        <is>
          <t>Props toolbar keeps Prop Check off by default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Tester-first AlertDialog manual checklist.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Props</t>
        </is>
      </c>
      <c r="D13" s="5" t="inlineStr">
        <is>
          <t>custom slot toggles are off by default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Tester-first AlertDialog manual checklist.</t>
        </is>
      </c>
      <c r="J13" s="5" t="inlineStr"/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AlertDialog</t>
        </is>
      </c>
      <c r="D14" s="5" t="inlineStr">
        <is>
          <t>Anatomy uses live DOM Attributes, ARIA, and Data groups for rendered parts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Tester-first AlertDialog manual checklist.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AlertDialog</t>
        </is>
      </c>
      <c r="D15" s="5" t="inlineStr">
        <is>
          <t>content forces role="alertdialog"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Content raw ARIA verified role="alertdialog".</t>
        </is>
      </c>
      <c r="J15" s="5" t="inlineStr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AlertDialog</t>
        </is>
      </c>
      <c r="D16" s="5" t="inlineStr">
        <is>
          <t>backdrop/overlay click does not dismiss by design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Overlay click logged while AlertDialog stayed open.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AlertDialog</t>
        </is>
      </c>
      <c r="D17" s="5" t="inlineStr">
        <is>
          <t>public anatomy parts render in documented order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Anatomy order verified: Root, Trigger, Portal, Overlay, Content, Title, Description, Cancel, Action.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AlertDialog</t>
        </is>
      </c>
      <c r="D18" s="5" t="inlineStr">
        <is>
          <t>Cancel autofocus is enabled by default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Initial focus landed on Cancel with Cancel autofocus enabled.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AlertDialog</t>
        </is>
      </c>
      <c r="D19" s="5" t="inlineStr">
        <is>
          <t>close reasons distinguish cancel and action flows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Logs verified closed by cancelClick and closed by actionClick.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AlertDialog</t>
        </is>
      </c>
      <c r="D20" s="5" t="inlineStr">
        <is>
          <t>Escape dismissal follows closeOnEscape state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Escape closed when enabled and did not close when disabled.</t>
        </is>
      </c>
      <c r="J20" s="5" t="inlineStr"/>
      <c r="K20" s="6">
        <f>IF(AND(E20="yes",F20="yes",H20="covered"),1,IF(H20="partial",0.5,0))</f>
        <v/>
      </c>
    </row>
    <row r="21" ht="30" customHeight="1" s="60">
      <c r="A21" s="4" t="n">
        <v>13</v>
      </c>
      <c r="B21" s="5" t="inlineStr">
        <is>
          <t>Feature</t>
        </is>
      </c>
      <c r="C21" s="5" t="inlineStr">
        <is>
          <t>AlertDialog</t>
        </is>
      </c>
      <c r="D21" s="5" t="inlineStr">
        <is>
          <t>focus containment and focus restore work while open/after close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Focus escape probe stayed inside; close restored focus to Trigger.</t>
        </is>
      </c>
      <c r="J21" s="5" t="inlineStr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Feature</t>
        </is>
      </c>
      <c r="C22" s="5" t="inlineStr">
        <is>
          <t>AlertDialog</t>
        </is>
      </c>
      <c r="D22" s="5" t="inlineStr">
        <is>
          <t>nested overlay Escape order closes nested layer before parent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Nested Select closed on first Escape; AlertDialog closed on second Escape.</t>
        </is>
      </c>
      <c r="J22" s="5" t="inlineStr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provider has no DOM identity row to inspect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Root verified as behavior-only provider; no Root tag or data-slot expected.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uncontrolled default starts closed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Default Canvas starts closed with Trigger data-state="closed".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controlled open prop updates visible open state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Controlled Open/Close controls opened and closed AlertDialog.</t>
        </is>
      </c>
      <c r="J25" s="5" t="inlineStr"/>
      <c r="K25" s="6">
        <f>IF(AND(E25="yes",F25="yes",H25="covered"),1,IF(H25="partial",0.5,0))</f>
        <v/>
      </c>
    </row>
    <row r="26" ht="30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onOpenChange reports open, cancelClick, actionClick, and Escape close changes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Logs verified open and close reasons from manual interactions.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prevents trigger activation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Disabled Trigger blocked pointer, Enter, and Space activation.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keepMounted keeps Overlay and Content mounted after close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Overlay and Content remained mounted with data-state="closed".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closeOnEscape=false prevents Escape dismissal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Escape did not close while Dismiss &gt; Escape closes was off.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backdrop dismissal remains disabled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Anatomy Root Backdrop closes row stayed no; overlay click did not close.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Trigger</t>
        </is>
      </c>
      <c r="D31" s="5" t="inlineStr">
        <is>
          <t>appears after Root in public anatomy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Tester-first AlertDialog manual checklist.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Identity</t>
        </is>
      </c>
      <c r="C32" s="5" t="inlineStr">
        <is>
          <t>Trigger</t>
        </is>
      </c>
      <c r="D32" s="5" t="inlineStr">
        <is>
          <t>default tag is button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Trigger raw Attributes verified button tag.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Identity</t>
        </is>
      </c>
      <c r="C33" s="5" t="inlineStr">
        <is>
          <t>Trigger</t>
        </is>
      </c>
      <c r="D33" s="5" t="inlineStr">
        <is>
          <t>consumer ref evidence records button in Anatomy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Anatomy Trigger Ref verified button.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Data</t>
        </is>
      </c>
      <c r="C34" s="5" t="inlineStr">
        <is>
          <t>Trigger</t>
        </is>
      </c>
      <c r="D34" s="5" t="inlineStr">
        <is>
          <t>default data-slot is alert-dialog-trigger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Trigger raw Data verified data-slot="alert-dialog-trigger".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Data</t>
        </is>
      </c>
      <c r="C35" s="5" t="inlineStr">
        <is>
          <t>Trigger</t>
        </is>
      </c>
      <c r="D35" s="5" t="inlineStr">
        <is>
          <t>closed state uses data-state="closed"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Trigger raw Data verified closed state.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Data</t>
        </is>
      </c>
      <c r="C36" s="5" t="inlineStr">
        <is>
          <t>Trigger</t>
        </is>
      </c>
      <c r="D36" s="5" t="inlineStr">
        <is>
          <t>open state uses data-state="open"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Trigger raw Data verified open state.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ARIA</t>
        </is>
      </c>
      <c r="C37" s="5" t="inlineStr">
        <is>
          <t>Trigger</t>
        </is>
      </c>
      <c r="D37" s="5" t="inlineStr">
        <is>
          <t>closed state uses aria-expanded="false"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Trigger raw ARIA verified aria-expanded="false".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ARIA</t>
        </is>
      </c>
      <c r="C38" s="5" t="inlineStr">
        <is>
          <t>Trigger</t>
        </is>
      </c>
      <c r="D38" s="5" t="inlineStr">
        <is>
          <t>open state uses aria-expanded="true"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Trigger raw ARIA verified aria-expanded="true".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ARIA</t>
        </is>
      </c>
      <c r="C39" s="5" t="inlineStr">
        <is>
          <t>Trigger</t>
        </is>
      </c>
      <c r="D39" s="5" t="inlineStr">
        <is>
          <t>aria-controls matches current Content id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Trigger aria-controls matched generated Content id.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Trigger</t>
        </is>
      </c>
      <c r="D40" s="5" t="inlineStr">
        <is>
          <t>disabled state blocks pointer and keyboard activation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Disabled Trigger probes blocked click, Enter, and Space.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Props</t>
        </is>
      </c>
      <c r="C41" s="5" t="inlineStr">
        <is>
          <t>Trigger</t>
        </is>
      </c>
      <c r="D41" s="5" t="inlineStr">
        <is>
          <t>Prop Check emits data-prop-check="trigger"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Trigger raw Data verified data-prop-check="trigger".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Slots</t>
        </is>
      </c>
      <c r="C42" s="5" t="inlineStr">
        <is>
          <t>Trigger</t>
        </is>
      </c>
      <c r="D42" s="5" t="inlineStr">
        <is>
          <t>custom slot emits data-slot="alert-dialog-trigger-custom"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Trigger custom slot raw Data verified.</t>
        </is>
      </c>
      <c r="J42" s="5" t="inlineStr"/>
      <c r="K42" s="6">
        <f>IF(AND(E42="yes",F42="yes",H42="covered"),1,IF(H42="partial",0.5,0))</f>
        <v/>
      </c>
    </row>
    <row r="43" ht="30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Default mode renders button and opens on click, Enter, and Space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Tester-first AlertDialog manual checklist.</t>
        </is>
      </c>
      <c r="J43" s="5" t="inlineStr"/>
      <c r="K43" s="6">
        <f>IF(AND(E43="yes",F43="yes",H43="covered"),1,IF(H43="partial",0.5,0))</f>
        <v/>
      </c>
    </row>
    <row r="44" ht="30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As Child mode merges Trigger props into single child without duplicate control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Tester-first AlertDialog manual checklist.</t>
        </is>
      </c>
      <c r="J44" s="5" t="inlineStr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Composition</t>
        </is>
      </c>
      <c r="C45" s="5" t="inlineStr">
        <is>
          <t>Trigger</t>
        </is>
      </c>
      <c r="D45" s="5" t="inlineStr">
        <is>
          <t>Render mode renders button through render={(props) =&gt; &lt;button {...props} /&gt;}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Tester-first AlertDialog manual checklist.</t>
        </is>
      </c>
      <c r="J45" s="5" t="inlineStr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Interaction</t>
        </is>
      </c>
      <c r="C46" s="5" t="inlineStr">
        <is>
          <t>Trigger</t>
        </is>
      </c>
      <c r="D46" s="5" t="inlineStr">
        <is>
          <t>preventDefault handler blocks Trigger open when Block trigger event is enabled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Block trigger event kept dialog closed and logged blocked trigger text.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Focus</t>
        </is>
      </c>
      <c r="C47" s="5" t="inlineStr">
        <is>
          <t>Trigger</t>
        </is>
      </c>
      <c r="D47" s="5" t="inlineStr">
        <is>
          <t>focus is restored to Trigger after close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Focus restored after Cancel, Action, and Escape closes.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Portal</t>
        </is>
      </c>
      <c r="D48" s="5" t="inlineStr">
        <is>
          <t>appears after Trigger in public anatomy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Tester-first AlertDialog manual checklist.</t>
        </is>
      </c>
      <c r="J48" s="5" t="inlineStr"/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Portal</t>
        </is>
      </c>
      <c r="C49" s="5" t="inlineStr">
        <is>
          <t>Portal</t>
        </is>
      </c>
      <c r="D49" s="5" t="inlineStr">
        <is>
          <t>provider has no DOM identity row to inspect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Portal verified as behavior-only portal; no Portal tag or data-slot expected.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Portal</t>
        </is>
      </c>
      <c r="C50" s="5" t="inlineStr">
        <is>
          <t>Portal</t>
        </is>
      </c>
      <c r="D50" s="5" t="inlineStr">
        <is>
          <t>default portal renders Content outside .canvas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Anatomy Portal Inside canvas verified no by default.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Portal</t>
        </is>
      </c>
      <c r="C51" s="5" t="inlineStr">
        <is>
          <t>Portal</t>
        </is>
      </c>
      <c r="D51" s="5" t="inlineStr">
        <is>
          <t>disabled portal renders Content inside .canvas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Popup &gt; Disable portal changed Inside canvas to yes.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Anatomy</t>
        </is>
      </c>
      <c r="C52" s="5" t="inlineStr">
        <is>
          <t>Overlay</t>
        </is>
      </c>
      <c r="D52" s="5" t="inlineStr">
        <is>
          <t>appears after Portal in public anatomy order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Tester-first AlertDialog manual checklist.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Overlay</t>
        </is>
      </c>
      <c r="D53" s="5" t="inlineStr">
        <is>
          <t>default tag is div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Overlay raw Attributes verified div tag.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Identity</t>
        </is>
      </c>
      <c r="C54" s="5" t="inlineStr">
        <is>
          <t>Overlay</t>
        </is>
      </c>
      <c r="D54" s="5" t="inlineStr">
        <is>
          <t>consumer ref evidence records div in Anatomy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Anatomy Overlay Ref verified div.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Data</t>
        </is>
      </c>
      <c r="C55" s="5" t="inlineStr">
        <is>
          <t>Overlay</t>
        </is>
      </c>
      <c r="D55" s="5" t="inlineStr">
        <is>
          <t>default data-slot is alert-dialog-overlay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Overlay raw Data verified data-slot="alert-dialog-overlay".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Data</t>
        </is>
      </c>
      <c r="C56" s="5" t="inlineStr">
        <is>
          <t>Overlay</t>
        </is>
      </c>
      <c r="D56" s="5" t="inlineStr">
        <is>
          <t>open state uses data-state="open" after positioning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Overlay raw Data verified open state.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Data</t>
        </is>
      </c>
      <c r="C57" s="5" t="inlineStr">
        <is>
          <t>Overlay</t>
        </is>
      </c>
      <c r="D57" s="5" t="inlineStr">
        <is>
          <t>closed keepMounted state uses data-state="closed"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Overlay raw Data verified closed state after close with keepMounted.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Data</t>
        </is>
      </c>
      <c r="C58" s="5" t="inlineStr">
        <is>
          <t>Overlay</t>
        </is>
      </c>
      <c r="D58" s="5" t="inlineStr">
        <is>
          <t>data-positioned appears after positioning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Overlay raw Data verified data-positioned present.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Overlay</t>
        </is>
      </c>
      <c r="D59" s="5" t="inlineStr">
        <is>
          <t>aria-hidden="true" is present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Overlay raw ARIA verified aria-hidden="true".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Overlay</t>
        </is>
      </c>
      <c r="D60" s="5" t="inlineStr">
        <is>
          <t>Prop Check emits data-prop-check="overlay"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Overlay raw Data verified data-prop-check="overlay".</t>
        </is>
      </c>
      <c r="J60" s="5" t="inlineStr"/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Props</t>
        </is>
      </c>
      <c r="C61" s="5" t="inlineStr">
        <is>
          <t>Overlay</t>
        </is>
      </c>
      <c r="D61" s="5" t="inlineStr">
        <is>
          <t>disabled prop is exposed without enabling AlertDialog dismissal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Popup &gt; Disable overlay updated Anatomy/Source; overlay click still did not close.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Slots</t>
        </is>
      </c>
      <c r="C62" s="5" t="inlineStr">
        <is>
          <t>Overlay</t>
        </is>
      </c>
      <c r="D62" s="5" t="inlineStr">
        <is>
          <t>custom slot emits data-slot="alert-dialog-overlay-custom"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Overlay custom slot raw Data verified.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Interaction</t>
        </is>
      </c>
      <c r="C63" s="5" t="inlineStr">
        <is>
          <t>Overlay</t>
        </is>
      </c>
      <c r="D63" s="5" t="inlineStr">
        <is>
          <t>click logs overlay click and does not close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Overlay click logged and AlertDialog stayed open.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Content</t>
        </is>
      </c>
      <c r="D64" s="5" t="inlineStr">
        <is>
          <t>appears after Overlay in public anatomy order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Tester-first AlertDialog manual checklist.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Identity</t>
        </is>
      </c>
      <c r="C65" s="5" t="inlineStr">
        <is>
          <t>Content</t>
        </is>
      </c>
      <c r="D65" s="5" t="inlineStr">
        <is>
          <t>default tag is div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Content raw Attributes verified div tag.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Content</t>
        </is>
      </c>
      <c r="D66" s="5" t="inlineStr">
        <is>
          <t>consumer ref evidence records div in Anatomy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Anatomy Content Ref verified div.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Content</t>
        </is>
      </c>
      <c r="D67" s="5" t="inlineStr">
        <is>
          <t>generated id remains stable while mounted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Content id stayed stable for mounted instance.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Content</t>
        </is>
      </c>
      <c r="D68" s="5" t="inlineStr">
        <is>
          <t>default data-slot is alert-dialog-content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Content raw Data verified data-slot="alert-dialog-content".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Data</t>
        </is>
      </c>
      <c r="C69" s="5" t="inlineStr">
        <is>
          <t>Content</t>
        </is>
      </c>
      <c r="D69" s="5" t="inlineStr">
        <is>
          <t>open state uses data-state="open" after positioning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Content raw Data verified open state.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Content</t>
        </is>
      </c>
      <c r="D70" s="5" t="inlineStr">
        <is>
          <t>closed keepMounted state uses data-state="closed"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Content raw Data verified closed state after close with keepMounted.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Content</t>
        </is>
      </c>
      <c r="D71" s="5" t="inlineStr">
        <is>
          <t>data-positioned appears after positioning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Content raw Data verified data-positioned present.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Content</t>
        </is>
      </c>
      <c r="D72" s="5" t="inlineStr">
        <is>
          <t>role is alertdialog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Content raw ARIA verified role="alertdialog".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Content</t>
        </is>
      </c>
      <c r="D73" s="5" t="inlineStr">
        <is>
          <t>aria-modal is true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Content raw ARIA verified aria-modal="true".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Content</t>
        </is>
      </c>
      <c r="D74" s="5" t="inlineStr">
        <is>
          <t>aria-labelledby matches rendered Title id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Content aria-labelledby matched generated Title id.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Content</t>
        </is>
      </c>
      <c r="D75" s="5" t="inlineStr">
        <is>
          <t>aria-describedby matches rendered Description id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Content aria-describedby matched generated Description id.</t>
        </is>
      </c>
      <c r="J75" s="5" t="inlineStr"/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ARIA</t>
        </is>
      </c>
      <c r="C76" s="5" t="inlineStr">
        <is>
          <t>Content</t>
        </is>
      </c>
      <c r="D76" s="5" t="inlineStr">
        <is>
          <t>ariaLabel mode uses aria-label="Delete project confirmation" and omits Title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ARIA &gt; Use ariaLabel verified aria-label and Title not rendered.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Props</t>
        </is>
      </c>
      <c r="C77" s="5" t="inlineStr">
        <is>
          <t>Content</t>
        </is>
      </c>
      <c r="D77" s="5" t="inlineStr">
        <is>
          <t>Prop Check emits data-prop-check="content"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Content raw Data verified data-prop-check="content".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Slots</t>
        </is>
      </c>
      <c r="C78" s="5" t="inlineStr">
        <is>
          <t>Content</t>
        </is>
      </c>
      <c r="D78" s="5" t="inlineStr">
        <is>
          <t>custom slot emits data-slot="alert-dialog-content-custom"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Content custom slot raw Data verified.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Focus</t>
        </is>
      </c>
      <c r="C79" s="5" t="inlineStr">
        <is>
          <t>Content</t>
        </is>
      </c>
      <c r="D79" s="5" t="inlineStr">
        <is>
          <t>focus escape probe remains inside AlertDialog content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Test focus escape logged focus stayed inside alert dialog: yes.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Title</t>
        </is>
      </c>
      <c r="D80" s="5" t="inlineStr">
        <is>
          <t>appears after Content in public anatomy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Tester-first AlertDialog manual checklist.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Identity</t>
        </is>
      </c>
      <c r="C81" s="5" t="inlineStr">
        <is>
          <t>Title</t>
        </is>
      </c>
      <c r="D81" s="5" t="inlineStr">
        <is>
          <t>default tag is h2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Title raw Attributes verified h2 by default.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Title</t>
        </is>
      </c>
      <c r="D82" s="5" t="inlineStr">
        <is>
          <t>as prop renders h1 through h6 when selected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ARIA &gt; Title as verified h1-h6 tags.</t>
        </is>
      </c>
      <c r="J82" s="5" t="inlineStr"/>
      <c r="K82" s="6">
        <f>IF(AND(E82="yes",F82="yes",H82="covered"),1,IF(H82="partial",0.5,0))</f>
        <v/>
      </c>
    </row>
    <row r="83" ht="30" customHeight="1" s="60">
      <c r="A83" s="4" t="n">
        <v>75</v>
      </c>
      <c r="B83" s="5" t="inlineStr">
        <is>
          <t>Identity</t>
        </is>
      </c>
      <c r="C83" s="5" t="inlineStr">
        <is>
          <t>Title</t>
        </is>
      </c>
      <c r="D83" s="5" t="inlineStr">
        <is>
          <t>consumer ref evidence records selected heading tag in Anatomy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Anatomy Title Ref matched selected heading tag.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Title</t>
        </is>
      </c>
      <c r="D84" s="5" t="inlineStr">
        <is>
          <t>generated id remains stable while mounted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Title id stayed stable for mounted instance.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Title</t>
        </is>
      </c>
      <c r="D85" s="5" t="inlineStr">
        <is>
          <t>default data-slot is alert-dialog-title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Title raw Data verified data-slot="alert-dialog-title".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Title</t>
        </is>
      </c>
      <c r="D86" s="5" t="inlineStr">
        <is>
          <t>Content aria-labelledby matches Title id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Content aria-labelledby matched generated Title id.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Title</t>
        </is>
      </c>
      <c r="D87" s="5" t="inlineStr">
        <is>
          <t>Title is omitted when Content ariaLabel is used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ARIA &gt; Use ariaLabel removed Title from DOM/Anatomy.</t>
        </is>
      </c>
      <c r="J87" s="5" t="inlineStr"/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Props</t>
        </is>
      </c>
      <c r="C88" s="5" t="inlineStr">
        <is>
          <t>Title</t>
        </is>
      </c>
      <c r="D88" s="5" t="inlineStr">
        <is>
          <t>Prop Check emits data-prop-check="title" when Title renders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Title raw Data verified data-prop-check="title".</t>
        </is>
      </c>
      <c r="J88" s="5" t="inlineStr"/>
      <c r="K88" s="6">
        <f>IF(AND(E88="yes",F88="yes",H88="covered"),1,IF(H88="partial",0.5,0))</f>
        <v/>
      </c>
    </row>
    <row r="89" ht="30" customHeight="1" s="60">
      <c r="A89" s="4" t="n">
        <v>81</v>
      </c>
      <c r="B89" s="5" t="inlineStr">
        <is>
          <t>Slots</t>
        </is>
      </c>
      <c r="C89" s="5" t="inlineStr">
        <is>
          <t>Title</t>
        </is>
      </c>
      <c r="D89" s="5" t="inlineStr">
        <is>
          <t>custom slot emits data-slot="alert-dialog-title-custom" when Title renders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Title custom slot raw Data verified.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Anatomy</t>
        </is>
      </c>
      <c r="C90" s="5" t="inlineStr">
        <is>
          <t>Description</t>
        </is>
      </c>
      <c r="D90" s="5" t="inlineStr">
        <is>
          <t>appears after Title in public anatomy order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Tester-first AlertDialog manual checklist.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Identity</t>
        </is>
      </c>
      <c r="C91" s="5" t="inlineStr">
        <is>
          <t>Description</t>
        </is>
      </c>
      <c r="D91" s="5" t="inlineStr">
        <is>
          <t>default tag is p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Description raw Attributes verified p tag.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Identity</t>
        </is>
      </c>
      <c r="C92" s="5" t="inlineStr">
        <is>
          <t>Description</t>
        </is>
      </c>
      <c r="D92" s="5" t="inlineStr">
        <is>
          <t>consumer ref evidence records p in Anatomy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Anatomy Description Ref verified p.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Identity</t>
        </is>
      </c>
      <c r="C93" s="5" t="inlineStr">
        <is>
          <t>Description</t>
        </is>
      </c>
      <c r="D93" s="5" t="inlineStr">
        <is>
          <t>generated id remains stable while mounted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Description id stayed stable for mounted instance.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Description</t>
        </is>
      </c>
      <c r="D94" s="5" t="inlineStr">
        <is>
          <t>default data-slot is alert-dialog-description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Description raw Data verified data-slot="alert-dialog-description".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ARIA</t>
        </is>
      </c>
      <c r="C95" s="5" t="inlineStr">
        <is>
          <t>Description</t>
        </is>
      </c>
      <c r="D95" s="5" t="inlineStr">
        <is>
          <t>Content aria-describedby matches Description id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Content aria-describedby matched generated Description id.</t>
        </is>
      </c>
      <c r="J95" s="5" t="inlineStr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Props</t>
        </is>
      </c>
      <c r="C96" s="5" t="inlineStr">
        <is>
          <t>Description</t>
        </is>
      </c>
      <c r="D96" s="5" t="inlineStr">
        <is>
          <t>Prop Check emits data-prop-check="description"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Description raw Data verified data-prop-check="description".</t>
        </is>
      </c>
      <c r="J96" s="5" t="inlineStr"/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Slots</t>
        </is>
      </c>
      <c r="C97" s="5" t="inlineStr">
        <is>
          <t>Description</t>
        </is>
      </c>
      <c r="D97" s="5" t="inlineStr">
        <is>
          <t>custom slot emits data-slot="alert-dialog-description-custom"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Description custom slot raw Data verified.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Anatomy</t>
        </is>
      </c>
      <c r="C98" s="5" t="inlineStr">
        <is>
          <t>Cancel</t>
        </is>
      </c>
      <c r="D98" s="5" t="inlineStr">
        <is>
          <t>appears after Description in public anatomy order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Tester-first AlertDialog manual checklist.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Identity</t>
        </is>
      </c>
      <c r="C99" s="5" t="inlineStr">
        <is>
          <t>Cancel</t>
        </is>
      </c>
      <c r="D99" s="5" t="inlineStr">
        <is>
          <t>default tag is button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Cancel raw Attributes verified button tag.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Identity</t>
        </is>
      </c>
      <c r="C100" s="5" t="inlineStr">
        <is>
          <t>Cancel</t>
        </is>
      </c>
      <c r="D100" s="5" t="inlineStr">
        <is>
          <t>default/render mode has type="button"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Cancel raw Attributes verified type="button" in default/render modes.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Cancel</t>
        </is>
      </c>
      <c r="D101" s="5" t="inlineStr">
        <is>
          <t>consumer ref evidence records button in Anatomy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Anatomy Cancel Ref verified button in default mode.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Data</t>
        </is>
      </c>
      <c r="C102" s="5" t="inlineStr">
        <is>
          <t>Cancel</t>
        </is>
      </c>
      <c r="D102" s="5" t="inlineStr">
        <is>
          <t>default data-slot is alert-dialog-cancel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Cancel raw Data verified data-slot="alert-dialog-cancel".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Props</t>
        </is>
      </c>
      <c r="C103" s="5" t="inlineStr">
        <is>
          <t>Cancel</t>
        </is>
      </c>
      <c r="D103" s="5" t="inlineStr">
        <is>
          <t>Prop Check emits data-prop-check="cancel"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Cancel raw Data verified data-prop-check="cancel".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Slots</t>
        </is>
      </c>
      <c r="C104" s="5" t="inlineStr">
        <is>
          <t>Cancel</t>
        </is>
      </c>
      <c r="D104" s="5" t="inlineStr">
        <is>
          <t>custom slot emits data-slot="alert-dialog-cancel-custom"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Cancel custom slot raw Data verified.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Composition</t>
        </is>
      </c>
      <c r="C105" s="5" t="inlineStr">
        <is>
          <t>Cancel</t>
        </is>
      </c>
      <c r="D105" s="5" t="inlineStr">
        <is>
          <t>Default mode renders button and closes with cancelClick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Tester-first AlertDialog manual checklist.</t>
        </is>
      </c>
      <c r="J105" s="5" t="inlineStr"/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Composition</t>
        </is>
      </c>
      <c r="C106" s="5" t="inlineStr">
        <is>
          <t>Cancel</t>
        </is>
      </c>
      <c r="D106" s="5" t="inlineStr">
        <is>
          <t>As Child mode merges Cancel props into single child without duplicate control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Tester-first AlertDialog manual checklist.</t>
        </is>
      </c>
      <c r="J106" s="5" t="inlineStr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Composition</t>
        </is>
      </c>
      <c r="C107" s="5" t="inlineStr">
        <is>
          <t>Cancel</t>
        </is>
      </c>
      <c r="D107" s="5" t="inlineStr">
        <is>
          <t>Render mode renders button and receives type="button" through spread props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Tester-first AlertDialog manual checklist.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Focus</t>
        </is>
      </c>
      <c r="C108" s="5" t="inlineStr">
        <is>
          <t>Cancel</t>
        </is>
      </c>
      <c r="D108" s="5" t="inlineStr">
        <is>
          <t>autoFocus defaults to true and initially focuses Cancel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Initial focus landed on Cancel with Cancel autofocus on.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Interaction</t>
        </is>
      </c>
      <c r="C109" s="5" t="inlineStr">
        <is>
          <t>Cancel</t>
        </is>
      </c>
      <c r="D109" s="5" t="inlineStr">
        <is>
          <t>click closes and logs cancelClick reason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Cancel click closed and log included closed by cancelClick.</t>
        </is>
      </c>
      <c r="J109" s="5" t="inlineStr"/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Interaction</t>
        </is>
      </c>
      <c r="C110" s="5" t="inlineStr">
        <is>
          <t>Cancel</t>
        </is>
      </c>
      <c r="D110" s="5" t="inlineStr">
        <is>
          <t>preventDefault handler blocks close when Block cancel close is enabled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Block cancel close kept dialog open and logged blocked cancel text.</t>
        </is>
      </c>
      <c r="J110" s="5" t="inlineStr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Anatomy</t>
        </is>
      </c>
      <c r="C111" s="5" t="inlineStr">
        <is>
          <t>Action</t>
        </is>
      </c>
      <c r="D111" s="5" t="inlineStr">
        <is>
          <t>appears after Cancel in public anatomy order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Tester-first AlertDialog manual checklist.</t>
        </is>
      </c>
      <c r="J111" s="5" t="inlineStr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Action</t>
        </is>
      </c>
      <c r="D112" s="5" t="inlineStr">
        <is>
          <t>default tag is button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Action raw Attributes verified button tag.</t>
        </is>
      </c>
      <c r="J112" s="5" t="inlineStr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Identity</t>
        </is>
      </c>
      <c r="C113" s="5" t="inlineStr">
        <is>
          <t>Action</t>
        </is>
      </c>
      <c r="D113" s="5" t="inlineStr">
        <is>
          <t>default/render mode has type="button"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9" t="inlineStr">
        <is>
          <t>covered</t>
        </is>
      </c>
      <c r="I113" s="5" t="inlineStr">
        <is>
          <t>Action raw Attributes verified type="button" in default/render modes.</t>
        </is>
      </c>
      <c r="J113" s="5" t="inlineStr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Identity</t>
        </is>
      </c>
      <c r="C114" s="5" t="inlineStr">
        <is>
          <t>Action</t>
        </is>
      </c>
      <c r="D114" s="5" t="inlineStr">
        <is>
          <t>consumer ref evidence records button in Anatomy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9" t="inlineStr">
        <is>
          <t>covered</t>
        </is>
      </c>
      <c r="I114" s="5" t="inlineStr">
        <is>
          <t>Anatomy Action Ref verified button in default mode.</t>
        </is>
      </c>
      <c r="J114" s="5" t="inlineStr"/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Data</t>
        </is>
      </c>
      <c r="C115" s="5" t="inlineStr">
        <is>
          <t>Action</t>
        </is>
      </c>
      <c r="D115" s="5" t="inlineStr">
        <is>
          <t>default data-slot is alert-dialog-action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9" t="inlineStr">
        <is>
          <t>covered</t>
        </is>
      </c>
      <c r="I115" s="5" t="inlineStr">
        <is>
          <t>Action raw Data verified data-slot="alert-dialog-action".</t>
        </is>
      </c>
      <c r="J115" s="5" t="inlineStr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Props</t>
        </is>
      </c>
      <c r="C116" s="5" t="inlineStr">
        <is>
          <t>Action</t>
        </is>
      </c>
      <c r="D116" s="5" t="inlineStr">
        <is>
          <t>Prop Check emits data-prop-check="action"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9" t="inlineStr">
        <is>
          <t>covered</t>
        </is>
      </c>
      <c r="I116" s="5" t="inlineStr">
        <is>
          <t>Action raw Data verified data-prop-check="action".</t>
        </is>
      </c>
      <c r="J116" s="5" t="inlineStr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Slots</t>
        </is>
      </c>
      <c r="C117" s="5" t="inlineStr">
        <is>
          <t>Action</t>
        </is>
      </c>
      <c r="D117" s="5" t="inlineStr">
        <is>
          <t>custom slot emits data-slot="alert-dialog-action-custom"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9" t="inlineStr">
        <is>
          <t>covered</t>
        </is>
      </c>
      <c r="I117" s="5" t="inlineStr">
        <is>
          <t>Action custom slot raw Data verified.</t>
        </is>
      </c>
      <c r="J117" s="5" t="inlineStr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Composition</t>
        </is>
      </c>
      <c r="C118" s="5" t="inlineStr">
        <is>
          <t>Action</t>
        </is>
      </c>
      <c r="D118" s="5" t="inlineStr">
        <is>
          <t>Default mode renders button and closes with actionClick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9" t="inlineStr">
        <is>
          <t>covered</t>
        </is>
      </c>
      <c r="I118" s="5" t="inlineStr">
        <is>
          <t>Tester-first AlertDialog manual checklist.</t>
        </is>
      </c>
      <c r="J118" s="5" t="inlineStr"/>
      <c r="K118" s="6">
        <f>IF(AND(E118="yes",F118="yes",H118="covered"),1,IF(H118="partial",0.5,0))</f>
        <v/>
      </c>
    </row>
    <row r="119" ht="30" customHeight="1" s="60">
      <c r="A119" s="4" t="n">
        <v>111</v>
      </c>
      <c r="B119" s="5" t="inlineStr">
        <is>
          <t>Composition</t>
        </is>
      </c>
      <c r="C119" s="5" t="inlineStr">
        <is>
          <t>Action</t>
        </is>
      </c>
      <c r="D119" s="5" t="inlineStr">
        <is>
          <t>As Child mode merges Action props into single child without duplicate control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test</t>
        </is>
      </c>
      <c r="H119" s="9" t="inlineStr">
        <is>
          <t>covered</t>
        </is>
      </c>
      <c r="I119" s="5" t="inlineStr">
        <is>
          <t>Tester-first AlertDialog manual checklist.</t>
        </is>
      </c>
      <c r="J119" s="5" t="inlineStr"/>
      <c r="K119" s="6">
        <f>IF(AND(E119="yes",F119="yes",H119="covered"),1,IF(H119="partial",0.5,0))</f>
        <v/>
      </c>
    </row>
    <row r="120" ht="30" customHeight="1" s="60">
      <c r="A120" s="4" t="n">
        <v>112</v>
      </c>
      <c r="B120" s="5" t="inlineStr">
        <is>
          <t>Composition</t>
        </is>
      </c>
      <c r="C120" s="5" t="inlineStr">
        <is>
          <t>Action</t>
        </is>
      </c>
      <c r="D120" s="5" t="inlineStr">
        <is>
          <t>Render mode renders button and receives type="button" through spread props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test</t>
        </is>
      </c>
      <c r="H120" s="9" t="inlineStr">
        <is>
          <t>covered</t>
        </is>
      </c>
      <c r="I120" s="5" t="inlineStr">
        <is>
          <t>Tester-first AlertDialog manual checklist.</t>
        </is>
      </c>
      <c r="J120" s="5" t="inlineStr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Interaction</t>
        </is>
      </c>
      <c r="C121" s="5" t="inlineStr">
        <is>
          <t>Action</t>
        </is>
      </c>
      <c r="D121" s="5" t="inlineStr">
        <is>
          <t>click closes and logs actionClick reason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test</t>
        </is>
      </c>
      <c r="H121" s="9" t="inlineStr">
        <is>
          <t>covered</t>
        </is>
      </c>
      <c r="I121" s="5" t="inlineStr">
        <is>
          <t>Action click closed and log included closed by actionClick.</t>
        </is>
      </c>
      <c r="J121" s="5" t="inlineStr"/>
      <c r="K121" s="6">
        <f>IF(AND(E121="yes",F121="yes",H121="covered"),1,IF(H121="partial",0.5,0))</f>
        <v/>
      </c>
    </row>
    <row r="122" ht="30" customHeight="1" s="60">
      <c r="A122" s="4" t="n">
        <v>114</v>
      </c>
      <c r="B122" s="5" t="inlineStr">
        <is>
          <t>Interaction</t>
        </is>
      </c>
      <c r="C122" s="5" t="inlineStr">
        <is>
          <t>Action</t>
        </is>
      </c>
      <c r="D122" s="5" t="inlineStr">
        <is>
          <t>preventDefault handler blocks close when Block action close is enabled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test</t>
        </is>
      </c>
      <c r="H122" s="9" t="inlineStr">
        <is>
          <t>covered</t>
        </is>
      </c>
      <c r="I122" s="5" t="inlineStr">
        <is>
          <t>Block action close kept dialog open and logged blocked action text.</t>
        </is>
      </c>
      <c r="J122" s="5" t="inlineStr"/>
      <c r="K122" s="6">
        <f>IF(AND(E122="yes",F122="yes",H122="covered"),1,IF(H122="partial",0.5,0))</f>
        <v/>
      </c>
    </row>
    <row r="123" ht="30" customHeight="1" s="60">
      <c r="A123" s="4" t="n">
        <v>115</v>
      </c>
      <c r="B123" s="5" t="inlineStr">
        <is>
          <t>Source</t>
        </is>
      </c>
      <c r="C123" s="5" t="inlineStr">
        <is>
          <t>AlertDialog</t>
        </is>
      </c>
      <c r="D123" s="5" t="inlineStr">
        <is>
          <t>default Source omits false/default props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test</t>
        </is>
      </c>
      <c r="H123" s="9" t="inlineStr">
        <is>
          <t>covered</t>
        </is>
      </c>
      <c r="I123" s="5" t="inlineStr">
        <is>
          <t>Source omitted disabled={false}, keepMounted={false}, and default false booleans.</t>
        </is>
      </c>
      <c r="J123" s="5" t="inlineStr"/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Source</t>
        </is>
      </c>
      <c r="C124" s="5" t="inlineStr">
        <is>
          <t>Root</t>
        </is>
      </c>
      <c r="D124" s="5" t="inlineStr">
        <is>
          <t>controlled mode Source shows open={open}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test</t>
        </is>
      </c>
      <c r="H124" s="9" t="inlineStr">
        <is>
          <t>covered</t>
        </is>
      </c>
      <c r="I124" s="5" t="inlineStr">
        <is>
          <t>Source verified controlled open prop appears only in controlled mode.</t>
        </is>
      </c>
      <c r="J124" s="5" t="inlineStr"/>
      <c r="K124" s="6">
        <f>IF(AND(E124="yes",F124="yes",H124="covered"),1,IF(H124="partial",0.5,0))</f>
        <v/>
      </c>
    </row>
    <row r="125" ht="30" customHeight="1" s="60">
      <c r="A125" s="4" t="n">
        <v>117</v>
      </c>
      <c r="B125" s="5" t="inlineStr">
        <is>
          <t>Source</t>
        </is>
      </c>
      <c r="C125" s="5" t="inlineStr">
        <is>
          <t>Root</t>
        </is>
      </c>
      <c r="D125" s="5" t="inlineStr">
        <is>
          <t>disabled, keepMounted, and closeOnEscape={false} appear only when active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test</t>
        </is>
      </c>
      <c r="H125" s="9" t="inlineStr">
        <is>
          <t>covered</t>
        </is>
      </c>
      <c r="I125" s="5" t="inlineStr">
        <is>
          <t>Tester-first AlertDialog manual checklist.</t>
        </is>
      </c>
      <c r="J125" s="5" t="inlineStr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Source</t>
        </is>
      </c>
      <c r="C126" s="5" t="inlineStr">
        <is>
          <t>Portal</t>
        </is>
      </c>
      <c r="D126" s="5" t="inlineStr">
        <is>
          <t>disabled portal Source shows &lt;AlertDialog.Portal disabled&gt;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test</t>
        </is>
      </c>
      <c r="H126" s="9" t="inlineStr">
        <is>
          <t>covered</t>
        </is>
      </c>
      <c r="I126" s="5" t="inlineStr">
        <is>
          <t>Tester-first AlertDialog manual checklist.</t>
        </is>
      </c>
      <c r="J126" s="5" t="inlineStr"/>
      <c r="K126" s="6">
        <f>IF(AND(E126="yes",F126="yes",H126="covered"),1,IF(H126="partial",0.5,0))</f>
        <v/>
      </c>
    </row>
    <row r="127" ht="30" customHeight="1" s="60">
      <c r="A127" s="4" t="n">
        <v>119</v>
      </c>
      <c r="B127" s="5" t="inlineStr">
        <is>
          <t>Source</t>
        </is>
      </c>
      <c r="C127" s="5" t="inlineStr">
        <is>
          <t>Overlay</t>
        </is>
      </c>
      <c r="D127" s="5" t="inlineStr">
        <is>
          <t>disabled overlay Source shows disabled on AlertDialog.Overlay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test</t>
        </is>
      </c>
      <c r="H127" s="9" t="inlineStr">
        <is>
          <t>covered</t>
        </is>
      </c>
      <c r="I127" s="5" t="inlineStr">
        <is>
          <t>Tester-first AlertDialog manual checklist.</t>
        </is>
      </c>
      <c r="J127" s="5" t="inlineStr"/>
      <c r="K127" s="6">
        <f>IF(AND(E127="yes",F127="yes",H127="covered"),1,IF(H127="partial",0.5,0))</f>
        <v/>
      </c>
    </row>
    <row r="128" ht="30" customHeight="1" s="60">
      <c r="A128" s="4" t="n">
        <v>120</v>
      </c>
      <c r="B128" s="5" t="inlineStr">
        <is>
          <t>Source</t>
        </is>
      </c>
      <c r="C128" s="5" t="inlineStr">
        <is>
          <t>Content</t>
        </is>
      </c>
      <c r="D128" s="5" t="inlineStr">
        <is>
          <t>ariaLabel Source omits Title and shows ariaLabel="Delete project confirmation"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test</t>
        </is>
      </c>
      <c r="H128" s="9" t="inlineStr">
        <is>
          <t>covered</t>
        </is>
      </c>
      <c r="I128" s="5" t="inlineStr">
        <is>
          <t>Tester-first AlertDialog manual checklist.</t>
        </is>
      </c>
      <c r="J128" s="5" t="inlineStr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Source</t>
        </is>
      </c>
      <c r="C129" s="5" t="inlineStr">
        <is>
          <t>Title</t>
        </is>
      </c>
      <c r="D129" s="5" t="inlineStr">
        <is>
          <t>heading Source shows selected as="h1" through as="h6"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test</t>
        </is>
      </c>
      <c r="H129" s="9" t="inlineStr">
        <is>
          <t>covered</t>
        </is>
      </c>
      <c r="I129" s="5" t="inlineStr">
        <is>
          <t>Tester-first AlertDialog manual checklist.</t>
        </is>
      </c>
      <c r="J129" s="5" t="inlineStr"/>
      <c r="K129" s="6">
        <f>IF(AND(E129="yes",F129="yes",H129="covered"),1,IF(H129="partial",0.5,0))</f>
        <v/>
      </c>
    </row>
    <row r="130" ht="30" customHeight="1" s="60">
      <c r="A130" s="4" t="n">
        <v>122</v>
      </c>
      <c r="B130" s="5" t="inlineStr">
        <is>
          <t>Source</t>
        </is>
      </c>
      <c r="C130" s="5" t="inlineStr">
        <is>
          <t>Props</t>
        </is>
      </c>
      <c r="D130" s="5" t="inlineStr">
        <is>
          <t>Prop Check Source shows exact data-prop-check values for rendered parts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 manual test</t>
        </is>
      </c>
      <c r="H130" s="9" t="inlineStr">
        <is>
          <t>covered</t>
        </is>
      </c>
      <c r="I130" s="5" t="inlineStr">
        <is>
          <t>Tester-first AlertDialog manual checklist.</t>
        </is>
      </c>
      <c r="J130" s="5" t="inlineStr"/>
      <c r="K130" s="6">
        <f>IF(AND(E130="yes",F130="yes",H130="covered"),1,IF(H130="partial",0.5,0))</f>
        <v/>
      </c>
    </row>
    <row r="131" ht="30" customHeight="1" s="60">
      <c r="A131" s="4" t="n">
        <v>123</v>
      </c>
      <c r="B131" s="5" t="inlineStr">
        <is>
          <t>Source</t>
        </is>
      </c>
      <c r="C131" s="5" t="inlineStr">
        <is>
          <t>Slots</t>
        </is>
      </c>
      <c r="D131" s="5" t="inlineStr">
        <is>
          <t>custom slot Source shows exact custom data-slot values for rendered parts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 manual test</t>
        </is>
      </c>
      <c r="H131" s="9" t="inlineStr">
        <is>
          <t>covered</t>
        </is>
      </c>
      <c r="I131" s="5" t="inlineStr">
        <is>
          <t>Tester-first AlertDialog manual checklist.</t>
        </is>
      </c>
      <c r="J131" s="5" t="inlineStr"/>
      <c r="K131" s="6">
        <f>IF(AND(E131="yes",F131="yes",H131="covered"),1,IF(H131="partial",0.5,0))</f>
        <v/>
      </c>
    </row>
    <row r="132" ht="30" customHeight="1" s="60">
      <c r="A132" s="4" t="n">
        <v>124</v>
      </c>
      <c r="B132" s="5" t="inlineStr">
        <is>
          <t>Source</t>
        </is>
      </c>
      <c r="C132" s="5" t="inlineStr">
        <is>
          <t>Composition</t>
        </is>
      </c>
      <c r="D132" s="5" t="inlineStr">
        <is>
          <t>render composition Source uses render={(props) =&gt; &lt;button {...props} /&gt;} for Trigger, Cancel, and Action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 manual test</t>
        </is>
      </c>
      <c r="H132" s="9" t="inlineStr">
        <is>
          <t>covered</t>
        </is>
      </c>
      <c r="I132" s="5" t="inlineStr">
        <is>
          <t>Tester-first AlertDialog manual checklist.</t>
        </is>
      </c>
      <c r="J132" s="5" t="inlineStr"/>
      <c r="K132" s="6">
        <f>IF(AND(E132="yes",F132="yes",H132="covered"),1,IF(H132="partial",0.5,0))</f>
        <v/>
      </c>
    </row>
    <row r="133" ht="30" customHeight="1" s="60">
      <c r="A133" s="4" t="n">
        <v>125</v>
      </c>
      <c r="B133" s="5" t="inlineStr">
        <is>
          <t>Source</t>
        </is>
      </c>
      <c r="C133" s="5" t="inlineStr">
        <is>
          <t>Dismiss</t>
        </is>
      </c>
      <c r="D133" s="5" t="inlineStr">
        <is>
          <t>blocked event Source shows preventDefault handlers for Trigger, Cancel, and Action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 manual test</t>
        </is>
      </c>
      <c r="H133" s="9" t="inlineStr">
        <is>
          <t>covered</t>
        </is>
      </c>
      <c r="I133" s="5" t="inlineStr">
        <is>
          <t>Tester-first AlertDialog manual checklist.</t>
        </is>
      </c>
      <c r="J133" s="5" t="inlineStr"/>
      <c r="K133" s="6">
        <f>IF(AND(E133="yes",F133="yes",H133="covered"),1,IF(H133="partial",0.5,0))</f>
        <v/>
      </c>
    </row>
    <row r="134" ht="30" customHeight="1" s="60">
      <c r="A134" s="4" t="n">
        <v>126</v>
      </c>
      <c r="B134" s="5" t="inlineStr">
        <is>
          <t>Source</t>
        </is>
      </c>
      <c r="C134" s="5" t="inlineStr">
        <is>
          <t>Nested Select</t>
        </is>
      </c>
      <c r="D134" s="5" t="inlineStr">
        <is>
          <t>nested Select Source includes Select.Root, Trigger, Content, Viewport, Item, and ItemText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 manual test</t>
        </is>
      </c>
      <c r="H134" s="9" t="inlineStr">
        <is>
          <t>covered</t>
        </is>
      </c>
      <c r="I134" s="5" t="inlineStr">
        <is>
          <t>Tester-first AlertDialog manual checklist.</t>
        </is>
      </c>
      <c r="J134" s="5" t="inlineStr"/>
      <c r="K134" s="6">
        <f>IF(AND(E134="yes",F134="yes",H134="covered"),1,IF(H134="partial",0.5,0))</f>
        <v/>
      </c>
    </row>
    <row r="135" ht="30" customHeight="1" s="60">
      <c r="A135" s="4" t="n">
        <v>127</v>
      </c>
      <c r="B135" s="5" t="inlineStr">
        <is>
          <t>Inspector</t>
        </is>
      </c>
      <c r="C135" s="5" t="inlineStr">
        <is>
          <t>Selected</t>
        </is>
      </c>
      <c r="D135" s="5" t="inlineStr">
        <is>
          <t>clicking rendered parts updates Selected raw Attributes, ARIA, and Data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 manual test</t>
        </is>
      </c>
      <c r="H135" s="9" t="inlineStr">
        <is>
          <t>covered</t>
        </is>
      </c>
      <c r="I135" s="5" t="inlineStr">
        <is>
          <t>Tester-first AlertDialog manual checklist.</t>
        </is>
      </c>
      <c r="J135" s="5" t="inlineStr"/>
      <c r="K135" s="6">
        <f>IF(AND(E135="yes",F135="yes",H135="covered"),1,IF(H135="partial",0.5,0))</f>
        <v/>
      </c>
    </row>
    <row r="136" ht="30" customHeight="1" s="60">
      <c r="A136" s="4" t="n">
        <v>128</v>
      </c>
      <c r="B136" s="5" t="inlineStr">
        <is>
          <t>Inspector</t>
        </is>
      </c>
      <c r="C136" s="5" t="inlineStr">
        <is>
          <t>Focused</t>
        </is>
      </c>
      <c r="D136" s="5" t="inlineStr">
        <is>
          <t>focusing controls updates Focused raw Attributes, ARIA, and Data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 manual test</t>
        </is>
      </c>
      <c r="H136" s="9" t="inlineStr">
        <is>
          <t>covered</t>
        </is>
      </c>
      <c r="I136" s="5" t="inlineStr">
        <is>
          <t>Tester-first AlertDialog manual checklist.</t>
        </is>
      </c>
      <c r="J136" s="5" t="inlineStr"/>
      <c r="K136" s="6">
        <f>IF(AND(E136="yes",F136="yes",H136="covered"),1,IF(H136="partial",0.5,0))</f>
        <v/>
      </c>
    </row>
    <row r="137" ht="30" customHeight="1" s="60">
      <c r="A137" s="4" t="n">
        <v>129</v>
      </c>
      <c r="B137" s="5" t="inlineStr">
        <is>
          <t>Logs</t>
        </is>
      </c>
      <c r="C137" s="5" t="inlineStr">
        <is>
          <t>AlertDialog</t>
        </is>
      </c>
      <c r="D137" s="5" t="inlineStr">
        <is>
          <t>logs record trigger click/key, overlay, cancel, action, blocked events, and controlled open/close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 manual test</t>
        </is>
      </c>
      <c r="H137" s="9" t="inlineStr">
        <is>
          <t>covered</t>
        </is>
      </c>
      <c r="I137" s="5" t="inlineStr">
        <is>
          <t>Tester-first AlertDialog manual checklist.</t>
        </is>
      </c>
      <c r="J137" s="5" t="inlineStr"/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Logs</t>
        </is>
      </c>
      <c r="C138" s="5" t="inlineStr">
        <is>
          <t>AlertDialog</t>
        </is>
      </c>
      <c r="D138" s="5" t="inlineStr">
        <is>
          <t>logs persist after AlertDialog closes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 manual test</t>
        </is>
      </c>
      <c r="H138" s="9" t="inlineStr">
        <is>
          <t>covered</t>
        </is>
      </c>
      <c r="I138" s="5" t="inlineStr">
        <is>
          <t>Tester-first AlertDialog manual checklist.</t>
        </is>
      </c>
      <c r="J138" s="5" t="inlineStr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Logs</t>
        </is>
      </c>
      <c r="C139" s="5" t="inlineStr">
        <is>
          <t>AlertDialog</t>
        </is>
      </c>
      <c r="D139" s="5" t="inlineStr">
        <is>
          <t>logs use compact timestamp rows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 manual test</t>
        </is>
      </c>
      <c r="H139" s="9" t="inlineStr">
        <is>
          <t>covered</t>
        </is>
      </c>
      <c r="I139" s="5" t="inlineStr">
        <is>
          <t>Tester-first AlertDialog manual checklist.</t>
        </is>
      </c>
      <c r="J139" s="5" t="inlineStr"/>
      <c r="K139" s="6">
        <f>IF(AND(E139="yes",F139="yes",H139="covered"),1,IF(H139="partial",0.5,0))</f>
        <v/>
      </c>
    </row>
    <row r="140" ht="30" customHeight="1" s="60">
      <c r="A140" s="4" t="n">
        <v>132</v>
      </c>
      <c r="B140" s="5" t="inlineStr">
        <is>
          <t>Portal</t>
        </is>
      </c>
      <c r="C140" s="5" t="inlineStr">
        <is>
          <t>AlertDialog</t>
        </is>
      </c>
      <c r="D140" s="5" t="inlineStr">
        <is>
          <t>default portal path and disabled portal path are both manually verified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 manual test</t>
        </is>
      </c>
      <c r="H140" s="9" t="inlineStr">
        <is>
          <t>covered</t>
        </is>
      </c>
      <c r="I140" s="5" t="inlineStr">
        <is>
          <t>Tester-first AlertDialog manual checklist.</t>
        </is>
      </c>
      <c r="J140" s="5" t="inlineStr"/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Nesting</t>
        </is>
      </c>
      <c r="C141" s="5" t="inlineStr">
        <is>
          <t>AlertDialog</t>
        </is>
      </c>
      <c r="D141" s="5" t="inlineStr">
        <is>
          <t>Nested Select remains within AlertDialog layer stack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 manual test</t>
        </is>
      </c>
      <c r="H141" s="9" t="inlineStr">
        <is>
          <t>covered</t>
        </is>
      </c>
      <c r="I141" s="5" t="inlineStr">
        <is>
          <t>Tester-first AlertDialog manual checklist.</t>
        </is>
      </c>
      <c r="J141" s="5" t="inlineStr"/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Dismiss</t>
        </is>
      </c>
      <c r="C142" s="5" t="inlineStr">
        <is>
          <t>AlertDialog</t>
        </is>
      </c>
      <c r="D142" s="5" t="inlineStr">
        <is>
          <t>Escape closes Nested Select before parent AlertDialog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 manual test</t>
        </is>
      </c>
      <c r="H142" s="9" t="inlineStr">
        <is>
          <t>covered</t>
        </is>
      </c>
      <c r="I142" s="5" t="inlineStr">
        <is>
          <t>Tester-first AlertDialog manual checklist.</t>
        </is>
      </c>
      <c r="J142" s="5" t="inlineStr"/>
      <c r="K142" s="6">
        <f>IF(AND(E142="yes",F142="yes",H142="covered"),1,IF(H142="partial",0.5,0))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AppBar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manual-tests/app-bar.md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manual-tests/app-bar.md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AppBar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manual-tests/app-bar.md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AppBar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manual-tests/app-bar.md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AppBar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manual-tests/app-bar.md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AppBar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manual-tests/app-bar.md</t>
        </is>
      </c>
      <c r="J14" s="5" t="n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AppBar</t>
        </is>
      </c>
      <c r="D15" s="5" t="inlineStr">
        <is>
          <t>Renders a native `header` root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manual-tests/app-bar.md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AppBar</t>
        </is>
      </c>
      <c r="D16" s="5" t="inlineStr">
        <is>
          <t>Provides toolbar, start, center, and end structural slots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manual-tests/app-bar.md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AppBar</t>
        </is>
      </c>
      <c r="D17" s="5" t="inlineStr">
        <is>
          <t>Exposes root position and toolbar density through data attributes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manual-tests/app-bar.md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AppBar</t>
        </is>
      </c>
      <c r="D18" s="5" t="inlineStr">
        <is>
          <t>Does not add ARIA toolbar behavior unless consumers compose a real `Toolbar`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manual-tests/app-bar.md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AppBar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manual-tests/app-bar.md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manual-tests/app-bar.md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manual-tests/app-bar.md</t>
        </is>
      </c>
      <c r="J21" s="5" t="n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manual-tests/app-bar.md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manual-tests/app-bar.md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manual-tests/app-bar.md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manual-tests/app-bar.md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manual-tests/app-bar.md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manual-tests/app-bar.md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position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manual-tests/app-bar.md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manual-tests/app-bar.md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[data-position]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manual-tests/app-bar.md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Center</t>
        </is>
      </c>
      <c r="D31" s="5" t="inlineStr">
        <is>
          <t>renders correct part when expected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manual-tests/app-bar.md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Center</t>
        </is>
      </c>
      <c r="D32" s="5" t="inlineStr">
        <is>
          <t>appears in documented order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manual-tests/app-bar.md</t>
        </is>
      </c>
      <c r="J32" s="5" t="n"/>
      <c r="K32" s="6">
        <f>IF(AND(E32="yes",F32="yes",H32="covered"),1,IF(H32="partial",0.5,0))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Center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manual-tests/app-bar.md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Center</t>
        </is>
      </c>
      <c r="D34" s="5" t="inlineStr">
        <is>
          <t>data-slot is present and correct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manual-tests/app-bar.md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Center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manual-tests/app-bar.md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Refs</t>
        </is>
      </c>
      <c r="C36" s="5" t="inlineStr">
        <is>
          <t>Center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manual-tests/app-bar.md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Center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manual-tests/app-bar.md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Center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manual-tests/app-bar.md</t>
        </is>
      </c>
      <c r="J38" s="5" t="n"/>
      <c r="K38" s="6">
        <f>IF(AND(E38="yes",F38="yes",H38="covered"),1,IF(H38="partial",0.5,0))</f>
        <v/>
      </c>
    </row>
    <row r="39" ht="30" customHeight="1" s="60">
      <c r="A39" s="4" t="n">
        <v>31</v>
      </c>
      <c r="B39" s="5" t="inlineStr">
        <is>
          <t>Public API</t>
        </is>
      </c>
      <c r="C39" s="5" t="inlineStr">
        <is>
          <t>Center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manual-tests/app-bar.md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End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manual-tests/app-bar.md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End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manual-tests/app-bar.md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End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manual-tests/app-bar.md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End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manual-tests/app-bar.md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End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manual-tests/app-bar.md</t>
        </is>
      </c>
      <c r="J44" s="5" t="n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Refs</t>
        </is>
      </c>
      <c r="C45" s="5" t="inlineStr">
        <is>
          <t>End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manual-tests/app-bar.md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End</t>
        </is>
      </c>
      <c r="D46" s="5" t="inlineStr">
        <is>
          <t>asChild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manual-tests/app-bar.md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Composition</t>
        </is>
      </c>
      <c r="C47" s="5" t="inlineStr">
        <is>
          <t>End</t>
        </is>
      </c>
      <c r="D47" s="5" t="inlineStr">
        <is>
          <t>render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manual-tests/app-bar.md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End</t>
        </is>
      </c>
      <c r="D48" s="5" t="inlineStr">
        <is>
          <t>[data-slot]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manual-tests/app-bar.md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Start</t>
        </is>
      </c>
      <c r="D49" s="5" t="inlineStr">
        <is>
          <t>renders correct part when expected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manual-tests/app-bar.md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Start</t>
        </is>
      </c>
      <c r="D50" s="5" t="inlineStr">
        <is>
          <t>appears in documented order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manual-tests/app-bar.md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Start</t>
        </is>
      </c>
      <c r="D51" s="5" t="inlineStr">
        <is>
          <t>default tag is visible in Anatomy/Inspector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manual-tests/app-bar.md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Identity</t>
        </is>
      </c>
      <c r="C52" s="5" t="inlineStr">
        <is>
          <t>Start</t>
        </is>
      </c>
      <c r="D52" s="5" t="inlineStr">
        <is>
          <t>data-slot is present and correct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manual-tests/app-bar.md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Props</t>
        </is>
      </c>
      <c r="C53" s="5" t="inlineStr">
        <is>
          <t>Start</t>
        </is>
      </c>
      <c r="D53" s="5" t="inlineStr">
        <is>
          <t>non-Atom native props pass through with data-prop-check marker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manual-tests/app-bar.md</t>
        </is>
      </c>
      <c r="J53" s="5" t="n"/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Refs</t>
        </is>
      </c>
      <c r="C54" s="5" t="inlineStr">
        <is>
          <t>Start</t>
        </is>
      </c>
      <c r="D54" s="5" t="inlineStr">
        <is>
          <t>consumer ref receives the rendered element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manual-tests/app-bar.md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Start</t>
        </is>
      </c>
      <c r="D55" s="5" t="inlineStr">
        <is>
          <t>asChild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manual-tests/app-bar.md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Composition</t>
        </is>
      </c>
      <c r="C56" s="5" t="inlineStr">
        <is>
          <t>Start</t>
        </is>
      </c>
      <c r="D56" s="5" t="inlineStr">
        <is>
          <t>render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manual-tests/app-bar.md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Start</t>
        </is>
      </c>
      <c r="D57" s="5" t="inlineStr">
        <is>
          <t>[data-slot]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manual-tests/app-bar.md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Toolbar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manual-tests/app-bar.md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Toolbar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manual-tests/app-bar.md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Toolbar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manual-tests/app-bar.md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Toolbar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manual-tests/app-bar.md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Toolbar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manual-tests/app-bar.md</t>
        </is>
      </c>
      <c r="J62" s="5" t="n"/>
      <c r="K62" s="6">
        <f>IF(AND(E62="yes",F62="yes",H62="covered"),1,IF(H62="partial",0.5,0))</f>
        <v/>
      </c>
    </row>
    <row r="63" ht="30" customHeight="1" s="60">
      <c r="A63" s="4" t="n">
        <v>55</v>
      </c>
      <c r="B63" s="5" t="inlineStr">
        <is>
          <t>Refs</t>
        </is>
      </c>
      <c r="C63" s="5" t="inlineStr">
        <is>
          <t>Toolbar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manual-tests/app-bar.md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Toolbar</t>
        </is>
      </c>
      <c r="D64" s="5" t="inlineStr">
        <is>
          <t>asChild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manual-tests/app-bar.md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Toolbar</t>
        </is>
      </c>
      <c r="D65" s="5" t="inlineStr">
        <is>
          <t>render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manual-tests/app-bar.md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Toolbar</t>
        </is>
      </c>
      <c r="D66" s="5" t="inlineStr">
        <is>
          <t>density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manual-tests/app-bar.md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Toolbar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manual-tests/app-bar.md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Toolbar</t>
        </is>
      </c>
      <c r="D68" s="5" t="inlineStr">
        <is>
          <t>[data-density]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manual-tests/app-bar.md</t>
        </is>
      </c>
      <c r="J68" s="5" t="n"/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ARIA</t>
        </is>
      </c>
      <c r="C69" s="5" t="inlineStr">
        <is>
          <t>Live DOM</t>
        </is>
      </c>
      <c r="D69" s="5" t="inlineStr">
        <is>
          <t>aria-label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manual-tests/app-bar.md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data-density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manual-tests/app-bar.md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data-position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manual-tests/app-bar.md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data-slot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manual-tests/app-bar.md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AppBar</t>
        </is>
      </c>
      <c r="D73" s="5" t="inlineStr">
        <is>
          <t>asChild preserves child content without double nesting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manual-tests/app-bar.md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AppBar</t>
        </is>
      </c>
      <c r="D74" s="5" t="inlineStr">
        <is>
          <t>asChild merges Atom props and consumer props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manual-tests/app-bar.md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Composition</t>
        </is>
      </c>
      <c r="C75" s="5" t="inlineStr">
        <is>
          <t>AppBar</t>
        </is>
      </c>
      <c r="D75" s="5" t="inlineStr">
        <is>
          <t>render prop renders custom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manual-tests/app-bar.md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AppBar</t>
        </is>
      </c>
      <c r="D76" s="5" t="inlineStr">
        <is>
          <t>render prop preserves refs and behavior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manual-tests/app-bar.md</t>
        </is>
      </c>
      <c r="J76" s="5" t="n"/>
      <c r="K76" s="6">
        <f>IF(AND(E76="yes",F76="yes",H76="covered"),1,IF(H76="partial",0.5,0))</f>
        <v/>
      </c>
    </row>
    <row r="77" ht="15" customHeight="1" s="60"/>
    <row r="78" ht="30" customHeight="1" s="60"/>
    <row r="79" ht="15" customHeight="1" s="60"/>
    <row r="80" ht="15" customHeight="1" s="60"/>
    <row r="81" ht="15" customHeight="1" s="60"/>
    <row r="82" ht="15" customHeight="1" s="60"/>
    <row r="83" ht="15" customHeight="1" s="60"/>
    <row r="84" ht="15" customHeight="1" s="60"/>
    <row r="85" ht="15" customHeight="1" s="60"/>
    <row r="86" ht="15" customHeight="1" s="60"/>
    <row r="87" ht="15" customHeight="1" s="60"/>
    <row r="88" ht="15" customHeight="1" s="60"/>
    <row r="89" ht="15" customHeight="1" s="60"/>
    <row r="90" ht="15" customHeight="1" s="60"/>
    <row r="91" ht="30" customHeight="1" s="60"/>
    <row r="92" ht="15" customHeight="1" s="60"/>
    <row r="93" ht="15" customHeight="1" s="60"/>
    <row r="94" ht="15" customHeight="1" s="60"/>
    <row r="95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AspectRatio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AspectRatio props manual verification.</t>
        </is>
      </c>
      <c r="J9" s="20" t="inlineStr">
        <is>
          <t>Manual verification passed.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AspectRatio props manual verification.</t>
        </is>
      </c>
      <c r="J10" s="20" t="inlineStr">
        <is>
          <t>Manual verification passed.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AspectRatio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Aspect Ratio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AspectRatio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Aspect Ratio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AspectRatio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Aspect Ratio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AspectRatio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Aspect Ratio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30" customHeight="1" s="60">
      <c r="A15" s="19" t="n">
        <v>7</v>
      </c>
      <c r="B15" s="20" t="inlineStr">
        <is>
          <t>Feature</t>
        </is>
      </c>
      <c r="C15" s="20" t="inlineStr">
        <is>
          <t>AspectRatio</t>
        </is>
      </c>
      <c r="D15" s="20" t="inlineStr">
        <is>
          <t>Applies an authoritative `aspect-ratio` inline style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Aspect Ratio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AspectRatio</t>
        </is>
      </c>
      <c r="D16" s="20" t="inlineStr">
        <is>
          <t>Normalizes invalid ratios back to `16 / 9`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Aspect Ratio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AspectRatio</t>
        </is>
      </c>
      <c r="D17" s="20" t="inlineStr">
        <is>
          <t>Preserves native DOM props and consumer styles outside the owned ratio style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Aspect Ratio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AspectRatio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Aspect Ratio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Aspect Ratio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Aspect Ratio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Aspect Ratio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Aspect Ratio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Aspect Ratio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Aspect Ratio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Aspect Ratio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Aspect Ratio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ratio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Aspect Ratio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[data-slot]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Aspect Ratio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Data</t>
        </is>
      </c>
      <c r="C29" s="20" t="inlineStr">
        <is>
          <t>Live DOM</t>
        </is>
      </c>
      <c r="D29" s="20" t="inlineStr">
        <is>
          <t>data-slot is present at the correct time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Aspect Ratio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30" customHeight="1" s="60">
      <c r="A30" s="19" t="n">
        <v>22</v>
      </c>
      <c r="B30" s="20" t="inlineStr">
        <is>
          <t>Composition</t>
        </is>
      </c>
      <c r="C30" s="20" t="inlineStr">
        <is>
          <t>AspectRatio</t>
        </is>
      </c>
      <c r="D30" s="20" t="inlineStr">
        <is>
          <t>asChild preserves child content without double nesting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Aspect Ratio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Composition</t>
        </is>
      </c>
      <c r="C31" s="20" t="inlineStr">
        <is>
          <t>AspectRatio</t>
        </is>
      </c>
      <c r="D31" s="20" t="inlineStr">
        <is>
          <t>asChild merges Atom props and consumer props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Aspect Ratio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Composition</t>
        </is>
      </c>
      <c r="C32" s="20" t="inlineStr">
        <is>
          <t>AspectRatio</t>
        </is>
      </c>
      <c r="D32" s="20" t="inlineStr">
        <is>
          <t>asChild lets preventDefault block Atom behavior where supported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Aspect Ratio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Composition</t>
        </is>
      </c>
      <c r="C33" s="20" t="inlineStr">
        <is>
          <t>AspectRatio</t>
        </is>
      </c>
      <c r="D33" s="20" t="inlineStr">
        <is>
          <t>render prop renders custom element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Aspect Ratio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Composition</t>
        </is>
      </c>
      <c r="C34" s="20" t="inlineStr">
        <is>
          <t>AspectRatio</t>
        </is>
      </c>
      <c r="D34" s="20" t="inlineStr">
        <is>
          <t>render prop preserves refs and behavior props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Aspect Ratio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Utility</t>
        </is>
      </c>
      <c r="C35" s="20" t="inlineStr">
        <is>
          <t>AspectRatio</t>
        </is>
      </c>
      <c r="D35" s="20" t="inlineStr">
        <is>
          <t>ratio style is calculated correctly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Aspect Ratio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60">
      <c r="A36" s="19" t="n">
        <v>28</v>
      </c>
      <c r="B36" s="20" t="inlineStr">
        <is>
          <t>Utility</t>
        </is>
      </c>
      <c r="C36" s="20" t="inlineStr">
        <is>
          <t>AspectRatio</t>
        </is>
      </c>
      <c r="D36" s="20" t="inlineStr">
        <is>
          <t>invalid ratios normalize safely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Aspect Ratio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Avatar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IFERROR(SUM(K9:K66)/COUNTA(A9:A66),0)</f>
        <v/>
      </c>
      <c r="C4" s="1" t="inlineStr">
        <is>
          <t>Covered</t>
        </is>
      </c>
      <c r="D4" s="2">
        <f>COUNTIF(H9:H66,"covered")</f>
        <v/>
      </c>
      <c r="E4" s="1" t="inlineStr">
        <is>
          <t>Partial</t>
        </is>
      </c>
      <c r="F4" s="2">
        <f>COUNTIF(H9:H66,"partial")</f>
        <v/>
      </c>
      <c r="G4" s="1" t="inlineStr">
        <is>
          <t>Missing</t>
        </is>
      </c>
      <c r="H4" s="2">
        <f>COUNTIF(H9:H66,"missing")</f>
        <v/>
      </c>
      <c r="I4" s="1" t="inlineStr">
        <is>
          <t>Untested</t>
        </is>
      </c>
      <c r="J4" s="2">
        <f>COUNTIF(F9:F66,"no")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Avatar props manual verification.</t>
        </is>
      </c>
      <c r="J9" s="5" t="n"/>
      <c r="K9" s="6">
        <f>IF(AND(E9="yes",F9="yes",H9="covered"),1,IF(AND(E9="yes",H9="partial"),0.5,0))</f>
        <v/>
      </c>
    </row>
    <row r="10" ht="30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Avatar props manual verification.</t>
        </is>
      </c>
      <c r="J10" s="5" t="n"/>
      <c r="K10" s="6">
        <f>IF(AND(E10="yes",F10="yes",H10="covered"),1,IF(AND(E10="yes",H10="partial"),0.5,0))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Avatar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Avatar page is reachable from Display &gt; Avatar.</t>
        </is>
      </c>
      <c r="J11" s="5" t="n"/>
      <c r="K11" s="6">
        <f>IF(AND(E11="yes",F11="yes",H11="covered"),1,IF(AND(E11="yes",H11="partial"),0.5,0))</f>
        <v/>
      </c>
    </row>
    <row r="12" ht="30" customHeight="1" s="60">
      <c r="A12" s="4" t="n">
        <v>4</v>
      </c>
      <c r="B12" s="5" t="inlineStr">
        <is>
          <t>Playground</t>
        </is>
      </c>
      <c r="C12" s="5" t="inlineStr">
        <is>
          <t>Avatar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Source updates for image source, alt mode, and fallback delay were manually verified.</t>
        </is>
      </c>
      <c r="J12" s="5" t="n"/>
      <c r="K12" s="6">
        <f>IF(AND(E12="yes",F12="yes",H12="covered"),1,IF(AND(E12="yes",H12="partial"),0.5,0))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Avatar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Avatar anatomy and inspector expose live attributes, ARIA, and data groups for image state changes.</t>
        </is>
      </c>
      <c r="J13" s="5" t="n"/>
      <c r="K13" s="6">
        <f>IF(AND(E13="yes",F13="yes",H13="covered"),1,IF(AND(E13="yes",H13="partial"),0.5,0))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Avatar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Inspector selected image updates live for src/alt changes and logs show useful image status events.</t>
        </is>
      </c>
      <c r="J14" s="5" t="n"/>
      <c r="K14" s="6">
        <f>IF(AND(E14="yes",F14="yes",H14="covered"),1,IF(AND(E14="yes",H14="partial"),0.5,0))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Avatar</t>
        </is>
      </c>
      <c r="D15" s="5" t="inlineStr">
        <is>
          <t>Tracks image loading status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Image loading status was manually verified for loaded, broken, and loading/idle modes.</t>
        </is>
      </c>
      <c r="J15" s="5" t="n"/>
      <c r="K15" s="6">
        <f>IF(AND(E15="yes",F15="yes",H15="covered"),1,IF(AND(E15="yes",H15="partial"),0.5,0))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Avatar</t>
        </is>
      </c>
      <c r="D16" s="5" t="inlineStr">
        <is>
          <t>Renders fallback content while the image is missing, loading, or errored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Fallback rendering was manually verified when the image is broken or not loaded.</t>
        </is>
      </c>
      <c r="J16" s="5" t="n"/>
      <c r="K16" s="6">
        <f>IF(AND(E16="yes",F16="yes",H16="covered"),1,IF(AND(E16="yes",H16="partial"),0.5,0))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Avatar</t>
        </is>
      </c>
      <c r="D17" s="5" t="inlineStr">
        <is>
          <t>Supports delayed fallback rendering to avoid loading flashes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Delayed fallback source output was manually verified with delayMs={600}.</t>
        </is>
      </c>
      <c r="J17" s="5" t="n"/>
      <c r="K17" s="6">
        <f>IF(AND(E17="yes",F17="yes",H17="covered"),1,IF(AND(E17="yes",H17="partial"),0.5,0))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Avatar</t>
        </is>
      </c>
      <c r="D18" s="5" t="inlineStr">
        <is>
          <t>Provides a group wrapper for stacked or clustered avatars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Avatar Group wrapper was manually verified with a primary avatar and secondary fallback avatar.</t>
        </is>
      </c>
      <c r="J18" s="5" t="n"/>
      <c r="K18" s="6">
        <f>IF(AND(E18="yes",F18="yes",H18="covered"),1,IF(AND(E18="yes",H18="partial"),0.5,0))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Avatar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Avatar Image asChild and render composition were manually verified.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Root renders in the Avatar scenario and remains present while image/fallback state changes.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Root anatomy order was verified during Avatar Root composition tests.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Root default tag was verified as span.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Root data-slot was verified as avatar-root.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Root prop passthrough marker was verified in Anatomy/Inspector.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Root ref target was verified in Anatomy.</t>
        </is>
      </c>
      <c r="J25" s="5" t="n"/>
      <c r="K25" s="6">
        <f>IF(AND(E25="yes",F25="yes",H25="covered"),1,IF(AND(E25="yes",H25="partial"),0.5,0))</f>
        <v/>
      </c>
    </row>
    <row r="26" ht="30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Root asChild behavior was manually verified.</t>
        </is>
      </c>
      <c r="J26" s="5" t="n"/>
      <c r="K26" s="6">
        <f>IF(AND(E26="yes",F26="yes",H26="covered"),1,IF(AND(E26="yes",H26="partial"),0.5,0))</f>
        <v/>
      </c>
    </row>
    <row r="27" ht="30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Root render behavior was manually verified after correcting the playground render pattern.</t>
        </is>
      </c>
      <c r="J27" s="5" t="n"/>
      <c r="K27" s="6">
        <f>IF(AND(E27="yes",F27="yes",H27="covered"),1,IF(AND(E27="yes",H27="partial"),0.5,0))</f>
        <v/>
      </c>
    </row>
    <row r="28" ht="30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src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Root src behavior was verified through loaded, broken, and loading source modes.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onLoadingStatusChange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Root loading status callback was verified through the playground log/status state.</t>
        </is>
      </c>
      <c r="J29" s="5" t="n"/>
      <c r="K29" s="6">
        <f>IF(AND(E29="yes",F29="yes",H29="covered"),1,IF(AND(E29="yes",H29="partial"),0.5,0))</f>
        <v/>
      </c>
    </row>
    <row r="30" ht="30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[data-slot]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Root data-slot behavior was verified through data-slot="avatar-root".</t>
        </is>
      </c>
      <c r="J30" s="5" t="n"/>
      <c r="K30" s="6">
        <f>IF(AND(E30="yes",F30="yes",H30="covered"),1,IF(AND(E30="yes",H30="partial"),0.5,0))</f>
        <v/>
      </c>
    </row>
    <row r="31" ht="30" customHeight="1" s="60">
      <c r="A31" s="4" t="n">
        <v>23</v>
      </c>
      <c r="B31" s="5" t="inlineStr">
        <is>
          <t>Anatomy</t>
        </is>
      </c>
      <c r="C31" s="5" t="inlineStr">
        <is>
          <t>Group</t>
        </is>
      </c>
      <c r="D31" s="5" t="inlineStr">
        <is>
          <t>renders correct part when expected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Group renders when State &gt; Group is enabled.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Group</t>
        </is>
      </c>
      <c r="D32" s="5" t="inlineStr">
        <is>
          <t>appears in documented order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Group appears in the expected Avatar anatomy order.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Group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Group default tag was verified as div in Anatomy/Inspector.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Group</t>
        </is>
      </c>
      <c r="D34" s="5" t="inlineStr">
        <is>
          <t>data-slot is present and correct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Group data-slot was verified as avatar-group.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Group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Group prop passthrough marker was verified in Inspector.</t>
        </is>
      </c>
      <c r="J35" s="5" t="n"/>
      <c r="K35" s="6">
        <f>IF(AND(E35="yes",F35="yes",H35="covered"),1,IF(AND(E35="yes",H35="partial"),0.5,0))</f>
        <v/>
      </c>
    </row>
    <row r="36" ht="30" customHeight="1" s="60">
      <c r="A36" s="4" t="n">
        <v>28</v>
      </c>
      <c r="B36" s="5" t="inlineStr">
        <is>
          <t>Refs</t>
        </is>
      </c>
      <c r="C36" s="5" t="inlineStr">
        <is>
          <t>Group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Group ref target was verified as div in Anatomy.</t>
        </is>
      </c>
      <c r="J36" s="5" t="n"/>
      <c r="K36" s="6">
        <f>IF(AND(E36="yes",F36="yes",H36="covered"),1,IF(AND(E36="yes",H36="partial"),0.5,0))</f>
        <v/>
      </c>
    </row>
    <row r="37" ht="30" customHeight="1" s="60">
      <c r="A37" s="4" t="n">
        <v>29</v>
      </c>
      <c r="B37" s="5" t="inlineStr">
        <is>
          <t>Composition</t>
        </is>
      </c>
      <c r="C37" s="5" t="inlineStr">
        <is>
          <t>Group</t>
        </is>
      </c>
      <c r="D37" s="5" t="inlineStr">
        <is>
          <t>asChild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Group asChild behavior was manually verified.</t>
        </is>
      </c>
      <c r="J37" s="5" t="n"/>
      <c r="K37" s="6">
        <f>IF(AND(E37="yes",F37="yes",H37="covered"),1,IF(AND(E37="yes",H37="partial"),0.5,0))</f>
        <v/>
      </c>
    </row>
    <row r="38" ht="30" customHeight="1" s="60">
      <c r="A38" s="4" t="n">
        <v>30</v>
      </c>
      <c r="B38" s="5" t="inlineStr">
        <is>
          <t>Composition</t>
        </is>
      </c>
      <c r="C38" s="5" t="inlineStr">
        <is>
          <t>Group</t>
        </is>
      </c>
      <c r="D38" s="5" t="inlineStr">
        <is>
          <t>render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Group render behavior was manually verified with section output.</t>
        </is>
      </c>
      <c r="J38" s="5" t="n"/>
      <c r="K38" s="6">
        <f>IF(AND(E38="yes",F38="yes",H38="covered"),1,IF(AND(E38="yes",H38="partial"),0.5,0))</f>
        <v/>
      </c>
    </row>
    <row r="39" ht="30" customHeight="1" s="60">
      <c r="A39" s="4" t="n">
        <v>31</v>
      </c>
      <c r="B39" s="5" t="inlineStr">
        <is>
          <t>Public API</t>
        </is>
      </c>
      <c r="C39" s="5" t="inlineStr">
        <is>
          <t>Group</t>
        </is>
      </c>
      <c r="D39" s="5" t="inlineStr">
        <is>
          <t>[data-slot] prop behavior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Group data-slot behavior was verified through data-slot="avatar-group".</t>
        </is>
      </c>
      <c r="J39" s="5" t="n"/>
      <c r="K39" s="6">
        <f>IF(AND(E39="yes",F39="yes",H39="covered"),1,IF(AND(E39="yes",H39="partial"),0.5,0))</f>
        <v/>
      </c>
    </row>
    <row r="40" ht="30" customHeight="1" s="60">
      <c r="A40" s="4" t="n">
        <v>32</v>
      </c>
      <c r="B40" s="5" t="inlineStr">
        <is>
          <t>Anatomy</t>
        </is>
      </c>
      <c r="C40" s="5" t="inlineStr">
        <is>
          <t>Fallback</t>
        </is>
      </c>
      <c r="D40" s="5" t="inlineStr">
        <is>
          <t>renders correct part when expected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Fallback renders when the image is broken or loading/idle and is absent when the image is loaded.</t>
        </is>
      </c>
      <c r="J40" s="5" t="n"/>
      <c r="K40" s="6">
        <f>IF(AND(E40="yes",F40="yes",H40="covered"),1,IF(AND(E40="yes",H40="partial"),0.5,0))</f>
        <v/>
      </c>
    </row>
    <row r="41" ht="30" customHeight="1" s="60">
      <c r="A41" s="4" t="n">
        <v>33</v>
      </c>
      <c r="B41" s="5" t="inlineStr">
        <is>
          <t>Anatomy</t>
        </is>
      </c>
      <c r="C41" s="5" t="inlineStr">
        <is>
          <t>Fallback</t>
        </is>
      </c>
      <c r="D41" s="5" t="inlineStr">
        <is>
          <t>appears in documented order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Fallback appears in the expected Avatar anatomy order after Image.</t>
        </is>
      </c>
      <c r="J41" s="5" t="n"/>
      <c r="K41" s="6">
        <f>IF(AND(E41="yes",F41="yes",H41="covered"),1,IF(AND(E41="yes",H41="partial"),0.5,0))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Fallback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Fallback default tag was verified when fallback is rendered.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Fallback</t>
        </is>
      </c>
      <c r="D43" s="5" t="inlineStr">
        <is>
          <t>data-slot is present and correct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Fallback data-slot was verified when fallback is rendered.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Fallback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Fallback native/data prop passthrough marker was verified in Inspector.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Refs</t>
        </is>
      </c>
      <c r="C45" s="5" t="inlineStr">
        <is>
          <t>Fallback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Fallback ref target was verified as span in Anatomy.</t>
        </is>
      </c>
      <c r="J45" s="5" t="n"/>
      <c r="K45" s="6">
        <f>IF(AND(E45="yes",F45="yes",H45="covered"),1,IF(AND(E45="yes",H45="partial"),0.5,0))</f>
        <v/>
      </c>
    </row>
    <row r="46" ht="30" customHeight="1" s="60">
      <c r="A46" s="4" t="n">
        <v>38</v>
      </c>
      <c r="B46" s="5" t="inlineStr">
        <is>
          <t>Composition</t>
        </is>
      </c>
      <c r="C46" s="5" t="inlineStr">
        <is>
          <t>Fallback</t>
        </is>
      </c>
      <c r="D46" s="5" t="inlineStr">
        <is>
          <t>asChild prop behavior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Fallback asChild behavior was manually verified.</t>
        </is>
      </c>
      <c r="J46" s="5" t="n"/>
      <c r="K46" s="6">
        <f>IF(AND(E46="yes",F46="yes",H46="covered"),1,IF(AND(E46="yes",H46="partial"),0.5,0))</f>
        <v/>
      </c>
    </row>
    <row r="47" ht="30" customHeight="1" s="60">
      <c r="A47" s="4" t="n">
        <v>39</v>
      </c>
      <c r="B47" s="5" t="inlineStr">
        <is>
          <t>Composition</t>
        </is>
      </c>
      <c r="C47" s="5" t="inlineStr">
        <is>
          <t>Fallback</t>
        </is>
      </c>
      <c r="D47" s="5" t="inlineStr">
        <is>
          <t>render prop behavior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Fallback render behavior was manually verified.</t>
        </is>
      </c>
      <c r="J47" s="5" t="n"/>
      <c r="K47" s="6">
        <f>IF(AND(E47="yes",F47="yes",H47="covered"),1,IF(AND(E47="yes",H47="partial"),0.5,0))</f>
        <v/>
      </c>
    </row>
    <row r="48" ht="30" customHeight="1" s="60">
      <c r="A48" s="4" t="n">
        <v>40</v>
      </c>
      <c r="B48" s="5" t="inlineStr">
        <is>
          <t>Public API</t>
        </is>
      </c>
      <c r="C48" s="5" t="inlineStr">
        <is>
          <t>Fallback</t>
        </is>
      </c>
      <c r="D48" s="5" t="inlineStr">
        <is>
          <t>delayMs prop behavior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Fallback delayMs behavior is represented in Source and verified with Delay fallback on.</t>
        </is>
      </c>
      <c r="J48" s="5" t="n"/>
      <c r="K48" s="6">
        <f>IF(AND(E48="yes",F48="yes",H48="covered"),1,IF(AND(E48="yes",H48="partial"),0.5,0))</f>
        <v/>
      </c>
    </row>
    <row r="49" ht="30" customHeight="1" s="60">
      <c r="A49" s="4" t="n">
        <v>41</v>
      </c>
      <c r="B49" s="5" t="inlineStr">
        <is>
          <t>Public API</t>
        </is>
      </c>
      <c r="C49" s="5" t="inlineStr">
        <is>
          <t>Fallback</t>
        </is>
      </c>
      <c r="D49" s="5" t="inlineStr">
        <is>
          <t>[data-slot] prop behavior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Fallback data-slot behavior was verified through data-slot="avatar-fallback".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Image</t>
        </is>
      </c>
      <c r="D50" s="5" t="inlineStr">
        <is>
          <t>renders correct part when expected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Image renders when loaded and is absent when broken/loading.</t>
        </is>
      </c>
      <c r="J50" s="5" t="n"/>
      <c r="K50" s="6">
        <f>IF(AND(E50="yes",F50="yes",H50="covered"),1,IF(AND(E50="yes",H50="partial"),0.5,0))</f>
        <v/>
      </c>
    </row>
    <row r="51" ht="30" customHeight="1" s="60">
      <c r="A51" s="4" t="n">
        <v>43</v>
      </c>
      <c r="B51" s="5" t="inlineStr">
        <is>
          <t>Anatomy</t>
        </is>
      </c>
      <c r="C51" s="5" t="inlineStr">
        <is>
          <t>Image</t>
        </is>
      </c>
      <c r="D51" s="5" t="inlineStr">
        <is>
          <t>appears in documented order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</t>
        </is>
      </c>
      <c r="H51" s="11" t="inlineStr">
        <is>
          <t>covered</t>
        </is>
      </c>
      <c r="I51" s="5" t="inlineStr">
        <is>
          <t>Image appears in the expected Avatar anatomy order.</t>
        </is>
      </c>
      <c r="J51" s="5" t="n"/>
      <c r="K51" s="6">
        <f>IF(AND(E51="yes",F51="yes",H51="covered"),1,IF(AND(E51="yes",H51="partial"),0.5,0))</f>
        <v/>
      </c>
    </row>
    <row r="52" ht="30" customHeight="1" s="60">
      <c r="A52" s="4" t="n">
        <v>44</v>
      </c>
      <c r="B52" s="5" t="inlineStr">
        <is>
          <t>Identity</t>
        </is>
      </c>
      <c r="C52" s="5" t="inlineStr">
        <is>
          <t>Image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</t>
        </is>
      </c>
      <c r="H52" s="11" t="inlineStr">
        <is>
          <t>covered</t>
        </is>
      </c>
      <c r="I52" s="5" t="inlineStr">
        <is>
          <t>Image default tag was verified as img when loaded.</t>
        </is>
      </c>
      <c r="J52" s="5" t="n"/>
      <c r="K52" s="6">
        <f>IF(AND(E52="yes",F52="yes",H52="covered"),1,IF(AND(E52="yes",H52="partial"),0.5,0))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Image</t>
        </is>
      </c>
      <c r="D53" s="5" t="inlineStr">
        <is>
          <t>data-slot is present and correct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</t>
        </is>
      </c>
      <c r="H53" s="11" t="inlineStr">
        <is>
          <t>covered</t>
        </is>
      </c>
      <c r="I53" s="5" t="inlineStr">
        <is>
          <t>Image data-slot was verified as avatar-image when loaded.</t>
        </is>
      </c>
      <c r="J53" s="5" t="n"/>
      <c r="K53" s="6">
        <f>IF(AND(E53="yes",F53="yes",H53="covered"),1,IF(AND(E53="yes",H53="partial"),0.5,0))</f>
        <v/>
      </c>
    </row>
    <row r="54" ht="30" customHeight="1" s="60">
      <c r="A54" s="4" t="n">
        <v>46</v>
      </c>
      <c r="B54" s="5" t="inlineStr">
        <is>
          <t>Props</t>
        </is>
      </c>
      <c r="C54" s="5" t="inlineStr">
        <is>
          <t>Image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</t>
        </is>
      </c>
      <c r="H54" s="11" t="inlineStr">
        <is>
          <t>covered</t>
        </is>
      </c>
      <c r="I54" s="5" t="inlineStr">
        <is>
          <t>Image native/data prop passthrough marker was verified in Inspector.</t>
        </is>
      </c>
      <c r="J54" s="5" t="n"/>
      <c r="K54" s="6">
        <f>IF(AND(E54="yes",F54="yes",H54="covered"),1,IF(AND(E54="yes",H54="partial"),0.5,0))</f>
        <v/>
      </c>
    </row>
    <row r="55" ht="30" customHeight="1" s="60">
      <c r="A55" s="4" t="n">
        <v>47</v>
      </c>
      <c r="B55" s="5" t="inlineStr">
        <is>
          <t>Refs</t>
        </is>
      </c>
      <c r="C55" s="5" t="inlineStr">
        <is>
          <t>Image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</t>
        </is>
      </c>
      <c r="H55" s="11" t="inlineStr">
        <is>
          <t>covered</t>
        </is>
      </c>
      <c r="I55" s="5" t="inlineStr">
        <is>
          <t>Image ref target was verified as img in Anatomy.</t>
        </is>
      </c>
      <c r="J55" s="5" t="n"/>
      <c r="K55" s="6">
        <f>IF(AND(E55="yes",F55="yes",H55="covered"),1,IF(AND(E55="yes",H55="partial"),0.5,0))</f>
        <v/>
      </c>
    </row>
    <row r="56" ht="30" customHeight="1" s="60">
      <c r="A56" s="4" t="n">
        <v>48</v>
      </c>
      <c r="B56" s="5" t="inlineStr">
        <is>
          <t>Composition</t>
        </is>
      </c>
      <c r="C56" s="5" t="inlineStr">
        <is>
          <t>Image</t>
        </is>
      </c>
      <c r="D56" s="5" t="inlineStr">
        <is>
          <t>asChild prop behavior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</t>
        </is>
      </c>
      <c r="H56" s="11" t="inlineStr">
        <is>
          <t>covered</t>
        </is>
      </c>
      <c r="I56" s="5" t="inlineStr">
        <is>
          <t>Image asChild behavior was manually verified with live alt/data updates.</t>
        </is>
      </c>
      <c r="J56" s="5" t="n"/>
      <c r="K56" s="6">
        <f>IF(AND(E56="yes",F56="yes",H56="covered"),1,IF(AND(E56="yes",H56="partial"),0.5,0))</f>
        <v/>
      </c>
    </row>
    <row r="57" ht="30" customHeight="1" s="60">
      <c r="A57" s="4" t="n">
        <v>49</v>
      </c>
      <c r="B57" s="5" t="inlineStr">
        <is>
          <t>Composition</t>
        </is>
      </c>
      <c r="C57" s="5" t="inlineStr">
        <is>
          <t>Image</t>
        </is>
      </c>
      <c r="D57" s="5" t="inlineStr">
        <is>
          <t>render prop behavior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</t>
        </is>
      </c>
      <c r="H57" s="11" t="inlineStr">
        <is>
          <t>covered</t>
        </is>
      </c>
      <c r="I57" s="5" t="inlineStr">
        <is>
          <t>Image render behavior was manually verified with live alt/data updates.</t>
        </is>
      </c>
      <c r="J57" s="5" t="n"/>
      <c r="K57" s="6">
        <f>IF(AND(E57="yes",F57="yes",H57="covered"),1,IF(AND(E57="yes",H57="partial"),0.5,0))</f>
        <v/>
      </c>
    </row>
    <row r="58" ht="30" customHeight="1" s="60">
      <c r="A58" s="4" t="n">
        <v>50</v>
      </c>
      <c r="B58" s="5" t="inlineStr">
        <is>
          <t>Public API</t>
        </is>
      </c>
      <c r="C58" s="5" t="inlineStr">
        <is>
          <t>Image</t>
        </is>
      </c>
      <c r="D58" s="5" t="inlineStr">
        <is>
          <t>src prop behavior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</t>
        </is>
      </c>
      <c r="H58" s="11" t="inlineStr">
        <is>
          <t>covered</t>
        </is>
      </c>
      <c r="I58" s="5" t="inlineStr">
        <is>
          <t>Image src behavior was verified through loaded, broken, and loading source modes.</t>
        </is>
      </c>
      <c r="J58" s="5" t="n"/>
      <c r="K58" s="6">
        <f>IF(AND(E58="yes",F58="yes",H58="covered"),1,IF(AND(E58="yes",H58="partial"),0.5,0))</f>
        <v/>
      </c>
    </row>
    <row r="59" ht="30" customHeight="1" s="60">
      <c r="A59" s="4" t="n">
        <v>51</v>
      </c>
      <c r="B59" s="5" t="inlineStr">
        <is>
          <t>Public API</t>
        </is>
      </c>
      <c r="C59" s="5" t="inlineStr">
        <is>
          <t>Image</t>
        </is>
      </c>
      <c r="D59" s="5" t="inlineStr">
        <is>
          <t>alt prop behavior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</t>
        </is>
      </c>
      <c r="H59" s="11" t="inlineStr">
        <is>
          <t>covered</t>
        </is>
      </c>
      <c r="I59" s="5" t="inlineStr">
        <is>
          <t>Image alt behavior was verified for meaningful alt text and decorative alt="".</t>
        </is>
      </c>
      <c r="J59" s="5" t="n"/>
      <c r="K59" s="6">
        <f>IF(AND(E59="yes",F59="yes",H59="covered"),1,IF(AND(E59="yes",H59="partial"),0.5,0))</f>
        <v/>
      </c>
    </row>
    <row r="60" ht="30" customHeight="1" s="60">
      <c r="A60" s="4" t="n">
        <v>52</v>
      </c>
      <c r="B60" s="5" t="inlineStr">
        <is>
          <t>Public API</t>
        </is>
      </c>
      <c r="C60" s="5" t="inlineStr">
        <is>
          <t>Image</t>
        </is>
      </c>
      <c r="D60" s="5" t="inlineStr">
        <is>
          <t>[data-slot] prop behavior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</t>
        </is>
      </c>
      <c r="H60" s="11" t="inlineStr">
        <is>
          <t>covered</t>
        </is>
      </c>
      <c r="I60" s="5" t="inlineStr">
        <is>
          <t>Image data-slot override/default behavior was verified through data-slot="avatar-image".</t>
        </is>
      </c>
      <c r="J60" s="5" t="n"/>
      <c r="K60" s="6">
        <f>IF(AND(E60="yes",F60="yes",H60="covered"),1,IF(AND(E60="yes",H60="partial"),0.5,0))</f>
        <v/>
      </c>
    </row>
    <row r="61" ht="30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data-slot is present at the correct time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</t>
        </is>
      </c>
      <c r="H61" s="11" t="inlineStr">
        <is>
          <t>covered</t>
        </is>
      </c>
      <c r="I61" s="5" t="inlineStr">
        <is>
          <t>Live data-slot and data attributes were verified in Anatomy/Inspector for the rendered Avatar parts.</t>
        </is>
      </c>
      <c r="J61" s="5" t="n"/>
      <c r="K61" s="6">
        <f>IF(AND(E61="yes",F61="yes",H61="covered"),1,IF(AND(E61="yes",H61="partial"),0.5,0))</f>
        <v/>
      </c>
    </row>
    <row r="62" ht="30" customHeight="1" s="60">
      <c r="A62" s="4" t="n">
        <v>54</v>
      </c>
      <c r="B62" s="5" t="inlineStr">
        <is>
          <t>Composition</t>
        </is>
      </c>
      <c r="C62" s="5" t="inlineStr">
        <is>
          <t>Avatar</t>
        </is>
      </c>
      <c r="D62" s="5" t="inlineStr">
        <is>
          <t>asChild preserves child content without double nesting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</t>
        </is>
      </c>
      <c r="H62" s="11" t="inlineStr">
        <is>
          <t>covered</t>
        </is>
      </c>
      <c r="I62" s="5" t="inlineStr">
        <is>
          <t>Avatar asChild composition preserved child image rendering without duplicate nesting.</t>
        </is>
      </c>
      <c r="J62" s="5" t="n"/>
      <c r="K62" s="6">
        <f>IF(AND(E62="yes",F62="yes",H62="covered"),1,IF(AND(E62="yes",H62="partial"),0.5,0))</f>
        <v/>
      </c>
    </row>
    <row r="63" ht="30" customHeight="1" s="60">
      <c r="A63" s="4" t="n">
        <v>55</v>
      </c>
      <c r="B63" s="5" t="inlineStr">
        <is>
          <t>Composition</t>
        </is>
      </c>
      <c r="C63" s="5" t="inlineStr">
        <is>
          <t>Avatar</t>
        </is>
      </c>
      <c r="D63" s="5" t="inlineStr">
        <is>
          <t>asChild merges Atom props and consumer props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</t>
        </is>
      </c>
      <c r="H63" s="11" t="inlineStr">
        <is>
          <t>covered</t>
        </is>
      </c>
      <c r="I63" s="5" t="inlineStr">
        <is>
          <t>Avatar asChild composition merged Atom image props and consumer data props.</t>
        </is>
      </c>
      <c r="J63" s="5" t="n"/>
      <c r="K63" s="6">
        <f>IF(AND(E63="yes",F63="yes",H63="covered"),1,IF(AND(E63="yes",H63="partial"),0.5,0))</f>
        <v/>
      </c>
    </row>
    <row r="64" ht="30" customHeight="1" s="60">
      <c r="A64" s="4" t="n">
        <v>56</v>
      </c>
      <c r="B64" s="5" t="inlineStr">
        <is>
          <t>Composition</t>
        </is>
      </c>
      <c r="C64" s="5" t="inlineStr">
        <is>
          <t>Avatar</t>
        </is>
      </c>
      <c r="D64" s="5" t="inlineStr">
        <is>
          <t>render prop renders custom element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</t>
        </is>
      </c>
      <c r="H64" s="11" t="inlineStr">
        <is>
          <t>covered</t>
        </is>
      </c>
      <c r="I64" s="5" t="inlineStr">
        <is>
          <t>Avatar render composition rendered the custom image element.</t>
        </is>
      </c>
      <c r="J64" s="5" t="n"/>
      <c r="K64" s="6">
        <f>IF(AND(E64="yes",F64="yes",H64="covered"),1,IF(AND(E64="yes",H64="partial"),0.5,0))</f>
        <v/>
      </c>
    </row>
    <row r="65" ht="30" customHeight="1" s="60">
      <c r="A65" s="4" t="n">
        <v>57</v>
      </c>
      <c r="B65" s="5" t="inlineStr">
        <is>
          <t>Composition</t>
        </is>
      </c>
      <c r="C65" s="5" t="inlineStr">
        <is>
          <t>Avatar</t>
        </is>
      </c>
      <c r="D65" s="5" t="inlineStr">
        <is>
          <t>render prop preserves refs and behavior props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</t>
        </is>
      </c>
      <c r="H65" s="11" t="inlineStr">
        <is>
          <t>covered</t>
        </is>
      </c>
      <c r="I65" s="5" t="inlineStr">
        <is>
          <t>Avatar render composition preserved refs and behavior props on the image.</t>
        </is>
      </c>
      <c r="J65" s="5" t="n"/>
      <c r="K65" s="6">
        <f>IF(AND(E65="yes",F65="yes",H65="covered"),1,IF(AND(E65="yes",H65="partial"),0.5,0))</f>
        <v/>
      </c>
    </row>
    <row r="66" ht="30" customHeight="1" s="60">
      <c r="A66" s="4" t="n">
        <v>58</v>
      </c>
      <c r="B66" s="5" t="inlineStr">
        <is>
          <t>State</t>
        </is>
      </c>
      <c r="C66" s="5" t="inlineStr">
        <is>
          <t>Root</t>
        </is>
      </c>
      <c r="D66" s="5" t="inlineStr">
        <is>
          <t>state change callback fires once with correct value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</t>
        </is>
      </c>
      <c r="H66" s="11" t="inlineStr">
        <is>
          <t>covered</t>
        </is>
      </c>
      <c r="I66" s="5" t="inlineStr">
        <is>
          <t>Status change logging was verified without duplicate consecutive loading events.</t>
        </is>
      </c>
      <c r="J66" s="5" t="n"/>
      <c r="K66" s="6">
        <f>IF(AND(E66="yes",F66="yes",H66="covered"),1,IF(AND(E66="yes",H66="partial"),0.5,0))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Badge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IFERROR(SUM(K9:K33)/COUNTA(A9:A33),0)</f>
        <v/>
      </c>
      <c r="C4" s="1" t="inlineStr">
        <is>
          <t>Covered</t>
        </is>
      </c>
      <c r="D4" s="2">
        <f>COUNTIF(H9:H33,"covered")</f>
        <v/>
      </c>
      <c r="E4" s="1" t="inlineStr">
        <is>
          <t>Partial</t>
        </is>
      </c>
      <c r="F4" s="2">
        <f>COUNTIF(H9:H33,"partial")</f>
        <v/>
      </c>
      <c r="G4" s="1" t="inlineStr">
        <is>
          <t>Missing</t>
        </is>
      </c>
      <c r="H4" s="2">
        <f>COUNTIF(H9:H33,"missing")</f>
        <v/>
      </c>
      <c r="I4" s="1" t="inlineStr">
        <is>
          <t>Untested</t>
        </is>
      </c>
      <c r="J4" s="2">
        <f>COUNTIF(F9:F33,"no")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Badge props manual verification.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Badge props manual verification.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Badge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Badge playground manual verification.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Badge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Badge playground manual verification.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Badge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Badge playground manual verification.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Badge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Badge playground manual verification.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Badge</t>
        </is>
      </c>
      <c r="D15" s="5" t="inlineStr">
        <is>
          <t>Renders a native `span`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Badge playground manual verification.</t>
        </is>
      </c>
      <c r="J15" s="5" t="n"/>
      <c r="K15" s="6">
        <f>IF(AND(E15="yes",F15="yes",H15="covered"),1,IF(AND(E15="yes",H15="partial"),0.5,0))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Badge</t>
        </is>
      </c>
      <c r="D16" s="5" t="inlineStr">
        <is>
          <t>Keeps text content in the accessibility tree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Badge playground manual verification.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Badge</t>
        </is>
      </c>
      <c r="D17" s="5" t="inlineStr">
        <is>
          <t>Supports native span props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Badge playground manual verification.</t>
        </is>
      </c>
      <c r="J17" s="5" t="n"/>
      <c r="K17" s="6">
        <f>IF(AND(E17="yes",F17="yes",H17="covered"),1,IF(AND(E17="yes",H17="partial"),0.5,0))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Badge</t>
        </is>
      </c>
      <c r="D18" s="5" t="inlineStr">
        <is>
          <t>Supports `asChild` and `render`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Badge playground manual verification.</t>
        </is>
      </c>
      <c r="J18" s="5" t="n"/>
      <c r="K18" s="6">
        <f>IF(AND(E18="yes",F18="yes",H18="covered"),1,IF(AND(E18="yes",H18="partial"),0.5,0))</f>
        <v/>
      </c>
    </row>
    <row r="19" ht="15" customHeight="1" s="60">
      <c r="A19" s="4" t="n">
        <v>11</v>
      </c>
      <c r="B19" s="5" t="inlineStr">
        <is>
          <t>Anatomy</t>
        </is>
      </c>
      <c r="C19" s="5" t="inlineStr">
        <is>
          <t>Root</t>
        </is>
      </c>
      <c r="D19" s="5" t="inlineStr">
        <is>
          <t>renders correct part when expected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Badge playground manual verification.</t>
        </is>
      </c>
      <c r="J19" s="5" t="n"/>
      <c r="K19" s="6">
        <f>IF(AND(E19="yes",F19="yes",H19="covered"),1,IF(AND(E19="yes",H19="partial"),0.5,0))</f>
        <v/>
      </c>
    </row>
    <row r="20" ht="30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appears in documented order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Badge playground manual verification.</t>
        </is>
      </c>
      <c r="J20" s="5" t="n"/>
      <c r="K20" s="6">
        <f>IF(AND(E20="yes",F20="yes",H20="covered"),1,IF(AND(E20="yes",H20="partial"),0.5,0))</f>
        <v/>
      </c>
    </row>
    <row r="21" ht="30" customHeight="1" s="60">
      <c r="A21" s="4" t="n">
        <v>13</v>
      </c>
      <c r="B21" s="5" t="inlineStr">
        <is>
          <t>Identity</t>
        </is>
      </c>
      <c r="C21" s="5" t="inlineStr">
        <is>
          <t>Root</t>
        </is>
      </c>
      <c r="D21" s="5" t="inlineStr">
        <is>
          <t>default tag is visible in Anatomy/Inspector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Badge playground manual verification.</t>
        </is>
      </c>
      <c r="J21" s="5" t="n"/>
      <c r="K21" s="6">
        <f>IF(AND(E21="yes",F21="yes",H21="covered"),1,IF(AND(E21="yes",H21="partial"),0.5,0))</f>
        <v/>
      </c>
    </row>
    <row r="22" ht="15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data-slot is present and correct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Badge playground manual verification; data-slot is badge and empty data markers render bare.</t>
        </is>
      </c>
      <c r="J22" s="5" t="n"/>
      <c r="K22" s="6">
        <f>IF(AND(E22="yes",F22="yes",H22="covered"),1,IF(AND(E22="yes",H22="partial"),0.5,0))</f>
        <v/>
      </c>
    </row>
    <row r="23" ht="30" customHeight="1" s="60">
      <c r="A23" s="4" t="n">
        <v>15</v>
      </c>
      <c r="B23" s="5" t="inlineStr">
        <is>
          <t>Props</t>
        </is>
      </c>
      <c r="C23" s="5" t="inlineStr">
        <is>
          <t>Root</t>
        </is>
      </c>
      <c r="D23" s="5" t="inlineStr">
        <is>
          <t>non-Atom native props pass through with data-prop-check marker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Badge playground manual verification.</t>
        </is>
      </c>
      <c r="J23" s="5" t="n"/>
      <c r="K23" s="6">
        <f>IF(AND(E23="yes",F23="yes",H23="covered"),1,IF(AND(E23="yes",H23="partial"),0.5,0))</f>
        <v/>
      </c>
    </row>
    <row r="24" ht="30" customHeight="1" s="60">
      <c r="A24" s="4" t="n">
        <v>16</v>
      </c>
      <c r="B24" s="5" t="inlineStr">
        <is>
          <t>Refs</t>
        </is>
      </c>
      <c r="C24" s="5" t="inlineStr">
        <is>
          <t>Root</t>
        </is>
      </c>
      <c r="D24" s="5" t="inlineStr">
        <is>
          <t>consumer ref receives the rendered element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Badge playground manual verification.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Composition</t>
        </is>
      </c>
      <c r="C25" s="5" t="inlineStr">
        <is>
          <t>Root</t>
        </is>
      </c>
      <c r="D25" s="5" t="inlineStr">
        <is>
          <t>asChild prop behavior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Badge playground manual verification; asChild/render use strong custom element.</t>
        </is>
      </c>
      <c r="J25" s="5" t="n"/>
      <c r="K25" s="6">
        <f>IF(AND(E25="yes",F25="yes",H25="covered"),1,IF(AND(E25="yes",H25="partial"),0.5,0))</f>
        <v/>
      </c>
    </row>
    <row r="26" ht="30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render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Badge playground manual verification; asChild/render use strong custom element.</t>
        </is>
      </c>
      <c r="J26" s="5" t="n"/>
      <c r="K26" s="6">
        <f>IF(AND(E26="yes",F26="yes",H26="covered"),1,IF(AND(E26="yes",H26="partial"),0.5,0))</f>
        <v/>
      </c>
    </row>
    <row r="27" ht="30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[data-slot]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Badge playground manual verification; data-slot is badge and empty data markers render bare.</t>
        </is>
      </c>
      <c r="J27" s="5" t="n"/>
      <c r="K27" s="6">
        <f>IF(AND(E27="yes",F27="yes",H27="covered"),1,IF(AND(E27="yes",H27="partial"),0.5,0))</f>
        <v/>
      </c>
    </row>
    <row r="28" ht="30" customHeight="1" s="60">
      <c r="A28" s="4" t="n">
        <v>20</v>
      </c>
      <c r="B28" s="5" t="inlineStr">
        <is>
          <t>Data</t>
        </is>
      </c>
      <c r="C28" s="5" t="inlineStr">
        <is>
          <t>Live DOM</t>
        </is>
      </c>
      <c r="D28" s="5" t="inlineStr">
        <is>
          <t>data-slot is present at the correct time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Badge playground manual verification; data-slot is badge and empty data markers render bare.</t>
        </is>
      </c>
      <c r="J28" s="5" t="n"/>
      <c r="K28" s="6">
        <f>IF(AND(E28="yes",F28="yes",H28="covered"),1,IF(AND(E28="yes",H28="partial"),0.5,0))</f>
        <v/>
      </c>
    </row>
    <row r="29" ht="30" customHeight="1" s="60">
      <c r="A29" s="4" t="n">
        <v>21</v>
      </c>
      <c r="B29" s="5" t="inlineStr">
        <is>
          <t>Composition</t>
        </is>
      </c>
      <c r="C29" s="5" t="inlineStr">
        <is>
          <t>Badge</t>
        </is>
      </c>
      <c r="D29" s="5" t="inlineStr">
        <is>
          <t>asChild preserves child content without double nesting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Badge playground manual verification; asChild/render use strong custom element.</t>
        </is>
      </c>
      <c r="J29" s="5" t="n"/>
      <c r="K29" s="6">
        <f>IF(AND(E29="yes",F29="yes",H29="covered"),1,IF(AND(E29="yes",H29="partial"),0.5,0))</f>
        <v/>
      </c>
    </row>
    <row r="30" ht="30" customHeight="1" s="60">
      <c r="A30" s="4" t="n">
        <v>22</v>
      </c>
      <c r="B30" s="5" t="inlineStr">
        <is>
          <t>Composition</t>
        </is>
      </c>
      <c r="C30" s="5" t="inlineStr">
        <is>
          <t>Badge</t>
        </is>
      </c>
      <c r="D30" s="5" t="inlineStr">
        <is>
          <t>asChild merges Atom props and consumer props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Badge playground manual verification; asChild/render use strong custom element.</t>
        </is>
      </c>
      <c r="J30" s="5" t="n"/>
      <c r="K30" s="6">
        <f>IF(AND(E30="yes",F30="yes",H30="covered"),1,IF(AND(E30="yes",H30="partial"),0.5,0))</f>
        <v/>
      </c>
    </row>
    <row r="31" ht="30" customHeight="1" s="60">
      <c r="A31" s="4" t="n">
        <v>23</v>
      </c>
      <c r="B31" s="5" t="inlineStr">
        <is>
          <t>Composition</t>
        </is>
      </c>
      <c r="C31" s="5" t="inlineStr">
        <is>
          <t>Badge</t>
        </is>
      </c>
      <c r="D31" s="5" t="inlineStr">
        <is>
          <t>asChild lets preventDefault block Atom behavior where supported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Badge playground manual verification.</t>
        </is>
      </c>
      <c r="J31" s="5" t="n"/>
      <c r="K31" s="6">
        <f>IF(AND(E31="yes",F31="yes",H31="covered"),1,IF(AND(E31="yes",H31="partial"),0.5,0))</f>
        <v/>
      </c>
    </row>
    <row r="32" ht="30" customHeight="1" s="60">
      <c r="A32" s="4" t="n">
        <v>24</v>
      </c>
      <c r="B32" s="5" t="inlineStr">
        <is>
          <t>Composition</t>
        </is>
      </c>
      <c r="C32" s="5" t="inlineStr">
        <is>
          <t>Badge</t>
        </is>
      </c>
      <c r="D32" s="5" t="inlineStr">
        <is>
          <t>render prop renders custom element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Badge playground manual verification; asChild/render use strong custom element.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Composition</t>
        </is>
      </c>
      <c r="C33" s="5" t="inlineStr">
        <is>
          <t>Badge</t>
        </is>
      </c>
      <c r="D33" s="5" t="inlineStr">
        <is>
          <t>render prop preserves refs and behavior props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Badge playground manual verification; asChild/render use strong custom element.</t>
        </is>
      </c>
      <c r="J33" s="5" t="n"/>
      <c r="K33" s="6">
        <f>IF(AND(E33="yes",F33="yes",H33="covered"),1,IF(AND(E33="yes",H33="partial"),0.5,0))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6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BottomNavigation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manual-tests/bottom-navigation.md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manual-tests/bottom-navigation.md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BottomNavigation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manual-tests/bottom-navigation.md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BottomNavigation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manual-tests/bottom-navigation.md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BottomNavigation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manual-tests/bottom-navigation.md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BottomNavigation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manual-tests/bottom-navigation.md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BottomNavigation</t>
        </is>
      </c>
      <c r="D15" s="5" t="inlineStr">
        <is>
          <t>Renders a named `nav` landmark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manual-tests/bottom-navigation.md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BottomNavigation</t>
        </is>
      </c>
      <c r="D16" s="5" t="inlineStr">
        <is>
          <t>Supports link destinations and button destinations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manual-tests/bottom-navigation.md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BottomNavigation</t>
        </is>
      </c>
      <c r="D17" s="5" t="inlineStr">
        <is>
          <t>Supports controlled and uncontrolled active value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manual-tests/bottom-navigation.md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BottomNavigation</t>
        </is>
      </c>
      <c r="D18" s="5" t="inlineStr">
        <is>
          <t>Exposes active, disabled, and label-visibility state through data attributes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manual-tests/bottom-navigation.md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BottomNavigation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manual-tests/bottom-navigation.md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manual-tests/bottom-navigation.md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manual-tests/bottom-navigation.md</t>
        </is>
      </c>
      <c r="J21" s="5" t="n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manual-tests/bottom-navigation.md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manual-tests/bottom-navigation.md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manual-tests/bottom-navigation.md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manual-tests/bottom-navigation.md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manual-tests/bottom-navigation.md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manual-tests/bottom-navigation.md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manual-tests/bottom-navigation.md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defaultValue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manual-tests/bottom-navigation.md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onChange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manual-tests/bottom-navigation.md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showLabels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manual-tests/bottom-navigation.md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Accessibility</t>
        </is>
      </c>
      <c r="C32" s="5" t="inlineStr">
        <is>
          <t>Root</t>
        </is>
      </c>
      <c r="D32" s="5" t="inlineStr">
        <is>
          <t>aria-label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manual-tests/bottom-navigation.md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manual-tests/bottom-navigation.md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Item</t>
        </is>
      </c>
      <c r="D34" s="5" t="inlineStr">
        <is>
          <t>renders correct part when expected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manual-tests/bottom-navigation.md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Item</t>
        </is>
      </c>
      <c r="D35" s="5" t="inlineStr">
        <is>
          <t>appears in documented order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manual-tests/bottom-navigation.md</t>
        </is>
      </c>
      <c r="J35" s="5" t="n"/>
      <c r="K35" s="6">
        <f>IF(AND(E35="yes",F35="yes",H35="covered"),1,IF(H35="partial",0.5,0))</f>
        <v/>
      </c>
    </row>
    <row r="36" ht="30" customHeight="1" s="60">
      <c r="A36" s="4" t="n">
        <v>28</v>
      </c>
      <c r="B36" s="5" t="inlineStr">
        <is>
          <t>Identity</t>
        </is>
      </c>
      <c r="C36" s="5" t="inlineStr">
        <is>
          <t>Item</t>
        </is>
      </c>
      <c r="D36" s="5" t="inlineStr">
        <is>
          <t>default tag is visible in Anatomy/Inspector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manual-tests/bottom-navigation.md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Identity</t>
        </is>
      </c>
      <c r="C37" s="5" t="inlineStr">
        <is>
          <t>Item</t>
        </is>
      </c>
      <c r="D37" s="5" t="inlineStr">
        <is>
          <t>data-slot is present and correct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manual-tests/bottom-navigation.md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Props</t>
        </is>
      </c>
      <c r="C38" s="5" t="inlineStr">
        <is>
          <t>Item</t>
        </is>
      </c>
      <c r="D38" s="5" t="inlineStr">
        <is>
          <t>non-Atom native props pass through with data-prop-check marker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manual-tests/bottom-navigation.md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Refs</t>
        </is>
      </c>
      <c r="C39" s="5" t="inlineStr">
        <is>
          <t>Item</t>
        </is>
      </c>
      <c r="D39" s="5" t="inlineStr">
        <is>
          <t>consumer ref receives the rendered element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manual-tests/bottom-navigation.md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Composition</t>
        </is>
      </c>
      <c r="C40" s="5" t="inlineStr">
        <is>
          <t>Item</t>
        </is>
      </c>
      <c r="D40" s="5" t="inlineStr">
        <is>
          <t>asChild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manual-tests/bottom-navigation.md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Item</t>
        </is>
      </c>
      <c r="D41" s="5" t="inlineStr">
        <is>
          <t>render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manual-tests/bottom-navigation.md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Item</t>
        </is>
      </c>
      <c r="D42" s="5" t="inlineStr">
        <is>
          <t>value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manual-tests/bottom-navigation.md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Item</t>
        </is>
      </c>
      <c r="D43" s="5" t="inlineStr">
        <is>
          <t>href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manual-tests/bottom-navigation.md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Item</t>
        </is>
      </c>
      <c r="D44" s="5" t="inlineStr">
        <is>
          <t>target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manual-tests/bottom-navigation.md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Item</t>
        </is>
      </c>
      <c r="D45" s="5" t="inlineStr">
        <is>
          <t>rel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manual-tests/bottom-navigation.md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Item</t>
        </is>
      </c>
      <c r="D46" s="5" t="inlineStr">
        <is>
          <t>disabled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manual-tests/bottom-navigation.md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Item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manual-tests/bottom-navigation.md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Item</t>
        </is>
      </c>
      <c r="D48" s="5" t="inlineStr">
        <is>
          <t>[data-state]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manual-tests/bottom-navigation.md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Item</t>
        </is>
      </c>
      <c r="D49" s="5" t="inlineStr">
        <is>
          <t>[data-value]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manual-tests/bottom-navigation.md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Item</t>
        </is>
      </c>
      <c r="D50" s="5" t="inlineStr">
        <is>
          <t>[data-active]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manual-tests/bottom-navigation.md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[data-disabled]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manual-tests/bottom-navigation.md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Item</t>
        </is>
      </c>
      <c r="D52" s="5" t="inlineStr">
        <is>
          <t>[data-label-visible]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manual-tests/bottom-navigation.md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aria-current is present at the correct time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manual-tests/bottom-navigation.md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aria-disabled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manual-tests/bottom-navigation.md</t>
        </is>
      </c>
      <c r="J54" s="5" t="n"/>
      <c r="K54" s="6">
        <f>IF(AND(E54="yes",F54="yes",H54="covered"),1,IF(H54="partial",0.5,0))</f>
        <v/>
      </c>
    </row>
    <row r="55" ht="30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aria-label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manual-tests/bottom-navigation.md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Data</t>
        </is>
      </c>
      <c r="C56" s="5" t="inlineStr">
        <is>
          <t>Live DOM</t>
        </is>
      </c>
      <c r="D56" s="5" t="inlineStr">
        <is>
          <t>data-active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manual-tests/bottom-navigation.md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Data</t>
        </is>
      </c>
      <c r="C57" s="5" t="inlineStr">
        <is>
          <t>Live DOM</t>
        </is>
      </c>
      <c r="D57" s="5" t="inlineStr">
        <is>
          <t>data-disabled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manual-tests/bottom-navigation.md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Data</t>
        </is>
      </c>
      <c r="C58" s="5" t="inlineStr">
        <is>
          <t>Live DOM</t>
        </is>
      </c>
      <c r="D58" s="5" t="inlineStr">
        <is>
          <t>data-label-visible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manual-tests/bottom-navigation.md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Data</t>
        </is>
      </c>
      <c r="C59" s="5" t="inlineStr">
        <is>
          <t>Live DOM</t>
        </is>
      </c>
      <c r="D59" s="5" t="inlineStr">
        <is>
          <t>data-slot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manual-tests/bottom-navigation.md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data-state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manual-tests/bottom-navigation.md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data-value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manual-tests/bottom-navigation.md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BottomNavigation</t>
        </is>
      </c>
      <c r="D62" s="5" t="inlineStr">
        <is>
          <t>asChild preserves child content without double nesting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manual-tests/bottom-navigation.md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BottomNavigation</t>
        </is>
      </c>
      <c r="D63" s="5" t="inlineStr">
        <is>
          <t>asChild merges Atom props and consumer props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manual-tests/bottom-navigation.md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BottomNavigation</t>
        </is>
      </c>
      <c r="D64" s="5" t="inlineStr">
        <is>
          <t>asChild lets preventDefault block Atom behavior where supported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manual-tests/bottom-navigation.md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BottomNavigation</t>
        </is>
      </c>
      <c r="D65" s="5" t="inlineStr">
        <is>
          <t>render prop renders custom element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manual-tests/bottom-navigation.md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BottomNavigation</t>
        </is>
      </c>
      <c r="D66" s="5" t="inlineStr">
        <is>
          <t>render prop preserves refs and behavior props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manual-tests/bottom-navigation.md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State</t>
        </is>
      </c>
      <c r="C67" s="5" t="inlineStr">
        <is>
          <t>Root</t>
        </is>
      </c>
      <c r="D67" s="5" t="inlineStr">
        <is>
          <t>controlled state path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manual-tests/bottom-navigation.md</t>
        </is>
      </c>
      <c r="J67" s="5" t="n"/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State</t>
        </is>
      </c>
      <c r="C68" s="5" t="inlineStr">
        <is>
          <t>Root</t>
        </is>
      </c>
      <c r="D68" s="5" t="inlineStr">
        <is>
          <t>uncontrolled default state path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manual-tests/bottom-navigation.md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Root</t>
        </is>
      </c>
      <c r="D69" s="5" t="inlineStr">
        <is>
          <t>state change callback fires once with correct value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manual-tests/bottom-navigation.md</t>
        </is>
      </c>
      <c r="J69" s="5" t="n"/>
      <c r="K69" s="6">
        <f>IF(AND(E69="yes",F69="yes",H69="covered"),1,IF(H69="partial",0.5,0))</f>
        <v/>
      </c>
    </row>
    <row r="70" ht="15" customHeight="1" s="60"/>
    <row r="71" ht="15" customHeight="1" s="60"/>
    <row r="72" ht="15" customHeight="1" s="60"/>
    <row r="73" ht="15" customHeight="1" s="60"/>
    <row r="74" ht="15" customHeight="1" s="60"/>
    <row r="75" ht="15" customHeight="1" s="60"/>
    <row r="76" ht="15" customHeight="1" s="60"/>
    <row r="77" ht="15" customHeight="1" s="60"/>
    <row r="78" ht="15" customHeight="1" s="60"/>
    <row r="79" ht="15" customHeight="1" s="60"/>
    <row r="80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Breadcrumb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Breadcrumb playground scenario and draft Manual Test Protocol.</t>
        </is>
      </c>
      <c r="J9" s="5" t="inlineStr">
        <is>
          <t>Manual test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Breadcrumb playground scenario and draft Manual Test Protocol.</t>
        </is>
      </c>
      <c r="J10" s="5" t="inlineStr">
        <is>
          <t>Manual test passed.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Breadcrumb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Breadcrumb playground scenario and draft Manual Test Protocol.</t>
        </is>
      </c>
      <c r="J11" s="5" t="inlineStr">
        <is>
          <t>Manual test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Breadcrumb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Breadcrumb playground scenario and draft Manual Test Protocol.</t>
        </is>
      </c>
      <c r="J12" s="5" t="inlineStr">
        <is>
          <t>Manual test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Breadcrumb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Breadcrumb playground scenario and draft Manual Test Protocol.</t>
        </is>
      </c>
      <c r="J13" s="5" t="inlineStr">
        <is>
          <t>Manual test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Breadcrumb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Breadcrumb playground scenario and draft Manual Test Protocol.</t>
        </is>
      </c>
      <c r="J14" s="5" t="inlineStr">
        <is>
          <t>Manual test passed.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Breadcrumb</t>
        </is>
      </c>
      <c r="D15" s="5" t="inlineStr">
        <is>
          <t>Renders a named breadcrumb `nav` landmark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Breadcrumb playground scenario and draft Manual Test Protocol.</t>
        </is>
      </c>
      <c r="J15" s="5" t="inlineStr">
        <is>
          <t>Manual test passed.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Breadcrumb</t>
        </is>
      </c>
      <c r="D16" s="5" t="inlineStr">
        <is>
          <t>Uses an ordered list for page hierarchy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Breadcrumb playground scenario and draft Manual Test Protocol.</t>
        </is>
      </c>
      <c r="J16" s="5" t="inlineStr">
        <is>
          <t>Manual test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Breadcrumb</t>
        </is>
      </c>
      <c r="D17" s="5" t="inlineStr">
        <is>
          <t>Marks the current page with `aria-current="page"`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Breadcrumb playground scenario and draft Manual Test Protocol.</t>
        </is>
      </c>
      <c r="J17" s="5" t="inlineStr">
        <is>
          <t>Manual test passed.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Breadcrumb</t>
        </is>
      </c>
      <c r="D18" s="5" t="inlineStr">
        <is>
          <t>Provides separator and ellipsis parts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Breadcrumb playground scenario and draft Manual Test Protocol.</t>
        </is>
      </c>
      <c r="J18" s="5" t="inlineStr">
        <is>
          <t>Manual test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Breadcrumb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Breadcrumb playground scenario and draft Manual Test Protocol.</t>
        </is>
      </c>
      <c r="J19" s="5" t="inlineStr">
        <is>
          <t>Manual test passed.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Breadcrumb playground scenario and draft Manual Test Protocol.</t>
        </is>
      </c>
      <c r="J20" s="5" t="inlineStr">
        <is>
          <t>Manual test passed.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Breadcrumb playground scenario and draft Manual Test Protocol.</t>
        </is>
      </c>
      <c r="J21" s="5" t="inlineStr">
        <is>
          <t>Manual test passed.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Breadcrumb playground scenario and draft Manual Test Protocol.</t>
        </is>
      </c>
      <c r="J22" s="5" t="inlineStr">
        <is>
          <t>Manual test passed.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Breadcrumb playground scenario and draft Manual Test Protocol.</t>
        </is>
      </c>
      <c r="J23" s="5" t="inlineStr">
        <is>
          <t>Manual test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Breadcrumb playground scenario and draft Manual Test Protocol.</t>
        </is>
      </c>
      <c r="J24" s="5" t="inlineStr">
        <is>
          <t>Manual test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Breadcrumb playground scenario and draft Manual Test Protocol.</t>
        </is>
      </c>
      <c r="J25" s="5" t="inlineStr">
        <is>
          <t>Manual test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Breadcrumb playground scenario and draft Manual Test Protocol.</t>
        </is>
      </c>
      <c r="J26" s="5" t="inlineStr">
        <is>
          <t>Manual test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Breadcrumb playground scenario and draft Manual Test Protocol.</t>
        </is>
      </c>
      <c r="J27" s="5" t="inlineStr">
        <is>
          <t>Manual test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Accessibility</t>
        </is>
      </c>
      <c r="C28" s="5" t="inlineStr">
        <is>
          <t>Root</t>
        </is>
      </c>
      <c r="D28" s="5" t="inlineStr">
        <is>
          <t>ariaLabel prop behavior renders native aria-label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Breadcrumb playground scenario and draft Manual Test Protocol.</t>
        </is>
      </c>
      <c r="J28" s="5" t="inlineStr">
        <is>
          <t>Manual test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Breadcrumb playground scenario and draft Manual Test Protocol.</t>
        </is>
      </c>
      <c r="J29" s="5" t="inlineStr">
        <is>
          <t>Manual test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List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Breadcrumb playground scenario and draft Manual Test Protocol.</t>
        </is>
      </c>
      <c r="J30" s="5" t="inlineStr">
        <is>
          <t>Manual test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List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Breadcrumb playground scenario and draft Manual Test Protocol.</t>
        </is>
      </c>
      <c r="J31" s="5" t="inlineStr">
        <is>
          <t>Manual test passed.</t>
        </is>
      </c>
      <c r="K31" s="6">
        <f>IF(AND(E31="yes",F31="yes",H31="covered"),1,IF(H31="partial",0.5,0))</f>
        <v/>
      </c>
    </row>
    <row r="32" ht="30" customHeight="1" s="60">
      <c r="A32" s="4" t="n">
        <v>24</v>
      </c>
      <c r="B32" s="5" t="inlineStr">
        <is>
          <t>Identity</t>
        </is>
      </c>
      <c r="C32" s="5" t="inlineStr">
        <is>
          <t>List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Breadcrumb playground scenario and draft Manual Test Protocol.</t>
        </is>
      </c>
      <c r="J32" s="5" t="inlineStr">
        <is>
          <t>Manual test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Identity</t>
        </is>
      </c>
      <c r="C33" s="5" t="inlineStr">
        <is>
          <t>List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Breadcrumb playground scenario and draft Manual Test Protocol.</t>
        </is>
      </c>
      <c r="J33" s="5" t="inlineStr">
        <is>
          <t>Manual test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Props</t>
        </is>
      </c>
      <c r="C34" s="5" t="inlineStr">
        <is>
          <t>List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Breadcrumb playground scenario and draft Manual Test Protocol.</t>
        </is>
      </c>
      <c r="J34" s="5" t="inlineStr">
        <is>
          <t>Manual test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Refs</t>
        </is>
      </c>
      <c r="C35" s="5" t="inlineStr">
        <is>
          <t>List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Breadcrumb playground scenario and draft Manual Test Protocol.</t>
        </is>
      </c>
      <c r="J35" s="5" t="inlineStr">
        <is>
          <t>Manual test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Composition</t>
        </is>
      </c>
      <c r="C36" s="5" t="inlineStr">
        <is>
          <t>List</t>
        </is>
      </c>
      <c r="D36" s="5" t="inlineStr">
        <is>
          <t>asChild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Breadcrumb playground scenario and draft Manual Test Protocol.</t>
        </is>
      </c>
      <c r="J36" s="5" t="inlineStr">
        <is>
          <t>Manual test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List</t>
        </is>
      </c>
      <c r="D37" s="5" t="inlineStr">
        <is>
          <t>render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Breadcrumb playground scenario and draft Manual Test Protocol.</t>
        </is>
      </c>
      <c r="J37" s="5" t="inlineStr">
        <is>
          <t>Manual test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List</t>
        </is>
      </c>
      <c r="D38" s="5" t="inlineStr">
        <is>
          <t>[data-slot]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Breadcrumb playground scenario and draft Manual Test Protocol.</t>
        </is>
      </c>
      <c r="J38" s="5" t="inlineStr">
        <is>
          <t>Manual test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Item</t>
        </is>
      </c>
      <c r="D39" s="5" t="inlineStr">
        <is>
          <t>renders correct part when expected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Breadcrumb playground scenario and draft Manual Test Protocol.</t>
        </is>
      </c>
      <c r="J39" s="5" t="inlineStr">
        <is>
          <t>Manual test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Item</t>
        </is>
      </c>
      <c r="D40" s="5" t="inlineStr">
        <is>
          <t>appears in documented order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Breadcrumb playground scenario and draft Manual Test Protocol.</t>
        </is>
      </c>
      <c r="J40" s="5" t="inlineStr">
        <is>
          <t>Manual test passed.</t>
        </is>
      </c>
      <c r="K40" s="6">
        <f>IF(AND(E40="yes",F40="yes",H40="covered"),1,IF(H40="partial",0.5,0))</f>
        <v/>
      </c>
    </row>
    <row r="41" ht="30" customHeight="1" s="60">
      <c r="A41" s="4" t="n">
        <v>33</v>
      </c>
      <c r="B41" s="5" t="inlineStr">
        <is>
          <t>Identity</t>
        </is>
      </c>
      <c r="C41" s="5" t="inlineStr">
        <is>
          <t>Item</t>
        </is>
      </c>
      <c r="D41" s="5" t="inlineStr">
        <is>
          <t>default tag is visible in Anatomy/Inspector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Breadcrumb playground scenario and draft Manual Test Protocol.</t>
        </is>
      </c>
      <c r="J41" s="5" t="inlineStr">
        <is>
          <t>Manual test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Item</t>
        </is>
      </c>
      <c r="D42" s="5" t="inlineStr">
        <is>
          <t>data-slot is present and correct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Breadcrumb playground scenario and draft Manual Test Protocol.</t>
        </is>
      </c>
      <c r="J42" s="5" t="inlineStr">
        <is>
          <t>Manual test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Props</t>
        </is>
      </c>
      <c r="C43" s="5" t="inlineStr">
        <is>
          <t>Item</t>
        </is>
      </c>
      <c r="D43" s="5" t="inlineStr">
        <is>
          <t>non-Atom native props pass through with data-prop-check marker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Breadcrumb playground scenario and draft Manual Test Protocol.</t>
        </is>
      </c>
      <c r="J43" s="5" t="inlineStr">
        <is>
          <t>Manual test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Refs</t>
        </is>
      </c>
      <c r="C44" s="5" t="inlineStr">
        <is>
          <t>Item</t>
        </is>
      </c>
      <c r="D44" s="5" t="inlineStr">
        <is>
          <t>consumer ref receives the rendered element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Breadcrumb playground scenario and draft Manual Test Protocol.</t>
        </is>
      </c>
      <c r="J44" s="5" t="inlineStr">
        <is>
          <t>Manual test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Item</t>
        </is>
      </c>
      <c r="D45" s="5" t="inlineStr">
        <is>
          <t>asChild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Breadcrumb playground scenario and draft Manual Test Protocol.</t>
        </is>
      </c>
      <c r="J45" s="5" t="inlineStr">
        <is>
          <t>Manual test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Item</t>
        </is>
      </c>
      <c r="D46" s="5" t="inlineStr">
        <is>
          <t>render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Breadcrumb playground scenario and draft Manual Test Protocol.</t>
        </is>
      </c>
      <c r="J46" s="5" t="inlineStr">
        <is>
          <t>Manual test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Item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Breadcrumb playground scenario and draft Manual Test Protocol.</t>
        </is>
      </c>
      <c r="J47" s="5" t="inlineStr">
        <is>
          <t>Manual test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Ellipsis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Breadcrumb playground scenario and draft Manual Test Protocol.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Ellipsis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Breadcrumb playground scenario and draft Manual Test Protocol.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Identity</t>
        </is>
      </c>
      <c r="C50" s="5" t="inlineStr">
        <is>
          <t>Ellipsis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Breadcrumb playground scenario and draft Manual Test Protocol.</t>
        </is>
      </c>
      <c r="J50" s="5" t="inlineStr">
        <is>
          <t>Manual test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Ellipsis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Breadcrumb playground scenario and draft Manual Test Protocol.</t>
        </is>
      </c>
      <c r="J51" s="5" t="inlineStr">
        <is>
          <t>Manual test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Props</t>
        </is>
      </c>
      <c r="C52" s="5" t="inlineStr">
        <is>
          <t>Ellipsis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Breadcrumb playground scenario and draft Manual Test Protocol.</t>
        </is>
      </c>
      <c r="J52" s="5" t="inlineStr">
        <is>
          <t>Manual test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Refs</t>
        </is>
      </c>
      <c r="C53" s="5" t="inlineStr">
        <is>
          <t>Ellipsis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Breadcrumb playground scenario and draft Manual Test Protocol.</t>
        </is>
      </c>
      <c r="J53" s="5" t="inlineStr">
        <is>
          <t>Manual test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Composition</t>
        </is>
      </c>
      <c r="C54" s="5" t="inlineStr">
        <is>
          <t>Ellipsis</t>
        </is>
      </c>
      <c r="D54" s="5" t="inlineStr">
        <is>
          <t>asChild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Breadcrumb playground scenario and draft Manual Test Protocol.</t>
        </is>
      </c>
      <c r="J54" s="5" t="inlineStr">
        <is>
          <t>Manual test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Ellipsis</t>
        </is>
      </c>
      <c r="D55" s="5" t="inlineStr">
        <is>
          <t>render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Breadcrumb playground scenario and draft Manual Test Protocol.</t>
        </is>
      </c>
      <c r="J55" s="5" t="inlineStr">
        <is>
          <t>Manual test passed.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Ellipsis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Breadcrumb playground scenario and draft Manual Test Protocol.</t>
        </is>
      </c>
      <c r="J56" s="5" t="inlineStr">
        <is>
          <t>Manual test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Link</t>
        </is>
      </c>
      <c r="D57" s="5" t="inlineStr">
        <is>
          <t>renders correct part when expected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Breadcrumb playground scenario and draft Manual Test Protocol.</t>
        </is>
      </c>
      <c r="J57" s="5" t="inlineStr">
        <is>
          <t>Manual test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Link</t>
        </is>
      </c>
      <c r="D58" s="5" t="inlineStr">
        <is>
          <t>appears in documented order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Breadcrumb playground scenario and draft Manual Test Protocol.</t>
        </is>
      </c>
      <c r="J58" s="5" t="inlineStr">
        <is>
          <t>Manual test passed.</t>
        </is>
      </c>
      <c r="K58" s="6">
        <f>IF(AND(E58="yes",F58="yes",H58="covered"),1,IF(H58="partial",0.5,0))</f>
        <v/>
      </c>
    </row>
    <row r="59" ht="30" customHeight="1" s="60">
      <c r="A59" s="4" t="n">
        <v>51</v>
      </c>
      <c r="B59" s="5" t="inlineStr">
        <is>
          <t>Identity</t>
        </is>
      </c>
      <c r="C59" s="5" t="inlineStr">
        <is>
          <t>Link</t>
        </is>
      </c>
      <c r="D59" s="5" t="inlineStr">
        <is>
          <t>default tag is visible in Anatomy/Inspector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Breadcrumb playground scenario and draft Manual Test Protocol.</t>
        </is>
      </c>
      <c r="J59" s="5" t="inlineStr">
        <is>
          <t>Manual test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Link</t>
        </is>
      </c>
      <c r="D60" s="5" t="inlineStr">
        <is>
          <t>data-slot is present and correct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Breadcrumb playground scenario and draft Manual Test Protocol.</t>
        </is>
      </c>
      <c r="J60" s="5" t="inlineStr">
        <is>
          <t>Manual test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Props</t>
        </is>
      </c>
      <c r="C61" s="5" t="inlineStr">
        <is>
          <t>Link</t>
        </is>
      </c>
      <c r="D61" s="5" t="inlineStr">
        <is>
          <t>non-Atom native props pass through with data-prop-check marker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Breadcrumb playground scenario and draft Manual Test Protocol.</t>
        </is>
      </c>
      <c r="J61" s="5" t="inlineStr">
        <is>
          <t>Manual test passed.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Refs</t>
        </is>
      </c>
      <c r="C62" s="5" t="inlineStr">
        <is>
          <t>Link</t>
        </is>
      </c>
      <c r="D62" s="5" t="inlineStr">
        <is>
          <t>consumer ref receives the rendered element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Breadcrumb playground scenario and draft Manual Test Protocol.</t>
        </is>
      </c>
      <c r="J62" s="5" t="inlineStr">
        <is>
          <t>Manual test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Link</t>
        </is>
      </c>
      <c r="D63" s="5" t="inlineStr">
        <is>
          <t>asChild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Breadcrumb playground scenario and draft Manual Test Protocol.</t>
        </is>
      </c>
      <c r="J63" s="5" t="inlineStr">
        <is>
          <t>Manual test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Link</t>
        </is>
      </c>
      <c r="D64" s="5" t="inlineStr">
        <is>
          <t>render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Breadcrumb playground scenario and draft Manual Test Protocol.</t>
        </is>
      </c>
      <c r="J64" s="5" t="inlineStr">
        <is>
          <t>Manual test passed.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Link</t>
        </is>
      </c>
      <c r="D65" s="5" t="inlineStr">
        <is>
          <t>[data-slot]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Breadcrumb playground scenario and draft Manual Test Protocol.</t>
        </is>
      </c>
      <c r="J65" s="5" t="inlineStr">
        <is>
          <t>Manual test passed.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Page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Breadcrumb playground scenario and draft Manual Test Protocol.</t>
        </is>
      </c>
      <c r="J66" s="5" t="inlineStr">
        <is>
          <t>Manual test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Page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Breadcrumb playground scenario and draft Manual Test Protocol.</t>
        </is>
      </c>
      <c r="J67" s="5" t="inlineStr">
        <is>
          <t>Manual test passed.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Page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Breadcrumb playground scenario and draft Manual Test Protocol.</t>
        </is>
      </c>
      <c r="J68" s="5" t="inlineStr">
        <is>
          <t>Manual test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Page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Breadcrumb playground scenario and draft Manual Test Protocol.</t>
        </is>
      </c>
      <c r="J69" s="5" t="inlineStr">
        <is>
          <t>Manual test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Page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Breadcrumb playground scenario and draft Manual Test Protocol.</t>
        </is>
      </c>
      <c r="J70" s="5" t="inlineStr">
        <is>
          <t>Manual test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Page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Breadcrumb playground scenario and draft Manual Test Protocol.</t>
        </is>
      </c>
      <c r="J71" s="5" t="inlineStr">
        <is>
          <t>Manual test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Composition</t>
        </is>
      </c>
      <c r="C72" s="5" t="inlineStr">
        <is>
          <t>Page</t>
        </is>
      </c>
      <c r="D72" s="5" t="inlineStr">
        <is>
          <t>asChild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Breadcrumb playground scenario and draft Manual Test Protocol.</t>
        </is>
      </c>
      <c r="J72" s="5" t="inlineStr">
        <is>
          <t>Manual test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Page</t>
        </is>
      </c>
      <c r="D73" s="5" t="inlineStr">
        <is>
          <t>render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Breadcrumb playground scenario and draft Manual Test Protocol.</t>
        </is>
      </c>
      <c r="J73" s="5" t="inlineStr">
        <is>
          <t>Manual test passed.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Page</t>
        </is>
      </c>
      <c r="D74" s="5" t="inlineStr">
        <is>
          <t>[data-slot]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Breadcrumb playground scenario and draft Manual Test Protocol.</t>
        </is>
      </c>
      <c r="J74" s="5" t="inlineStr">
        <is>
          <t>Manual test passed.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Anatomy</t>
        </is>
      </c>
      <c r="C75" s="5" t="inlineStr">
        <is>
          <t>Separator</t>
        </is>
      </c>
      <c r="D75" s="5" t="inlineStr">
        <is>
          <t>renders correct part when expected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Breadcrumb playground scenario and draft Manual Test Protocol.</t>
        </is>
      </c>
      <c r="J75" s="5" t="inlineStr">
        <is>
          <t>Manual test passed.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Separator</t>
        </is>
      </c>
      <c r="D76" s="5" t="inlineStr">
        <is>
          <t>appears in documented order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Breadcrumb playground scenario and draft Manual Test Protocol.</t>
        </is>
      </c>
      <c r="J76" s="5" t="inlineStr">
        <is>
          <t>Manual test passed.</t>
        </is>
      </c>
      <c r="K76" s="6">
        <f>IF(AND(E76="yes",F76="yes",H76="covered"),1,IF(H76="partial",0.5,0))</f>
        <v/>
      </c>
    </row>
    <row r="77" ht="30" customHeight="1" s="60">
      <c r="A77" s="4" t="n">
        <v>69</v>
      </c>
      <c r="B77" s="5" t="inlineStr">
        <is>
          <t>Identity</t>
        </is>
      </c>
      <c r="C77" s="5" t="inlineStr">
        <is>
          <t>Separator</t>
        </is>
      </c>
      <c r="D77" s="5" t="inlineStr">
        <is>
          <t>default tag is visible in Anatomy/Inspector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Breadcrumb playground scenario and draft Manual Test Protocol.</t>
        </is>
      </c>
      <c r="J77" s="5" t="inlineStr">
        <is>
          <t>Manual test passed.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Identity</t>
        </is>
      </c>
      <c r="C78" s="5" t="inlineStr">
        <is>
          <t>Separator</t>
        </is>
      </c>
      <c r="D78" s="5" t="inlineStr">
        <is>
          <t>data-slot is present and correct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Breadcrumb playground scenario and draft Manual Test Protocol.</t>
        </is>
      </c>
      <c r="J78" s="5" t="inlineStr">
        <is>
          <t>Manual test passed.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Props</t>
        </is>
      </c>
      <c r="C79" s="5" t="inlineStr">
        <is>
          <t>Separator</t>
        </is>
      </c>
      <c r="D79" s="5" t="inlineStr">
        <is>
          <t>non-Atom native props pass through with data-prop-check marker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Breadcrumb playground scenario and draft Manual Test Protocol.</t>
        </is>
      </c>
      <c r="J79" s="5" t="inlineStr">
        <is>
          <t>Manual test passed.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Refs</t>
        </is>
      </c>
      <c r="C80" s="5" t="inlineStr">
        <is>
          <t>Separator</t>
        </is>
      </c>
      <c r="D80" s="5" t="inlineStr">
        <is>
          <t>consumer ref receives the rendered element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Breadcrumb playground scenario and draft Manual Test Protocol.</t>
        </is>
      </c>
      <c r="J80" s="5" t="inlineStr">
        <is>
          <t>Manual test passed.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Composition</t>
        </is>
      </c>
      <c r="C81" s="5" t="inlineStr">
        <is>
          <t>Separator</t>
        </is>
      </c>
      <c r="D81" s="5" t="inlineStr">
        <is>
          <t>asChild prop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Breadcrumb playground scenario and draft Manual Test Protocol.</t>
        </is>
      </c>
      <c r="J81" s="5" t="inlineStr">
        <is>
          <t>Manual test passed.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Composition</t>
        </is>
      </c>
      <c r="C82" s="5" t="inlineStr">
        <is>
          <t>Separator</t>
        </is>
      </c>
      <c r="D82" s="5" t="inlineStr">
        <is>
          <t>render prop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Breadcrumb playground scenario and draft Manual Test Protocol.</t>
        </is>
      </c>
      <c r="J82" s="5" t="inlineStr">
        <is>
          <t>Manual test passed.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Separator</t>
        </is>
      </c>
      <c r="D83" s="5" t="inlineStr">
        <is>
          <t>[data-slot] prop behavior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Breadcrumb playground scenario and draft Manual Test Protocol.</t>
        </is>
      </c>
      <c r="J83" s="5" t="inlineStr">
        <is>
          <t>Manual test passed.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aria-current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Breadcrumb playground scenario and draft Manual Test Protocol.</t>
        </is>
      </c>
      <c r="J84" s="5" t="inlineStr">
        <is>
          <t>Manual test passed.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aria-hidden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Breadcrumb playground scenario and draft Manual Test Protocol.</t>
        </is>
      </c>
      <c r="J85" s="5" t="inlineStr">
        <is>
          <t>Manual test passed.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aria-label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Breadcrumb playground scenario and draft Manual Test Protocol.</t>
        </is>
      </c>
      <c r="J86" s="5" t="inlineStr">
        <is>
          <t>Manual test passed.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data-slot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Breadcrumb playground scenario and draft Manual Test Protocol.</t>
        </is>
      </c>
      <c r="J87" s="5" t="inlineStr">
        <is>
          <t>Manual test passed.</t>
        </is>
      </c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Composition</t>
        </is>
      </c>
      <c r="C88" s="5" t="inlineStr">
        <is>
          <t>Breadcrumb</t>
        </is>
      </c>
      <c r="D88" s="5" t="inlineStr">
        <is>
          <t>asChild preserves child content without double nesting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Breadcrumb playground scenario and draft Manual Test Protocol.</t>
        </is>
      </c>
      <c r="J88" s="5" t="inlineStr">
        <is>
          <t>Manual test passed.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Breadcrumb</t>
        </is>
      </c>
      <c r="D89" s="5" t="inlineStr">
        <is>
          <t>asChild merges Atom props and consumer props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Breadcrumb playground scenario and draft Manual Test Protocol.</t>
        </is>
      </c>
      <c r="J89" s="5" t="inlineStr">
        <is>
          <t>Manual test passed.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Breadcrumb</t>
        </is>
      </c>
      <c r="D90" s="5" t="inlineStr">
        <is>
          <t>render prop renders custom element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Breadcrumb playground scenario and draft Manual Test Protocol.</t>
        </is>
      </c>
      <c r="J90" s="5" t="inlineStr">
        <is>
          <t>Manual test passed.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Composition</t>
        </is>
      </c>
      <c r="C91" s="5" t="inlineStr">
        <is>
          <t>Breadcrumb</t>
        </is>
      </c>
      <c r="D91" s="5" t="inlineStr">
        <is>
          <t>render prop preserves refs and behavior props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Breadcrumb playground scenario and draft Manual Test Protocol.</t>
        </is>
      </c>
      <c r="J91" s="5" t="inlineStr">
        <is>
          <t>Manual test passed.</t>
        </is>
      </c>
      <c r="K91" s="6">
        <f>IF(AND(E91="yes",F91="yes",H91="covered"),1,IF(H91="partial",0.5,0))</f>
        <v/>
      </c>
    </row>
    <row r="92" ht="15" customHeight="1" s="60"/>
    <row r="93" ht="15" customHeight="1" s="60"/>
    <row r="94" ht="15" customHeight="1" s="60"/>
    <row r="95" ht="15" customHeight="1" s="60"/>
    <row r="96" ht="15" customHeight="1" s="60"/>
    <row r="97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Button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Button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Button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Button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Button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Playground</t>
        </is>
      </c>
      <c r="C12" s="38" t="inlineStr">
        <is>
          <t>Button</t>
        </is>
      </c>
      <c r="D12" s="38" t="inlineStr">
        <is>
          <t>canvas source reflects current toggles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Button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Button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Button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0" customHeight="1" s="60">
      <c r="A14" s="37" t="n">
        <v>6</v>
      </c>
      <c r="B14" s="38" t="inlineStr">
        <is>
          <t>Playground</t>
        </is>
      </c>
      <c r="C14" s="38" t="inlineStr">
        <is>
          <t>Button</t>
        </is>
      </c>
      <c r="D14" s="38" t="inlineStr">
        <is>
          <t>inspector selected/focused/logs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Button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0" customHeight="1" s="60">
      <c r="A15" s="37" t="n">
        <v>7</v>
      </c>
      <c r="B15" s="38" t="inlineStr">
        <is>
          <t>Feature</t>
        </is>
      </c>
      <c r="C15" s="38" t="inlineStr">
        <is>
          <t>Root</t>
        </is>
      </c>
      <c r="D15" s="38" t="inlineStr">
        <is>
          <t>renders a native button by default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Button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Feature</t>
        </is>
      </c>
      <c r="C16" s="38" t="inlineStr">
        <is>
          <t>Root</t>
        </is>
      </c>
      <c r="D16" s="38" t="inlineStr">
        <is>
          <t>renders an anchor when href is present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Button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0" customHeight="1" s="60">
      <c r="A17" s="37" t="n">
        <v>9</v>
      </c>
      <c r="B17" s="38" t="inlineStr">
        <is>
          <t>Feature</t>
        </is>
      </c>
      <c r="C17" s="38" t="inlineStr">
        <is>
          <t>Root</t>
        </is>
      </c>
      <c r="D17" s="38" t="inlineStr">
        <is>
          <t>adds safe rel for target blank links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Button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0" customHeight="1" s="60">
      <c r="A18" s="37" t="n">
        <v>10</v>
      </c>
      <c r="B18" s="38" t="inlineStr">
        <is>
          <t>Feature</t>
        </is>
      </c>
      <c r="C18" s="38" t="inlineStr">
        <is>
          <t>Root</t>
        </is>
      </c>
      <c r="D18" s="38" t="inlineStr">
        <is>
          <t>supports disabled state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Button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Feature</t>
        </is>
      </c>
      <c r="C19" s="38" t="inlineStr">
        <is>
          <t>Root</t>
        </is>
      </c>
      <c r="D19" s="38" t="inlineStr">
        <is>
          <t>supports loading state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Button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Feature</t>
        </is>
      </c>
      <c r="C20" s="38" t="inlineStr">
        <is>
          <t>Root</t>
        </is>
      </c>
      <c r="D20" s="38" t="inlineStr">
        <is>
          <t>calls onClick before onPress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Button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Feature</t>
        </is>
      </c>
      <c r="C21" s="38" t="inlineStr">
        <is>
          <t>Root</t>
        </is>
      </c>
      <c r="D21" s="38" t="inlineStr">
        <is>
          <t>consumer preventDefault blocks onPress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Button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Feature</t>
        </is>
      </c>
      <c r="C22" s="38" t="inlineStr">
        <is>
          <t>Root</t>
        </is>
      </c>
      <c r="D22" s="38" t="inlineStr">
        <is>
          <t>custom non-native render receives button semantics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Button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60">
      <c r="A23" s="37" t="n">
        <v>15</v>
      </c>
      <c r="B23" s="38" t="inlineStr">
        <is>
          <t>Anatomy</t>
        </is>
      </c>
      <c r="C23" s="38" t="inlineStr">
        <is>
          <t>Root</t>
        </is>
      </c>
      <c r="D23" s="38" t="inlineStr">
        <is>
          <t>renders correct part when expected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Button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45" customHeight="1" s="60">
      <c r="A24" s="37" t="n">
        <v>16</v>
      </c>
      <c r="B24" s="38" t="inlineStr">
        <is>
          <t>Anatomy</t>
        </is>
      </c>
      <c r="C24" s="38" t="inlineStr">
        <is>
          <t>Root</t>
        </is>
      </c>
      <c r="D24" s="38" t="inlineStr">
        <is>
          <t>is the only Button anatomy part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Button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0" customHeight="1" s="60">
      <c r="A25" s="37" t="n">
        <v>17</v>
      </c>
      <c r="B25" s="38" t="inlineStr">
        <is>
          <t>Identity</t>
        </is>
      </c>
      <c r="C25" s="38" t="inlineStr">
        <is>
          <t>Root</t>
        </is>
      </c>
      <c r="D25" s="38" t="inlineStr">
        <is>
          <t>default tag is button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Button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Identity</t>
        </is>
      </c>
      <c r="C26" s="38" t="inlineStr">
        <is>
          <t>Root</t>
        </is>
      </c>
      <c r="D26" s="38" t="inlineStr">
        <is>
          <t>anchor tag appears when href is enabled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Button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Identity</t>
        </is>
      </c>
      <c r="C27" s="38" t="inlineStr">
        <is>
          <t>Root</t>
        </is>
      </c>
      <c r="D27" s="38" t="inlineStr">
        <is>
          <t>custom tag appears for asChild/render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Button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Identity</t>
        </is>
      </c>
      <c r="C28" s="38" t="inlineStr">
        <is>
          <t>Root</t>
        </is>
      </c>
      <c r="D28" s="38" t="inlineStr">
        <is>
          <t>ref target matches rendered tag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Button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Identity</t>
        </is>
      </c>
      <c r="C29" s="38" t="inlineStr">
        <is>
          <t>Root</t>
        </is>
      </c>
      <c r="D29" s="38" t="inlineStr">
        <is>
          <t>data-slot is button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Button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Props</t>
        </is>
      </c>
      <c r="C30" s="38" t="inlineStr">
        <is>
          <t>Root</t>
        </is>
      </c>
      <c r="D30" s="38" t="inlineStr">
        <is>
          <t>non-Atom native props pass through with data-prop-check marker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Button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Public API</t>
        </is>
      </c>
      <c r="C31" s="38" t="inlineStr">
        <is>
          <t>Root</t>
        </is>
      </c>
      <c r="D31" s="38" t="inlineStr">
        <is>
          <t>href prop behavior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Button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Public API</t>
        </is>
      </c>
      <c r="C32" s="38" t="inlineStr">
        <is>
          <t>Root</t>
        </is>
      </c>
      <c r="D32" s="38" t="inlineStr">
        <is>
          <t>target prop behavior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Button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Public API</t>
        </is>
      </c>
      <c r="C33" s="38" t="inlineStr">
        <is>
          <t>Root</t>
        </is>
      </c>
      <c r="D33" s="38" t="inlineStr">
        <is>
          <t>rel prop behavior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Button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Public API</t>
        </is>
      </c>
      <c r="C34" s="38" t="inlineStr">
        <is>
          <t>Root</t>
        </is>
      </c>
      <c r="D34" s="38" t="inlineStr">
        <is>
          <t>type prop behavior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Button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Public API</t>
        </is>
      </c>
      <c r="C35" s="38" t="inlineStr">
        <is>
          <t>Root</t>
        </is>
      </c>
      <c r="D35" s="38" t="inlineStr">
        <is>
          <t>disabled prop behavior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Button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Public API</t>
        </is>
      </c>
      <c r="C36" s="38" t="inlineStr">
        <is>
          <t>Root</t>
        </is>
      </c>
      <c r="D36" s="38" t="inlineStr">
        <is>
          <t>loading prop behavior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Button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Public API</t>
        </is>
      </c>
      <c r="C37" s="38" t="inlineStr">
        <is>
          <t>Root</t>
        </is>
      </c>
      <c r="D37" s="38" t="inlineStr">
        <is>
          <t>onPress prop behavior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Button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Public API</t>
        </is>
      </c>
      <c r="C38" s="38" t="inlineStr">
        <is>
          <t>Root</t>
        </is>
      </c>
      <c r="D38" s="38" t="inlineStr">
        <is>
          <t>onClick prop behavior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Button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asChild prop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Button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prop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Button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Composition</t>
        </is>
      </c>
      <c r="C41" s="38" t="inlineStr">
        <is>
          <t>Root</t>
        </is>
      </c>
      <c r="D41" s="38" t="inlineStr">
        <is>
          <t>asChild preserves child content without double nesting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Button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60">
      <c r="A42" s="37" t="n">
        <v>34</v>
      </c>
      <c r="B42" s="38" t="inlineStr">
        <is>
          <t>Composition</t>
        </is>
      </c>
      <c r="C42" s="38" t="inlineStr">
        <is>
          <t>Root</t>
        </is>
      </c>
      <c r="D42" s="38" t="inlineStr">
        <is>
          <t>asChild merges Atom props and consumer props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Button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Composition</t>
        </is>
      </c>
      <c r="C43" s="38" t="inlineStr">
        <is>
          <t>Root</t>
        </is>
      </c>
      <c r="D43" s="38" t="inlineStr">
        <is>
          <t>render prop preserves refs and behavior props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Button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0" customHeight="1" s="60">
      <c r="A44" s="37" t="n">
        <v>36</v>
      </c>
      <c r="B44" s="38" t="inlineStr">
        <is>
          <t>Keyboard</t>
        </is>
      </c>
      <c r="C44" s="38" t="inlineStr">
        <is>
          <t>Root</t>
        </is>
      </c>
      <c r="D44" s="38" t="inlineStr">
        <is>
          <t>Enter activates custom non-native render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Button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60">
      <c r="A45" s="37" t="n">
        <v>37</v>
      </c>
      <c r="B45" s="38" t="inlineStr">
        <is>
          <t>Keyboard</t>
        </is>
      </c>
      <c r="C45" s="38" t="inlineStr">
        <is>
          <t>Root</t>
        </is>
      </c>
      <c r="D45" s="38" t="inlineStr">
        <is>
          <t>Space activates custom non-native render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Button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45" customHeight="1" s="60">
      <c r="A46" s="37" t="n">
        <v>38</v>
      </c>
      <c r="B46" s="38" t="inlineStr">
        <is>
          <t>Keyboard</t>
        </is>
      </c>
      <c r="C46" s="38" t="inlineStr">
        <is>
          <t>Root</t>
        </is>
      </c>
      <c r="D46" s="38" t="inlineStr">
        <is>
          <t>disabled/loading blocks keyboard activation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Button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ARIA</t>
        </is>
      </c>
      <c r="C47" s="38" t="inlineStr">
        <is>
          <t>Live DOM</t>
        </is>
      </c>
      <c r="D47" s="38" t="inlineStr">
        <is>
          <t>aria-disabled is present for inactive non-native renders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Button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60">
      <c r="A48" s="37" t="n">
        <v>40</v>
      </c>
      <c r="B48" s="38" t="inlineStr">
        <is>
          <t>ARIA</t>
        </is>
      </c>
      <c r="C48" s="38" t="inlineStr">
        <is>
          <t>Live DOM</t>
        </is>
      </c>
      <c r="D48" s="38" t="inlineStr">
        <is>
          <t>aria-busy is present while loading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Button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Data</t>
        </is>
      </c>
      <c r="C49" s="38" t="inlineStr">
        <is>
          <t>Live DOM</t>
        </is>
      </c>
      <c r="D49" s="38" t="inlineStr">
        <is>
          <t>data-slot is present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Button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0" customHeight="1" s="60">
      <c r="A50" s="37" t="n">
        <v>42</v>
      </c>
      <c r="B50" s="38" t="inlineStr">
        <is>
          <t>Data</t>
        </is>
      </c>
      <c r="C50" s="38" t="inlineStr">
        <is>
          <t>Live DOM</t>
        </is>
      </c>
      <c r="D50" s="38" t="inlineStr">
        <is>
          <t>data-disabled is present when disabled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Button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0" customHeight="1" s="60">
      <c r="A51" s="37" t="n">
        <v>43</v>
      </c>
      <c r="B51" s="38" t="inlineStr">
        <is>
          <t>Data</t>
        </is>
      </c>
      <c r="C51" s="38" t="inlineStr">
        <is>
          <t>Live DOM</t>
        </is>
      </c>
      <c r="D51" s="38" t="inlineStr">
        <is>
          <t>data-loading is present when loading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Button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30" customHeight="1" s="60">
      <c r="A52" s="37" t="n">
        <v>44</v>
      </c>
      <c r="B52" s="38" t="inlineStr">
        <is>
          <t>Forms</t>
        </is>
      </c>
      <c r="C52" s="38" t="inlineStr">
        <is>
          <t>Root</t>
        </is>
      </c>
      <c r="D52" s="38" t="inlineStr">
        <is>
          <t>native type button is default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Button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0" customHeight="1" s="60">
      <c r="A53" s="37" t="n">
        <v>45</v>
      </c>
      <c r="B53" s="38" t="inlineStr">
        <is>
          <t>Forms</t>
        </is>
      </c>
      <c r="C53" s="38" t="inlineStr">
        <is>
          <t>Root</t>
        </is>
      </c>
      <c r="D53" s="38" t="inlineStr">
        <is>
          <t>submit and reset type pass through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Button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0" customHeight="1" s="60">
      <c r="A54" s="37" t="n">
        <v>46</v>
      </c>
      <c r="B54" s="38" t="inlineStr">
        <is>
          <t>Log</t>
        </is>
      </c>
      <c r="C54" s="38" t="inlineStr">
        <is>
          <t>Root</t>
        </is>
      </c>
      <c r="D54" s="38" t="inlineStr">
        <is>
          <t>logs click/press/default prevention clearly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Button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0" customHeight="1" s="60">
      <c r="A55" s="4" t="n"/>
      <c r="B55" s="5" t="n"/>
      <c r="C55" s="5" t="n"/>
      <c r="D55" s="5" t="n"/>
      <c r="E55" s="7" t="n"/>
      <c r="F55" s="8" t="n"/>
      <c r="G55" s="4" t="n"/>
      <c r="H55" s="9" t="n"/>
      <c r="I55" s="5" t="n"/>
      <c r="J55" s="5" t="n"/>
      <c r="K55" s="6" t="n"/>
    </row>
    <row r="56">
      <c r="A56" s="4" t="n"/>
      <c r="B56" s="5" t="n"/>
      <c r="C56" s="5" t="n"/>
      <c r="D56" s="5" t="n"/>
      <c r="E56" s="7" t="n"/>
      <c r="F56" s="8" t="n"/>
      <c r="G56" s="4" t="n"/>
      <c r="H56" s="9" t="n"/>
      <c r="I56" s="5" t="n"/>
      <c r="J56" s="5" t="n"/>
      <c r="K56" s="6" t="n"/>
    </row>
    <row r="57">
      <c r="A57" s="4" t="n"/>
      <c r="B57" s="5" t="n"/>
      <c r="C57" s="5" t="n"/>
      <c r="D57" s="5" t="n"/>
      <c r="E57" s="7" t="n"/>
      <c r="F57" s="8" t="n"/>
      <c r="G57" s="4" t="n"/>
      <c r="H57" s="9" t="n"/>
      <c r="I57" s="5" t="n"/>
      <c r="J57" s="5" t="n"/>
      <c r="K57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8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Checkbox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passes manual test</t>
        </is>
      </c>
      <c r="H9" s="9" t="inlineStr">
        <is>
          <t>covered</t>
        </is>
      </c>
      <c r="I9" s="5" t="inlineStr">
        <is>
          <t>Checkbox playground scenario.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passes manual test</t>
        </is>
      </c>
      <c r="H10" s="9" t="inlineStr">
        <is>
          <t>covered</t>
        </is>
      </c>
      <c r="I10" s="5" t="inlineStr">
        <is>
          <t>Checkbox playground scenario.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Checkbox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passes manual test</t>
        </is>
      </c>
      <c r="H11" s="9" t="inlineStr">
        <is>
          <t>covered</t>
        </is>
      </c>
      <c r="I11" s="5" t="inlineStr">
        <is>
          <t>Checkbox playground scenario.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Checkbox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passes manual test</t>
        </is>
      </c>
      <c r="H12" s="9" t="inlineStr">
        <is>
          <t>covered</t>
        </is>
      </c>
      <c r="I12" s="5" t="inlineStr">
        <is>
          <t>Checkbox playground page uses shared Canvas/Source, Anatomy, Inspector, and Log infrastructure.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Checkbox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passes manual test</t>
        </is>
      </c>
      <c r="H13" s="9" t="inlineStr">
        <is>
          <t>covered</t>
        </is>
      </c>
      <c r="I13" s="5" t="inlineStr">
        <is>
          <t>Checkbox playground scenario.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Checkbox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passes manual test</t>
        </is>
      </c>
      <c r="H14" s="9" t="inlineStr">
        <is>
          <t>covered</t>
        </is>
      </c>
      <c r="I14" s="5" t="inlineStr">
        <is>
          <t>Checkbox playground scenario.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Checkbox</t>
        </is>
      </c>
      <c r="D15" s="5" t="inlineStr">
        <is>
          <t>Supports checked, unchecked, and indeterminate states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passes manual test</t>
        </is>
      </c>
      <c r="H15" s="9" t="inlineStr">
        <is>
          <t>covered</t>
        </is>
      </c>
      <c r="I15" s="5" t="inlineStr">
        <is>
          <t>Checkbox playground scenario.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Checkbox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passes manual test</t>
        </is>
      </c>
      <c r="H16" s="9" t="inlineStr">
        <is>
          <t>covered</t>
        </is>
      </c>
      <c r="I16" s="5" t="inlineStr">
        <is>
          <t>Checkbox playground scenario.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Checkbox</t>
        </is>
      </c>
      <c r="D17" s="5" t="inlineStr">
        <is>
          <t>Supports read-only and disabled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passes manual test</t>
        </is>
      </c>
      <c r="H17" s="9" t="inlineStr">
        <is>
          <t>covered</t>
        </is>
      </c>
      <c r="I17" s="5" t="inlineStr">
        <is>
          <t>Checkbox playground scenario.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Checkbox</t>
        </is>
      </c>
      <c r="D18" s="5" t="inlineStr">
        <is>
          <t>Renders an optional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passes manual test</t>
        </is>
      </c>
      <c r="H18" s="9" t="inlineStr">
        <is>
          <t>covered</t>
        </is>
      </c>
      <c r="I18" s="5" t="inlineStr">
        <is>
          <t>Checkbox playground scenario.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Checkbox</t>
        </is>
      </c>
      <c r="D19" s="5" t="inlineStr">
        <is>
          <t>Exposes state through ARIA and data attributes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passes manual test</t>
        </is>
      </c>
      <c r="H19" s="9" t="inlineStr">
        <is>
          <t>covered</t>
        </is>
      </c>
      <c r="I19" s="5" t="inlineStr">
        <is>
          <t>Checkbox playground scenario.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passes manual test</t>
        </is>
      </c>
      <c r="H20" s="9" t="inlineStr">
        <is>
          <t>covered</t>
        </is>
      </c>
      <c r="I20" s="5" t="inlineStr">
        <is>
          <t>Checkbox playground scenario.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passes manual test</t>
        </is>
      </c>
      <c r="H21" s="9" t="inlineStr">
        <is>
          <t>covered</t>
        </is>
      </c>
      <c r="I21" s="5" t="inlineStr">
        <is>
          <t>Checkbox playground scenario.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passes manual test</t>
        </is>
      </c>
      <c r="H22" s="9" t="inlineStr">
        <is>
          <t>covered</t>
        </is>
      </c>
      <c r="I22" s="5" t="inlineStr">
        <is>
          <t>Checkbox playground scenario.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4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passes manual test</t>
        </is>
      </c>
      <c r="H23" s="9" t="inlineStr">
        <is>
          <t>covered</t>
        </is>
      </c>
      <c r="I23" s="5" t="inlineStr">
        <is>
          <t>Checkbox playground scenario.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passes manual test</t>
        </is>
      </c>
      <c r="H24" s="9" t="inlineStr">
        <is>
          <t>covered</t>
        </is>
      </c>
      <c r="I24" s="5" t="inlineStr">
        <is>
          <t>Checkbox playground scenario.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passes manual test</t>
        </is>
      </c>
      <c r="H25" s="9" t="inlineStr">
        <is>
          <t>covered</t>
        </is>
      </c>
      <c r="I25" s="5" t="inlineStr">
        <is>
          <t>Package tests/source review verify consumer ref plumbing for Checkbox; playground manual pass can inspect rendered DOM behavior.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checked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passes manual test</t>
        </is>
      </c>
      <c r="H26" s="9" t="inlineStr">
        <is>
          <t>covered</t>
        </is>
      </c>
      <c r="I26" s="5" t="inlineStr">
        <is>
          <t>Checkbox playground scenario.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defaultChecked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passes manual test</t>
        </is>
      </c>
      <c r="H27" s="9" t="inlineStr">
        <is>
          <t>covered</t>
        </is>
      </c>
      <c r="I27" s="5" t="inlineStr">
        <is>
          <t>Checkbox playground scenario.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onCheckedChange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passes manual test</t>
        </is>
      </c>
      <c r="H28" s="9" t="inlineStr">
        <is>
          <t>covered</t>
        </is>
      </c>
      <c r="I28" s="5" t="inlineStr">
        <is>
          <t>Checkbox playground scenario.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disabled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passes manual test</t>
        </is>
      </c>
      <c r="H29" s="9" t="inlineStr">
        <is>
          <t>covered</t>
        </is>
      </c>
      <c r="I29" s="5" t="inlineStr">
        <is>
          <t>Checkbox playground scenario.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readOnly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passes manual test</t>
        </is>
      </c>
      <c r="H30" s="9" t="inlineStr">
        <is>
          <t>covered</t>
        </is>
      </c>
      <c r="I30" s="5" t="inlineStr">
        <is>
          <t>Checkbox playground scenario.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invalid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passes manual test</t>
        </is>
      </c>
      <c r="H31" s="9" t="inlineStr">
        <is>
          <t>covered</t>
        </is>
      </c>
      <c r="I31" s="5" t="inlineStr">
        <is>
          <t>Checkbox playground scenario.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required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passes manual test</t>
        </is>
      </c>
      <c r="H32" s="9" t="inlineStr">
        <is>
          <t>covered</t>
        </is>
      </c>
      <c r="I32" s="5" t="inlineStr">
        <is>
          <t>Checkbox playground scenario.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name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passes manual test</t>
        </is>
      </c>
      <c r="H33" s="9" t="inlineStr">
        <is>
          <t>covered</t>
        </is>
      </c>
      <c r="I33" s="5" t="inlineStr">
        <is>
          <t>Checkbox playground scenario.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value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passes manual test</t>
        </is>
      </c>
      <c r="H34" s="9" t="inlineStr">
        <is>
          <t>covered</t>
        </is>
      </c>
      <c r="I34" s="5" t="inlineStr">
        <is>
          <t>Checkbox playground scenario.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form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passes manual test</t>
        </is>
      </c>
      <c r="H35" s="9" t="inlineStr">
        <is>
          <t>covered</t>
        </is>
      </c>
      <c r="I35" s="5" t="inlineStr">
        <is>
          <t>Checkbox playground scenario.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Accessibility</t>
        </is>
      </c>
      <c r="C36" s="5" t="inlineStr">
        <is>
          <t>Root</t>
        </is>
      </c>
      <c r="D36" s="5" t="inlineStr">
        <is>
          <t>ariaLabel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passes manual test</t>
        </is>
      </c>
      <c r="H36" s="9" t="inlineStr">
        <is>
          <t>covered</t>
        </is>
      </c>
      <c r="I36" s="5" t="inlineStr">
        <is>
          <t>Checkbox playground scenario.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passes manual test</t>
        </is>
      </c>
      <c r="H37" s="9" t="inlineStr">
        <is>
          <t>covered</t>
        </is>
      </c>
      <c r="I37" s="5" t="inlineStr">
        <is>
          <t>Checkbox playground scenario.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passes manual test</t>
        </is>
      </c>
      <c r="H38" s="9" t="inlineStr">
        <is>
          <t>covered</t>
        </is>
      </c>
      <c r="I38" s="5" t="inlineStr">
        <is>
          <t>Checkbox playground scenario.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passes manual test</t>
        </is>
      </c>
      <c r="H39" s="9" t="inlineStr">
        <is>
          <t>covered</t>
        </is>
      </c>
      <c r="I39" s="5" t="inlineStr">
        <is>
          <t>Checkbox playground scenario.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[data-state]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passes manual test</t>
        </is>
      </c>
      <c r="H40" s="9" t="inlineStr">
        <is>
          <t>covered</t>
        </is>
      </c>
      <c r="I40" s="5" t="inlineStr">
        <is>
          <t>Checkbox playground scenario.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passes manual test</t>
        </is>
      </c>
      <c r="H41" s="9" t="inlineStr">
        <is>
          <t>covered</t>
        </is>
      </c>
      <c r="I41" s="5" t="inlineStr">
        <is>
          <t>Checkbox playground scenario.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passes manual test</t>
        </is>
      </c>
      <c r="H42" s="9" t="inlineStr">
        <is>
          <t>covered</t>
        </is>
      </c>
      <c r="I42" s="5" t="inlineStr">
        <is>
          <t>Checkbox playground scenario.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passes manual test</t>
        </is>
      </c>
      <c r="H43" s="9" t="inlineStr">
        <is>
          <t>covered</t>
        </is>
      </c>
      <c r="I43" s="5" t="inlineStr">
        <is>
          <t>Checkbox playground scenario.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Indicator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passes manual test</t>
        </is>
      </c>
      <c r="H44" s="9" t="inlineStr">
        <is>
          <t>covered</t>
        </is>
      </c>
      <c r="I44" s="5" t="inlineStr">
        <is>
          <t>Checkbox playground scenario.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Indicator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passes manual test</t>
        </is>
      </c>
      <c r="H45" s="9" t="inlineStr">
        <is>
          <t>covered</t>
        </is>
      </c>
      <c r="I45" s="5" t="inlineStr">
        <is>
          <t>Checkbox playground scenario.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Indicator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passes manual test</t>
        </is>
      </c>
      <c r="H46" s="9" t="inlineStr">
        <is>
          <t>covered</t>
        </is>
      </c>
      <c r="I46" s="5" t="inlineStr">
        <is>
          <t>Checkbox playground scenario.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Indicator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passes manual test</t>
        </is>
      </c>
      <c r="H47" s="9" t="inlineStr">
        <is>
          <t>covered</t>
        </is>
      </c>
      <c r="I47" s="5" t="inlineStr">
        <is>
          <t>Checkbox playground scenario.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Indicator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passes manual test</t>
        </is>
      </c>
      <c r="H48" s="9" t="inlineStr">
        <is>
          <t>covered</t>
        </is>
      </c>
      <c r="I48" s="5" t="inlineStr">
        <is>
          <t>Checkbox playground scenario.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Indicator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passes manual test</t>
        </is>
      </c>
      <c r="H49" s="9" t="inlineStr">
        <is>
          <t>covered</t>
        </is>
      </c>
      <c r="I49" s="5" t="inlineStr">
        <is>
          <t>Package tests/source review verify consumer ref plumbing for Checkbox; playground manual pass can inspect rendered DOM behavior.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Indicator</t>
        </is>
      </c>
      <c r="D50" s="5" t="inlineStr">
        <is>
          <t>forceMount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passes manual test</t>
        </is>
      </c>
      <c r="H50" s="9" t="inlineStr">
        <is>
          <t>covered</t>
        </is>
      </c>
      <c r="I50" s="5" t="inlineStr">
        <is>
          <t>Checkbox playground scenario.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Indicator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passes manual test</t>
        </is>
      </c>
      <c r="H51" s="9" t="inlineStr">
        <is>
          <t>covered</t>
        </is>
      </c>
      <c r="I51" s="5" t="inlineStr">
        <is>
          <t>Checkbox playground scenario.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Indicator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passes manual test</t>
        </is>
      </c>
      <c r="H52" s="9" t="inlineStr">
        <is>
          <t>covered</t>
        </is>
      </c>
      <c r="I52" s="5" t="inlineStr">
        <is>
          <t>Checkbox playground scenario.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Indicator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passes manual test</t>
        </is>
      </c>
      <c r="H53" s="9" t="inlineStr">
        <is>
          <t>covered</t>
        </is>
      </c>
      <c r="I53" s="5" t="inlineStr">
        <is>
          <t>Checkbox playground scenario.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Indicator</t>
        </is>
      </c>
      <c r="D54" s="5" t="inlineStr">
        <is>
          <t>[data-state]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passes manual test</t>
        </is>
      </c>
      <c r="H54" s="9" t="inlineStr">
        <is>
          <t>covered</t>
        </is>
      </c>
      <c r="I54" s="5" t="inlineStr">
        <is>
          <t>Checkbox playground scenario.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Indicator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passes manual test</t>
        </is>
      </c>
      <c r="H55" s="9" t="inlineStr">
        <is>
          <t>covered</t>
        </is>
      </c>
      <c r="I55" s="5" t="inlineStr">
        <is>
          <t>Checkbox playground scenario.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aria-checked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passes manual test</t>
        </is>
      </c>
      <c r="H56" s="9" t="inlineStr">
        <is>
          <t>covered</t>
        </is>
      </c>
      <c r="I56" s="5" t="inlineStr">
        <is>
          <t>Checkbox playground scenario.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aria-hidden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passes manual test</t>
        </is>
      </c>
      <c r="H57" s="9" t="inlineStr">
        <is>
          <t>covered</t>
        </is>
      </c>
      <c r="I57" s="5" t="inlineStr">
        <is>
          <t>Checkbox playground scenario.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aria-invalid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passes manual test</t>
        </is>
      </c>
      <c r="H58" s="9" t="inlineStr">
        <is>
          <t>covered</t>
        </is>
      </c>
      <c r="I58" s="5" t="inlineStr">
        <is>
          <t>Checkbox playground scenario.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aria-label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passes manual test</t>
        </is>
      </c>
      <c r="H59" s="9" t="inlineStr">
        <is>
          <t>covered</t>
        </is>
      </c>
      <c r="I59" s="5" t="inlineStr">
        <is>
          <t>Checkbox playground scenario.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aria-readonly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passes manual test</t>
        </is>
      </c>
      <c r="H60" s="9" t="inlineStr">
        <is>
          <t>covered</t>
        </is>
      </c>
      <c r="I60" s="5" t="inlineStr">
        <is>
          <t>Checkbox playground scenario.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aria-required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passes manual test</t>
        </is>
      </c>
      <c r="H61" s="9" t="inlineStr">
        <is>
          <t>covered</t>
        </is>
      </c>
      <c r="I61" s="5" t="inlineStr">
        <is>
          <t>Checkbox playground scenario.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data-disabled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passes manual test</t>
        </is>
      </c>
      <c r="H62" s="9" t="inlineStr">
        <is>
          <t>covered</t>
        </is>
      </c>
      <c r="I62" s="5" t="inlineStr">
        <is>
          <t>Checkbox playground scenario.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data-invalid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passes manual test</t>
        </is>
      </c>
      <c r="H63" s="9" t="inlineStr">
        <is>
          <t>covered</t>
        </is>
      </c>
      <c r="I63" s="5" t="inlineStr">
        <is>
          <t>Checkbox playground scenario.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data-readonly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passes manual test</t>
        </is>
      </c>
      <c r="H64" s="9" t="inlineStr">
        <is>
          <t>covered</t>
        </is>
      </c>
      <c r="I64" s="5" t="inlineStr">
        <is>
          <t>Checkbox playground scenario.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data-slot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passes manual test</t>
        </is>
      </c>
      <c r="H65" s="9" t="inlineStr">
        <is>
          <t>covered</t>
        </is>
      </c>
      <c r="I65" s="5" t="inlineStr">
        <is>
          <t>Checkbox playground scenario.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data-state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passes manual test</t>
        </is>
      </c>
      <c r="H66" s="9" t="inlineStr">
        <is>
          <t>covered</t>
        </is>
      </c>
      <c r="I66" s="5" t="inlineStr">
        <is>
          <t>Checkbox playground scenario.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Composition</t>
        </is>
      </c>
      <c r="C67" s="5" t="inlineStr">
        <is>
          <t>Checkbox</t>
        </is>
      </c>
      <c r="D67" s="5" t="inlineStr">
        <is>
          <t>asChild preserves child content without double nesting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passes manual test</t>
        </is>
      </c>
      <c r="H67" s="9" t="inlineStr">
        <is>
          <t>covered</t>
        </is>
      </c>
      <c r="I67" s="5" t="inlineStr">
        <is>
          <t>Checkbox playground scenario.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Composition</t>
        </is>
      </c>
      <c r="C68" s="5" t="inlineStr">
        <is>
          <t>Checkbox</t>
        </is>
      </c>
      <c r="D68" s="5" t="inlineStr">
        <is>
          <t>asChild merges Atom props and consumer props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passes manual test</t>
        </is>
      </c>
      <c r="H68" s="9" t="inlineStr">
        <is>
          <t>covered</t>
        </is>
      </c>
      <c r="I68" s="5" t="inlineStr">
        <is>
          <t>Checkbox playground scenario.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45" customHeight="1" s="60">
      <c r="A69" s="4" t="n">
        <v>61</v>
      </c>
      <c r="B69" s="5" t="inlineStr">
        <is>
          <t>Composition</t>
        </is>
      </c>
      <c r="C69" s="5" t="inlineStr">
        <is>
          <t>Checkbox</t>
        </is>
      </c>
      <c r="D69" s="5" t="inlineStr">
        <is>
          <t>asChild lets preventDefault block Atom behavior where supported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passes manual test</t>
        </is>
      </c>
      <c r="H69" s="9" t="inlineStr">
        <is>
          <t>covered</t>
        </is>
      </c>
      <c r="I69" s="5" t="inlineStr">
        <is>
          <t>Checkbox playground scenario.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Composition</t>
        </is>
      </c>
      <c r="C70" s="5" t="inlineStr">
        <is>
          <t>Checkbox</t>
        </is>
      </c>
      <c r="D70" s="5" t="inlineStr">
        <is>
          <t>render prop renders custom element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passes manual test</t>
        </is>
      </c>
      <c r="H70" s="9" t="inlineStr">
        <is>
          <t>covered</t>
        </is>
      </c>
      <c r="I70" s="5" t="inlineStr">
        <is>
          <t>Checkbox playground scenario.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Composition</t>
        </is>
      </c>
      <c r="C71" s="5" t="inlineStr">
        <is>
          <t>Checkbox</t>
        </is>
      </c>
      <c r="D71" s="5" t="inlineStr">
        <is>
          <t>render prop preserves refs and behavior props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passes manual test</t>
        </is>
      </c>
      <c r="H71" s="9" t="inlineStr">
        <is>
          <t>covered</t>
        </is>
      </c>
      <c r="I71" s="5" t="inlineStr">
        <is>
          <t>Composition controls/package tests cover render/asChild behavior for Checkbox; ready for manual verification where exposed.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controlled state path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passes manual test</t>
        </is>
      </c>
      <c r="H72" s="9" t="inlineStr">
        <is>
          <t>covered</t>
        </is>
      </c>
      <c r="I72" s="5" t="inlineStr">
        <is>
          <t>Checkbox playground scenario.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State</t>
        </is>
      </c>
      <c r="C73" s="5" t="inlineStr">
        <is>
          <t>Root</t>
        </is>
      </c>
      <c r="D73" s="5" t="inlineStr">
        <is>
          <t>uncontrolled default state path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passes manual test</t>
        </is>
      </c>
      <c r="H73" s="9" t="inlineStr">
        <is>
          <t>covered</t>
        </is>
      </c>
      <c r="I73" s="5" t="inlineStr">
        <is>
          <t>Checkbox playground scenario.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State</t>
        </is>
      </c>
      <c r="C74" s="5" t="inlineStr">
        <is>
          <t>Root</t>
        </is>
      </c>
      <c r="D74" s="5" t="inlineStr">
        <is>
          <t>state change callback fires once with correct value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passes manual test</t>
        </is>
      </c>
      <c r="H74" s="9" t="inlineStr">
        <is>
          <t>covered</t>
        </is>
      </c>
      <c r="I74" s="5" t="inlineStr">
        <is>
          <t>Checkbox playground scenario.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State</t>
        </is>
      </c>
      <c r="C75" s="5" t="inlineStr">
        <is>
          <t>Checkbox</t>
        </is>
      </c>
      <c r="D75" s="5" t="inlineStr">
        <is>
          <t>disabled state blocks or exposes behavior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passes manual test</t>
        </is>
      </c>
      <c r="H75" s="9" t="inlineStr">
        <is>
          <t>covered</t>
        </is>
      </c>
      <c r="I75" s="5" t="inlineStr">
        <is>
          <t>Checkbox playground scenario.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State</t>
        </is>
      </c>
      <c r="C76" s="5" t="inlineStr">
        <is>
          <t>Checkbox</t>
        </is>
      </c>
      <c r="D76" s="5" t="inlineStr">
        <is>
          <t>readonly/readOnly state blocks or exposes behavior correctly where supported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passes manual test</t>
        </is>
      </c>
      <c r="H76" s="9" t="inlineStr">
        <is>
          <t>covered</t>
        </is>
      </c>
      <c r="I76" s="5" t="inlineStr">
        <is>
          <t>Checkbox playground scenario.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Checkbox</t>
        </is>
      </c>
      <c r="D77" s="5" t="inlineStr">
        <is>
          <t>required state blocks or exposes behavior correctly where supported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passes manual test</t>
        </is>
      </c>
      <c r="H77" s="9" t="inlineStr">
        <is>
          <t>covered</t>
        </is>
      </c>
      <c r="I77" s="5" t="inlineStr">
        <is>
          <t>Checkbox playground scenario.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State</t>
        </is>
      </c>
      <c r="C78" s="5" t="inlineStr">
        <is>
          <t>Checkbox</t>
        </is>
      </c>
      <c r="D78" s="5" t="inlineStr">
        <is>
          <t>invalid state blocks or exposes behavior correctly where supported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passes manual test</t>
        </is>
      </c>
      <c r="H78" s="9" t="inlineStr">
        <is>
          <t>covered</t>
        </is>
      </c>
      <c r="I78" s="5" t="inlineStr">
        <is>
          <t>Checkbox playground scenario.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Forms</t>
        </is>
      </c>
      <c r="C79" s="5" t="inlineStr">
        <is>
          <t>Checkbox</t>
        </is>
      </c>
      <c r="D79" s="5" t="inlineStr">
        <is>
          <t>form value participates correctly where supported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passes manual test</t>
        </is>
      </c>
      <c r="H79" s="9" t="inlineStr">
        <is>
          <t>covered</t>
        </is>
      </c>
      <c r="I79" s="5" t="inlineStr">
        <is>
          <t>Checkbox playground scenario.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Forms</t>
        </is>
      </c>
      <c r="C80" s="5" t="inlineStr">
        <is>
          <t>Checkbox</t>
        </is>
      </c>
      <c r="D80" s="5" t="inlineStr">
        <is>
          <t>hidden input mirrors value/checked/disabled where supported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passes manual test</t>
        </is>
      </c>
      <c r="H80" s="9" t="inlineStr">
        <is>
          <t>covered</t>
        </is>
      </c>
      <c r="I80" s="5" t="inlineStr">
        <is>
          <t>Checkbox playground scenario.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Keyboard</t>
        </is>
      </c>
      <c r="C81" s="5" t="inlineStr">
        <is>
          <t>Checkbox</t>
        </is>
      </c>
      <c r="D81" s="5" t="inlineStr">
        <is>
          <t xml:space="preserve"> 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passes manual test</t>
        </is>
      </c>
      <c r="H81" s="9" t="inlineStr">
        <is>
          <t>covered</t>
        </is>
      </c>
      <c r="I81" s="5" t="inlineStr">
        <is>
          <t>Checkbox playground scenario.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Keyboard</t>
        </is>
      </c>
      <c r="C82" s="5" t="inlineStr">
        <is>
          <t>Checkbox</t>
        </is>
      </c>
      <c r="D82" s="5" t="inlineStr">
        <is>
          <t>Enter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passes manual test</t>
        </is>
      </c>
      <c r="H82" s="9" t="inlineStr">
        <is>
          <t>covered</t>
        </is>
      </c>
      <c r="I82" s="5" t="inlineStr">
        <is>
          <t>Checkbox playground scenario.</t>
        </is>
      </c>
      <c r="J82" s="5" t="inlineStr">
        <is>
          <t>423</t>
        </is>
      </c>
      <c r="K82" s="6">
        <f>IF(AND(E82="yes",F82="yes",H82="covered"),1,IF(H82="partial",0.5,0))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CheckboxGroup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passes manual test</t>
        </is>
      </c>
      <c r="H9" s="9" t="inlineStr">
        <is>
          <t>covered</t>
        </is>
      </c>
      <c r="I9" s="5" t="inlineStr">
        <is>
          <t>CheckboxGroup playground scenario.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passes manual test</t>
        </is>
      </c>
      <c r="H10" s="9" t="inlineStr">
        <is>
          <t>covered</t>
        </is>
      </c>
      <c r="I10" s="5" t="inlineStr">
        <is>
          <t>CheckboxGroup playground scenario.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CheckboxGroup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passes manual test</t>
        </is>
      </c>
      <c r="H11" s="9" t="inlineStr">
        <is>
          <t>covered</t>
        </is>
      </c>
      <c r="I11" s="5" t="inlineStr">
        <is>
          <t>CheckboxGroup playground scenario.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CheckboxGroup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passes manual test</t>
        </is>
      </c>
      <c r="H12" s="9" t="inlineStr">
        <is>
          <t>covered</t>
        </is>
      </c>
      <c r="I12" s="5" t="inlineStr">
        <is>
          <t>CheckboxGroup playground scenario.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CheckboxGroup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passes manual test</t>
        </is>
      </c>
      <c r="H13" s="9" t="inlineStr">
        <is>
          <t>covered</t>
        </is>
      </c>
      <c r="I13" s="5" t="inlineStr">
        <is>
          <t>CheckboxGroup playground scenario.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CheckboxGroup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passes manual test</t>
        </is>
      </c>
      <c r="H14" s="9" t="inlineStr">
        <is>
          <t>covered</t>
        </is>
      </c>
      <c r="I14" s="5" t="inlineStr">
        <is>
          <t>CheckboxGroup playground scenario.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CheckboxGroup</t>
        </is>
      </c>
      <c r="D15" s="5" t="inlineStr">
        <is>
          <t>Manages an array of selected values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passes manual test</t>
        </is>
      </c>
      <c r="H15" s="9" t="inlineStr">
        <is>
          <t>covered</t>
        </is>
      </c>
      <c r="I15" s="5" t="inlineStr">
        <is>
          <t>CheckboxGroup playground scenario.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CheckboxGroup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passes manual test</t>
        </is>
      </c>
      <c r="H16" s="9" t="inlineStr">
        <is>
          <t>covered</t>
        </is>
      </c>
      <c r="I16" s="5" t="inlineStr">
        <is>
          <t>CheckboxGroup playground scenario.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CheckboxGroup</t>
        </is>
      </c>
      <c r="D17" s="5" t="inlineStr">
        <is>
          <t>Shares disabled, read-only, required, invalid, name, and form state with items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passes manual test</t>
        </is>
      </c>
      <c r="H17" s="9" t="inlineStr">
        <is>
          <t>covered</t>
        </is>
      </c>
      <c r="I17" s="5" t="inlineStr">
        <is>
          <t>CheckboxGroup playground scenario.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CheckboxGroup</t>
        </is>
      </c>
      <c r="D18" s="5" t="inlineStr">
        <is>
          <t>Each item can render a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passes manual test</t>
        </is>
      </c>
      <c r="H18" s="9" t="inlineStr">
        <is>
          <t>covered</t>
        </is>
      </c>
      <c r="I18" s="5" t="inlineStr">
        <is>
          <t>CheckboxGroup playground scenario.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CheckboxGroup</t>
        </is>
      </c>
      <c r="D19" s="5" t="inlineStr">
        <is>
          <t>Exposes orientation and item state through data attributes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passes manual test</t>
        </is>
      </c>
      <c r="H19" s="9" t="inlineStr">
        <is>
          <t>covered</t>
        </is>
      </c>
      <c r="I19" s="5" t="inlineStr">
        <is>
          <t>CheckboxGroup playground scenario.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passes manual test</t>
        </is>
      </c>
      <c r="H20" s="9" t="inlineStr">
        <is>
          <t>covered</t>
        </is>
      </c>
      <c r="I20" s="5" t="inlineStr">
        <is>
          <t>CheckboxGroup playground scenario.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passes manual test</t>
        </is>
      </c>
      <c r="H21" s="9" t="inlineStr">
        <is>
          <t>covered</t>
        </is>
      </c>
      <c r="I21" s="5" t="inlineStr">
        <is>
          <t>CheckboxGroup playground scenario.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passes manual test</t>
        </is>
      </c>
      <c r="H22" s="9" t="inlineStr">
        <is>
          <t>covered</t>
        </is>
      </c>
      <c r="I22" s="5" t="inlineStr">
        <is>
          <t>CheckboxGroup playground scenario.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passes manual test</t>
        </is>
      </c>
      <c r="H23" s="9" t="inlineStr">
        <is>
          <t>covered</t>
        </is>
      </c>
      <c r="I23" s="5" t="inlineStr">
        <is>
          <t>CheckboxGroup playground scenario.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passes manual test</t>
        </is>
      </c>
      <c r="H24" s="9" t="inlineStr">
        <is>
          <t>covered</t>
        </is>
      </c>
      <c r="I24" s="5" t="inlineStr">
        <is>
          <t>CheckboxGroup playground scenario.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passes manual test</t>
        </is>
      </c>
      <c r="H25" s="9" t="inlineStr">
        <is>
          <t>covered</t>
        </is>
      </c>
      <c r="I25" s="5" t="inlineStr">
        <is>
          <t>CheckboxGroup playground scenario.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passes manual test</t>
        </is>
      </c>
      <c r="H26" s="9" t="inlineStr">
        <is>
          <t>covered</t>
        </is>
      </c>
      <c r="I26" s="5" t="inlineStr">
        <is>
          <t>CheckboxGroup playground scenario.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passes manual test</t>
        </is>
      </c>
      <c r="H27" s="9" t="inlineStr">
        <is>
          <t>covered</t>
        </is>
      </c>
      <c r="I27" s="5" t="inlineStr">
        <is>
          <t>CheckboxGroup playground scenario.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passes manual test</t>
        </is>
      </c>
      <c r="H28" s="9" t="inlineStr">
        <is>
          <t>covered</t>
        </is>
      </c>
      <c r="I28" s="5" t="inlineStr">
        <is>
          <t>CheckboxGroup playground scenario.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name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passes manual test</t>
        </is>
      </c>
      <c r="H29" s="9" t="inlineStr">
        <is>
          <t>covered</t>
        </is>
      </c>
      <c r="I29" s="5" t="inlineStr">
        <is>
          <t>CheckboxGroup playground scenario.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form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passes manual test</t>
        </is>
      </c>
      <c r="H30" s="9" t="inlineStr">
        <is>
          <t>covered</t>
        </is>
      </c>
      <c r="I30" s="5" t="inlineStr">
        <is>
          <t>CheckboxGroup playground scenario.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passes manual test</t>
        </is>
      </c>
      <c r="H31" s="9" t="inlineStr">
        <is>
          <t>covered</t>
        </is>
      </c>
      <c r="I31" s="5" t="inlineStr">
        <is>
          <t>CheckboxGroup playground scenario.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required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passes manual test</t>
        </is>
      </c>
      <c r="H32" s="9" t="inlineStr">
        <is>
          <t>covered</t>
        </is>
      </c>
      <c r="I32" s="5" t="inlineStr">
        <is>
          <t>CheckboxGroup playground scenario.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readOnly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passes manual test</t>
        </is>
      </c>
      <c r="H33" s="9" t="inlineStr">
        <is>
          <t>covered</t>
        </is>
      </c>
      <c r="I33" s="5" t="inlineStr">
        <is>
          <t>CheckboxGroup playground scenario.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passes manual test</t>
        </is>
      </c>
      <c r="H34" s="9" t="inlineStr">
        <is>
          <t>covered</t>
        </is>
      </c>
      <c r="I34" s="5" t="inlineStr">
        <is>
          <t>CheckboxGroup playground scenario.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passes manual test</t>
        </is>
      </c>
      <c r="H35" s="9" t="inlineStr">
        <is>
          <t>covered</t>
        </is>
      </c>
      <c r="I35" s="5" t="inlineStr">
        <is>
          <t>CheckboxGroup playground scenario.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Accessibility</t>
        </is>
      </c>
      <c r="C36" s="5" t="inlineStr">
        <is>
          <t>Root</t>
        </is>
      </c>
      <c r="D36" s="5" t="inlineStr">
        <is>
          <t>ariaLabel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passes manual test</t>
        </is>
      </c>
      <c r="H36" s="9" t="inlineStr">
        <is>
          <t>covered</t>
        </is>
      </c>
      <c r="I36" s="5" t="inlineStr">
        <is>
          <t>CheckboxGroup playground scenario.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passes manual test</t>
        </is>
      </c>
      <c r="H37" s="9" t="inlineStr">
        <is>
          <t>covered</t>
        </is>
      </c>
      <c r="I37" s="5" t="inlineStr">
        <is>
          <t>CheckboxGroup playground scenario.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passes manual test</t>
        </is>
      </c>
      <c r="H38" s="9" t="inlineStr">
        <is>
          <t>covered</t>
        </is>
      </c>
      <c r="I38" s="5" t="inlineStr">
        <is>
          <t>CheckboxGroup playground scenario.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passes manual test</t>
        </is>
      </c>
      <c r="H39" s="9" t="inlineStr">
        <is>
          <t>covered</t>
        </is>
      </c>
      <c r="I39" s="5" t="inlineStr">
        <is>
          <t>CheckboxGroup playground scenario.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[data-orientation]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passes manual test</t>
        </is>
      </c>
      <c r="H40" s="9" t="inlineStr">
        <is>
          <t>covered</t>
        </is>
      </c>
      <c r="I40" s="5" t="inlineStr">
        <is>
          <t>CheckboxGroup playground scenario.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passes manual test</t>
        </is>
      </c>
      <c r="H41" s="9" t="inlineStr">
        <is>
          <t>covered</t>
        </is>
      </c>
      <c r="I41" s="5" t="inlineStr">
        <is>
          <t>CheckboxGroup playground scenario.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passes manual test</t>
        </is>
      </c>
      <c r="H42" s="9" t="inlineStr">
        <is>
          <t>covered</t>
        </is>
      </c>
      <c r="I42" s="5" t="inlineStr">
        <is>
          <t>CheckboxGroup playground scenario.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passes manual test</t>
        </is>
      </c>
      <c r="H43" s="9" t="inlineStr">
        <is>
          <t>covered</t>
        </is>
      </c>
      <c r="I43" s="5" t="inlineStr">
        <is>
          <t>CheckboxGroup playground scenario.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Item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passes manual test</t>
        </is>
      </c>
      <c r="H44" s="9" t="inlineStr">
        <is>
          <t>covered</t>
        </is>
      </c>
      <c r="I44" s="5" t="inlineStr">
        <is>
          <t>CheckboxGroup playground scenario.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Item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passes manual test</t>
        </is>
      </c>
      <c r="H45" s="9" t="inlineStr">
        <is>
          <t>covered</t>
        </is>
      </c>
      <c r="I45" s="5" t="inlineStr">
        <is>
          <t>CheckboxGroup playground scenario.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Item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passes manual test</t>
        </is>
      </c>
      <c r="H46" s="9" t="inlineStr">
        <is>
          <t>covered</t>
        </is>
      </c>
      <c r="I46" s="5" t="inlineStr">
        <is>
          <t>CheckboxGroup playground scenario.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Item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passes manual test</t>
        </is>
      </c>
      <c r="H47" s="9" t="inlineStr">
        <is>
          <t>covered</t>
        </is>
      </c>
      <c r="I47" s="5" t="inlineStr">
        <is>
          <t>CheckboxGroup playground scenario.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Item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passes manual test</t>
        </is>
      </c>
      <c r="H48" s="9" t="inlineStr">
        <is>
          <t>covered</t>
        </is>
      </c>
      <c r="I48" s="5" t="inlineStr">
        <is>
          <t>CheckboxGroup playground scenario.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Item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passes manual test</t>
        </is>
      </c>
      <c r="H49" s="9" t="inlineStr">
        <is>
          <t>covered</t>
        </is>
      </c>
      <c r="I49" s="5" t="inlineStr">
        <is>
          <t>CheckboxGroup playground scenario.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Item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passes manual test</t>
        </is>
      </c>
      <c r="H50" s="9" t="inlineStr">
        <is>
          <t>covered</t>
        </is>
      </c>
      <c r="I50" s="5" t="inlineStr">
        <is>
          <t>CheckboxGroup playground scenario.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disabled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passes manual test</t>
        </is>
      </c>
      <c r="H51" s="9" t="inlineStr">
        <is>
          <t>covered</t>
        </is>
      </c>
      <c r="I51" s="5" t="inlineStr">
        <is>
          <t>CheckboxGroup playground scenario.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Item</t>
        </is>
      </c>
      <c r="D52" s="5" t="inlineStr">
        <is>
          <t>readOnly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passes manual test</t>
        </is>
      </c>
      <c r="H52" s="9" t="inlineStr">
        <is>
          <t>covered</t>
        </is>
      </c>
      <c r="I52" s="5" t="inlineStr">
        <is>
          <t>CheckboxGroup playground scenario.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Item</t>
        </is>
      </c>
      <c r="D53" s="5" t="inlineStr">
        <is>
          <t>invalid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passes manual test</t>
        </is>
      </c>
      <c r="H53" s="9" t="inlineStr">
        <is>
          <t>covered</t>
        </is>
      </c>
      <c r="I53" s="5" t="inlineStr">
        <is>
          <t>CheckboxGroup playground scenario.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Item</t>
        </is>
      </c>
      <c r="D54" s="5" t="inlineStr">
        <is>
          <t>required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passes manual test</t>
        </is>
      </c>
      <c r="H54" s="9" t="inlineStr">
        <is>
          <t>covered</t>
        </is>
      </c>
      <c r="I54" s="5" t="inlineStr">
        <is>
          <t>CheckboxGroup playground scenario.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Item</t>
        </is>
      </c>
      <c r="D55" s="5" t="inlineStr">
        <is>
          <t>name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passes manual test</t>
        </is>
      </c>
      <c r="H55" s="9" t="inlineStr">
        <is>
          <t>covered</t>
        </is>
      </c>
      <c r="I55" s="5" t="inlineStr">
        <is>
          <t>CheckboxGroup playground scenario.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Item</t>
        </is>
      </c>
      <c r="D56" s="5" t="inlineStr">
        <is>
          <t>form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passes manual test</t>
        </is>
      </c>
      <c r="H56" s="9" t="inlineStr">
        <is>
          <t>covered</t>
        </is>
      </c>
      <c r="I56" s="5" t="inlineStr">
        <is>
          <t>CheckboxGroup playground scenario.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Accessibility</t>
        </is>
      </c>
      <c r="C57" s="5" t="inlineStr">
        <is>
          <t>Item</t>
        </is>
      </c>
      <c r="D57" s="5" t="inlineStr">
        <is>
          <t>ariaLabel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passes manual test</t>
        </is>
      </c>
      <c r="H57" s="9" t="inlineStr">
        <is>
          <t>covered</t>
        </is>
      </c>
      <c r="I57" s="5" t="inlineStr">
        <is>
          <t>CheckboxGroup playground scenario.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Item</t>
        </is>
      </c>
      <c r="D58" s="5" t="inlineStr">
        <is>
          <t>asChild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passes manual test</t>
        </is>
      </c>
      <c r="H58" s="9" t="inlineStr">
        <is>
          <t>covered</t>
        </is>
      </c>
      <c r="I58" s="5" t="inlineStr">
        <is>
          <t>CheckboxGroup playground scenario.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Composition</t>
        </is>
      </c>
      <c r="C59" s="5" t="inlineStr">
        <is>
          <t>Item</t>
        </is>
      </c>
      <c r="D59" s="5" t="inlineStr">
        <is>
          <t>render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passes manual test</t>
        </is>
      </c>
      <c r="H59" s="9" t="inlineStr">
        <is>
          <t>covered</t>
        </is>
      </c>
      <c r="I59" s="5" t="inlineStr">
        <is>
          <t>CheckboxGroup playground scenario.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Item</t>
        </is>
      </c>
      <c r="D60" s="5" t="inlineStr">
        <is>
          <t>[data-slot]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passes manual test</t>
        </is>
      </c>
      <c r="H60" s="9" t="inlineStr">
        <is>
          <t>covered</t>
        </is>
      </c>
      <c r="I60" s="5" t="inlineStr">
        <is>
          <t>CheckboxGroup playground scenario.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[data-value]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passes manual test</t>
        </is>
      </c>
      <c r="H61" s="9" t="inlineStr">
        <is>
          <t>covered</t>
        </is>
      </c>
      <c r="I61" s="5" t="inlineStr">
        <is>
          <t>CheckboxGroup playground scenario.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[data-state]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passes manual test</t>
        </is>
      </c>
      <c r="H62" s="9" t="inlineStr">
        <is>
          <t>covered</t>
        </is>
      </c>
      <c r="I62" s="5" t="inlineStr">
        <is>
          <t>CheckboxGroup playground scenario.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State</t>
        </is>
      </c>
      <c r="C63" s="5" t="inlineStr">
        <is>
          <t>Item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passes manual test</t>
        </is>
      </c>
      <c r="H63" s="9" t="inlineStr">
        <is>
          <t>covered</t>
        </is>
      </c>
      <c r="I63" s="5" t="inlineStr">
        <is>
          <t>CheckboxGroup playground scenario.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Item</t>
        </is>
      </c>
      <c r="D64" s="5" t="inlineStr">
        <is>
          <t>[data-readonly]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passes manual test</t>
        </is>
      </c>
      <c r="H64" s="9" t="inlineStr">
        <is>
          <t>covered</t>
        </is>
      </c>
      <c r="I64" s="5" t="inlineStr">
        <is>
          <t>CheckboxGroup playground scenario.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[data-invalid]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passes manual test</t>
        </is>
      </c>
      <c r="H65" s="9" t="inlineStr">
        <is>
          <t>covered</t>
        </is>
      </c>
      <c r="I65" s="5" t="inlineStr">
        <is>
          <t>CheckboxGroup playground scenario.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GroupItem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passes manual test</t>
        </is>
      </c>
      <c r="H66" s="9" t="inlineStr">
        <is>
          <t>covered</t>
        </is>
      </c>
      <c r="I66" s="5" t="inlineStr">
        <is>
          <t>CheckboxGroup playground scenario.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GroupItem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passes manual test</t>
        </is>
      </c>
      <c r="H67" s="9" t="inlineStr">
        <is>
          <t>covered</t>
        </is>
      </c>
      <c r="I67" s="5" t="inlineStr">
        <is>
          <t>CheckboxGroup playground scenario.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GroupItem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passes manual test</t>
        </is>
      </c>
      <c r="H68" s="9" t="inlineStr">
        <is>
          <t>covered</t>
        </is>
      </c>
      <c r="I68" s="5" t="inlineStr">
        <is>
          <t>CheckboxGroup playground scenario.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GroupItem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passes manual test</t>
        </is>
      </c>
      <c r="H69" s="9" t="inlineStr">
        <is>
          <t>covered</t>
        </is>
      </c>
      <c r="I69" s="5" t="inlineStr">
        <is>
          <t>CheckboxGroup playground scenario.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GroupItem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passes manual test</t>
        </is>
      </c>
      <c r="H70" s="9" t="inlineStr">
        <is>
          <t>covered</t>
        </is>
      </c>
      <c r="I70" s="5" t="inlineStr">
        <is>
          <t>CheckboxGroup playground scenario.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GroupItem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passes manual test</t>
        </is>
      </c>
      <c r="H71" s="9" t="inlineStr">
        <is>
          <t>covered</t>
        </is>
      </c>
      <c r="I71" s="5" t="inlineStr">
        <is>
          <t>CheckboxGroup playground scenario.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aria-checked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passes manual test</t>
        </is>
      </c>
      <c r="H72" s="9" t="inlineStr">
        <is>
          <t>covered</t>
        </is>
      </c>
      <c r="I72" s="5" t="inlineStr">
        <is>
          <t>CheckboxGroup playground scenario.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aria-disabled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passes manual test</t>
        </is>
      </c>
      <c r="H73" s="9" t="inlineStr">
        <is>
          <t>covered</t>
        </is>
      </c>
      <c r="I73" s="5" t="inlineStr">
        <is>
          <t>CheckboxGroup playground scenario.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aria-hidden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passes manual test</t>
        </is>
      </c>
      <c r="H74" s="9" t="inlineStr">
        <is>
          <t>covered</t>
        </is>
      </c>
      <c r="I74" s="5" t="inlineStr">
        <is>
          <t>CheckboxGroup playground scenario.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aria-invalid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passes manual test</t>
        </is>
      </c>
      <c r="H75" s="9" t="inlineStr">
        <is>
          <t>covered</t>
        </is>
      </c>
      <c r="I75" s="5" t="inlineStr">
        <is>
          <t>CheckboxGroup playground scenario.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aria-label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passes manual test</t>
        </is>
      </c>
      <c r="H76" s="9" t="inlineStr">
        <is>
          <t>covered</t>
        </is>
      </c>
      <c r="I76" s="5" t="inlineStr">
        <is>
          <t>CheckboxGroup playground scenario.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aria-readonly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passes manual test</t>
        </is>
      </c>
      <c r="H77" s="9" t="inlineStr">
        <is>
          <t>covered</t>
        </is>
      </c>
      <c r="I77" s="5" t="inlineStr">
        <is>
          <t>CheckboxGroup playground scenario.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aria-required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passes manual test</t>
        </is>
      </c>
      <c r="H78" s="9" t="inlineStr">
        <is>
          <t>covered</t>
        </is>
      </c>
      <c r="I78" s="5" t="inlineStr">
        <is>
          <t>CheckboxGroup playground scenario.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data-disabled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passes manual test</t>
        </is>
      </c>
      <c r="H79" s="9" t="inlineStr">
        <is>
          <t>covered</t>
        </is>
      </c>
      <c r="I79" s="5" t="inlineStr">
        <is>
          <t>CheckboxGroup playground scenario.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data-invalid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passes manual test</t>
        </is>
      </c>
      <c r="H80" s="9" t="inlineStr">
        <is>
          <t>covered</t>
        </is>
      </c>
      <c r="I80" s="5" t="inlineStr">
        <is>
          <t>CheckboxGroup playground scenario.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data-orientation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passes manual test</t>
        </is>
      </c>
      <c r="H81" s="9" t="inlineStr">
        <is>
          <t>covered</t>
        </is>
      </c>
      <c r="I81" s="5" t="inlineStr">
        <is>
          <t>CheckboxGroup playground scenario.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data-readonly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passes manual test</t>
        </is>
      </c>
      <c r="H82" s="9" t="inlineStr">
        <is>
          <t>covered</t>
        </is>
      </c>
      <c r="I82" s="5" t="inlineStr">
        <is>
          <t>CheckboxGroup playground scenario.</t>
        </is>
      </c>
      <c r="J82" s="5" t="inlineStr">
        <is>
          <t>423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data-slot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passes manual test</t>
        </is>
      </c>
      <c r="H83" s="9" t="inlineStr">
        <is>
          <t>covered</t>
        </is>
      </c>
      <c r="I83" s="5" t="inlineStr">
        <is>
          <t>CheckboxGroup playground scenario.</t>
        </is>
      </c>
      <c r="J83" s="5" t="inlineStr">
        <is>
          <t>423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data-state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passes manual test</t>
        </is>
      </c>
      <c r="H84" s="9" t="inlineStr">
        <is>
          <t>covered</t>
        </is>
      </c>
      <c r="I84" s="5" t="inlineStr">
        <is>
          <t>CheckboxGroup playground scenario.</t>
        </is>
      </c>
      <c r="J84" s="5" t="inlineStr">
        <is>
          <t>423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data-value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passes manual test</t>
        </is>
      </c>
      <c r="H85" s="9" t="inlineStr">
        <is>
          <t>covered</t>
        </is>
      </c>
      <c r="I85" s="5" t="inlineStr">
        <is>
          <t>CheckboxGroup playground scenario.</t>
        </is>
      </c>
      <c r="J85" s="5" t="inlineStr">
        <is>
          <t>423</t>
        </is>
      </c>
      <c r="K85" s="6">
        <f>IF(AND(E85="yes",F85="yes",H85="covered"),1,IF(H85="partial",0.5,0))</f>
        <v/>
      </c>
    </row>
    <row r="86" ht="30" customHeight="1" s="60">
      <c r="A86" s="4" t="n">
        <v>78</v>
      </c>
      <c r="B86" s="5" t="inlineStr">
        <is>
          <t>Composition</t>
        </is>
      </c>
      <c r="C86" s="5" t="inlineStr">
        <is>
          <t>CheckboxGroup</t>
        </is>
      </c>
      <c r="D86" s="5" t="inlineStr">
        <is>
          <t>asChild preserves child content without double nesting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passes manual test</t>
        </is>
      </c>
      <c r="H86" s="9" t="inlineStr">
        <is>
          <t>covered</t>
        </is>
      </c>
      <c r="I86" s="5" t="inlineStr">
        <is>
          <t>CheckboxGroup playground scenario.</t>
        </is>
      </c>
      <c r="J86" s="5" t="inlineStr">
        <is>
          <t>423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CheckboxGroup</t>
        </is>
      </c>
      <c r="D87" s="5" t="inlineStr">
        <is>
          <t>asChild merges Atom props and consumer props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passes manual test</t>
        </is>
      </c>
      <c r="H87" s="9" t="inlineStr">
        <is>
          <t>covered</t>
        </is>
      </c>
      <c r="I87" s="5" t="inlineStr">
        <is>
          <t>CheckboxGroup playground scenario.</t>
        </is>
      </c>
      <c r="J87" s="5" t="inlineStr">
        <is>
          <t>423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CheckboxGroup</t>
        </is>
      </c>
      <c r="D88" s="5" t="inlineStr">
        <is>
          <t>asChild lets preventDefault block Atom behavior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passes manual test</t>
        </is>
      </c>
      <c r="H88" s="9" t="inlineStr">
        <is>
          <t>covered</t>
        </is>
      </c>
      <c r="I88" s="5" t="inlineStr">
        <is>
          <t>CheckboxGroup playground scenario.</t>
        </is>
      </c>
      <c r="J88" s="5" t="inlineStr">
        <is>
          <t>423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CheckboxGroup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passes manual test</t>
        </is>
      </c>
      <c r="H89" s="9" t="inlineStr">
        <is>
          <t>covered</t>
        </is>
      </c>
      <c r="I89" s="5" t="inlineStr">
        <is>
          <t>CheckboxGroup playground scenario.</t>
        </is>
      </c>
      <c r="J89" s="5" t="inlineStr">
        <is>
          <t>423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CheckboxGroup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passes manual test</t>
        </is>
      </c>
      <c r="H90" s="9" t="inlineStr">
        <is>
          <t>covered</t>
        </is>
      </c>
      <c r="I90" s="5" t="inlineStr">
        <is>
          <t>CheckboxGroup playground scenario.</t>
        </is>
      </c>
      <c r="J90" s="5" t="inlineStr">
        <is>
          <t>423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passes manual test</t>
        </is>
      </c>
      <c r="H91" s="9" t="inlineStr">
        <is>
          <t>covered</t>
        </is>
      </c>
      <c r="I91" s="5" t="inlineStr">
        <is>
          <t>CheckboxGroup playground scenario.</t>
        </is>
      </c>
      <c r="J91" s="5" t="inlineStr">
        <is>
          <t>423</t>
        </is>
      </c>
      <c r="K91" s="6">
        <f>IF(AND(E91="yes",F91="yes",H91="covered"),1,IF(H91="partial",0.5,0))</f>
        <v/>
      </c>
    </row>
    <row r="92" ht="30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passes manual test</t>
        </is>
      </c>
      <c r="H92" s="9" t="inlineStr">
        <is>
          <t>covered</t>
        </is>
      </c>
      <c r="I92" s="5" t="inlineStr">
        <is>
          <t>CheckboxGroup playground scenario.</t>
        </is>
      </c>
      <c r="J92" s="5" t="inlineStr">
        <is>
          <t>423</t>
        </is>
      </c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passes manual test</t>
        </is>
      </c>
      <c r="H93" s="9" t="inlineStr">
        <is>
          <t>covered</t>
        </is>
      </c>
      <c r="I93" s="5" t="inlineStr">
        <is>
          <t>CheckboxGroup playground scenario.</t>
        </is>
      </c>
      <c r="J93" s="5" t="inlineStr">
        <is>
          <t>423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State</t>
        </is>
      </c>
      <c r="C94" s="5" t="inlineStr">
        <is>
          <t>CheckboxGroup</t>
        </is>
      </c>
      <c r="D94" s="5" t="inlineStr">
        <is>
          <t>disabled state blocks or exposes behavior correctly where supported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passes manual test</t>
        </is>
      </c>
      <c r="H94" s="9" t="inlineStr">
        <is>
          <t>covered</t>
        </is>
      </c>
      <c r="I94" s="5" t="inlineStr">
        <is>
          <t>CheckboxGroup playground scenario.</t>
        </is>
      </c>
      <c r="J94" s="5" t="inlineStr">
        <is>
          <t>423</t>
        </is>
      </c>
      <c r="K94" s="6">
        <f>IF(AND(E94="yes",F94="yes",H94="covered"),1,IF(H94="partial",0.5,0))</f>
        <v/>
      </c>
    </row>
    <row r="95" ht="30" customHeight="1" s="60">
      <c r="A95" s="4" t="n">
        <v>87</v>
      </c>
      <c r="B95" s="5" t="inlineStr">
        <is>
          <t>State</t>
        </is>
      </c>
      <c r="C95" s="5" t="inlineStr">
        <is>
          <t>CheckboxGroup</t>
        </is>
      </c>
      <c r="D95" s="5" t="inlineStr">
        <is>
          <t>readonly/readOnly state blocks or exposes behavior correctly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passes manual test</t>
        </is>
      </c>
      <c r="H95" s="9" t="inlineStr">
        <is>
          <t>covered</t>
        </is>
      </c>
      <c r="I95" s="5" t="inlineStr">
        <is>
          <t>CheckboxGroup playground scenario.</t>
        </is>
      </c>
      <c r="J95" s="5" t="inlineStr">
        <is>
          <t>423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State</t>
        </is>
      </c>
      <c r="C96" s="5" t="inlineStr">
        <is>
          <t>CheckboxGroup</t>
        </is>
      </c>
      <c r="D96" s="5" t="inlineStr">
        <is>
          <t>required state blocks or exposes behavior correctly where supported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passes manual test</t>
        </is>
      </c>
      <c r="H96" s="9" t="inlineStr">
        <is>
          <t>covered</t>
        </is>
      </c>
      <c r="I96" s="5" t="inlineStr">
        <is>
          <t>CheckboxGroup playground scenario.</t>
        </is>
      </c>
      <c r="J96" s="5" t="inlineStr">
        <is>
          <t>423</t>
        </is>
      </c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State</t>
        </is>
      </c>
      <c r="C97" s="5" t="inlineStr">
        <is>
          <t>CheckboxGroup</t>
        </is>
      </c>
      <c r="D97" s="5" t="inlineStr">
        <is>
          <t>invalid state blocks or exposes behavior correctly where supported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passes manual test</t>
        </is>
      </c>
      <c r="H97" s="9" t="inlineStr">
        <is>
          <t>covered</t>
        </is>
      </c>
      <c r="I97" s="5" t="inlineStr">
        <is>
          <t>CheckboxGroup playground scenario.</t>
        </is>
      </c>
      <c r="J97" s="5" t="inlineStr">
        <is>
          <t>423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Forms</t>
        </is>
      </c>
      <c r="C98" s="5" t="inlineStr">
        <is>
          <t>CheckboxGroup</t>
        </is>
      </c>
      <c r="D98" s="5" t="inlineStr">
        <is>
          <t>form value participates correctly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passes manual test</t>
        </is>
      </c>
      <c r="H98" s="9" t="inlineStr">
        <is>
          <t>covered</t>
        </is>
      </c>
      <c r="I98" s="5" t="inlineStr">
        <is>
          <t>CheckboxGroup playground scenario.</t>
        </is>
      </c>
      <c r="J98" s="5" t="inlineStr">
        <is>
          <t>423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Forms</t>
        </is>
      </c>
      <c r="C99" s="5" t="inlineStr">
        <is>
          <t>CheckboxGroup</t>
        </is>
      </c>
      <c r="D99" s="5" t="inlineStr">
        <is>
          <t>hidden input mirrors value/checked/disabled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passes manual test</t>
        </is>
      </c>
      <c r="H99" s="9" t="inlineStr">
        <is>
          <t>covered</t>
        </is>
      </c>
      <c r="I99" s="5" t="inlineStr">
        <is>
          <t>CheckboxGroup playground scenario.</t>
        </is>
      </c>
      <c r="J99" s="5" t="inlineStr">
        <is>
          <t>423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Keyboard</t>
        </is>
      </c>
      <c r="C100" s="5" t="inlineStr">
        <is>
          <t>CheckboxGroup</t>
        </is>
      </c>
      <c r="D100" s="5" t="inlineStr">
        <is>
          <t xml:space="preserve"> 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passes manual test</t>
        </is>
      </c>
      <c r="H100" s="9" t="inlineStr">
        <is>
          <t>covered</t>
        </is>
      </c>
      <c r="I100" s="5" t="inlineStr">
        <is>
          <t>CheckboxGroup playground scenario.</t>
        </is>
      </c>
      <c r="J100" s="5" t="inlineStr">
        <is>
          <t>423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Keyboard</t>
        </is>
      </c>
      <c r="C101" s="5" t="inlineStr">
        <is>
          <t>CheckboxGroup</t>
        </is>
      </c>
      <c r="D101" s="5" t="inlineStr">
        <is>
          <t>Enter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passes manual test</t>
        </is>
      </c>
      <c r="H101" s="9" t="inlineStr">
        <is>
          <t>covered</t>
        </is>
      </c>
      <c r="I101" s="5" t="inlineStr">
        <is>
          <t>CheckboxGroup playground scenario.</t>
        </is>
      </c>
      <c r="J101" s="5" t="inlineStr">
        <is>
          <t>423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Keyboard</t>
        </is>
      </c>
      <c r="C102" s="5" t="inlineStr">
        <is>
          <t>CheckboxGroup</t>
        </is>
      </c>
      <c r="D102" s="5" t="inlineStr">
        <is>
          <t>Arrow key navigation follows documented orientation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passes manual test</t>
        </is>
      </c>
      <c r="H102" s="9" t="inlineStr">
        <is>
          <t>covered</t>
        </is>
      </c>
      <c r="I102" s="5" t="inlineStr">
        <is>
          <t>CheckboxGroup playground scenario.</t>
        </is>
      </c>
      <c r="J102" s="5" t="inlineStr">
        <is>
          <t>423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Keyboard</t>
        </is>
      </c>
      <c r="C103" s="5" t="inlineStr">
        <is>
          <t>CheckboxGroup</t>
        </is>
      </c>
      <c r="D103" s="5" t="inlineStr">
        <is>
          <t>Home and End navigation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passes manual test</t>
        </is>
      </c>
      <c r="H103" s="9" t="inlineStr">
        <is>
          <t>covered</t>
        </is>
      </c>
      <c r="I103" s="5" t="inlineStr">
        <is>
          <t>CheckboxGroup playground scenario.</t>
        </is>
      </c>
      <c r="J103" s="5" t="inlineStr">
        <is>
          <t>423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CheckboxGroup</t>
        </is>
      </c>
      <c r="D104" s="5" t="inlineStr">
        <is>
          <t>disabled items are skipped or exposed according to pattern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passes manual test</t>
        </is>
      </c>
      <c r="H104" s="9" t="inlineStr">
        <is>
          <t>covered</t>
        </is>
      </c>
      <c r="I104" s="5" t="inlineStr">
        <is>
          <t>CheckboxGroup playground scenario.</t>
        </is>
      </c>
      <c r="J104" s="5" t="inlineStr">
        <is>
          <t>423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CheckboxGroup</t>
        </is>
      </c>
      <c r="D105" s="5" t="inlineStr">
        <is>
          <t>typeahead/search behavior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passes manual test</t>
        </is>
      </c>
      <c r="H105" s="9" t="inlineStr">
        <is>
          <t>covered</t>
        </is>
      </c>
      <c r="I105" s="5" t="inlineStr">
        <is>
          <t>CheckboxGroup playground scenario.</t>
        </is>
      </c>
      <c r="J105" s="5" t="inlineStr">
        <is>
          <t>423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Focus</t>
        </is>
      </c>
      <c r="C106" s="5" t="inlineStr">
        <is>
          <t>CheckboxGroup</t>
        </is>
      </c>
      <c r="D106" s="5" t="inlineStr">
        <is>
          <t>roving focus or active descendant state is visible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passes manual test</t>
        </is>
      </c>
      <c r="H106" s="9" t="inlineStr">
        <is>
          <t>covered</t>
        </is>
      </c>
      <c r="I106" s="5" t="inlineStr">
        <is>
          <t>CheckboxGroup playground scenario.</t>
        </is>
      </c>
      <c r="J106" s="5" t="inlineStr">
        <is>
          <t>423</t>
        </is>
      </c>
      <c r="K106" s="6">
        <f>IF(AND(E106="yes",F106="yes",H106="covered"),1,IF(H106="partial",0.5,0))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7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Collapsible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Props toolbar exposes Prop Check; raw Data verifies data-prop-check is absent by default and present when enabled.</t>
        </is>
      </c>
      <c r="J9" s="20" t="inlineStr">
        <is>
          <t>Manual verification passed.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Props toolbar exposes Root, Trigger, and Content custom slot toggles; raw Data verifies custom data-slot values.</t>
        </is>
      </c>
      <c r="J10" s="20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Collapsible</t>
        </is>
      </c>
      <c r="D11" s="5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Step 0 smoke check verified top menu reachability.</t>
        </is>
      </c>
      <c r="J11" s="20" t="inlineStr">
        <is>
          <t>Manual verification passed.</t>
        </is>
      </c>
      <c r="K11" s="6">
        <f>IF(AND(E11="yes",F11="yes",H11="covered"),1,IF(H11="partial",0.5,0))</f>
        <v/>
      </c>
    </row>
    <row r="12" ht="45" customHeight="1" s="60">
      <c r="A12" s="4" t="n">
        <v>4</v>
      </c>
      <c r="B12" s="5" t="inlineStr">
        <is>
          <t>Playground</t>
        </is>
      </c>
      <c r="C12" s="5" t="inlineStr">
        <is>
          <t>Collapsible</t>
        </is>
      </c>
      <c r="D12" s="5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Step 5 verified Source updates for state, composition, props, slots, and blocked trigger behavior.</t>
        </is>
      </c>
      <c r="J12" s="20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Collapsible</t>
        </is>
      </c>
      <c r="D13" s="5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Anatomy exposes live Attributes, ARIA, and Data groups for Root, Trigger, and Content.</t>
        </is>
      </c>
      <c r="J13" s="20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Collapsible</t>
        </is>
      </c>
      <c r="D14" s="5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Inspector Selected, Focused, and Logs verified for Collapsible.</t>
        </is>
      </c>
      <c r="J14" s="20" t="inlineStr">
        <is>
          <t>Manual verification passed.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Collapsible</t>
        </is>
      </c>
      <c r="D15" s="5" t="inlineStr">
        <is>
          <t>Supports controlled and uncontrolled open state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Collapsible manual protocol in .manual-tests/collapsible.md.</t>
        </is>
      </c>
      <c r="J15" s="20" t="inlineStr">
        <is>
          <t>Manual verification passed.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Collapsible</t>
        </is>
      </c>
      <c r="D16" s="5" t="inlineStr">
        <is>
          <t>Links trigger and content with stable ARIA IDs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Trigger aria-controls matches rendered Content id; Content aria-labelledby matches Trigger id.</t>
        </is>
      </c>
      <c r="J16" s="20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Collapsible</t>
        </is>
      </c>
      <c r="D17" s="5" t="inlineStr">
        <is>
          <t>Supports mounted and unmounted closed content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Collapsible manual protocol in .manual-tests/collapsible.md.</t>
        </is>
      </c>
      <c r="J17" s="20" t="inlineStr">
        <is>
          <t>Manual verification passed.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Collapsible</t>
        </is>
      </c>
      <c r="D18" s="5" t="inlineStr">
        <is>
          <t>Exposes measured content height for CSS animation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Content exposes --content-height as a measured pixel value related to rendered content height.</t>
        </is>
      </c>
      <c r="J18" s="20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Collapsible</t>
        </is>
      </c>
      <c r="D19" s="5" t="inlineStr">
        <is>
          <t>Supports `asChild` and `render` on every part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Collapsible manual protocol in .manual-tests/collapsible.md.</t>
        </is>
      </c>
      <c r="J19" s="20" t="inlineStr">
        <is>
          <t>Manual verification passed.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Collapsible manual protocol in .manual-tests/collapsible.md.</t>
        </is>
      </c>
      <c r="J20" s="20" t="inlineStr">
        <is>
          <t>Manual verification passed.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Collapsible manual protocol in .manual-tests/collapsible.md.</t>
        </is>
      </c>
      <c r="J21" s="20" t="inlineStr">
        <is>
          <t>Manual verification passed.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Collapsible manual protocol in .manual-tests/collapsible.md.</t>
        </is>
      </c>
      <c r="J22" s="20" t="inlineStr">
        <is>
          <t>Manual verification passed.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Collapsible manual protocol in .manual-tests/collapsible.md.</t>
        </is>
      </c>
      <c r="J23" s="20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Root data-prop-check verified in raw Data only when Prop Check is enabled.</t>
        </is>
      </c>
      <c r="J24" s="20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Root ref verified through Anatomy Ref target row.</t>
        </is>
      </c>
      <c r="J25" s="20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Collapsible manual protocol in .manual-tests/collapsible.md.</t>
        </is>
      </c>
      <c r="J26" s="20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Collapsible manual protocol in .manual-tests/collapsible.md.</t>
        </is>
      </c>
      <c r="J27" s="20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open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Collapsible manual protocol in .manual-tests/collapsible.md.</t>
        </is>
      </c>
      <c r="J28" s="20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defaultOpen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Collapsible manual protocol in .manual-tests/collapsible.md.</t>
        </is>
      </c>
      <c r="J29" s="20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onOpenChange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Collapsible manual protocol in .manual-tests/collapsible.md.</t>
        </is>
      </c>
      <c r="J30" s="20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Collapsible manual protocol in .manual-tests/collapsible.md.</t>
        </is>
      </c>
      <c r="J31" s="20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[data-slot] prop behavior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Collapsible manual protocol in .manual-tests/collapsible.md.</t>
        </is>
      </c>
      <c r="J32" s="20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[data-state] prop behavior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Collapsible manual protocol in .manual-tests/collapsible.md.</t>
        </is>
      </c>
      <c r="J33" s="20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[data-disabled] prop behavior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Collapsible manual protocol in .manual-tests/collapsible.md.</t>
        </is>
      </c>
      <c r="J34" s="20" t="inlineStr">
        <is>
          <t>Manual verification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Trigger</t>
        </is>
      </c>
      <c r="D35" s="5" t="inlineStr">
        <is>
          <t>renders correct part when expected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Collapsible manual protocol in .manual-tests/collapsible.md.</t>
        </is>
      </c>
      <c r="J35" s="20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appears in documented order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Collapsible manual protocol in .manual-tests/collapsible.md.</t>
        </is>
      </c>
      <c r="J36" s="20" t="inlineStr">
        <is>
          <t>Manual verification passed.</t>
        </is>
      </c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Trigger</t>
        </is>
      </c>
      <c r="D37" s="5" t="inlineStr">
        <is>
          <t>default tag is visible in Anatomy/Inspector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Collapsible manual protocol in .manual-tests/collapsible.md.</t>
        </is>
      </c>
      <c r="J37" s="20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data-slot is present and correct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Collapsible manual protocol in .manual-tests/collapsible.md.</t>
        </is>
      </c>
      <c r="J38" s="20" t="inlineStr">
        <is>
          <t>Manual verification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Trigger</t>
        </is>
      </c>
      <c r="D39" s="5" t="inlineStr">
        <is>
          <t>non-Atom native props pass through with data-prop-check marker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Trigger data-prop-check verified in raw Data only when Prop Check is enabled.</t>
        </is>
      </c>
      <c r="J39" s="20" t="inlineStr">
        <is>
          <t>Manual verification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Trigger</t>
        </is>
      </c>
      <c r="D40" s="5" t="inlineStr">
        <is>
          <t>consumer ref receives the rendered element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Trigger ref verified through Anatomy Ref target row.</t>
        </is>
      </c>
      <c r="J40" s="20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Trigger</t>
        </is>
      </c>
      <c r="D41" s="5" t="inlineStr">
        <is>
          <t>asChild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Collapsible manual protocol in .manual-tests/collapsible.md.</t>
        </is>
      </c>
      <c r="J41" s="20" t="inlineStr">
        <is>
          <t>Manual verification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render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Collapsible manual protocol in .manual-tests/collapsible.md.</t>
        </is>
      </c>
      <c r="J42" s="20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Trigger</t>
        </is>
      </c>
      <c r="D43" s="5" t="inlineStr">
        <is>
          <t>[data-slot] prop behavior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Collapsible manual protocol in .manual-tests/collapsible.md.</t>
        </is>
      </c>
      <c r="J43" s="20" t="inlineStr">
        <is>
          <t>Manual verification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[data-state] prop behavior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Collapsible manual protocol in .manual-tests/collapsible.md.</t>
        </is>
      </c>
      <c r="J44" s="20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Trigger</t>
        </is>
      </c>
      <c r="D45" s="5" t="inlineStr">
        <is>
          <t>[data-disabled] prop behavior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Collapsible manual protocol in .manual-tests/collapsible.md.</t>
        </is>
      </c>
      <c r="J45" s="20" t="inlineStr">
        <is>
          <t>Manual verification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Content</t>
        </is>
      </c>
      <c r="D46" s="5" t="inlineStr">
        <is>
          <t>renders correct part when expected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Collapsible manual protocol in .manual-tests/collapsible.md.</t>
        </is>
      </c>
      <c r="J46" s="20" t="inlineStr">
        <is>
          <t>Manual verification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Content</t>
        </is>
      </c>
      <c r="D47" s="5" t="inlineStr">
        <is>
          <t>appears in documented order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Collapsible manual protocol in .manual-tests/collapsible.md.</t>
        </is>
      </c>
      <c r="J47" s="20" t="inlineStr">
        <is>
          <t>Manual verification passed.</t>
        </is>
      </c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Content</t>
        </is>
      </c>
      <c r="D48" s="5" t="inlineStr">
        <is>
          <t>default tag is visible in Anatomy/Inspector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Collapsible manual protocol in .manual-tests/collapsible.md.</t>
        </is>
      </c>
      <c r="J48" s="20" t="inlineStr">
        <is>
          <t>Manual verification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Identity</t>
        </is>
      </c>
      <c r="C49" s="5" t="inlineStr">
        <is>
          <t>Content</t>
        </is>
      </c>
      <c r="D49" s="5" t="inlineStr">
        <is>
          <t>data-slot is present and correct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Collapsible manual protocol in .manual-tests/collapsible.md.</t>
        </is>
      </c>
      <c r="J49" s="20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Content</t>
        </is>
      </c>
      <c r="D50" s="5" t="inlineStr">
        <is>
          <t>non-Atom native props pass through with data-prop-check marker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Content data-prop-check verified in raw Data only when Prop Check is enabled.</t>
        </is>
      </c>
      <c r="J50" s="20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Content</t>
        </is>
      </c>
      <c r="D51" s="5" t="inlineStr">
        <is>
          <t>consumer ref receives the rendered element</t>
        </is>
      </c>
      <c r="E51" s="19" t="inlineStr">
        <is>
          <t>yes</t>
        </is>
      </c>
      <c r="F51" s="19" t="inlineStr">
        <is>
          <t>yes</t>
        </is>
      </c>
      <c r="G51" s="19" t="inlineStr">
        <is>
          <t>passed</t>
        </is>
      </c>
      <c r="H51" s="19" t="inlineStr">
        <is>
          <t>covered</t>
        </is>
      </c>
      <c r="I51" s="20" t="inlineStr">
        <is>
          <t>Content ref verified through Anatomy Ref target row.</t>
        </is>
      </c>
      <c r="J51" s="20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Content</t>
        </is>
      </c>
      <c r="D52" s="5" t="inlineStr">
        <is>
          <t>asChild prop behavior</t>
        </is>
      </c>
      <c r="E52" s="19" t="inlineStr">
        <is>
          <t>yes</t>
        </is>
      </c>
      <c r="F52" s="19" t="inlineStr">
        <is>
          <t>yes</t>
        </is>
      </c>
      <c r="G52" s="19" t="inlineStr">
        <is>
          <t>passed</t>
        </is>
      </c>
      <c r="H52" s="19" t="inlineStr">
        <is>
          <t>covered</t>
        </is>
      </c>
      <c r="I52" s="20" t="inlineStr">
        <is>
          <t>Collapsible manual protocol in .manual-tests/collapsible.md.</t>
        </is>
      </c>
      <c r="J52" s="20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Content</t>
        </is>
      </c>
      <c r="D53" s="5" t="inlineStr">
        <is>
          <t>render prop behavior</t>
        </is>
      </c>
      <c r="E53" s="19" t="inlineStr">
        <is>
          <t>yes</t>
        </is>
      </c>
      <c r="F53" s="19" t="inlineStr">
        <is>
          <t>yes</t>
        </is>
      </c>
      <c r="G53" s="19" t="inlineStr">
        <is>
          <t>passed</t>
        </is>
      </c>
      <c r="H53" s="19" t="inlineStr">
        <is>
          <t>covered</t>
        </is>
      </c>
      <c r="I53" s="20" t="inlineStr">
        <is>
          <t>Collapsible manual protocol in .manual-tests/collapsible.md.</t>
        </is>
      </c>
      <c r="J53" s="20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keepMounted prop behavior</t>
        </is>
      </c>
      <c r="E54" s="19" t="inlineStr">
        <is>
          <t>yes</t>
        </is>
      </c>
      <c r="F54" s="19" t="inlineStr">
        <is>
          <t>yes</t>
        </is>
      </c>
      <c r="G54" s="19" t="inlineStr">
        <is>
          <t>passed</t>
        </is>
      </c>
      <c r="H54" s="19" t="inlineStr">
        <is>
          <t>covered</t>
        </is>
      </c>
      <c r="I54" s="20" t="inlineStr">
        <is>
          <t>Collapsible manual protocol in .manual-tests/collapsible.md.</t>
        </is>
      </c>
      <c r="J54" s="20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[data-slot] prop behavior</t>
        </is>
      </c>
      <c r="E55" s="19" t="inlineStr">
        <is>
          <t>yes</t>
        </is>
      </c>
      <c r="F55" s="19" t="inlineStr">
        <is>
          <t>yes</t>
        </is>
      </c>
      <c r="G55" s="19" t="inlineStr">
        <is>
          <t>passed</t>
        </is>
      </c>
      <c r="H55" s="19" t="inlineStr">
        <is>
          <t>covered</t>
        </is>
      </c>
      <c r="I55" s="20" t="inlineStr">
        <is>
          <t>Collapsible manual protocol in .manual-tests/collapsible.md.</t>
        </is>
      </c>
      <c r="J55" s="20" t="inlineStr">
        <is>
          <t>Manual verification passed.</t>
        </is>
      </c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[data-state] prop behavior</t>
        </is>
      </c>
      <c r="E56" s="19" t="inlineStr">
        <is>
          <t>yes</t>
        </is>
      </c>
      <c r="F56" s="19" t="inlineStr">
        <is>
          <t>yes</t>
        </is>
      </c>
      <c r="G56" s="19" t="inlineStr">
        <is>
          <t>passed</t>
        </is>
      </c>
      <c r="H56" s="19" t="inlineStr">
        <is>
          <t>covered</t>
        </is>
      </c>
      <c r="I56" s="20" t="inlineStr">
        <is>
          <t>Collapsible manual protocol in .manual-tests/collapsible.md.</t>
        </is>
      </c>
      <c r="J56" s="20" t="inlineStr">
        <is>
          <t>Manual verification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--content-height prop behavior</t>
        </is>
      </c>
      <c r="E57" s="19" t="inlineStr">
        <is>
          <t>yes</t>
        </is>
      </c>
      <c r="F57" s="19" t="inlineStr">
        <is>
          <t>yes</t>
        </is>
      </c>
      <c r="G57" s="19" t="inlineStr">
        <is>
          <t>passed</t>
        </is>
      </c>
      <c r="H57" s="19" t="inlineStr">
        <is>
          <t>covered</t>
        </is>
      </c>
      <c r="I57" s="20" t="inlineStr">
        <is>
          <t>Content --content-height verified as a dynamic measured pixel value.</t>
        </is>
      </c>
      <c r="J57" s="20" t="inlineStr">
        <is>
          <t>Manual verification passed.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aria-controls is present at the correct time</t>
        </is>
      </c>
      <c r="E58" s="19" t="inlineStr">
        <is>
          <t>yes</t>
        </is>
      </c>
      <c r="F58" s="19" t="inlineStr">
        <is>
          <t>yes</t>
        </is>
      </c>
      <c r="G58" s="19" t="inlineStr">
        <is>
          <t>passed</t>
        </is>
      </c>
      <c r="H58" s="19" t="inlineStr">
        <is>
          <t>covered</t>
        </is>
      </c>
      <c r="I58" s="20" t="inlineStr">
        <is>
          <t>aria-controls verified as a generated relationship matching Content id when Content is rendered.</t>
        </is>
      </c>
      <c r="J58" s="20" t="inlineStr">
        <is>
          <t>Manual verification passed.</t>
        </is>
      </c>
      <c r="K58" s="6">
        <f>IF(AND(E58="yes",F58="yes",H58="covered"),1,IF(H58="partial",0.5,0))</f>
        <v/>
      </c>
    </row>
    <row r="59" ht="30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aria-disabled is present at the correct time</t>
        </is>
      </c>
      <c r="E59" s="19" t="inlineStr">
        <is>
          <t>yes</t>
        </is>
      </c>
      <c r="F59" s="19" t="inlineStr">
        <is>
          <t>yes</t>
        </is>
      </c>
      <c r="G59" s="19" t="inlineStr">
        <is>
          <t>passed</t>
        </is>
      </c>
      <c r="H59" s="19" t="inlineStr">
        <is>
          <t>covered</t>
        </is>
      </c>
      <c r="I59" s="20" t="inlineStr">
        <is>
          <t>Collapsible manual protocol in .manual-tests/collapsible.md.</t>
        </is>
      </c>
      <c r="J59" s="20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aria-expanded is present at the correct time</t>
        </is>
      </c>
      <c r="E60" s="19" t="inlineStr">
        <is>
          <t>yes</t>
        </is>
      </c>
      <c r="F60" s="19" t="inlineStr">
        <is>
          <t>yes</t>
        </is>
      </c>
      <c r="G60" s="19" t="inlineStr">
        <is>
          <t>passed</t>
        </is>
      </c>
      <c r="H60" s="19" t="inlineStr">
        <is>
          <t>covered</t>
        </is>
      </c>
      <c r="I60" s="20" t="inlineStr">
        <is>
          <t>Collapsible manual protocol in .manual-tests/collapsible.md.</t>
        </is>
      </c>
      <c r="J60" s="20" t="inlineStr">
        <is>
          <t>Manual verification passed.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aria-labelledby is present at the correct time</t>
        </is>
      </c>
      <c r="E61" s="19" t="inlineStr">
        <is>
          <t>yes</t>
        </is>
      </c>
      <c r="F61" s="19" t="inlineStr">
        <is>
          <t>yes</t>
        </is>
      </c>
      <c r="G61" s="19" t="inlineStr">
        <is>
          <t>passed</t>
        </is>
      </c>
      <c r="H61" s="19" t="inlineStr">
        <is>
          <t>covered</t>
        </is>
      </c>
      <c r="I61" s="20" t="inlineStr">
        <is>
          <t>aria-labelledby verified as a generated relationship matching Trigger id.</t>
        </is>
      </c>
      <c r="J61" s="20" t="inlineStr">
        <is>
          <t>Manual verification passed.</t>
        </is>
      </c>
      <c r="K61" s="6">
        <f>IF(AND(E61="yes",F61="yes",H61="covered"),1,IF(H61="partial",0.5,0))</f>
        <v/>
      </c>
    </row>
    <row r="62" ht="30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data-disabled is present at the correct time</t>
        </is>
      </c>
      <c r="E62" s="19" t="inlineStr">
        <is>
          <t>yes</t>
        </is>
      </c>
      <c r="F62" s="19" t="inlineStr">
        <is>
          <t>yes</t>
        </is>
      </c>
      <c r="G62" s="19" t="inlineStr">
        <is>
          <t>passed</t>
        </is>
      </c>
      <c r="H62" s="19" t="inlineStr">
        <is>
          <t>covered</t>
        </is>
      </c>
      <c r="I62" s="20" t="inlineStr">
        <is>
          <t>Collapsible manual protocol in .manual-tests/collapsible.md.</t>
        </is>
      </c>
      <c r="J62" s="20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data-slot is present at the correct time</t>
        </is>
      </c>
      <c r="E63" s="19" t="inlineStr">
        <is>
          <t>yes</t>
        </is>
      </c>
      <c r="F63" s="19" t="inlineStr">
        <is>
          <t>yes</t>
        </is>
      </c>
      <c r="G63" s="19" t="inlineStr">
        <is>
          <t>passed</t>
        </is>
      </c>
      <c r="H63" s="19" t="inlineStr">
        <is>
          <t>covered</t>
        </is>
      </c>
      <c r="I63" s="20" t="inlineStr">
        <is>
          <t>Collapsible manual protocol in .manual-tests/collapsible.md.</t>
        </is>
      </c>
      <c r="J63" s="20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data-state is present at the correct time</t>
        </is>
      </c>
      <c r="E64" s="19" t="inlineStr">
        <is>
          <t>yes</t>
        </is>
      </c>
      <c r="F64" s="19" t="inlineStr">
        <is>
          <t>yes</t>
        </is>
      </c>
      <c r="G64" s="19" t="inlineStr">
        <is>
          <t>passed</t>
        </is>
      </c>
      <c r="H64" s="19" t="inlineStr">
        <is>
          <t>covered</t>
        </is>
      </c>
      <c r="I64" s="20" t="inlineStr">
        <is>
          <t>Collapsible manual protocol in .manual-tests/collapsible.md.</t>
        </is>
      </c>
      <c r="J64" s="20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60">
      <c r="A65" s="4" t="n">
        <v>57</v>
      </c>
      <c r="B65" s="5" t="inlineStr">
        <is>
          <t>Composition</t>
        </is>
      </c>
      <c r="C65" s="5" t="inlineStr">
        <is>
          <t>Collapsible</t>
        </is>
      </c>
      <c r="D65" s="5" t="inlineStr">
        <is>
          <t>asChild preserves child content without double nesting</t>
        </is>
      </c>
      <c r="E65" s="19" t="inlineStr">
        <is>
          <t>yes</t>
        </is>
      </c>
      <c r="F65" s="19" t="inlineStr">
        <is>
          <t>yes</t>
        </is>
      </c>
      <c r="G65" s="19" t="inlineStr">
        <is>
          <t>passed</t>
        </is>
      </c>
      <c r="H65" s="19" t="inlineStr">
        <is>
          <t>covered</t>
        </is>
      </c>
      <c r="I65" s="20" t="inlineStr">
        <is>
          <t>Root, Trigger, and Content asChild modes verified without extra wrappers.</t>
        </is>
      </c>
      <c r="J65" s="20" t="inlineStr">
        <is>
          <t>Manual verification passed.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Collapsible</t>
        </is>
      </c>
      <c r="D66" s="5" t="inlineStr">
        <is>
          <t>asChild merges Atom props and consumer props</t>
        </is>
      </c>
      <c r="E66" s="19" t="inlineStr">
        <is>
          <t>yes</t>
        </is>
      </c>
      <c r="F66" s="19" t="inlineStr">
        <is>
          <t>yes</t>
        </is>
      </c>
      <c r="G66" s="19" t="inlineStr">
        <is>
          <t>passed</t>
        </is>
      </c>
      <c r="H66" s="19" t="inlineStr">
        <is>
          <t>covered</t>
        </is>
      </c>
      <c r="I66" s="20" t="inlineStr">
        <is>
          <t>asChild modes verified with Atom data/ARIA behavior and consumer props merged.</t>
        </is>
      </c>
      <c r="J66" s="20" t="inlineStr">
        <is>
          <t>Manual verification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Composition</t>
        </is>
      </c>
      <c r="C67" s="5" t="inlineStr">
        <is>
          <t>Collapsible</t>
        </is>
      </c>
      <c r="D67" s="5" t="inlineStr">
        <is>
          <t>asChild lets preventDefault block Atom behavior where supported</t>
        </is>
      </c>
      <c r="E67" s="19" t="inlineStr">
        <is>
          <t>yes</t>
        </is>
      </c>
      <c r="F67" s="19" t="inlineStr">
        <is>
          <t>yes</t>
        </is>
      </c>
      <c r="G67" s="19" t="inlineStr">
        <is>
          <t>passed</t>
        </is>
      </c>
      <c r="H67" s="19" t="inlineStr">
        <is>
          <t>covered</t>
        </is>
      </c>
      <c r="I67" s="20" t="inlineStr">
        <is>
          <t>Block trigger control verifies consumer preventDefault blocks Atom trigger behavior.</t>
        </is>
      </c>
      <c r="J67" s="20" t="inlineStr">
        <is>
          <t>Manual verification passed.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Composition</t>
        </is>
      </c>
      <c r="C68" s="5" t="inlineStr">
        <is>
          <t>Collapsible</t>
        </is>
      </c>
      <c r="D68" s="5" t="inlineStr">
        <is>
          <t>render prop renders custom element</t>
        </is>
      </c>
      <c r="E68" s="19" t="inlineStr">
        <is>
          <t>yes</t>
        </is>
      </c>
      <c r="F68" s="19" t="inlineStr">
        <is>
          <t>yes</t>
        </is>
      </c>
      <c r="G68" s="19" t="inlineStr">
        <is>
          <t>passed</t>
        </is>
      </c>
      <c r="H68" s="19" t="inlineStr">
        <is>
          <t>covered</t>
        </is>
      </c>
      <c r="I68" s="20" t="inlineStr">
        <is>
          <t>Root, Trigger, and Content render modes verified with custom elements.</t>
        </is>
      </c>
      <c r="J68" s="20" t="inlineStr">
        <is>
          <t>Manual verification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Composition</t>
        </is>
      </c>
      <c r="C69" s="5" t="inlineStr">
        <is>
          <t>Collapsible</t>
        </is>
      </c>
      <c r="D69" s="5" t="inlineStr">
        <is>
          <t>render prop preserves refs and behavior props</t>
        </is>
      </c>
      <c r="E69" s="19" t="inlineStr">
        <is>
          <t>yes</t>
        </is>
      </c>
      <c r="F69" s="19" t="inlineStr">
        <is>
          <t>yes</t>
        </is>
      </c>
      <c r="G69" s="19" t="inlineStr">
        <is>
          <t>passed</t>
        </is>
      </c>
      <c r="H69" s="19" t="inlineStr">
        <is>
          <t>covered</t>
        </is>
      </c>
      <c r="I69" s="20" t="inlineStr">
        <is>
          <t>Render modes verified with behavior props and Ref target evidence.</t>
        </is>
      </c>
      <c r="J69" s="20" t="inlineStr">
        <is>
          <t>Manual verification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Root</t>
        </is>
      </c>
      <c r="D70" s="5" t="inlineStr">
        <is>
          <t>controlled state path</t>
        </is>
      </c>
      <c r="E70" s="19" t="inlineStr">
        <is>
          <t>yes</t>
        </is>
      </c>
      <c r="F70" s="19" t="inlineStr">
        <is>
          <t>yes</t>
        </is>
      </c>
      <c r="G70" s="19" t="inlineStr">
        <is>
          <t>passed</t>
        </is>
      </c>
      <c r="H70" s="19" t="inlineStr">
        <is>
          <t>covered</t>
        </is>
      </c>
      <c r="I70" s="20" t="inlineStr">
        <is>
          <t>Collapsible manual protocol in .manual-tests/collapsible.md.</t>
        </is>
      </c>
      <c r="J70" s="20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State</t>
        </is>
      </c>
      <c r="C71" s="5" t="inlineStr">
        <is>
          <t>Root</t>
        </is>
      </c>
      <c r="D71" s="5" t="inlineStr">
        <is>
          <t>uncontrolled default state path</t>
        </is>
      </c>
      <c r="E71" s="19" t="inlineStr">
        <is>
          <t>yes</t>
        </is>
      </c>
      <c r="F71" s="19" t="inlineStr">
        <is>
          <t>yes</t>
        </is>
      </c>
      <c r="G71" s="19" t="inlineStr">
        <is>
          <t>passed</t>
        </is>
      </c>
      <c r="H71" s="19" t="inlineStr">
        <is>
          <t>covered</t>
        </is>
      </c>
      <c r="I71" s="20" t="inlineStr">
        <is>
          <t>Collapsible manual protocol in .manual-tests/collapsible.md.</t>
        </is>
      </c>
      <c r="J71" s="20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state change callback fires once with correct value</t>
        </is>
      </c>
      <c r="E72" s="19" t="inlineStr">
        <is>
          <t>yes</t>
        </is>
      </c>
      <c r="F72" s="19" t="inlineStr">
        <is>
          <t>yes</t>
        </is>
      </c>
      <c r="G72" s="19" t="inlineStr">
        <is>
          <t>passed</t>
        </is>
      </c>
      <c r="H72" s="19" t="inlineStr">
        <is>
          <t>covered</t>
        </is>
      </c>
      <c r="I72" s="20" t="inlineStr">
        <is>
          <t>Collapsible manual protocol in .manual-tests/collapsible.md.</t>
        </is>
      </c>
      <c r="J72" s="20" t="inlineStr">
        <is>
          <t>Manual verification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Interaction</t>
        </is>
      </c>
      <c r="C73" s="5" t="inlineStr">
        <is>
          <t>Trigger</t>
        </is>
      </c>
      <c r="D73" s="5" t="inlineStr">
        <is>
          <t>mouse click or pointer activation</t>
        </is>
      </c>
      <c r="E73" s="19" t="inlineStr">
        <is>
          <t>yes</t>
        </is>
      </c>
      <c r="F73" s="19" t="inlineStr">
        <is>
          <t>yes</t>
        </is>
      </c>
      <c r="G73" s="19" t="inlineStr">
        <is>
          <t>passed</t>
        </is>
      </c>
      <c r="H73" s="19" t="inlineStr">
        <is>
          <t>covered</t>
        </is>
      </c>
      <c r="I73" s="20" t="inlineStr">
        <is>
          <t>Collapsible manual protocol in .manual-tests/collapsible.md.</t>
        </is>
      </c>
      <c r="J73" s="20" t="inlineStr">
        <is>
          <t>Manual verification passed.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Interaction</t>
        </is>
      </c>
      <c r="C74" s="5" t="inlineStr">
        <is>
          <t>Trigger</t>
        </is>
      </c>
      <c r="D74" s="5" t="inlineStr">
        <is>
          <t>Enter key activation</t>
        </is>
      </c>
      <c r="E74" s="19" t="inlineStr">
        <is>
          <t>yes</t>
        </is>
      </c>
      <c r="F74" s="19" t="inlineStr">
        <is>
          <t>yes</t>
        </is>
      </c>
      <c r="G74" s="19" t="inlineStr">
        <is>
          <t>passed</t>
        </is>
      </c>
      <c r="H74" s="19" t="inlineStr">
        <is>
          <t>covered</t>
        </is>
      </c>
      <c r="I74" s="20" t="inlineStr">
        <is>
          <t>Collapsible manual protocol in .manual-tests/collapsible.md.</t>
        </is>
      </c>
      <c r="J74" s="20" t="inlineStr">
        <is>
          <t>Manual verification passed.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Interaction</t>
        </is>
      </c>
      <c r="C75" s="5" t="inlineStr">
        <is>
          <t>Trigger</t>
        </is>
      </c>
      <c r="D75" s="5" t="inlineStr">
        <is>
          <t>Space key activation</t>
        </is>
      </c>
      <c r="E75" s="19" t="inlineStr">
        <is>
          <t>yes</t>
        </is>
      </c>
      <c r="F75" s="19" t="inlineStr">
        <is>
          <t>yes</t>
        </is>
      </c>
      <c r="G75" s="19" t="inlineStr">
        <is>
          <t>passed</t>
        </is>
      </c>
      <c r="H75" s="19" t="inlineStr">
        <is>
          <t>covered</t>
        </is>
      </c>
      <c r="I75" s="20" t="inlineStr">
        <is>
          <t>Collapsible manual protocol in .manual-tests/collapsible.md.</t>
        </is>
      </c>
      <c r="J75" s="20" t="inlineStr">
        <is>
          <t>Manual verification passed.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Interaction</t>
        </is>
      </c>
      <c r="C76" s="5" t="inlineStr">
        <is>
          <t>Trigger</t>
        </is>
      </c>
      <c r="D76" s="5" t="inlineStr">
        <is>
          <t>disabled trigger blocks pointer and keyboard</t>
        </is>
      </c>
      <c r="E76" s="19" t="inlineStr">
        <is>
          <t>yes</t>
        </is>
      </c>
      <c r="F76" s="19" t="inlineStr">
        <is>
          <t>yes</t>
        </is>
      </c>
      <c r="G76" s="19" t="inlineStr">
        <is>
          <t>passed</t>
        </is>
      </c>
      <c r="H76" s="19" t="inlineStr">
        <is>
          <t>covered</t>
        </is>
      </c>
      <c r="I76" s="20" t="inlineStr">
        <is>
          <t>Disabled trigger verified to block pointer and keyboard activation.</t>
        </is>
      </c>
      <c r="J76" s="20" t="inlineStr">
        <is>
          <t>Manual verification passed.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Focus</t>
        </is>
      </c>
      <c r="C77" s="5" t="inlineStr">
        <is>
          <t>Trigger</t>
        </is>
      </c>
      <c r="D77" s="5" t="inlineStr">
        <is>
          <t>focus ring and focus restoration are correct</t>
        </is>
      </c>
      <c r="E77" s="19" t="inlineStr">
        <is>
          <t>yes</t>
        </is>
      </c>
      <c r="F77" s="19" t="inlineStr">
        <is>
          <t>yes</t>
        </is>
      </c>
      <c r="G77" s="19" t="inlineStr">
        <is>
          <t>passed</t>
        </is>
      </c>
      <c r="H77" s="19" t="inlineStr">
        <is>
          <t>covered</t>
        </is>
      </c>
      <c r="I77" s="20" t="inlineStr">
        <is>
          <t>Collapsible manual protocol in .manual-tests/collapsible.md.</t>
        </is>
      </c>
      <c r="J77" s="20" t="inlineStr">
        <is>
          <t>Manual verification passed.</t>
        </is>
      </c>
      <c r="K77" s="6">
        <f>IF(AND(E77="yes",F77="yes",H77="covered"),1,IF(H77="partial",0.5,0))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Collection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IFERROR(SUM(K9:K31)/COUNTA(A9:A31),0)</f>
        <v/>
      </c>
      <c r="C4" s="1" t="inlineStr">
        <is>
          <t>Covered</t>
        </is>
      </c>
      <c r="D4" s="2">
        <f>COUNTIF(H9:H31,"covered")</f>
        <v/>
      </c>
      <c r="E4" s="1" t="inlineStr">
        <is>
          <t>Partial</t>
        </is>
      </c>
      <c r="F4" s="2">
        <f>COUNTIF(H9:H31,"partial")</f>
        <v/>
      </c>
      <c r="G4" s="1" t="inlineStr">
        <is>
          <t>Missing</t>
        </is>
      </c>
      <c r="H4" s="2">
        <f>COUNTIF(H9:H31,"missing")</f>
        <v/>
      </c>
      <c r="I4" s="1" t="inlineStr">
        <is>
          <t>Untested</t>
        </is>
      </c>
      <c r="J4" s="2">
        <f>COUNTIF(F9:F31,"no")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60">
      <c r="A9" s="19" t="n">
        <v>1</v>
      </c>
      <c r="B9" s="20" t="inlineStr">
        <is>
          <t>Playground</t>
        </is>
      </c>
      <c r="C9" s="20" t="inlineStr">
        <is>
          <t>Collection</t>
        </is>
      </c>
      <c r="D9" s="20" t="inlineStr">
        <is>
          <t>scenario is reachable from top menu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Collection manual batch 1: initial values, disabled skip, next/previous focus movement, footer, Anatomy, and Log verified.</t>
        </is>
      </c>
      <c r="J9" s="20" t="n"/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Collection</t>
        </is>
      </c>
      <c r="D10" s="20" t="inlineStr">
        <is>
          <t>canvas source reflects current toggles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Collection playground manual verification.</t>
        </is>
      </c>
      <c r="J10" s="20" t="n"/>
      <c r="K10" s="21">
        <f>IF(H10="covered",1,IF(H10="partial",0.5,0))</f>
        <v/>
      </c>
    </row>
    <row r="11" ht="45" customHeight="1" s="60">
      <c r="A11" s="19" t="n">
        <v>3</v>
      </c>
      <c r="B11" s="20" t="inlineStr">
        <is>
          <t>Playground</t>
        </is>
      </c>
      <c r="C11" s="20" t="inlineStr">
        <is>
          <t>Collection</t>
        </is>
      </c>
      <c r="D11" s="20" t="inlineStr">
        <is>
          <t>anatomy uses live DOM attributes, ARIA, and data groups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Collection manual batch 1: initial values, disabled skip, next/previous focus movement, footer, Anatomy, and Log verified.</t>
        </is>
      </c>
      <c r="J11" s="20" t="n"/>
      <c r="K11" s="21">
        <f>IF(H11="covered",1,IF(H11="partial",0.5,0))</f>
        <v/>
      </c>
    </row>
    <row r="12" ht="45" customHeight="1" s="60">
      <c r="A12" s="19" t="n">
        <v>4</v>
      </c>
      <c r="B12" s="20" t="inlineStr">
        <is>
          <t>Playground</t>
        </is>
      </c>
      <c r="C12" s="20" t="inlineStr">
        <is>
          <t>Collection</t>
        </is>
      </c>
      <c r="D12" s="20" t="inlineStr">
        <is>
          <t>inspector selected/focused/logs work for this scenario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Collection manual batch 1: initial values, disabled skip, next/previous focus movement, footer, Anatomy, and Log verified.</t>
        </is>
      </c>
      <c r="J12" s="20" t="n"/>
      <c r="K12" s="21">
        <f>IF(H12="covered",1,IF(H12="partial",0.5,0))</f>
        <v/>
      </c>
    </row>
    <row r="13" ht="45" customHeight="1" s="60">
      <c r="A13" s="19" t="n">
        <v>5</v>
      </c>
      <c r="B13" s="20" t="inlineStr">
        <is>
          <t>Feature</t>
        </is>
      </c>
      <c r="C13" s="20" t="inlineStr">
        <is>
          <t>Collection</t>
        </is>
      </c>
      <c r="D13" s="20" t="inlineStr">
        <is>
          <t>Registers items by stable value and DOM element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Collection manual batch 1: initial values, disabled skip, next/previous focus movement, footer, Anatomy, and Log verified.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Feature</t>
        </is>
      </c>
      <c r="C14" s="20" t="inlineStr">
        <is>
          <t>Collection</t>
        </is>
      </c>
      <c r="D14" s="20" t="inlineStr">
        <is>
          <t>Sorts items by live document order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Collection playground manual verification.</t>
        </is>
      </c>
      <c r="J14" s="20" t="n"/>
      <c r="K14" s="21">
        <f>IF(H14="covered",1,IF(H14="partial",0.5,0))</f>
        <v/>
      </c>
    </row>
    <row r="15" ht="45" customHeight="1" s="60">
      <c r="A15" s="19" t="n">
        <v>7</v>
      </c>
      <c r="B15" s="20" t="inlineStr">
        <is>
          <t>Feature</t>
        </is>
      </c>
      <c r="C15" s="20" t="inlineStr">
        <is>
          <t>Collection</t>
        </is>
      </c>
      <c r="D15" s="20" t="inlineStr">
        <is>
          <t>Tracks disabled state and custom item metadata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Collection manual batch 1: initial values, disabled skip, next/previous focus movement, footer, Anatomy, and Log verified.</t>
        </is>
      </c>
      <c r="J15" s="20" t="n"/>
      <c r="K15" s="21">
        <f>IF(H15="covered",1,IF(H15="partial",0.5,0))</f>
        <v/>
      </c>
    </row>
    <row r="16" ht="45" customHeight="1" s="60">
      <c r="A16" s="19" t="n">
        <v>8</v>
      </c>
      <c r="B16" s="20" t="inlineStr">
        <is>
          <t>Feature</t>
        </is>
      </c>
      <c r="C16" s="20" t="inlineStr">
        <is>
          <t>Collection</t>
        </is>
      </c>
      <c r="D16" s="20" t="inlineStr">
        <is>
          <t>Provides first, last, next, previous, enabled, and raw item lookup helpers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Collection manual batch 1: initial values, disabled skip, next/previous focus movement, footer, Anatomy, and Log verified.</t>
        </is>
      </c>
      <c r="J16" s="20" t="n"/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Collection</t>
        </is>
      </c>
      <c r="D17" s="20" t="inlineStr">
        <is>
          <t>Warns in development when duplicate values are registered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Collection playground manual verification.</t>
        </is>
      </c>
      <c r="J17" s="20" t="n"/>
      <c r="K17" s="21">
        <f>IF(H17="covered",1,IF(H17="partial",0.5,0))</f>
        <v/>
      </c>
    </row>
    <row r="18" ht="30" customHeight="1" s="60">
      <c r="A18" s="19" t="n">
        <v>10</v>
      </c>
      <c r="B18" s="20" t="inlineStr">
        <is>
          <t>Feature</t>
        </is>
      </c>
      <c r="C18" s="20" t="inlineStr">
        <is>
          <t>Collection</t>
        </is>
      </c>
      <c r="D18" s="20" t="inlineStr">
        <is>
          <t>Keeps roles, keyboard behavior, and rendered structure in the component that uses the collection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Collection playground manual verification.</t>
        </is>
      </c>
      <c r="J18" s="20" t="n"/>
      <c r="K18" s="21">
        <f>IF(H18="covered",1,IF(H18="partial",0.5,0))</f>
        <v/>
      </c>
    </row>
    <row r="19" ht="45" customHeight="1" s="60">
      <c r="A19" s="19" t="n">
        <v>11</v>
      </c>
      <c r="B19" s="20" t="inlineStr">
        <is>
          <t>Anatomy</t>
        </is>
      </c>
      <c r="C19" s="20" t="inlineStr">
        <is>
          <t>Hook API</t>
        </is>
      </c>
      <c r="D19" s="20" t="inlineStr">
        <is>
          <t>hook API state appears in Anatomy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Collection manual batch 1: initial values, disabled skip, next/previous focus movement, footer, Anatomy, and Log verified.</t>
        </is>
      </c>
      <c r="J19" s="20" t="n"/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Hook API</t>
        </is>
      </c>
      <c r="D20" s="20" t="inlineStr">
        <is>
          <t>hook API appears before consumer DOM evidence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Collection playground manual verification.</t>
        </is>
      </c>
      <c r="J20" s="20" t="n"/>
      <c r="K20" s="21">
        <f>IF(H20="covered",1,IF(H20="partial",0.5,0))</f>
        <v/>
      </c>
    </row>
    <row r="21" ht="45" customHeight="1" s="60">
      <c r="A21" s="19" t="n">
        <v>13</v>
      </c>
      <c r="B21" s="20" t="inlineStr">
        <is>
          <t>Identity</t>
        </is>
      </c>
      <c r="C21" s="20" t="inlineStr">
        <is>
          <t>Consumer DOM</t>
        </is>
      </c>
      <c r="D21" s="20" t="inlineStr">
        <is>
          <t>demo item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Collection manual batch 1: initial values, disabled skip, next/previous focus movement, footer, Anatomy, and Log verified.</t>
        </is>
      </c>
      <c r="J21" s="20" t="n"/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Hook API</t>
        </is>
      </c>
      <c r="D22" s="20" t="inlineStr">
        <is>
          <t>Collection emits no data-slot because it renders no DOM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Collection playground manual verification.</t>
        </is>
      </c>
      <c r="J22" s="20" t="n"/>
      <c r="K22" s="21">
        <f>IF(H22="covered",1,IF(H22="partial",0.5,0))</f>
        <v/>
      </c>
    </row>
    <row r="23" ht="45" customHeight="1" s="60">
      <c r="A23" s="19" t="n">
        <v>15</v>
      </c>
      <c r="B23" s="20" t="inlineStr">
        <is>
          <t>Props</t>
        </is>
      </c>
      <c r="C23" s="20" t="inlineStr">
        <is>
          <t>Consumer DOM</t>
        </is>
      </c>
      <c r="D23" s="20" t="inlineStr">
        <is>
          <t>non-Atom marker data-prop-check appears on demo item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Collection manual batch 1: initial values, disabled skip, next/previous focus movement, footer, Anatomy, and Log verified.</t>
        </is>
      </c>
      <c r="J23" s="20" t="n"/>
      <c r="K23" s="21">
        <f>IF(H23="covered",1,IF(H23="partial",0.5,0))</f>
        <v/>
      </c>
    </row>
    <row r="24" ht="45" customHeight="1" s="60">
      <c r="A24" s="19" t="n">
        <v>16</v>
      </c>
      <c r="B24" s="20" t="inlineStr">
        <is>
          <t>Anatomy</t>
        </is>
      </c>
      <c r="C24" s="20" t="inlineStr">
        <is>
          <t>Consumer DOM</t>
        </is>
      </c>
      <c r="D24" s="20" t="inlineStr">
        <is>
          <t>registered items render in DOM evidence group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Collection manual batch 1: initial values, disabled skip, next/previous focus movement, footer, Anatomy, and Log verified.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Anatomy</t>
        </is>
      </c>
      <c r="C25" s="20" t="inlineStr">
        <is>
          <t>Consumer DOM</t>
        </is>
      </c>
      <c r="D25" s="20" t="inlineStr">
        <is>
          <t>item groups follow live DOM order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Collection playground manual verification.</t>
        </is>
      </c>
      <c r="J25" s="20" t="n"/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Identity</t>
        </is>
      </c>
      <c r="C26" s="20" t="inlineStr">
        <is>
          <t>Consumer DOM</t>
        </is>
      </c>
      <c r="D26" s="20" t="inlineStr">
        <is>
          <t>item values are visible in Anatomy/Inspector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Collection playground manual verification.</t>
        </is>
      </c>
      <c r="J26" s="20" t="n"/>
      <c r="K26" s="21">
        <f>IF(H26="covered",1,IF(H26="partial",0.5,0))</f>
        <v/>
      </c>
    </row>
    <row r="27" ht="30" customHeight="1" s="60">
      <c r="A27" s="19" t="n">
        <v>19</v>
      </c>
      <c r="B27" s="20" t="inlineStr">
        <is>
          <t>Identity</t>
        </is>
      </c>
      <c r="C27" s="20" t="inlineStr">
        <is>
          <t>Hook API</t>
        </is>
      </c>
      <c r="D27" s="20" t="inlineStr">
        <is>
          <t>Collection emits no Atom data attributes because it renders no DOM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Collection playground manual verification.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Props</t>
        </is>
      </c>
      <c r="C28" s="20" t="inlineStr">
        <is>
          <t>Consumer DOM</t>
        </is>
      </c>
      <c r="D28" s="20" t="inlineStr">
        <is>
          <t>metadata and disabled state are visible in lookup/items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Collection playground manual verification.</t>
        </is>
      </c>
      <c r="J28" s="20" t="n"/>
      <c r="K28" s="21">
        <f>IF(H28="covered",1,IF(H28="partial",0.5,0))</f>
        <v/>
      </c>
    </row>
    <row r="29" ht="45" customHeight="1" s="60">
      <c r="A29" s="19" t="n">
        <v>21</v>
      </c>
      <c r="B29" s="20" t="inlineStr">
        <is>
          <t>Utility</t>
        </is>
      </c>
      <c r="C29" s="20" t="inlineStr">
        <is>
          <t>Collection</t>
        </is>
      </c>
      <c r="D29" s="20" t="inlineStr">
        <is>
          <t>registers enabled and disabled items in DOM order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Collection manual batch 1: initial values, disabled skip, next/previous focus movement, footer, Anatomy, and Log verified.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Utility</t>
        </is>
      </c>
      <c r="C30" s="20" t="inlineStr">
        <is>
          <t>Collection</t>
        </is>
      </c>
      <c r="D30" s="20" t="inlineStr">
        <is>
          <t>sorts disconnected items after connected items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Collection playground manual verification.</t>
        </is>
      </c>
      <c r="J30" s="20" t="n"/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Utility</t>
        </is>
      </c>
      <c r="C31" s="20" t="inlineStr">
        <is>
          <t>Collection</t>
        </is>
      </c>
      <c r="D31" s="20" t="inlineStr">
        <is>
          <t>next/previous navigation respects loop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Collection playground manual verification.</t>
        </is>
      </c>
      <c r="J31" s="20" t="n"/>
      <c r="K31" s="21">
        <f>IF(H31="covered",1,IF(H31="partial",0.5,0))</f>
        <v/>
      </c>
    </row>
    <row r="32">
      <c r="A32" s="4" t="n"/>
      <c r="B32" s="5" t="n"/>
      <c r="C32" s="5" t="n"/>
      <c r="D32" s="5" t="n"/>
      <c r="E32" s="7" t="n"/>
      <c r="F32" s="7" t="n"/>
      <c r="G32" s="4" t="n"/>
      <c r="H32" s="11" t="n"/>
      <c r="I32" s="5" t="n"/>
      <c r="J32" s="5" t="n"/>
      <c r="K32" s="6" t="n"/>
    </row>
    <row r="33">
      <c r="A33" s="4" t="n"/>
      <c r="B33" s="5" t="n"/>
      <c r="C33" s="5" t="n"/>
      <c r="D33" s="5" t="n"/>
      <c r="E33" s="7" t="n"/>
      <c r="F33" s="7" t="n"/>
      <c r="G33" s="4" t="n"/>
      <c r="H33" s="11" t="n"/>
      <c r="I33" s="5" t="n"/>
      <c r="J33" s="5" t="n"/>
      <c r="K33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18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Combobox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IFERROR(SUM(K9:K186)/COUNTA(A9:A186),0)</f>
        <v/>
      </c>
      <c r="C4" s="1" t="inlineStr">
        <is>
          <t>Covered</t>
        </is>
      </c>
      <c r="D4" s="2">
        <f>COUNTIF(H9:H186,"covered")</f>
        <v/>
      </c>
      <c r="E4" s="1" t="inlineStr">
        <is>
          <t>Partial</t>
        </is>
      </c>
      <c r="F4" s="2">
        <f>COUNTIF(H9:H186,"partial")</f>
        <v/>
      </c>
      <c r="G4" s="1" t="inlineStr">
        <is>
          <t>Missing</t>
        </is>
      </c>
      <c r="H4" s="2">
        <f>COUNTIF(H9:H186,"missing")</f>
        <v/>
      </c>
      <c r="I4" s="1" t="inlineStr">
        <is>
          <t>Untested</t>
        </is>
      </c>
      <c r="J4" s="2">
        <f>COUNTIF(F9:F186,"no")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Combobox playground scenario.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Combobox playground scenario.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Combobox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Combobox playground scenario.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Combobox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Combobox playground scenario.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Combobox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Combobox playground scenario.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Combobox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Combobox playground scenario.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Combobox</t>
        </is>
      </c>
      <c r="D15" s="5" t="inlineStr">
        <is>
          <t>Controlled and uncontrolled selected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Combobox playground scenario.</t>
        </is>
      </c>
      <c r="J15" s="5" t="n"/>
      <c r="K15" s="6">
        <f>IF(AND(E15="yes",F15="yes",H15="covered"),1,IF(AND(E15="yes",H15="partial"),0.5,0))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Combobox</t>
        </is>
      </c>
      <c r="D16" s="5" t="inlineStr">
        <is>
          <t>Controlled and uncontrolled input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Combobox playground scenario.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Combobox</t>
        </is>
      </c>
      <c r="D17" s="5" t="inlineStr">
        <is>
          <t>Controlled and uncontrolled open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Combobox playground scenario.</t>
        </is>
      </c>
      <c r="J17" s="5" t="n"/>
      <c r="K17" s="6">
        <f>IF(AND(E17="yes",F17="yes",H17="covered"),1,IF(AND(E17="yes",H17="partial"),0.5,0))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Combobox</t>
        </is>
      </c>
      <c r="D18" s="5" t="inlineStr">
        <is>
          <t>Keyboard navigation with `aria-activedescendant`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Combobox playground scenario.</t>
        </is>
      </c>
      <c r="J18" s="5" t="n"/>
      <c r="K18" s="6">
        <f>IF(AND(E18="yes",F18="yes",H18="covered"),1,IF(AND(E18="yes",H18="partial"),0.5,0))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Combobox</t>
        </is>
      </c>
      <c r="D19" s="5" t="inlineStr">
        <is>
          <t>Escape closes first, then clears when closed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Combobox playground scenario.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Combobox</t>
        </is>
      </c>
      <c r="D20" s="5" t="inlineStr">
        <is>
          <t>Stack-aware Escape dismissal when nested inside parent overlays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Combobox playground scenario.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Combobox</t>
        </is>
      </c>
      <c r="D21" s="5" t="inlineStr">
        <is>
          <t>Option groups, labels, empty/loading states, portal, and clear control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Combobox playground scenario.</t>
        </is>
      </c>
      <c r="J21" s="5" t="n"/>
      <c r="K21" s="6">
        <f>IF(AND(E21="yes",F21="yes",H21="covered"),1,IF(AND(E21="yes",H21="partial"),0.5,0))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Combobox</t>
        </is>
      </c>
      <c r="D22" s="5" t="inlineStr">
        <is>
          <t>Hidden input for native form submission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Combobox playground scenario.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Combobox playground scenario.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Combobox playground scenario.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visible in Anatomy/Inspector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Combobox playground scenario.</t>
        </is>
      </c>
      <c r="J25" s="5" t="n"/>
      <c r="K25" s="6">
        <f>IF(AND(E25="yes",F25="yes",H25="covered"),1,IF(AND(E25="yes",H25="partial"),0.5,0))</f>
        <v/>
      </c>
    </row>
    <row r="26" ht="1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is present and correct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Combobox playground scenario.</t>
        </is>
      </c>
      <c r="J26" s="5" t="n"/>
      <c r="K26" s="6">
        <f>IF(AND(E26="yes",F26="yes",H26="covered"),1,IF(AND(E26="yes",H26="partial"),0.5,0))</f>
        <v/>
      </c>
    </row>
    <row r="27" ht="15" customHeight="1" s="60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non-Atom native props pass through with data-prop-check marker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Combobox playground scenario.</t>
        </is>
      </c>
      <c r="J27" s="5" t="n"/>
      <c r="K27" s="6">
        <f>IF(AND(E27="yes",F27="yes",H27="covered"),1,IF(AND(E27="yes",H27="partial"),0.5,0))</f>
        <v/>
      </c>
    </row>
    <row r="28" ht="15" customHeight="1" s="60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consumer ref receives the rendered element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Combobox playground scenario.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options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Combobox playground scenario.</t>
        </is>
      </c>
      <c r="J29" s="5" t="n"/>
      <c r="K29" s="6">
        <f>IF(AND(E29="yes",F29="yes",H29="covered"),1,IF(AND(E29="yes",H29="partial"),0.5,0))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Combobox playground scenario.</t>
        </is>
      </c>
      <c r="J30" s="5" t="n"/>
      <c r="K30" s="6">
        <f>IF(AND(E30="yes",F30="yes",H30="covered"),1,IF(AND(E30="yes",H30="partial"),0.5,0))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defaultValue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Combobox playground scenario.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onValueChange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Combobox playground scenario.</t>
        </is>
      </c>
      <c r="J32" s="5" t="n"/>
      <c r="K32" s="6">
        <f>IF(AND(E32="yes",F32="yes",H32="covered"),1,IF(AND(E32="yes",H32="partial"),0.5,0))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inputValue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Combobox playground scenario.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defaultInputValue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Combobox playground scenario.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onInputValueChange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Combobox playground scenario.</t>
        </is>
      </c>
      <c r="J35" s="5" t="n"/>
      <c r="K35" s="6">
        <f>IF(AND(E35="yes",F35="yes",H35="covered"),1,IF(AND(E35="yes",H35="partial"),0.5,0))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open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Combobox playground scenario.</t>
        </is>
      </c>
      <c r="J36" s="5" t="n"/>
      <c r="K36" s="6">
        <f>IF(AND(E36="yes",F36="yes",H36="covered"),1,IF(AND(E36="yes",H36="partial"),0.5,0))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defaultOpen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Combobox playground scenario.</t>
        </is>
      </c>
      <c r="J37" s="5" t="n"/>
      <c r="K37" s="6">
        <f>IF(AND(E37="yes",F37="yes",H37="covered"),1,IF(AND(E37="yes",H37="partial"),0.5,0))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onOpenChange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Combobox playground scenario.</t>
        </is>
      </c>
      <c r="J38" s="5" t="n"/>
      <c r="K38" s="6">
        <f>IF(AND(E38="yes",F38="yes",H38="covered"),1,IF(AND(E38="yes",H38="partial"),0.5,0))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openOnFocus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Combobox playground scenario.</t>
        </is>
      </c>
      <c r="J39" s="5" t="n"/>
      <c r="K39" s="6">
        <f>IF(AND(E39="yes",F39="yes",H39="covered"),1,IF(AND(E39="yes",H39="partial"),0.5,0))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clearOnSelect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Combobox playground scenario.</t>
        </is>
      </c>
      <c r="J40" s="5" t="n"/>
      <c r="K40" s="6">
        <f>IF(AND(E40="yes",F40="yes",H40="covered"),1,IF(AND(E40="yes",H40="partial"),0.5,0))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disabled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Combobox playground scenario.</t>
        </is>
      </c>
      <c r="J41" s="5" t="n"/>
      <c r="K41" s="6">
        <f>IF(AND(E41="yes",F41="yes",H41="covered"),1,IF(AND(E41="yes",H41="partial"),0.5,0))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readOnly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Combobox playground scenario.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required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Combobox playground scenario.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invalid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Combobox playground scenario.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name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Combobox playground scenario.</t>
        </is>
      </c>
      <c r="J45" s="5" t="n"/>
      <c r="K45" s="6">
        <f>IF(AND(E45="yes",F45="yes",H45="covered"),1,IF(AND(E45="yes",H45="partial"),0.5,0))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form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Combobox playground scenario.</t>
        </is>
      </c>
      <c r="J46" s="5" t="n"/>
      <c r="K46" s="6">
        <f>IF(AND(E46="yes",F46="yes",H46="covered"),1,IF(AND(E46="yes",H46="partial"),0.5,0))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Portal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Combobox playground scenario.</t>
        </is>
      </c>
      <c r="J47" s="5" t="n"/>
      <c r="K47" s="6">
        <f>IF(AND(E47="yes",F47="yes",H47="covered"),1,IF(AND(E47="yes",H47="partial"),0.5,0))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Portal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Combobox playground scenario.</t>
        </is>
      </c>
      <c r="J48" s="5" t="n"/>
      <c r="K48" s="6">
        <f>IF(AND(E48="yes",F48="yes",H48="covered"),1,IF(AND(E48="yes",H48="partial"),0.5,0))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Portal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Combobox playground scenario.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Portal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Combobox playground scenario.</t>
        </is>
      </c>
      <c r="J50" s="5" t="n"/>
      <c r="K50" s="6">
        <f>IF(AND(E50="yes",F50="yes",H50="covered"),1,IF(AND(E50="yes",H50="partial"),0.5,0))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Portal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Combobox playground scenario.</t>
        </is>
      </c>
      <c r="J51" s="5" t="n"/>
      <c r="K51" s="6">
        <f>IF(AND(E51="yes",F51="yes",H51="covered"),1,IF(AND(E51="yes",H51="partial"),0.5,0))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Portal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Combobox playground scenario.</t>
        </is>
      </c>
      <c r="J52" s="5" t="n"/>
      <c r="K52" s="6">
        <f>IF(AND(E52="yes",F52="yes",H52="covered"),1,IF(AND(E52="yes",H52="partial"),0.5,0))</f>
        <v/>
      </c>
    </row>
    <row r="53" ht="15" customHeight="1" s="60">
      <c r="A53" s="4" t="n">
        <v>45</v>
      </c>
      <c r="B53" s="5" t="inlineStr">
        <is>
          <t>Positioning</t>
        </is>
      </c>
      <c r="C53" s="5" t="inlineStr">
        <is>
          <t>Portal</t>
        </is>
      </c>
      <c r="D53" s="5" t="inlineStr">
        <is>
          <t>container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Combobox playground scenario.</t>
        </is>
      </c>
      <c r="J53" s="5" t="n"/>
      <c r="K53" s="6">
        <f>IF(AND(E53="yes",F53="yes",H53="covered"),1,IF(AND(E53="yes",H53="partial"),0.5,0))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Portal</t>
        </is>
      </c>
      <c r="D54" s="5" t="inlineStr">
        <is>
          <t>disabled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Combobox playground scenario.</t>
        </is>
      </c>
      <c r="J54" s="5" t="n"/>
      <c r="K54" s="6">
        <f>IF(AND(E54="yes",F54="yes",H54="covered"),1,IF(AND(E54="yes",H54="partial"),0.5,0))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Content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Combobox playground scenario.</t>
        </is>
      </c>
      <c r="J55" s="5" t="n"/>
      <c r="K55" s="6">
        <f>IF(AND(E55="yes",F55="yes",H55="covered"),1,IF(AND(E55="yes",H55="partial"),0.5,0))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Content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Combobox playground scenario.</t>
        </is>
      </c>
      <c r="J56" s="5" t="n"/>
      <c r="K56" s="6">
        <f>IF(AND(E56="yes",F56="yes",H56="covered"),1,IF(AND(E56="yes",H56="partial"),0.5,0))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Content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Combobox playground scenario.</t>
        </is>
      </c>
      <c r="J57" s="5" t="n"/>
      <c r="K57" s="6">
        <f>IF(AND(E57="yes",F57="yes",H57="covered"),1,IF(AND(E57="yes",H57="partial"),0.5,0))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Content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Combobox playground scenario.</t>
        </is>
      </c>
      <c r="J58" s="5" t="n"/>
      <c r="K58" s="6">
        <f>IF(AND(E58="yes",F58="yes",H58="covered"),1,IF(AND(E58="yes",H58="partial"),0.5,0))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Content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Combobox playground scenario.</t>
        </is>
      </c>
      <c r="J59" s="5" t="n"/>
      <c r="K59" s="6">
        <f>IF(AND(E59="yes",F59="yes",H59="covered"),1,IF(AND(E59="yes",H59="partial"),0.5,0))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Content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Combobox playground scenario.</t>
        </is>
      </c>
      <c r="J60" s="5" t="n"/>
      <c r="K60" s="6">
        <f>IF(AND(E60="yes",F60="yes",H60="covered"),1,IF(AND(E60="yes",H60="partial"),0.5,0))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Content</t>
        </is>
      </c>
      <c r="D61" s="5" t="inlineStr">
        <is>
          <t>[data-slot]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Combobox playground scenario.</t>
        </is>
      </c>
      <c r="J61" s="5" t="n"/>
      <c r="K61" s="6">
        <f>IF(AND(E61="yes",F61="yes",H61="covered"),1,IF(AND(E61="yes",H61="partial"),0.5,0))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Content</t>
        </is>
      </c>
      <c r="D62" s="5" t="inlineStr">
        <is>
          <t>[data-state]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Combobox playground scenario.</t>
        </is>
      </c>
      <c r="J62" s="5" t="n"/>
      <c r="K62" s="6">
        <f>IF(AND(E62="yes",F62="yes",H62="covered"),1,IF(AND(E62="yes",H62="partial"),0.5,0))</f>
        <v/>
      </c>
    </row>
    <row r="63" ht="15" customHeight="1" s="60">
      <c r="A63" s="4" t="n">
        <v>55</v>
      </c>
      <c r="B63" s="5" t="inlineStr">
        <is>
          <t>Anatomy</t>
        </is>
      </c>
      <c r="C63" s="5" t="inlineStr">
        <is>
          <t>Listbox</t>
        </is>
      </c>
      <c r="D63" s="5" t="inlineStr">
        <is>
          <t>renders correct part when expected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Combobox playground scenario.</t>
        </is>
      </c>
      <c r="J63" s="5" t="n"/>
      <c r="K63" s="6">
        <f>IF(AND(E63="yes",F63="yes",H63="covered"),1,IF(AND(E63="yes",H63="partial"),0.5,0))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Listbox</t>
        </is>
      </c>
      <c r="D64" s="5" t="inlineStr">
        <is>
          <t>appears in documented order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Combobox playground scenario.</t>
        </is>
      </c>
      <c r="J64" s="5" t="n"/>
      <c r="K64" s="6">
        <f>IF(AND(E64="yes",F64="yes",H64="covered"),1,IF(AND(E64="yes",H64="partial"),0.5,0))</f>
        <v/>
      </c>
    </row>
    <row r="65" ht="30" customHeight="1" s="60">
      <c r="A65" s="4" t="n">
        <v>57</v>
      </c>
      <c r="B65" s="5" t="inlineStr">
        <is>
          <t>Identity</t>
        </is>
      </c>
      <c r="C65" s="5" t="inlineStr">
        <is>
          <t>Listbox</t>
        </is>
      </c>
      <c r="D65" s="5" t="inlineStr">
        <is>
          <t>default tag is visible in Anatomy/Inspector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Combobox playground scenario.</t>
        </is>
      </c>
      <c r="J65" s="5" t="n"/>
      <c r="K65" s="6">
        <f>IF(AND(E65="yes",F65="yes",H65="covered"),1,IF(AND(E65="yes",H65="partial"),0.5,0))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Listbox</t>
        </is>
      </c>
      <c r="D66" s="5" t="inlineStr">
        <is>
          <t>data-slot is present and correct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Combobox playground scenario.</t>
        </is>
      </c>
      <c r="J66" s="5" t="n"/>
      <c r="K66" s="6">
        <f>IF(AND(E66="yes",F66="yes",H66="covered"),1,IF(AND(E66="yes",H66="partial"),0.5,0))</f>
        <v/>
      </c>
    </row>
    <row r="67" ht="15" customHeight="1" s="60">
      <c r="A67" s="4" t="n">
        <v>59</v>
      </c>
      <c r="B67" s="5" t="inlineStr">
        <is>
          <t>Props</t>
        </is>
      </c>
      <c r="C67" s="5" t="inlineStr">
        <is>
          <t>Listbox</t>
        </is>
      </c>
      <c r="D67" s="5" t="inlineStr">
        <is>
          <t>non-Atom native props pass through with data-prop-check marker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Combobox playground scenario.</t>
        </is>
      </c>
      <c r="J67" s="5" t="n"/>
      <c r="K67" s="6">
        <f>IF(AND(E67="yes",F67="yes",H67="covered"),1,IF(AND(E67="yes",H67="partial"),0.5,0))</f>
        <v/>
      </c>
    </row>
    <row r="68" ht="15" customHeight="1" s="60">
      <c r="A68" s="4" t="n">
        <v>60</v>
      </c>
      <c r="B68" s="5" t="inlineStr">
        <is>
          <t>Refs</t>
        </is>
      </c>
      <c r="C68" s="5" t="inlineStr">
        <is>
          <t>Listbox</t>
        </is>
      </c>
      <c r="D68" s="5" t="inlineStr">
        <is>
          <t>consumer ref receives the rendered element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Combobox playground scenario.</t>
        </is>
      </c>
      <c r="J68" s="5" t="n"/>
      <c r="K68" s="6">
        <f>IF(AND(E68="yes",F68="yes",H68="covered"),1,IF(AND(E68="yes",H68="partial"),0.5,0))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Listbox</t>
        </is>
      </c>
      <c r="D69" s="5" t="inlineStr">
        <is>
          <t>[data-slot]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Combobox playground scenario.</t>
        </is>
      </c>
      <c r="J69" s="5" t="n"/>
      <c r="K69" s="6">
        <f>IF(AND(E69="yes",F69="yes",H69="covered"),1,IF(AND(E69="yes",H69="partial"),0.5,0))</f>
        <v/>
      </c>
    </row>
    <row r="70" ht="15" customHeight="1" s="60">
      <c r="A70" s="4" t="n">
        <v>62</v>
      </c>
      <c r="B70" s="5" t="inlineStr">
        <is>
          <t>Anatomy</t>
        </is>
      </c>
      <c r="C70" s="5" t="inlineStr">
        <is>
          <t>Group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Combobox playground scenario.</t>
        </is>
      </c>
      <c r="J70" s="5" t="n"/>
      <c r="K70" s="6">
        <f>IF(AND(E70="yes",F70="yes",H70="covered"),1,IF(AND(E70="yes",H70="partial"),0.5,0))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Group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Combobox playground scenario.</t>
        </is>
      </c>
      <c r="J71" s="5" t="n"/>
      <c r="K71" s="6">
        <f>IF(AND(E71="yes",F71="yes",H71="covered"),1,IF(AND(E71="yes",H71="partial"),0.5,0))</f>
        <v/>
      </c>
    </row>
    <row r="72" ht="30" customHeight="1" s="60">
      <c r="A72" s="4" t="n">
        <v>64</v>
      </c>
      <c r="B72" s="5" t="inlineStr">
        <is>
          <t>Identity</t>
        </is>
      </c>
      <c r="C72" s="5" t="inlineStr">
        <is>
          <t>Group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Combobox playground scenario.</t>
        </is>
      </c>
      <c r="J72" s="5" t="n"/>
      <c r="K72" s="6">
        <f>IF(AND(E72="yes",F72="yes",H72="covered"),1,IF(AND(E72="yes",H72="partial"),0.5,0))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Group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Combobox playground scenario.</t>
        </is>
      </c>
      <c r="J73" s="5" t="n"/>
      <c r="K73" s="6">
        <f>IF(AND(E73="yes",F73="yes",H73="covered"),1,IF(AND(E73="yes",H73="partial"),0.5,0))</f>
        <v/>
      </c>
    </row>
    <row r="74" ht="15" customHeight="1" s="60">
      <c r="A74" s="4" t="n">
        <v>66</v>
      </c>
      <c r="B74" s="5" t="inlineStr">
        <is>
          <t>Props</t>
        </is>
      </c>
      <c r="C74" s="5" t="inlineStr">
        <is>
          <t>Group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Combobox playground scenario.</t>
        </is>
      </c>
      <c r="J74" s="5" t="n"/>
      <c r="K74" s="6">
        <f>IF(AND(E74="yes",F74="yes",H74="covered"),1,IF(AND(E74="yes",H74="partial"),0.5,0))</f>
        <v/>
      </c>
    </row>
    <row r="75" ht="15" customHeight="1" s="60">
      <c r="A75" s="4" t="n">
        <v>67</v>
      </c>
      <c r="B75" s="5" t="inlineStr">
        <is>
          <t>Refs</t>
        </is>
      </c>
      <c r="C75" s="5" t="inlineStr">
        <is>
          <t>Group</t>
        </is>
      </c>
      <c r="D75" s="5" t="inlineStr">
        <is>
          <t>consumer ref receives the rendered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Combobox playground scenario.</t>
        </is>
      </c>
      <c r="J75" s="5" t="n"/>
      <c r="K75" s="6">
        <f>IF(AND(E75="yes",F75="yes",H75="covered"),1,IF(AND(E75="yes",H75="partial"),0.5,0))</f>
        <v/>
      </c>
    </row>
    <row r="76" ht="15" customHeight="1" s="60">
      <c r="A76" s="4" t="n">
        <v>68</v>
      </c>
      <c r="B76" s="5" t="inlineStr">
        <is>
          <t>Accessibility</t>
        </is>
      </c>
      <c r="C76" s="5" t="inlineStr">
        <is>
          <t>Group</t>
        </is>
      </c>
      <c r="D76" s="5" t="inlineStr">
        <is>
          <t>aria-label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Combobox playground scenario.</t>
        </is>
      </c>
      <c r="J76" s="5" t="n"/>
      <c r="K76" s="6">
        <f>IF(AND(E76="yes",F76="yes",H76="covered"),1,IF(AND(E76="yes",H76="partial"),0.5,0))</f>
        <v/>
      </c>
    </row>
    <row r="77" ht="15" customHeight="1" s="60">
      <c r="A77" s="4" t="n">
        <v>69</v>
      </c>
      <c r="B77" s="5" t="inlineStr">
        <is>
          <t>Accessibility</t>
        </is>
      </c>
      <c r="C77" s="5" t="inlineStr">
        <is>
          <t>Group</t>
        </is>
      </c>
      <c r="D77" s="5" t="inlineStr">
        <is>
          <t>aria-labelledby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Combobox playground scenario.</t>
        </is>
      </c>
      <c r="J77" s="5" t="n"/>
      <c r="K77" s="6">
        <f>IF(AND(E77="yes",F77="yes",H77="covered"),1,IF(AND(E77="yes",H77="partial"),0.5,0))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Group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Combobox playground scenario.</t>
        </is>
      </c>
      <c r="J78" s="5" t="n"/>
      <c r="K78" s="6">
        <f>IF(AND(E78="yes",F78="yes",H78="covered"),1,IF(AND(E78="yes",H78="partial"),0.5,0))</f>
        <v/>
      </c>
    </row>
    <row r="79" ht="15" customHeight="1" s="60">
      <c r="A79" s="4" t="n">
        <v>71</v>
      </c>
      <c r="B79" s="5" t="inlineStr">
        <is>
          <t>Anatomy</t>
        </is>
      </c>
      <c r="C79" s="5" t="inlineStr">
        <is>
          <t>Label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Combobox playground scenario.</t>
        </is>
      </c>
      <c r="J79" s="5" t="n"/>
      <c r="K79" s="6">
        <f>IF(AND(E79="yes",F79="yes",H79="covered"),1,IF(AND(E79="yes",H79="partial"),0.5,0))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Label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Combobox playground scenario.</t>
        </is>
      </c>
      <c r="J80" s="5" t="n"/>
      <c r="K80" s="6">
        <f>IF(AND(E80="yes",F80="yes",H80="covered"),1,IF(AND(E80="yes",H80="partial"),0.5,0))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Label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Combobox playground scenario.</t>
        </is>
      </c>
      <c r="J81" s="5" t="n"/>
      <c r="K81" s="6">
        <f>IF(AND(E81="yes",F81="yes",H81="covered"),1,IF(AND(E81="yes",H81="partial"),0.5,0))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Label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Combobox playground scenario.</t>
        </is>
      </c>
      <c r="J82" s="5" t="n"/>
      <c r="K82" s="6">
        <f>IF(AND(E82="yes",F82="yes",H82="covered"),1,IF(AND(E82="yes",H82="partial"),0.5,0))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Label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Combobox playground scenario.</t>
        </is>
      </c>
      <c r="J83" s="5" t="n"/>
      <c r="K83" s="6">
        <f>IF(AND(E83="yes",F83="yes",H83="covered"),1,IF(AND(E83="yes",H83="partial"),0.5,0))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Label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Combobox playground scenario.</t>
        </is>
      </c>
      <c r="J84" s="5" t="n"/>
      <c r="K84" s="6">
        <f>IF(AND(E84="yes",F84="yes",H84="covered"),1,IF(AND(E84="yes",H84="partial"),0.5,0))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Label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Combobox playground scenario.</t>
        </is>
      </c>
      <c r="J85" s="5" t="n"/>
      <c r="K85" s="6">
        <f>IF(AND(E85="yes",F85="yes",H85="covered"),1,IF(AND(E85="yes",H85="partial"),0.5,0))</f>
        <v/>
      </c>
    </row>
    <row r="86" ht="15" customHeight="1" s="60">
      <c r="A86" s="4" t="n">
        <v>78</v>
      </c>
      <c r="B86" s="5" t="inlineStr">
        <is>
          <t>Anatomy</t>
        </is>
      </c>
      <c r="C86" s="5" t="inlineStr">
        <is>
          <t>Item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Combobox playground scenario.</t>
        </is>
      </c>
      <c r="J86" s="5" t="n"/>
      <c r="K86" s="6">
        <f>IF(AND(E86="yes",F86="yes",H86="covered"),1,IF(AND(E86="yes",H86="partial"),0.5,0))</f>
        <v/>
      </c>
    </row>
    <row r="87" ht="15" customHeight="1" s="60">
      <c r="A87" s="4" t="n">
        <v>79</v>
      </c>
      <c r="B87" s="5" t="inlineStr">
        <is>
          <t>Anatomy</t>
        </is>
      </c>
      <c r="C87" s="5" t="inlineStr">
        <is>
          <t>Item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Combobox playground scenario.</t>
        </is>
      </c>
      <c r="J87" s="5" t="n"/>
      <c r="K87" s="6">
        <f>IF(AND(E87="yes",F87="yes",H87="covered"),1,IF(AND(E87="yes",H87="partial"),0.5,0))</f>
        <v/>
      </c>
    </row>
    <row r="88" ht="30" customHeight="1" s="60">
      <c r="A88" s="4" t="n">
        <v>80</v>
      </c>
      <c r="B88" s="5" t="inlineStr">
        <is>
          <t>Identity</t>
        </is>
      </c>
      <c r="C88" s="5" t="inlineStr">
        <is>
          <t>Item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Combobox playground scenario.</t>
        </is>
      </c>
      <c r="J88" s="5" t="n"/>
      <c r="K88" s="6">
        <f>IF(AND(E88="yes",F88="yes",H88="covered"),1,IF(AND(E88="yes",H88="partial"),0.5,0))</f>
        <v/>
      </c>
    </row>
    <row r="89" ht="15" customHeight="1" s="60">
      <c r="A89" s="4" t="n">
        <v>81</v>
      </c>
      <c r="B89" s="5" t="inlineStr">
        <is>
          <t>Identity</t>
        </is>
      </c>
      <c r="C89" s="5" t="inlineStr">
        <is>
          <t>Item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Combobox playground scenario.</t>
        </is>
      </c>
      <c r="J89" s="5" t="n"/>
      <c r="K89" s="6">
        <f>IF(AND(E89="yes",F89="yes",H89="covered"),1,IF(AND(E89="yes",H89="partial"),0.5,0))</f>
        <v/>
      </c>
    </row>
    <row r="90" ht="15" customHeight="1" s="60">
      <c r="A90" s="4" t="n">
        <v>82</v>
      </c>
      <c r="B90" s="5" t="inlineStr">
        <is>
          <t>Props</t>
        </is>
      </c>
      <c r="C90" s="5" t="inlineStr">
        <is>
          <t>Item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Combobox playground scenario.</t>
        </is>
      </c>
      <c r="J90" s="5" t="n"/>
      <c r="K90" s="6">
        <f>IF(AND(E90="yes",F90="yes",H90="covered"),1,IF(AND(E90="yes",H90="partial"),0.5,0))</f>
        <v/>
      </c>
    </row>
    <row r="91" ht="15" customHeight="1" s="60">
      <c r="A91" s="4" t="n">
        <v>83</v>
      </c>
      <c r="B91" s="5" t="inlineStr">
        <is>
          <t>Refs</t>
        </is>
      </c>
      <c r="C91" s="5" t="inlineStr">
        <is>
          <t>Item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Combobox playground scenario.</t>
        </is>
      </c>
      <c r="J91" s="5" t="n"/>
      <c r="K91" s="6">
        <f>IF(AND(E91="yes",F91="yes",H91="covered"),1,IF(AND(E91="yes",H91="partial"),0.5,0))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Item</t>
        </is>
      </c>
      <c r="D92" s="5" t="inlineStr">
        <is>
          <t>value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Combobox playground scenario.</t>
        </is>
      </c>
      <c r="J92" s="5" t="n"/>
      <c r="K92" s="6">
        <f>IF(AND(E92="yes",F92="yes",H92="covered"),1,IF(AND(E92="yes",H92="partial"),0.5,0))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Item</t>
        </is>
      </c>
      <c r="D93" s="5" t="inlineStr">
        <is>
          <t>label prop behavior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Combobox playground scenario.</t>
        </is>
      </c>
      <c r="J93" s="5" t="n"/>
      <c r="K93" s="6">
        <f>IF(AND(E93="yes",F93="yes",H93="covered"),1,IF(AND(E93="yes",H93="partial"),0.5,0))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Item</t>
        </is>
      </c>
      <c r="D94" s="5" t="inlineStr">
        <is>
          <t>disabled prop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Combobox playground scenario.</t>
        </is>
      </c>
      <c r="J94" s="5" t="n"/>
      <c r="K94" s="6">
        <f>IF(AND(E94="yes",F94="yes",H94="covered"),1,IF(AND(E94="yes",H94="partial"),0.5,0))</f>
        <v/>
      </c>
    </row>
    <row r="95" ht="15" customHeight="1" s="60">
      <c r="A95" s="4" t="n">
        <v>87</v>
      </c>
      <c r="B95" s="5" t="inlineStr">
        <is>
          <t>Public API</t>
        </is>
      </c>
      <c r="C95" s="5" t="inlineStr">
        <is>
          <t>Item</t>
        </is>
      </c>
      <c r="D95" s="5" t="inlineStr">
        <is>
          <t>[data-slot] prop behavior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Combobox playground scenario.</t>
        </is>
      </c>
      <c r="J95" s="5" t="n"/>
      <c r="K95" s="6">
        <f>IF(AND(E95="yes",F95="yes",H95="covered"),1,IF(AND(E95="yes",H95="partial"),0.5,0))</f>
        <v/>
      </c>
    </row>
    <row r="96" ht="15" customHeight="1" s="60">
      <c r="A96" s="4" t="n">
        <v>88</v>
      </c>
      <c r="B96" s="5" t="inlineStr">
        <is>
          <t>Public API</t>
        </is>
      </c>
      <c r="C96" s="5" t="inlineStr">
        <is>
          <t>Item</t>
        </is>
      </c>
      <c r="D96" s="5" t="inlineStr">
        <is>
          <t>[data-state] prop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Combobox playground scenario.</t>
        </is>
      </c>
      <c r="J96" s="5" t="n"/>
      <c r="K96" s="6">
        <f>IF(AND(E96="yes",F96="yes",H96="covered"),1,IF(AND(E96="yes",H96="partial"),0.5,0))</f>
        <v/>
      </c>
    </row>
    <row r="97" ht="15" customHeight="1" s="60">
      <c r="A97" s="4" t="n">
        <v>89</v>
      </c>
      <c r="B97" s="5" t="inlineStr">
        <is>
          <t>Public API</t>
        </is>
      </c>
      <c r="C97" s="5" t="inlineStr">
        <is>
          <t>Item</t>
        </is>
      </c>
      <c r="D97" s="5" t="inlineStr">
        <is>
          <t>[data-highlighted] prop behavior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Combobox playground scenario.</t>
        </is>
      </c>
      <c r="J97" s="5" t="n"/>
      <c r="K97" s="6">
        <f>IF(AND(E97="yes",F97="yes",H97="covered"),1,IF(AND(E97="yes",H97="partial"),0.5,0))</f>
        <v/>
      </c>
    </row>
    <row r="98" ht="15" customHeight="1" s="60">
      <c r="A98" s="4" t="n">
        <v>90</v>
      </c>
      <c r="B98" s="5" t="inlineStr">
        <is>
          <t>State</t>
        </is>
      </c>
      <c r="C98" s="5" t="inlineStr">
        <is>
          <t>Item</t>
        </is>
      </c>
      <c r="D98" s="5" t="inlineStr">
        <is>
          <t>[data-disabled] prop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Combobox playground scenario.</t>
        </is>
      </c>
      <c r="J98" s="5" t="n"/>
      <c r="K98" s="6">
        <f>IF(AND(E98="yes",F98="yes",H98="covered"),1,IF(AND(E98="yes",H98="partial"),0.5,0))</f>
        <v/>
      </c>
    </row>
    <row r="99" ht="15" customHeight="1" s="60">
      <c r="A99" s="4" t="n">
        <v>91</v>
      </c>
      <c r="B99" s="5" t="inlineStr">
        <is>
          <t>State</t>
        </is>
      </c>
      <c r="C99" s="5" t="inlineStr">
        <is>
          <t>Item</t>
        </is>
      </c>
      <c r="D99" s="5" t="inlineStr">
        <is>
          <t>[data-value] prop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Combobox playground scenario.</t>
        </is>
      </c>
      <c r="J99" s="5" t="n"/>
      <c r="K99" s="6">
        <f>IF(AND(E99="yes",F99="yes",H99="covered"),1,IF(AND(E99="yes",H99="partial"),0.5,0))</f>
        <v/>
      </c>
    </row>
    <row r="100" ht="15" customHeight="1" s="60">
      <c r="A100" s="4" t="n">
        <v>92</v>
      </c>
      <c r="B100" s="5" t="inlineStr">
        <is>
          <t>Anatomy</t>
        </is>
      </c>
      <c r="C100" s="5" t="inlineStr">
        <is>
          <t>Clear</t>
        </is>
      </c>
      <c r="D100" s="5" t="inlineStr">
        <is>
          <t>renders correct part when expected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Combobox playground scenario.</t>
        </is>
      </c>
      <c r="J100" s="5" t="n"/>
      <c r="K100" s="6">
        <f>IF(AND(E100="yes",F100="yes",H100="covered"),1,IF(AND(E100="yes",H100="partial"),0.5,0))</f>
        <v/>
      </c>
    </row>
    <row r="101" ht="15" customHeight="1" s="60">
      <c r="A101" s="4" t="n">
        <v>93</v>
      </c>
      <c r="B101" s="5" t="inlineStr">
        <is>
          <t>Anatomy</t>
        </is>
      </c>
      <c r="C101" s="5" t="inlineStr">
        <is>
          <t>Clear</t>
        </is>
      </c>
      <c r="D101" s="5" t="inlineStr">
        <is>
          <t>appears in documented order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Combobox playground scenario.</t>
        </is>
      </c>
      <c r="J101" s="5" t="n"/>
      <c r="K101" s="6">
        <f>IF(AND(E101="yes",F101="yes",H101="covered"),1,IF(AND(E101="yes",H101="partial"),0.5,0))</f>
        <v/>
      </c>
    </row>
    <row r="102" ht="30" customHeight="1" s="60">
      <c r="A102" s="4" t="n">
        <v>94</v>
      </c>
      <c r="B102" s="5" t="inlineStr">
        <is>
          <t>Identity</t>
        </is>
      </c>
      <c r="C102" s="5" t="inlineStr">
        <is>
          <t>Clear</t>
        </is>
      </c>
      <c r="D102" s="5" t="inlineStr">
        <is>
          <t>default tag is visible in Anatomy/Inspector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Combobox playground scenario.</t>
        </is>
      </c>
      <c r="J102" s="5" t="n"/>
      <c r="K102" s="6">
        <f>IF(AND(E102="yes",F102="yes",H102="covered"),1,IF(AND(E102="yes",H102="partial"),0.5,0))</f>
        <v/>
      </c>
    </row>
    <row r="103" ht="15" customHeight="1" s="60">
      <c r="A103" s="4" t="n">
        <v>95</v>
      </c>
      <c r="B103" s="5" t="inlineStr">
        <is>
          <t>Identity</t>
        </is>
      </c>
      <c r="C103" s="5" t="inlineStr">
        <is>
          <t>Clear</t>
        </is>
      </c>
      <c r="D103" s="5" t="inlineStr">
        <is>
          <t>data-slot is present and correct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Combobox playground scenario.</t>
        </is>
      </c>
      <c r="J103" s="5" t="n"/>
      <c r="K103" s="6">
        <f>IF(AND(E103="yes",F103="yes",H103="covered"),1,IF(AND(E103="yes",H103="partial"),0.5,0))</f>
        <v/>
      </c>
    </row>
    <row r="104" ht="15" customHeight="1" s="60">
      <c r="A104" s="4" t="n">
        <v>96</v>
      </c>
      <c r="B104" s="5" t="inlineStr">
        <is>
          <t>Props</t>
        </is>
      </c>
      <c r="C104" s="5" t="inlineStr">
        <is>
          <t>Clear</t>
        </is>
      </c>
      <c r="D104" s="5" t="inlineStr">
        <is>
          <t>non-Atom native props pass through with data-prop-check marker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Combobox playground scenario.</t>
        </is>
      </c>
      <c r="J104" s="5" t="n"/>
      <c r="K104" s="6">
        <f>IF(AND(E104="yes",F104="yes",H104="covered"),1,IF(AND(E104="yes",H104="partial"),0.5,0))</f>
        <v/>
      </c>
    </row>
    <row r="105" ht="15" customHeight="1" s="60">
      <c r="A105" s="4" t="n">
        <v>97</v>
      </c>
      <c r="B105" s="5" t="inlineStr">
        <is>
          <t>Refs</t>
        </is>
      </c>
      <c r="C105" s="5" t="inlineStr">
        <is>
          <t>Clear</t>
        </is>
      </c>
      <c r="D105" s="5" t="inlineStr">
        <is>
          <t>consumer ref receives the rendered element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Combobox playground scenario.</t>
        </is>
      </c>
      <c r="J105" s="5" t="n"/>
      <c r="K105" s="6">
        <f>IF(AND(E105="yes",F105="yes",H105="covered"),1,IF(AND(E105="yes",H105="partial"),0.5,0))</f>
        <v/>
      </c>
    </row>
    <row r="106" ht="15" customHeight="1" s="60">
      <c r="A106" s="4" t="n">
        <v>98</v>
      </c>
      <c r="B106" s="5" t="inlineStr">
        <is>
          <t>Composition</t>
        </is>
      </c>
      <c r="C106" s="5" t="inlineStr">
        <is>
          <t>Clear</t>
        </is>
      </c>
      <c r="D106" s="5" t="inlineStr">
        <is>
          <t>asChild prop behavior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Combobox playground scenario.</t>
        </is>
      </c>
      <c r="J106" s="5" t="n"/>
      <c r="K106" s="6">
        <f>IF(AND(E106="yes",F106="yes",H106="covered"),1,IF(AND(E106="yes",H106="partial"),0.5,0))</f>
        <v/>
      </c>
    </row>
    <row r="107" ht="15" customHeight="1" s="60">
      <c r="A107" s="4" t="n">
        <v>99</v>
      </c>
      <c r="B107" s="5" t="inlineStr">
        <is>
          <t>Composition</t>
        </is>
      </c>
      <c r="C107" s="5" t="inlineStr">
        <is>
          <t>Clear</t>
        </is>
      </c>
      <c r="D107" s="5" t="inlineStr">
        <is>
          <t>render prop behavior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Combobox playground scenario.</t>
        </is>
      </c>
      <c r="J107" s="5" t="n"/>
      <c r="K107" s="6">
        <f>IF(AND(E107="yes",F107="yes",H107="covered"),1,IF(AND(E107="yes",H107="partial"),0.5,0))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Clear</t>
        </is>
      </c>
      <c r="D108" s="5" t="inlineStr">
        <is>
          <t>data-slot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Combobox playground scenario.</t>
        </is>
      </c>
      <c r="J108" s="5" t="n"/>
      <c r="K108" s="6">
        <f>IF(AND(E108="yes",F108="yes",H108="covered"),1,IF(AND(E108="yes",H108="partial"),0.5,0))</f>
        <v/>
      </c>
    </row>
    <row r="109" ht="15" customHeight="1" s="60">
      <c r="A109" s="4" t="n">
        <v>101</v>
      </c>
      <c r="B109" s="5" t="inlineStr">
        <is>
          <t>Public API</t>
        </is>
      </c>
      <c r="C109" s="5" t="inlineStr">
        <is>
          <t>Clear</t>
        </is>
      </c>
      <c r="D109" s="5" t="inlineStr">
        <is>
          <t>[data-slot] prop behavior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Combobox playground scenario.</t>
        </is>
      </c>
      <c r="J109" s="5" t="n"/>
      <c r="K109" s="6">
        <f>IF(AND(E109="yes",F109="yes",H109="covered"),1,IF(AND(E109="yes",H109="partial"),0.5,0))</f>
        <v/>
      </c>
    </row>
    <row r="110" ht="15" customHeight="1" s="60">
      <c r="A110" s="4" t="n">
        <v>102</v>
      </c>
      <c r="B110" s="5" t="inlineStr">
        <is>
          <t>Public API</t>
        </is>
      </c>
      <c r="C110" s="5" t="inlineStr">
        <is>
          <t>Clear</t>
        </is>
      </c>
      <c r="D110" s="5" t="inlineStr">
        <is>
          <t>[data-hidden] prop behavior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Combobox playground scenario.</t>
        </is>
      </c>
      <c r="J110" s="5" t="n"/>
      <c r="K110" s="6">
        <f>IF(AND(E110="yes",F110="yes",H110="covered"),1,IF(AND(E110="yes",H110="partial"),0.5,0))</f>
        <v/>
      </c>
    </row>
    <row r="111" ht="15" customHeight="1" s="60">
      <c r="A111" s="4" t="n">
        <v>103</v>
      </c>
      <c r="B111" s="5" t="inlineStr">
        <is>
          <t>Anatomy</t>
        </is>
      </c>
      <c r="C111" s="5" t="inlineStr">
        <is>
          <t>Empty</t>
        </is>
      </c>
      <c r="D111" s="5" t="inlineStr">
        <is>
          <t>renders correct part when expected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Combobox playground scenario.</t>
        </is>
      </c>
      <c r="J111" s="5" t="n"/>
      <c r="K111" s="6">
        <f>IF(AND(E111="yes",F111="yes",H111="covered"),1,IF(AND(E111="yes",H111="partial"),0.5,0))</f>
        <v/>
      </c>
    </row>
    <row r="112" ht="15" customHeight="1" s="60">
      <c r="A112" s="4" t="n">
        <v>104</v>
      </c>
      <c r="B112" s="5" t="inlineStr">
        <is>
          <t>Anatomy</t>
        </is>
      </c>
      <c r="C112" s="5" t="inlineStr">
        <is>
          <t>Empty</t>
        </is>
      </c>
      <c r="D112" s="5" t="inlineStr">
        <is>
          <t>appears in documented order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Combobox playground scenario.</t>
        </is>
      </c>
      <c r="J112" s="5" t="n"/>
      <c r="K112" s="6">
        <f>IF(AND(E112="yes",F112="yes",H112="covered"),1,IF(AND(E112="yes",H112="partial"),0.5,0))</f>
        <v/>
      </c>
    </row>
    <row r="113" ht="30" customHeight="1" s="60">
      <c r="A113" s="4" t="n">
        <v>105</v>
      </c>
      <c r="B113" s="5" t="inlineStr">
        <is>
          <t>Identity</t>
        </is>
      </c>
      <c r="C113" s="5" t="inlineStr">
        <is>
          <t>Empty</t>
        </is>
      </c>
      <c r="D113" s="5" t="inlineStr">
        <is>
          <t>default tag is visible in Anatomy/Inspector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Combobox playground scenario.</t>
        </is>
      </c>
      <c r="J113" s="5" t="n"/>
      <c r="K113" s="6">
        <f>IF(AND(E113="yes",F113="yes",H113="covered"),1,IF(AND(E113="yes",H113="partial"),0.5,0))</f>
        <v/>
      </c>
    </row>
    <row r="114" ht="15" customHeight="1" s="60">
      <c r="A114" s="4" t="n">
        <v>106</v>
      </c>
      <c r="B114" s="5" t="inlineStr">
        <is>
          <t>Identity</t>
        </is>
      </c>
      <c r="C114" s="5" t="inlineStr">
        <is>
          <t>Empty</t>
        </is>
      </c>
      <c r="D114" s="5" t="inlineStr">
        <is>
          <t>data-slot is present and correct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Combobox playground scenario.</t>
        </is>
      </c>
      <c r="J114" s="5" t="n"/>
      <c r="K114" s="6">
        <f>IF(AND(E114="yes",F114="yes",H114="covered"),1,IF(AND(E114="yes",H114="partial"),0.5,0))</f>
        <v/>
      </c>
    </row>
    <row r="115" ht="15" customHeight="1" s="60">
      <c r="A115" s="4" t="n">
        <v>107</v>
      </c>
      <c r="B115" s="5" t="inlineStr">
        <is>
          <t>Props</t>
        </is>
      </c>
      <c r="C115" s="5" t="inlineStr">
        <is>
          <t>Empty</t>
        </is>
      </c>
      <c r="D115" s="5" t="inlineStr">
        <is>
          <t>non-Atom native props pass through with data-prop-check marker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Combobox playground scenario.</t>
        </is>
      </c>
      <c r="J115" s="5" t="n"/>
      <c r="K115" s="6">
        <f>IF(AND(E115="yes",F115="yes",H115="covered"),1,IF(AND(E115="yes",H115="partial"),0.5,0))</f>
        <v/>
      </c>
    </row>
    <row r="116" ht="15" customHeight="1" s="60">
      <c r="A116" s="4" t="n">
        <v>108</v>
      </c>
      <c r="B116" s="5" t="inlineStr">
        <is>
          <t>Refs</t>
        </is>
      </c>
      <c r="C116" s="5" t="inlineStr">
        <is>
          <t>Empty</t>
        </is>
      </c>
      <c r="D116" s="5" t="inlineStr">
        <is>
          <t>consumer ref receives the rendered element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Combobox playground scenario.</t>
        </is>
      </c>
      <c r="J116" s="5" t="n"/>
      <c r="K116" s="6">
        <f>IF(AND(E116="yes",F116="yes",H116="covered"),1,IF(AND(E116="yes",H116="partial"),0.5,0))</f>
        <v/>
      </c>
    </row>
    <row r="117" ht="15" customHeight="1" s="60">
      <c r="A117" s="4" t="n">
        <v>109</v>
      </c>
      <c r="B117" s="5" t="inlineStr">
        <is>
          <t>Public API</t>
        </is>
      </c>
      <c r="C117" s="5" t="inlineStr">
        <is>
          <t>Empty</t>
        </is>
      </c>
      <c r="D117" s="5" t="inlineStr">
        <is>
          <t>[data-slot]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Combobox playground scenario.</t>
        </is>
      </c>
      <c r="J117" s="5" t="n"/>
      <c r="K117" s="6">
        <f>IF(AND(E117="yes",F117="yes",H117="covered"),1,IF(AND(E117="yes",H117="partial"),0.5,0))</f>
        <v/>
      </c>
    </row>
    <row r="118" ht="15" customHeight="1" s="60">
      <c r="A118" s="4" t="n">
        <v>110</v>
      </c>
      <c r="B118" s="5" t="inlineStr">
        <is>
          <t>Anatomy</t>
        </is>
      </c>
      <c r="C118" s="5" t="inlineStr">
        <is>
          <t>Input</t>
        </is>
      </c>
      <c r="D118" s="5" t="inlineStr">
        <is>
          <t>renders correct part when expected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Combobox playground scenario.</t>
        </is>
      </c>
      <c r="J118" s="5" t="n"/>
      <c r="K118" s="6">
        <f>IF(AND(E118="yes",F118="yes",H118="covered"),1,IF(AND(E118="yes",H118="partial"),0.5,0))</f>
        <v/>
      </c>
    </row>
    <row r="119" ht="15" customHeight="1" s="60">
      <c r="A119" s="4" t="n">
        <v>111</v>
      </c>
      <c r="B119" s="5" t="inlineStr">
        <is>
          <t>Anatomy</t>
        </is>
      </c>
      <c r="C119" s="5" t="inlineStr">
        <is>
          <t>Input</t>
        </is>
      </c>
      <c r="D119" s="5" t="inlineStr">
        <is>
          <t>appears in documented order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Combobox playground scenario.</t>
        </is>
      </c>
      <c r="J119" s="5" t="n"/>
      <c r="K119" s="6">
        <f>IF(AND(E119="yes",F119="yes",H119="covered"),1,IF(AND(E119="yes",H119="partial"),0.5,0))</f>
        <v/>
      </c>
    </row>
    <row r="120" ht="30" customHeight="1" s="60">
      <c r="A120" s="4" t="n">
        <v>112</v>
      </c>
      <c r="B120" s="5" t="inlineStr">
        <is>
          <t>Identity</t>
        </is>
      </c>
      <c r="C120" s="5" t="inlineStr">
        <is>
          <t>Input</t>
        </is>
      </c>
      <c r="D120" s="5" t="inlineStr">
        <is>
          <t>default tag is visible in Anatomy/Inspector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Combobox playground scenario.</t>
        </is>
      </c>
      <c r="J120" s="5" t="n"/>
      <c r="K120" s="6">
        <f>IF(AND(E120="yes",F120="yes",H120="covered"),1,IF(AND(E120="yes",H120="partial"),0.5,0))</f>
        <v/>
      </c>
    </row>
    <row r="121" ht="15" customHeight="1" s="60">
      <c r="A121" s="4" t="n">
        <v>113</v>
      </c>
      <c r="B121" s="5" t="inlineStr">
        <is>
          <t>Identity</t>
        </is>
      </c>
      <c r="C121" s="5" t="inlineStr">
        <is>
          <t>Input</t>
        </is>
      </c>
      <c r="D121" s="5" t="inlineStr">
        <is>
          <t>data-slot is present and correct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Combobox playground scenario.</t>
        </is>
      </c>
      <c r="J121" s="5" t="n"/>
      <c r="K121" s="6">
        <f>IF(AND(E121="yes",F121="yes",H121="covered"),1,IF(AND(E121="yes",H121="partial"),0.5,0))</f>
        <v/>
      </c>
    </row>
    <row r="122" ht="15" customHeight="1" s="60">
      <c r="A122" s="4" t="n">
        <v>114</v>
      </c>
      <c r="B122" s="5" t="inlineStr">
        <is>
          <t>Props</t>
        </is>
      </c>
      <c r="C122" s="5" t="inlineStr">
        <is>
          <t>Input</t>
        </is>
      </c>
      <c r="D122" s="5" t="inlineStr">
        <is>
          <t>non-Atom native props pass through with data-prop-check marker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Combobox playground scenario.</t>
        </is>
      </c>
      <c r="J122" s="5" t="n"/>
      <c r="K122" s="6">
        <f>IF(AND(E122="yes",F122="yes",H122="covered"),1,IF(AND(E122="yes",H122="partial"),0.5,0))</f>
        <v/>
      </c>
    </row>
    <row r="123" ht="15" customHeight="1" s="60">
      <c r="A123" s="4" t="n">
        <v>115</v>
      </c>
      <c r="B123" s="5" t="inlineStr">
        <is>
          <t>Refs</t>
        </is>
      </c>
      <c r="C123" s="5" t="inlineStr">
        <is>
          <t>Input</t>
        </is>
      </c>
      <c r="D123" s="5" t="inlineStr">
        <is>
          <t>consumer ref receives the rendered element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Combobox playground scenario.</t>
        </is>
      </c>
      <c r="J123" s="5" t="n"/>
      <c r="K123" s="6">
        <f>IF(AND(E123="yes",F123="yes",H123="covered"),1,IF(AND(E123="yes",H123="partial"),0.5,0))</f>
        <v/>
      </c>
    </row>
    <row r="124" ht="15" customHeight="1" s="60">
      <c r="A124" s="4" t="n">
        <v>116</v>
      </c>
      <c r="B124" s="5" t="inlineStr">
        <is>
          <t>Public API</t>
        </is>
      </c>
      <c r="C124" s="5" t="inlineStr">
        <is>
          <t>Input</t>
        </is>
      </c>
      <c r="D124" s="5" t="inlineStr">
        <is>
          <t>data-slot prop behavior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Combobox playground scenario.</t>
        </is>
      </c>
      <c r="J124" s="5" t="n"/>
      <c r="K124" s="6">
        <f>IF(AND(E124="yes",F124="yes",H124="covered"),1,IF(AND(E124="yes",H124="partial"),0.5,0))</f>
        <v/>
      </c>
    </row>
    <row r="125" ht="15" customHeight="1" s="60">
      <c r="A125" s="4" t="n">
        <v>117</v>
      </c>
      <c r="B125" s="5" t="inlineStr">
        <is>
          <t>Public API</t>
        </is>
      </c>
      <c r="C125" s="5" t="inlineStr">
        <is>
          <t>Input</t>
        </is>
      </c>
      <c r="D125" s="5" t="inlineStr">
        <is>
          <t>[data-slot] prop behavior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Combobox playground scenario.</t>
        </is>
      </c>
      <c r="J125" s="5" t="n"/>
      <c r="K125" s="6">
        <f>IF(AND(E125="yes",F125="yes",H125="covered"),1,IF(AND(E125="yes",H125="partial"),0.5,0))</f>
        <v/>
      </c>
    </row>
    <row r="126" ht="15" customHeight="1" s="60">
      <c r="A126" s="4" t="n">
        <v>118</v>
      </c>
      <c r="B126" s="5" t="inlineStr">
        <is>
          <t>Public API</t>
        </is>
      </c>
      <c r="C126" s="5" t="inlineStr">
        <is>
          <t>Input</t>
        </is>
      </c>
      <c r="D126" s="5" t="inlineStr">
        <is>
          <t>[data-state] prop behavior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9" t="inlineStr">
        <is>
          <t>covered</t>
        </is>
      </c>
      <c r="I126" s="5" t="inlineStr">
        <is>
          <t>Combobox playground scenario.</t>
        </is>
      </c>
      <c r="J126" s="5" t="n"/>
      <c r="K126" s="6">
        <f>IF(AND(E126="yes",F126="yes",H126="covered"),1,IF(AND(E126="yes",H126="partial"),0.5,0))</f>
        <v/>
      </c>
    </row>
    <row r="127" ht="15" customHeight="1" s="60">
      <c r="A127" s="4" t="n">
        <v>119</v>
      </c>
      <c r="B127" s="5" t="inlineStr">
        <is>
          <t>Public API</t>
        </is>
      </c>
      <c r="C127" s="5" t="inlineStr">
        <is>
          <t>Input</t>
        </is>
      </c>
      <c r="D127" s="5" t="inlineStr">
        <is>
          <t>[data-filled] prop behavior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9" t="inlineStr">
        <is>
          <t>covered</t>
        </is>
      </c>
      <c r="I127" s="5" t="inlineStr">
        <is>
          <t>Combobox playground scenario.</t>
        </is>
      </c>
      <c r="J127" s="5" t="n"/>
      <c r="K127" s="6">
        <f>IF(AND(E127="yes",F127="yes",H127="covered"),1,IF(AND(E127="yes",H127="partial"),0.5,0))</f>
        <v/>
      </c>
    </row>
    <row r="128" ht="15" customHeight="1" s="60">
      <c r="A128" s="4" t="n">
        <v>120</v>
      </c>
      <c r="B128" s="5" t="inlineStr">
        <is>
          <t>State</t>
        </is>
      </c>
      <c r="C128" s="5" t="inlineStr">
        <is>
          <t>Input</t>
        </is>
      </c>
      <c r="D128" s="5" t="inlineStr">
        <is>
          <t>[data-disabled] prop behavior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9" t="inlineStr">
        <is>
          <t>covered</t>
        </is>
      </c>
      <c r="I128" s="5" t="inlineStr">
        <is>
          <t>Combobox playground scenario.</t>
        </is>
      </c>
      <c r="J128" s="5" t="n"/>
      <c r="K128" s="6">
        <f>IF(AND(E128="yes",F128="yes",H128="covered"),1,IF(AND(E128="yes",H128="partial"),0.5,0))</f>
        <v/>
      </c>
    </row>
    <row r="129" ht="15" customHeight="1" s="60">
      <c r="A129" s="4" t="n">
        <v>121</v>
      </c>
      <c r="B129" s="5" t="inlineStr">
        <is>
          <t>State</t>
        </is>
      </c>
      <c r="C129" s="5" t="inlineStr">
        <is>
          <t>Input</t>
        </is>
      </c>
      <c r="D129" s="5" t="inlineStr">
        <is>
          <t>[data-readonly] prop behavior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</t>
        </is>
      </c>
      <c r="H129" s="9" t="inlineStr">
        <is>
          <t>covered</t>
        </is>
      </c>
      <c r="I129" s="5" t="inlineStr">
        <is>
          <t>Combobox playground scenario.</t>
        </is>
      </c>
      <c r="J129" s="5" t="n"/>
      <c r="K129" s="6">
        <f>IF(AND(E129="yes",F129="yes",H129="covered"),1,IF(AND(E129="yes",H129="partial"),0.5,0))</f>
        <v/>
      </c>
    </row>
    <row r="130" ht="15" customHeight="1" s="60">
      <c r="A130" s="4" t="n">
        <v>122</v>
      </c>
      <c r="B130" s="5" t="inlineStr">
        <is>
          <t>State</t>
        </is>
      </c>
      <c r="C130" s="5" t="inlineStr">
        <is>
          <t>Input</t>
        </is>
      </c>
      <c r="D130" s="5" t="inlineStr">
        <is>
          <t>[data-invalid] prop behavior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</t>
        </is>
      </c>
      <c r="H130" s="9" t="inlineStr">
        <is>
          <t>covered</t>
        </is>
      </c>
      <c r="I130" s="5" t="inlineStr">
        <is>
          <t>Combobox playground scenario.</t>
        </is>
      </c>
      <c r="J130" s="5" t="n"/>
      <c r="K130" s="6">
        <f>IF(AND(E130="yes",F130="yes",H130="covered"),1,IF(AND(E130="yes",H130="partial"),0.5,0))</f>
        <v/>
      </c>
    </row>
    <row r="131" ht="15" customHeight="1" s="60">
      <c r="A131" s="4" t="n">
        <v>123</v>
      </c>
      <c r="B131" s="5" t="inlineStr">
        <is>
          <t>Anatomy</t>
        </is>
      </c>
      <c r="C131" s="5" t="inlineStr">
        <is>
          <t>Loading</t>
        </is>
      </c>
      <c r="D131" s="5" t="inlineStr">
        <is>
          <t>renders correct part when expected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</t>
        </is>
      </c>
      <c r="H131" s="9" t="inlineStr">
        <is>
          <t>covered</t>
        </is>
      </c>
      <c r="I131" s="5" t="inlineStr">
        <is>
          <t>Combobox playground scenario.</t>
        </is>
      </c>
      <c r="J131" s="5" t="n"/>
      <c r="K131" s="6">
        <f>IF(AND(E131="yes",F131="yes",H131="covered"),1,IF(AND(E131="yes",H131="partial"),0.5,0))</f>
        <v/>
      </c>
    </row>
    <row r="132" ht="15" customHeight="1" s="60">
      <c r="A132" s="4" t="n">
        <v>124</v>
      </c>
      <c r="B132" s="5" t="inlineStr">
        <is>
          <t>Anatomy</t>
        </is>
      </c>
      <c r="C132" s="5" t="inlineStr">
        <is>
          <t>Loading</t>
        </is>
      </c>
      <c r="D132" s="5" t="inlineStr">
        <is>
          <t>appears in documented order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</t>
        </is>
      </c>
      <c r="H132" s="9" t="inlineStr">
        <is>
          <t>covered</t>
        </is>
      </c>
      <c r="I132" s="5" t="inlineStr">
        <is>
          <t>Combobox playground scenario.</t>
        </is>
      </c>
      <c r="J132" s="5" t="n"/>
      <c r="K132" s="6">
        <f>IF(AND(E132="yes",F132="yes",H132="covered"),1,IF(AND(E132="yes",H132="partial"),0.5,0))</f>
        <v/>
      </c>
    </row>
    <row r="133" ht="30" customHeight="1" s="60">
      <c r="A133" s="4" t="n">
        <v>125</v>
      </c>
      <c r="B133" s="5" t="inlineStr">
        <is>
          <t>Identity</t>
        </is>
      </c>
      <c r="C133" s="5" t="inlineStr">
        <is>
          <t>Loading</t>
        </is>
      </c>
      <c r="D133" s="5" t="inlineStr">
        <is>
          <t>default tag is visible in Anatomy/Inspector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</t>
        </is>
      </c>
      <c r="H133" s="9" t="inlineStr">
        <is>
          <t>covered</t>
        </is>
      </c>
      <c r="I133" s="5" t="inlineStr">
        <is>
          <t>Combobox playground scenario.</t>
        </is>
      </c>
      <c r="J133" s="5" t="n"/>
      <c r="K133" s="6">
        <f>IF(AND(E133="yes",F133="yes",H133="covered"),1,IF(AND(E133="yes",H133="partial"),0.5,0))</f>
        <v/>
      </c>
    </row>
    <row r="134" ht="15" customHeight="1" s="60">
      <c r="A134" s="4" t="n">
        <v>126</v>
      </c>
      <c r="B134" s="5" t="inlineStr">
        <is>
          <t>Identity</t>
        </is>
      </c>
      <c r="C134" s="5" t="inlineStr">
        <is>
          <t>Loading</t>
        </is>
      </c>
      <c r="D134" s="5" t="inlineStr">
        <is>
          <t>data-slot is present and correct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</t>
        </is>
      </c>
      <c r="H134" s="9" t="inlineStr">
        <is>
          <t>covered</t>
        </is>
      </c>
      <c r="I134" s="5" t="inlineStr">
        <is>
          <t>Combobox playground scenario.</t>
        </is>
      </c>
      <c r="J134" s="5" t="n"/>
      <c r="K134" s="6">
        <f>IF(AND(E134="yes",F134="yes",H134="covered"),1,IF(AND(E134="yes",H134="partial"),0.5,0))</f>
        <v/>
      </c>
    </row>
    <row r="135" ht="15" customHeight="1" s="60">
      <c r="A135" s="4" t="n">
        <v>127</v>
      </c>
      <c r="B135" s="5" t="inlineStr">
        <is>
          <t>Props</t>
        </is>
      </c>
      <c r="C135" s="5" t="inlineStr">
        <is>
          <t>Loading</t>
        </is>
      </c>
      <c r="D135" s="5" t="inlineStr">
        <is>
          <t>non-Atom native props pass through with data-prop-check marker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</t>
        </is>
      </c>
      <c r="H135" s="9" t="inlineStr">
        <is>
          <t>covered</t>
        </is>
      </c>
      <c r="I135" s="5" t="inlineStr">
        <is>
          <t>Combobox playground scenario.</t>
        </is>
      </c>
      <c r="J135" s="5" t="n"/>
      <c r="K135" s="6">
        <f>IF(AND(E135="yes",F135="yes",H135="covered"),1,IF(AND(E135="yes",H135="partial"),0.5,0))</f>
        <v/>
      </c>
    </row>
    <row r="136" ht="15" customHeight="1" s="60">
      <c r="A136" s="4" t="n">
        <v>128</v>
      </c>
      <c r="B136" s="5" t="inlineStr">
        <is>
          <t>Refs</t>
        </is>
      </c>
      <c r="C136" s="5" t="inlineStr">
        <is>
          <t>Loading</t>
        </is>
      </c>
      <c r="D136" s="5" t="inlineStr">
        <is>
          <t>consumer ref receives the rendered element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</t>
        </is>
      </c>
      <c r="H136" s="9" t="inlineStr">
        <is>
          <t>covered</t>
        </is>
      </c>
      <c r="I136" s="5" t="inlineStr">
        <is>
          <t>Combobox playground scenario.</t>
        </is>
      </c>
      <c r="J136" s="5" t="n"/>
      <c r="K136" s="6">
        <f>IF(AND(E136="yes",F136="yes",H136="covered"),1,IF(AND(E136="yes",H136="partial"),0.5,0))</f>
        <v/>
      </c>
    </row>
    <row r="137" ht="15" customHeight="1" s="60">
      <c r="A137" s="4" t="n">
        <v>129</v>
      </c>
      <c r="B137" s="5" t="inlineStr">
        <is>
          <t>Public API</t>
        </is>
      </c>
      <c r="C137" s="5" t="inlineStr">
        <is>
          <t>Loading</t>
        </is>
      </c>
      <c r="D137" s="5" t="inlineStr">
        <is>
          <t>[data-slot] prop behavior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</t>
        </is>
      </c>
      <c r="H137" s="9" t="inlineStr">
        <is>
          <t>covered</t>
        </is>
      </c>
      <c r="I137" s="5" t="inlineStr">
        <is>
          <t>Combobox playground scenario.</t>
        </is>
      </c>
      <c r="J137" s="5" t="n"/>
      <c r="K137" s="6">
        <f>IF(AND(E137="yes",F137="yes",H137="covered"),1,IF(AND(E137="yes",H137="partial"),0.5,0))</f>
        <v/>
      </c>
    </row>
    <row r="138" ht="15" customHeight="1" s="60">
      <c r="A138" s="4" t="n">
        <v>130</v>
      </c>
      <c r="B138" s="5" t="inlineStr">
        <is>
          <t>ARIA</t>
        </is>
      </c>
      <c r="C138" s="5" t="inlineStr">
        <is>
          <t>Live DOM</t>
        </is>
      </c>
      <c r="D138" s="5" t="inlineStr">
        <is>
          <t>aria-activedescendant is present at the correct time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</t>
        </is>
      </c>
      <c r="H138" s="9" t="inlineStr">
        <is>
          <t>covered</t>
        </is>
      </c>
      <c r="I138" s="5" t="inlineStr">
        <is>
          <t>Combobox playground scenario.</t>
        </is>
      </c>
      <c r="J138" s="5" t="n"/>
      <c r="K138" s="6">
        <f>IF(AND(E138="yes",F138="yes",H138="covered"),1,IF(AND(E138="yes",H138="partial"),0.5,0))</f>
        <v/>
      </c>
    </row>
    <row r="139" ht="15" customHeight="1" s="60">
      <c r="A139" s="4" t="n">
        <v>131</v>
      </c>
      <c r="B139" s="5" t="inlineStr">
        <is>
          <t>ARIA</t>
        </is>
      </c>
      <c r="C139" s="5" t="inlineStr">
        <is>
          <t>Live DOM</t>
        </is>
      </c>
      <c r="D139" s="5" t="inlineStr">
        <is>
          <t>aria-autocomplete is present at the correct time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</t>
        </is>
      </c>
      <c r="H139" s="9" t="inlineStr">
        <is>
          <t>covered</t>
        </is>
      </c>
      <c r="I139" s="5" t="inlineStr">
        <is>
          <t>Combobox playground scenario.</t>
        </is>
      </c>
      <c r="J139" s="5" t="n"/>
      <c r="K139" s="6">
        <f>IF(AND(E139="yes",F139="yes",H139="covered"),1,IF(AND(E139="yes",H139="partial"),0.5,0))</f>
        <v/>
      </c>
    </row>
    <row r="140" ht="15" customHeight="1" s="60">
      <c r="A140" s="4" t="n">
        <v>132</v>
      </c>
      <c r="B140" s="5" t="inlineStr">
        <is>
          <t>ARIA</t>
        </is>
      </c>
      <c r="C140" s="5" t="inlineStr">
        <is>
          <t>Live DOM</t>
        </is>
      </c>
      <c r="D140" s="5" t="inlineStr">
        <is>
          <t>aria-controls is present at the correct time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</t>
        </is>
      </c>
      <c r="H140" s="9" t="inlineStr">
        <is>
          <t>covered</t>
        </is>
      </c>
      <c r="I140" s="5" t="inlineStr">
        <is>
          <t>Combobox playground scenario.</t>
        </is>
      </c>
      <c r="J140" s="5" t="n"/>
      <c r="K140" s="6">
        <f>IF(AND(E140="yes",F140="yes",H140="covered"),1,IF(AND(E140="yes",H140="partial"),0.5,0))</f>
        <v/>
      </c>
    </row>
    <row r="141" ht="15" customHeight="1" s="60">
      <c r="A141" s="4" t="n">
        <v>133</v>
      </c>
      <c r="B141" s="5" t="inlineStr">
        <is>
          <t>ARIA</t>
        </is>
      </c>
      <c r="C141" s="5" t="inlineStr">
        <is>
          <t>Live DOM</t>
        </is>
      </c>
      <c r="D141" s="5" t="inlineStr">
        <is>
          <t>aria-disabled is present at the correct time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</t>
        </is>
      </c>
      <c r="H141" s="9" t="inlineStr">
        <is>
          <t>covered</t>
        </is>
      </c>
      <c r="I141" s="5" t="inlineStr">
        <is>
          <t>Combobox playground scenario.</t>
        </is>
      </c>
      <c r="J141" s="5" t="n"/>
      <c r="K141" s="6">
        <f>IF(AND(E141="yes",F141="yes",H141="covered"),1,IF(AND(E141="yes",H141="partial"),0.5,0))</f>
        <v/>
      </c>
    </row>
    <row r="142" ht="15" customHeight="1" s="60">
      <c r="A142" s="4" t="n">
        <v>134</v>
      </c>
      <c r="B142" s="5" t="inlineStr">
        <is>
          <t>ARIA</t>
        </is>
      </c>
      <c r="C142" s="5" t="inlineStr">
        <is>
          <t>Live DOM</t>
        </is>
      </c>
      <c r="D142" s="5" t="inlineStr">
        <is>
          <t>aria-expanded is present at the correct time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</t>
        </is>
      </c>
      <c r="H142" s="9" t="inlineStr">
        <is>
          <t>covered</t>
        </is>
      </c>
      <c r="I142" s="5" t="inlineStr">
        <is>
          <t>Combobox playground scenario.</t>
        </is>
      </c>
      <c r="J142" s="5" t="n"/>
      <c r="K142" s="6">
        <f>IF(AND(E142="yes",F142="yes",H142="covered"),1,IF(AND(E142="yes",H142="partial"),0.5,0))</f>
        <v/>
      </c>
    </row>
    <row r="143" ht="15" customHeight="1" s="60">
      <c r="A143" s="4" t="n">
        <v>135</v>
      </c>
      <c r="B143" s="5" t="inlineStr">
        <is>
          <t>ARIA</t>
        </is>
      </c>
      <c r="C143" s="5" t="inlineStr">
        <is>
          <t>Live DOM</t>
        </is>
      </c>
      <c r="D143" s="5" t="inlineStr">
        <is>
          <t>aria-haspopup is present at the correct time</t>
        </is>
      </c>
      <c r="E143" s="7" t="inlineStr">
        <is>
          <t>yes</t>
        </is>
      </c>
      <c r="F143" s="8" t="inlineStr">
        <is>
          <t>yes</t>
        </is>
      </c>
      <c r="G143" s="4" t="inlineStr">
        <is>
          <t>passed</t>
        </is>
      </c>
      <c r="H143" s="9" t="inlineStr">
        <is>
          <t>covered</t>
        </is>
      </c>
      <c r="I143" s="5" t="inlineStr">
        <is>
          <t>Combobox playground scenario.</t>
        </is>
      </c>
      <c r="J143" s="5" t="n"/>
      <c r="K143" s="6">
        <f>IF(AND(E143="yes",F143="yes",H143="covered"),1,IF(AND(E143="yes",H143="partial"),0.5,0))</f>
        <v/>
      </c>
    </row>
    <row r="144" ht="15" customHeight="1" s="60">
      <c r="A144" s="4" t="n">
        <v>136</v>
      </c>
      <c r="B144" s="5" t="inlineStr">
        <is>
          <t>ARIA</t>
        </is>
      </c>
      <c r="C144" s="5" t="inlineStr">
        <is>
          <t>Live DOM</t>
        </is>
      </c>
      <c r="D144" s="5" t="inlineStr">
        <is>
          <t>aria-hidden is present at the correct time</t>
        </is>
      </c>
      <c r="E144" s="7" t="inlineStr">
        <is>
          <t>yes</t>
        </is>
      </c>
      <c r="F144" s="8" t="inlineStr">
        <is>
          <t>yes</t>
        </is>
      </c>
      <c r="G144" s="4" t="inlineStr">
        <is>
          <t>passed</t>
        </is>
      </c>
      <c r="H144" s="9" t="inlineStr">
        <is>
          <t>covered</t>
        </is>
      </c>
      <c r="I144" s="5" t="inlineStr">
        <is>
          <t>Combobox playground scenario.</t>
        </is>
      </c>
      <c r="J144" s="5" t="n"/>
      <c r="K144" s="6">
        <f>IF(AND(E144="yes",F144="yes",H144="covered"),1,IF(AND(E144="yes",H144="partial"),0.5,0))</f>
        <v/>
      </c>
    </row>
    <row r="145" ht="15" customHeight="1" s="60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aria-invalid is present at the correct time</t>
        </is>
      </c>
      <c r="E145" s="7" t="inlineStr">
        <is>
          <t>yes</t>
        </is>
      </c>
      <c r="F145" s="8" t="inlineStr">
        <is>
          <t>yes</t>
        </is>
      </c>
      <c r="G145" s="4" t="inlineStr">
        <is>
          <t>passed</t>
        </is>
      </c>
      <c r="H145" s="9" t="inlineStr">
        <is>
          <t>covered</t>
        </is>
      </c>
      <c r="I145" s="5" t="inlineStr">
        <is>
          <t>Combobox playground scenario.</t>
        </is>
      </c>
      <c r="J145" s="5" t="n"/>
      <c r="K145" s="6">
        <f>IF(AND(E145="yes",F145="yes",H145="covered"),1,IF(AND(E145="yes",H145="partial"),0.5,0))</f>
        <v/>
      </c>
    </row>
    <row r="146" ht="15" customHeight="1" s="60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aria-label is present at the correct time</t>
        </is>
      </c>
      <c r="E146" s="7" t="inlineStr">
        <is>
          <t>yes</t>
        </is>
      </c>
      <c r="F146" s="8" t="inlineStr">
        <is>
          <t>yes</t>
        </is>
      </c>
      <c r="G146" s="4" t="inlineStr">
        <is>
          <t>passed</t>
        </is>
      </c>
      <c r="H146" s="9" t="inlineStr">
        <is>
          <t>covered</t>
        </is>
      </c>
      <c r="I146" s="5" t="inlineStr">
        <is>
          <t>Combobox playground scenario.</t>
        </is>
      </c>
      <c r="J146" s="5" t="n"/>
      <c r="K146" s="6">
        <f>IF(AND(E146="yes",F146="yes",H146="covered"),1,IF(AND(E146="yes",H146="partial"),0.5,0))</f>
        <v/>
      </c>
    </row>
    <row r="147" ht="15" customHeight="1" s="60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aria-labelledby is present at the correct time</t>
        </is>
      </c>
      <c r="E147" s="7" t="inlineStr">
        <is>
          <t>yes</t>
        </is>
      </c>
      <c r="F147" s="8" t="inlineStr">
        <is>
          <t>yes</t>
        </is>
      </c>
      <c r="G147" s="4" t="inlineStr">
        <is>
          <t>passed</t>
        </is>
      </c>
      <c r="H147" s="9" t="inlineStr">
        <is>
          <t>covered</t>
        </is>
      </c>
      <c r="I147" s="5" t="inlineStr">
        <is>
          <t>Combobox playground scenario.</t>
        </is>
      </c>
      <c r="J147" s="5" t="n"/>
      <c r="K147" s="6">
        <f>IF(AND(E147="yes",F147="yes",H147="covered"),1,IF(AND(E147="yes",H147="partial"),0.5,0))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aria-required is present at the correct time</t>
        </is>
      </c>
      <c r="E148" s="7" t="inlineStr">
        <is>
          <t>yes</t>
        </is>
      </c>
      <c r="F148" s="8" t="inlineStr">
        <is>
          <t>yes</t>
        </is>
      </c>
      <c r="G148" s="4" t="inlineStr">
        <is>
          <t>passed</t>
        </is>
      </c>
      <c r="H148" s="9" t="inlineStr">
        <is>
          <t>covered</t>
        </is>
      </c>
      <c r="I148" s="5" t="inlineStr">
        <is>
          <t>Combobox playground scenario.</t>
        </is>
      </c>
      <c r="J148" s="5" t="n"/>
      <c r="K148" s="6">
        <f>IF(AND(E148="yes",F148="yes",H148="covered"),1,IF(AND(E148="yes",H148="partial"),0.5,0))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aria-selected is present at the correct time</t>
        </is>
      </c>
      <c r="E149" s="7" t="inlineStr">
        <is>
          <t>yes</t>
        </is>
      </c>
      <c r="F149" s="8" t="inlineStr">
        <is>
          <t>yes</t>
        </is>
      </c>
      <c r="G149" s="4" t="inlineStr">
        <is>
          <t>passed</t>
        </is>
      </c>
      <c r="H149" s="9" t="inlineStr">
        <is>
          <t>covered</t>
        </is>
      </c>
      <c r="I149" s="5" t="inlineStr">
        <is>
          <t>Combobox playground scenario.</t>
        </is>
      </c>
      <c r="J149" s="5" t="n"/>
      <c r="K149" s="6">
        <f>IF(AND(E149="yes",F149="yes",H149="covered"),1,IF(AND(E149="yes",H149="partial"),0.5,0))</f>
        <v/>
      </c>
    </row>
    <row r="150" ht="15" customHeight="1" s="60">
      <c r="A150" s="4" t="n">
        <v>142</v>
      </c>
      <c r="B150" s="5" t="inlineStr">
        <is>
          <t>Data</t>
        </is>
      </c>
      <c r="C150" s="5" t="inlineStr">
        <is>
          <t>Live DOM</t>
        </is>
      </c>
      <c r="D150" s="5" t="inlineStr">
        <is>
          <t>data-disabled is present at the correct time</t>
        </is>
      </c>
      <c r="E150" s="7" t="inlineStr">
        <is>
          <t>yes</t>
        </is>
      </c>
      <c r="F150" s="8" t="inlineStr">
        <is>
          <t>yes</t>
        </is>
      </c>
      <c r="G150" s="4" t="inlineStr">
        <is>
          <t>passed</t>
        </is>
      </c>
      <c r="H150" s="9" t="inlineStr">
        <is>
          <t>covered</t>
        </is>
      </c>
      <c r="I150" s="5" t="inlineStr">
        <is>
          <t>Combobox playground scenario.</t>
        </is>
      </c>
      <c r="J150" s="5" t="n"/>
      <c r="K150" s="6">
        <f>IF(AND(E150="yes",F150="yes",H150="covered"),1,IF(AND(E150="yes",H150="partial"),0.5,0))</f>
        <v/>
      </c>
    </row>
    <row r="151" ht="15" customHeight="1" s="60">
      <c r="A151" s="4" t="n">
        <v>143</v>
      </c>
      <c r="B151" s="5" t="inlineStr">
        <is>
          <t>Data</t>
        </is>
      </c>
      <c r="C151" s="5" t="inlineStr">
        <is>
          <t>Live DOM</t>
        </is>
      </c>
      <c r="D151" s="5" t="inlineStr">
        <is>
          <t>data-hidden is present at the correct time</t>
        </is>
      </c>
      <c r="E151" s="7" t="inlineStr">
        <is>
          <t>yes</t>
        </is>
      </c>
      <c r="F151" s="8" t="inlineStr">
        <is>
          <t>yes</t>
        </is>
      </c>
      <c r="G151" s="4" t="inlineStr">
        <is>
          <t>passed</t>
        </is>
      </c>
      <c r="H151" s="9" t="inlineStr">
        <is>
          <t>covered</t>
        </is>
      </c>
      <c r="I151" s="5" t="inlineStr">
        <is>
          <t>Combobox playground scenario.</t>
        </is>
      </c>
      <c r="J151" s="5" t="n"/>
      <c r="K151" s="6">
        <f>IF(AND(E151="yes",F151="yes",H151="covered"),1,IF(AND(E151="yes",H151="partial"),0.5,0))</f>
        <v/>
      </c>
    </row>
    <row r="152" ht="15" customHeight="1" s="60">
      <c r="A152" s="4" t="n">
        <v>144</v>
      </c>
      <c r="B152" s="5" t="inlineStr">
        <is>
          <t>Data</t>
        </is>
      </c>
      <c r="C152" s="5" t="inlineStr">
        <is>
          <t>Live DOM</t>
        </is>
      </c>
      <c r="D152" s="5" t="inlineStr">
        <is>
          <t>data-highlighted is present at the correct time</t>
        </is>
      </c>
      <c r="E152" s="7" t="inlineStr">
        <is>
          <t>yes</t>
        </is>
      </c>
      <c r="F152" s="8" t="inlineStr">
        <is>
          <t>yes</t>
        </is>
      </c>
      <c r="G152" s="4" t="inlineStr">
        <is>
          <t>passed</t>
        </is>
      </c>
      <c r="H152" s="9" t="inlineStr">
        <is>
          <t>covered</t>
        </is>
      </c>
      <c r="I152" s="5" t="inlineStr">
        <is>
          <t>Combobox playground scenario.</t>
        </is>
      </c>
      <c r="J152" s="5" t="n"/>
      <c r="K152" s="6">
        <f>IF(AND(E152="yes",F152="yes",H152="covered"),1,IF(AND(E152="yes",H152="partial"),0.5,0))</f>
        <v/>
      </c>
    </row>
    <row r="153" ht="15" customHeight="1" s="60">
      <c r="A153" s="4" t="n">
        <v>145</v>
      </c>
      <c r="B153" s="5" t="inlineStr">
        <is>
          <t>Data</t>
        </is>
      </c>
      <c r="C153" s="5" t="inlineStr">
        <is>
          <t>Live DOM</t>
        </is>
      </c>
      <c r="D153" s="5" t="inlineStr">
        <is>
          <t>data-invalid is present at the correct time</t>
        </is>
      </c>
      <c r="E153" s="7" t="inlineStr">
        <is>
          <t>yes</t>
        </is>
      </c>
      <c r="F153" s="8" t="inlineStr">
        <is>
          <t>yes</t>
        </is>
      </c>
      <c r="G153" s="4" t="inlineStr">
        <is>
          <t>passed</t>
        </is>
      </c>
      <c r="H153" s="9" t="inlineStr">
        <is>
          <t>covered</t>
        </is>
      </c>
      <c r="I153" s="5" t="inlineStr">
        <is>
          <t>Combobox playground scenario.</t>
        </is>
      </c>
      <c r="J153" s="5" t="n"/>
      <c r="K153" s="6">
        <f>IF(AND(E153="yes",F153="yes",H153="covered"),1,IF(AND(E153="yes",H153="partial"),0.5,0))</f>
        <v/>
      </c>
    </row>
    <row r="154" ht="15" customHeight="1" s="60">
      <c r="A154" s="4" t="n">
        <v>146</v>
      </c>
      <c r="B154" s="5" t="inlineStr">
        <is>
          <t>Data</t>
        </is>
      </c>
      <c r="C154" s="5" t="inlineStr">
        <is>
          <t>Live DOM</t>
        </is>
      </c>
      <c r="D154" s="5" t="inlineStr">
        <is>
          <t>data-positioned is present at the correct time</t>
        </is>
      </c>
      <c r="E154" s="7" t="inlineStr">
        <is>
          <t>yes</t>
        </is>
      </c>
      <c r="F154" s="8" t="inlineStr">
        <is>
          <t>yes</t>
        </is>
      </c>
      <c r="G154" s="4" t="inlineStr">
        <is>
          <t>passed</t>
        </is>
      </c>
      <c r="H154" s="9" t="inlineStr">
        <is>
          <t>covered</t>
        </is>
      </c>
      <c r="I154" s="5" t="inlineStr">
        <is>
          <t>Combobox playground scenario.</t>
        </is>
      </c>
      <c r="J154" s="5" t="n"/>
      <c r="K154" s="6">
        <f>IF(AND(E154="yes",F154="yes",H154="covered"),1,IF(AND(E154="yes",H154="partial"),0.5,0))</f>
        <v/>
      </c>
    </row>
    <row r="155" ht="15" customHeight="1" s="60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data-readonly is present at the correct time</t>
        </is>
      </c>
      <c r="E155" s="7" t="inlineStr">
        <is>
          <t>yes</t>
        </is>
      </c>
      <c r="F155" s="8" t="inlineStr">
        <is>
          <t>yes</t>
        </is>
      </c>
      <c r="G155" s="4" t="inlineStr">
        <is>
          <t>passed</t>
        </is>
      </c>
      <c r="H155" s="9" t="inlineStr">
        <is>
          <t>covered</t>
        </is>
      </c>
      <c r="I155" s="5" t="inlineStr">
        <is>
          <t>Combobox playground scenario.</t>
        </is>
      </c>
      <c r="J155" s="5" t="n"/>
      <c r="K155" s="6">
        <f>IF(AND(E155="yes",F155="yes",H155="covered"),1,IF(AND(E155="yes",H155="partial"),0.5,0))</f>
        <v/>
      </c>
    </row>
    <row r="156" ht="15" customHeight="1" s="60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data-slot is present at the correct time</t>
        </is>
      </c>
      <c r="E156" s="7" t="inlineStr">
        <is>
          <t>yes</t>
        </is>
      </c>
      <c r="F156" s="8" t="inlineStr">
        <is>
          <t>yes</t>
        </is>
      </c>
      <c r="G156" s="4" t="inlineStr">
        <is>
          <t>passed</t>
        </is>
      </c>
      <c r="H156" s="9" t="inlineStr">
        <is>
          <t>covered</t>
        </is>
      </c>
      <c r="I156" s="5" t="inlineStr">
        <is>
          <t>Combobox playground scenario.</t>
        </is>
      </c>
      <c r="J156" s="5" t="n"/>
      <c r="K156" s="6">
        <f>IF(AND(E156="yes",F156="yes",H156="covered"),1,IF(AND(E156="yes",H156="partial"),0.5,0))</f>
        <v/>
      </c>
    </row>
    <row r="157" ht="15" customHeight="1" s="60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data-state is present at the correct time</t>
        </is>
      </c>
      <c r="E157" s="7" t="inlineStr">
        <is>
          <t>yes</t>
        </is>
      </c>
      <c r="F157" s="8" t="inlineStr">
        <is>
          <t>yes</t>
        </is>
      </c>
      <c r="G157" s="4" t="inlineStr">
        <is>
          <t>passed</t>
        </is>
      </c>
      <c r="H157" s="9" t="inlineStr">
        <is>
          <t>covered</t>
        </is>
      </c>
      <c r="I157" s="5" t="inlineStr">
        <is>
          <t>Combobox playground scenario.</t>
        </is>
      </c>
      <c r="J157" s="5" t="n"/>
      <c r="K157" s="6">
        <f>IF(AND(E157="yes",F157="yes",H157="covered"),1,IF(AND(E157="yes",H157="partial"),0.5,0))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data-value is present at the correct time</t>
        </is>
      </c>
      <c r="E158" s="7" t="inlineStr">
        <is>
          <t>yes</t>
        </is>
      </c>
      <c r="F158" s="8" t="inlineStr">
        <is>
          <t>yes</t>
        </is>
      </c>
      <c r="G158" s="4" t="inlineStr">
        <is>
          <t>passed</t>
        </is>
      </c>
      <c r="H158" s="9" t="inlineStr">
        <is>
          <t>covered</t>
        </is>
      </c>
      <c r="I158" s="5" t="inlineStr">
        <is>
          <t>Combobox playground scenario.</t>
        </is>
      </c>
      <c r="J158" s="5" t="n"/>
      <c r="K158" s="6">
        <f>IF(AND(E158="yes",F158="yes",H158="covered"),1,IF(AND(E158="yes",H158="partial"),0.5,0))</f>
        <v/>
      </c>
    </row>
    <row r="159" ht="30" customHeight="1" s="60">
      <c r="A159" s="4" t="n">
        <v>151</v>
      </c>
      <c r="B159" s="5" t="inlineStr">
        <is>
          <t>Composition</t>
        </is>
      </c>
      <c r="C159" s="5" t="inlineStr">
        <is>
          <t>Combobox</t>
        </is>
      </c>
      <c r="D159" s="5" t="inlineStr">
        <is>
          <t>asChild preserves child content without double nesting</t>
        </is>
      </c>
      <c r="E159" s="7" t="inlineStr">
        <is>
          <t>yes</t>
        </is>
      </c>
      <c r="F159" s="8" t="inlineStr">
        <is>
          <t>yes</t>
        </is>
      </c>
      <c r="G159" s="4" t="inlineStr">
        <is>
          <t>passed</t>
        </is>
      </c>
      <c r="H159" s="9" t="inlineStr">
        <is>
          <t>covered</t>
        </is>
      </c>
      <c r="I159" s="5" t="inlineStr">
        <is>
          <t>Combobox playground scenario.</t>
        </is>
      </c>
      <c r="J159" s="5" t="n"/>
      <c r="K159" s="6">
        <f>IF(AND(E159="yes",F159="yes",H159="covered"),1,IF(AND(E159="yes",H159="partial"),0.5,0))</f>
        <v/>
      </c>
    </row>
    <row r="160" ht="15" customHeight="1" s="60">
      <c r="A160" s="4" t="n">
        <v>152</v>
      </c>
      <c r="B160" s="5" t="inlineStr">
        <is>
          <t>Composition</t>
        </is>
      </c>
      <c r="C160" s="5" t="inlineStr">
        <is>
          <t>Combobox</t>
        </is>
      </c>
      <c r="D160" s="5" t="inlineStr">
        <is>
          <t>asChild merges Atom props and consumer props</t>
        </is>
      </c>
      <c r="E160" s="7" t="inlineStr">
        <is>
          <t>yes</t>
        </is>
      </c>
      <c r="F160" s="8" t="inlineStr">
        <is>
          <t>yes</t>
        </is>
      </c>
      <c r="G160" s="4" t="inlineStr">
        <is>
          <t>passed</t>
        </is>
      </c>
      <c r="H160" s="9" t="inlineStr">
        <is>
          <t>covered</t>
        </is>
      </c>
      <c r="I160" s="5" t="inlineStr">
        <is>
          <t>Combobox playground scenario.</t>
        </is>
      </c>
      <c r="J160" s="5" t="n"/>
      <c r="K160" s="6">
        <f>IF(AND(E160="yes",F160="yes",H160="covered"),1,IF(AND(E160="yes",H160="partial"),0.5,0))</f>
        <v/>
      </c>
    </row>
    <row r="161" ht="15" customHeight="1" s="60">
      <c r="A161" s="4" t="n">
        <v>153</v>
      </c>
      <c r="B161" s="5" t="inlineStr">
        <is>
          <t>Composition</t>
        </is>
      </c>
      <c r="C161" s="5" t="inlineStr">
        <is>
          <t>Combobox</t>
        </is>
      </c>
      <c r="D161" s="5" t="inlineStr">
        <is>
          <t>asChild lets preventDefault block Atom behavior where supported</t>
        </is>
      </c>
      <c r="E161" s="7" t="inlineStr">
        <is>
          <t>yes</t>
        </is>
      </c>
      <c r="F161" s="8" t="inlineStr">
        <is>
          <t>yes</t>
        </is>
      </c>
      <c r="G161" s="4" t="inlineStr">
        <is>
          <t>passed</t>
        </is>
      </c>
      <c r="H161" s="9" t="inlineStr">
        <is>
          <t>covered</t>
        </is>
      </c>
      <c r="I161" s="5" t="inlineStr">
        <is>
          <t>Combobox playground scenario.</t>
        </is>
      </c>
      <c r="J161" s="5" t="n"/>
      <c r="K161" s="6">
        <f>IF(AND(E161="yes",F161="yes",H161="covered"),1,IF(AND(E161="yes",H161="partial"),0.5,0))</f>
        <v/>
      </c>
    </row>
    <row r="162" ht="15" customHeight="1" s="60">
      <c r="A162" s="4" t="n">
        <v>154</v>
      </c>
      <c r="B162" s="5" t="inlineStr">
        <is>
          <t>Composition</t>
        </is>
      </c>
      <c r="C162" s="5" t="inlineStr">
        <is>
          <t>Combobox</t>
        </is>
      </c>
      <c r="D162" s="5" t="inlineStr">
        <is>
          <t>render prop renders custom element</t>
        </is>
      </c>
      <c r="E162" s="7" t="inlineStr">
        <is>
          <t>yes</t>
        </is>
      </c>
      <c r="F162" s="8" t="inlineStr">
        <is>
          <t>yes</t>
        </is>
      </c>
      <c r="G162" s="4" t="inlineStr">
        <is>
          <t>passed</t>
        </is>
      </c>
      <c r="H162" s="9" t="inlineStr">
        <is>
          <t>covered</t>
        </is>
      </c>
      <c r="I162" s="5" t="inlineStr">
        <is>
          <t>Combobox playground scenario.</t>
        </is>
      </c>
      <c r="J162" s="5" t="n"/>
      <c r="K162" s="6">
        <f>IF(AND(E162="yes",F162="yes",H162="covered"),1,IF(AND(E162="yes",H162="partial"),0.5,0))</f>
        <v/>
      </c>
    </row>
    <row r="163" ht="15" customHeight="1" s="60">
      <c r="A163" s="4" t="n">
        <v>155</v>
      </c>
      <c r="B163" s="5" t="inlineStr">
        <is>
          <t>Composition</t>
        </is>
      </c>
      <c r="C163" s="5" t="inlineStr">
        <is>
          <t>Combobox</t>
        </is>
      </c>
      <c r="D163" s="5" t="inlineStr">
        <is>
          <t>render prop preserves refs and behavior props</t>
        </is>
      </c>
      <c r="E163" s="7" t="inlineStr">
        <is>
          <t>yes</t>
        </is>
      </c>
      <c r="F163" s="8" t="inlineStr">
        <is>
          <t>yes</t>
        </is>
      </c>
      <c r="G163" s="4" t="inlineStr">
        <is>
          <t>passed</t>
        </is>
      </c>
      <c r="H163" s="9" t="inlineStr">
        <is>
          <t>covered</t>
        </is>
      </c>
      <c r="I163" s="5" t="inlineStr">
        <is>
          <t>Combobox playground scenario.</t>
        </is>
      </c>
      <c r="J163" s="5" t="n"/>
      <c r="K163" s="6">
        <f>IF(AND(E163="yes",F163="yes",H163="covered"),1,IF(AND(E163="yes",H163="partial"),0.5,0))</f>
        <v/>
      </c>
    </row>
    <row r="164" ht="15" customHeight="1" s="60">
      <c r="A164" s="4" t="n">
        <v>156</v>
      </c>
      <c r="B164" s="5" t="inlineStr">
        <is>
          <t>State</t>
        </is>
      </c>
      <c r="C164" s="5" t="inlineStr">
        <is>
          <t>Root</t>
        </is>
      </c>
      <c r="D164" s="5" t="inlineStr">
        <is>
          <t>controlled state path</t>
        </is>
      </c>
      <c r="E164" s="7" t="inlineStr">
        <is>
          <t>yes</t>
        </is>
      </c>
      <c r="F164" s="8" t="inlineStr">
        <is>
          <t>yes</t>
        </is>
      </c>
      <c r="G164" s="4" t="inlineStr">
        <is>
          <t>passed</t>
        </is>
      </c>
      <c r="H164" s="9" t="inlineStr">
        <is>
          <t>covered</t>
        </is>
      </c>
      <c r="I164" s="5" t="inlineStr">
        <is>
          <t>Combobox playground scenario.</t>
        </is>
      </c>
      <c r="J164" s="5" t="n"/>
      <c r="K164" s="6">
        <f>IF(AND(E164="yes",F164="yes",H164="covered"),1,IF(AND(E164="yes",H164="partial"),0.5,0))</f>
        <v/>
      </c>
    </row>
    <row r="165" ht="30" customHeight="1" s="60">
      <c r="A165" s="4" t="n">
        <v>157</v>
      </c>
      <c r="B165" s="5" t="inlineStr">
        <is>
          <t>State</t>
        </is>
      </c>
      <c r="C165" s="5" t="inlineStr">
        <is>
          <t>Root</t>
        </is>
      </c>
      <c r="D165" s="5" t="inlineStr">
        <is>
          <t>uncontrolled default state path</t>
        </is>
      </c>
      <c r="E165" s="7" t="inlineStr">
        <is>
          <t>yes</t>
        </is>
      </c>
      <c r="F165" s="8" t="inlineStr">
        <is>
          <t>yes</t>
        </is>
      </c>
      <c r="G165" s="4" t="inlineStr">
        <is>
          <t>passed</t>
        </is>
      </c>
      <c r="H165" s="9" t="inlineStr">
        <is>
          <t>covered</t>
        </is>
      </c>
      <c r="I165" s="5" t="inlineStr">
        <is>
          <t>Combobox playground scenario.</t>
        </is>
      </c>
      <c r="J165" s="5" t="n"/>
      <c r="K165" s="6">
        <f>IF(AND(E165="yes",F165="yes",H165="covered"),1,IF(AND(E165="yes",H165="partial"),0.5,0))</f>
        <v/>
      </c>
    </row>
    <row r="166" ht="30" customHeight="1" s="60">
      <c r="A166" s="4" t="n">
        <v>158</v>
      </c>
      <c r="B166" s="5" t="inlineStr">
        <is>
          <t>State</t>
        </is>
      </c>
      <c r="C166" s="5" t="inlineStr">
        <is>
          <t>Root</t>
        </is>
      </c>
      <c r="D166" s="5" t="inlineStr">
        <is>
          <t>state change callback fires once with correct value</t>
        </is>
      </c>
      <c r="E166" s="7" t="inlineStr">
        <is>
          <t>yes</t>
        </is>
      </c>
      <c r="F166" s="8" t="inlineStr">
        <is>
          <t>yes</t>
        </is>
      </c>
      <c r="G166" s="4" t="inlineStr">
        <is>
          <t>passed</t>
        </is>
      </c>
      <c r="H166" s="9" t="inlineStr">
        <is>
          <t>covered</t>
        </is>
      </c>
      <c r="I166" s="5" t="inlineStr">
        <is>
          <t>Combobox playground scenario.</t>
        </is>
      </c>
      <c r="J166" s="5" t="n"/>
      <c r="K166" s="6">
        <f>IF(AND(E166="yes",F166="yes",H166="covered"),1,IF(AND(E166="yes",H166="partial"),0.5,0))</f>
        <v/>
      </c>
    </row>
    <row r="167" ht="30" customHeight="1" s="60">
      <c r="A167" s="4" t="n">
        <v>159</v>
      </c>
      <c r="B167" s="5" t="inlineStr">
        <is>
          <t>State</t>
        </is>
      </c>
      <c r="C167" s="5" t="inlineStr">
        <is>
          <t>Combobox</t>
        </is>
      </c>
      <c r="D167" s="5" t="inlineStr">
        <is>
          <t>disabled state blocks or exposes behavior correctly where supported</t>
        </is>
      </c>
      <c r="E167" s="7" t="inlineStr">
        <is>
          <t>yes</t>
        </is>
      </c>
      <c r="F167" s="8" t="inlineStr">
        <is>
          <t>yes</t>
        </is>
      </c>
      <c r="G167" s="4" t="inlineStr">
        <is>
          <t>passed</t>
        </is>
      </c>
      <c r="H167" s="9" t="inlineStr">
        <is>
          <t>covered</t>
        </is>
      </c>
      <c r="I167" s="5" t="inlineStr">
        <is>
          <t>Combobox playground scenario.</t>
        </is>
      </c>
      <c r="J167" s="5" t="n"/>
      <c r="K167" s="6">
        <f>IF(AND(E167="yes",F167="yes",H167="covered"),1,IF(AND(E167="yes",H167="partial"),0.5,0))</f>
        <v/>
      </c>
    </row>
    <row r="168" ht="30" customHeight="1" s="60">
      <c r="A168" s="4" t="n">
        <v>160</v>
      </c>
      <c r="B168" s="5" t="inlineStr">
        <is>
          <t>State</t>
        </is>
      </c>
      <c r="C168" s="5" t="inlineStr">
        <is>
          <t>Combobox</t>
        </is>
      </c>
      <c r="D168" s="5" t="inlineStr">
        <is>
          <t>readonly/readOnly state blocks or exposes behavior correctly where supported</t>
        </is>
      </c>
      <c r="E168" s="7" t="inlineStr">
        <is>
          <t>yes</t>
        </is>
      </c>
      <c r="F168" s="8" t="inlineStr">
        <is>
          <t>yes</t>
        </is>
      </c>
      <c r="G168" s="4" t="inlineStr">
        <is>
          <t>passed</t>
        </is>
      </c>
      <c r="H168" s="9" t="inlineStr">
        <is>
          <t>covered</t>
        </is>
      </c>
      <c r="I168" s="5" t="inlineStr">
        <is>
          <t>Combobox playground scenario.</t>
        </is>
      </c>
      <c r="J168" s="5" t="n"/>
      <c r="K168" s="6">
        <f>IF(AND(E168="yes",F168="yes",H168="covered"),1,IF(AND(E168="yes",H168="partial"),0.5,0))</f>
        <v/>
      </c>
    </row>
    <row r="169" ht="15" customHeight="1" s="60">
      <c r="A169" s="4" t="n">
        <v>161</v>
      </c>
      <c r="B169" s="5" t="inlineStr">
        <is>
          <t>State</t>
        </is>
      </c>
      <c r="C169" s="5" t="inlineStr">
        <is>
          <t>Combobox</t>
        </is>
      </c>
      <c r="D169" s="5" t="inlineStr">
        <is>
          <t>required state blocks or exposes behavior correctly where supported</t>
        </is>
      </c>
      <c r="E169" s="7" t="inlineStr">
        <is>
          <t>yes</t>
        </is>
      </c>
      <c r="F169" s="8" t="inlineStr">
        <is>
          <t>yes</t>
        </is>
      </c>
      <c r="G169" s="4" t="inlineStr">
        <is>
          <t>passed</t>
        </is>
      </c>
      <c r="H169" s="9" t="inlineStr">
        <is>
          <t>covered</t>
        </is>
      </c>
      <c r="I169" s="5" t="inlineStr">
        <is>
          <t>Combobox playground scenario.</t>
        </is>
      </c>
      <c r="J169" s="5" t="n"/>
      <c r="K169" s="6">
        <f>IF(AND(E169="yes",F169="yes",H169="covered"),1,IF(AND(E169="yes",H169="partial"),0.5,0))</f>
        <v/>
      </c>
    </row>
    <row r="170" ht="30" customHeight="1" s="60">
      <c r="A170" s="4" t="n">
        <v>162</v>
      </c>
      <c r="B170" s="5" t="inlineStr">
        <is>
          <t>State</t>
        </is>
      </c>
      <c r="C170" s="5" t="inlineStr">
        <is>
          <t>Combobox</t>
        </is>
      </c>
      <c r="D170" s="5" t="inlineStr">
        <is>
          <t>invalid state blocks or exposes behavior correctly where supported</t>
        </is>
      </c>
      <c r="E170" s="7" t="inlineStr">
        <is>
          <t>yes</t>
        </is>
      </c>
      <c r="F170" s="8" t="inlineStr">
        <is>
          <t>yes</t>
        </is>
      </c>
      <c r="G170" s="4" t="inlineStr">
        <is>
          <t>passed</t>
        </is>
      </c>
      <c r="H170" s="9" t="inlineStr">
        <is>
          <t>covered</t>
        </is>
      </c>
      <c r="I170" s="5" t="inlineStr">
        <is>
          <t>Combobox playground scenario.</t>
        </is>
      </c>
      <c r="J170" s="5" t="n"/>
      <c r="K170" s="6">
        <f>IF(AND(E170="yes",F170="yes",H170="covered"),1,IF(AND(E170="yes",H170="partial"),0.5,0))</f>
        <v/>
      </c>
    </row>
    <row r="171" ht="15" customHeight="1" s="60">
      <c r="A171" s="4" t="n">
        <v>163</v>
      </c>
      <c r="B171" s="5" t="inlineStr">
        <is>
          <t>Forms</t>
        </is>
      </c>
      <c r="C171" s="5" t="inlineStr">
        <is>
          <t>Combobox</t>
        </is>
      </c>
      <c r="D171" s="5" t="inlineStr">
        <is>
          <t>form value participates correctly where supported</t>
        </is>
      </c>
      <c r="E171" s="7" t="inlineStr">
        <is>
          <t>yes</t>
        </is>
      </c>
      <c r="F171" s="8" t="inlineStr">
        <is>
          <t>yes</t>
        </is>
      </c>
      <c r="G171" s="4" t="inlineStr">
        <is>
          <t>passed</t>
        </is>
      </c>
      <c r="H171" s="9" t="inlineStr">
        <is>
          <t>covered</t>
        </is>
      </c>
      <c r="I171" s="5" t="inlineStr">
        <is>
          <t>Combobox playground scenario.</t>
        </is>
      </c>
      <c r="J171" s="5" t="n"/>
      <c r="K171" s="6">
        <f>IF(AND(E171="yes",F171="yes",H171="covered"),1,IF(AND(E171="yes",H171="partial"),0.5,0))</f>
        <v/>
      </c>
    </row>
    <row r="172" ht="15" customHeight="1" s="60">
      <c r="A172" s="4" t="n">
        <v>164</v>
      </c>
      <c r="B172" s="5" t="inlineStr">
        <is>
          <t>Forms</t>
        </is>
      </c>
      <c r="C172" s="5" t="inlineStr">
        <is>
          <t>Combobox</t>
        </is>
      </c>
      <c r="D172" s="5" t="inlineStr">
        <is>
          <t>hidden input mirrors value/checked/disabled where supported</t>
        </is>
      </c>
      <c r="E172" s="7" t="inlineStr">
        <is>
          <t>yes</t>
        </is>
      </c>
      <c r="F172" s="8" t="inlineStr">
        <is>
          <t>yes</t>
        </is>
      </c>
      <c r="G172" s="4" t="inlineStr">
        <is>
          <t>passed</t>
        </is>
      </c>
      <c r="H172" s="9" t="inlineStr">
        <is>
          <t>covered</t>
        </is>
      </c>
      <c r="I172" s="5" t="inlineStr">
        <is>
          <t>Combobox playground scenario.</t>
        </is>
      </c>
      <c r="J172" s="5" t="n"/>
      <c r="K172" s="6">
        <f>IF(AND(E172="yes",F172="yes",H172="covered"),1,IF(AND(E172="yes",H172="partial"),0.5,0))</f>
        <v/>
      </c>
    </row>
    <row r="173" ht="15" customHeight="1" s="60">
      <c r="A173" s="4" t="n">
        <v>165</v>
      </c>
      <c r="B173" s="5" t="inlineStr">
        <is>
          <t>Keyboard</t>
        </is>
      </c>
      <c r="C173" s="5" t="inlineStr">
        <is>
          <t>Combobox</t>
        </is>
      </c>
      <c r="D173" s="5" t="inlineStr">
        <is>
          <t>Arrow key navigation follows documented orientation</t>
        </is>
      </c>
      <c r="E173" s="7" t="inlineStr">
        <is>
          <t>yes</t>
        </is>
      </c>
      <c r="F173" s="8" t="inlineStr">
        <is>
          <t>yes</t>
        </is>
      </c>
      <c r="G173" s="4" t="inlineStr">
        <is>
          <t>passed</t>
        </is>
      </c>
      <c r="H173" s="9" t="inlineStr">
        <is>
          <t>covered</t>
        </is>
      </c>
      <c r="I173" s="5" t="inlineStr">
        <is>
          <t>Combobox playground scenario.</t>
        </is>
      </c>
      <c r="J173" s="5" t="n"/>
      <c r="K173" s="6">
        <f>IF(AND(E173="yes",F173="yes",H173="covered"),1,IF(AND(E173="yes",H173="partial"),0.5,0))</f>
        <v/>
      </c>
    </row>
    <row r="174" ht="15" customHeight="1" s="60">
      <c r="A174" s="4" t="n">
        <v>166</v>
      </c>
      <c r="B174" s="5" t="inlineStr">
        <is>
          <t>Keyboard</t>
        </is>
      </c>
      <c r="C174" s="5" t="inlineStr">
        <is>
          <t>Combobox</t>
        </is>
      </c>
      <c r="D174" s="5" t="inlineStr">
        <is>
          <t>Home and End navigation where supported</t>
        </is>
      </c>
      <c r="E174" s="7" t="inlineStr">
        <is>
          <t>yes</t>
        </is>
      </c>
      <c r="F174" s="8" t="inlineStr">
        <is>
          <t>yes</t>
        </is>
      </c>
      <c r="G174" s="4" t="inlineStr">
        <is>
          <t>passed</t>
        </is>
      </c>
      <c r="H174" s="9" t="inlineStr">
        <is>
          <t>covered</t>
        </is>
      </c>
      <c r="I174" s="5" t="inlineStr">
        <is>
          <t>Combobox playground scenario.</t>
        </is>
      </c>
      <c r="J174" s="5" t="n"/>
      <c r="K174" s="6">
        <f>IF(AND(E174="yes",F174="yes",H174="covered"),1,IF(AND(E174="yes",H174="partial"),0.5,0))</f>
        <v/>
      </c>
    </row>
    <row r="175" ht="15" customHeight="1" s="60">
      <c r="A175" s="4" t="n">
        <v>167</v>
      </c>
      <c r="B175" s="5" t="inlineStr">
        <is>
          <t>Keyboard</t>
        </is>
      </c>
      <c r="C175" s="5" t="inlineStr">
        <is>
          <t>Combobox</t>
        </is>
      </c>
      <c r="D175" s="5" t="inlineStr">
        <is>
          <t>disabled items are skipped or exposed according to pattern</t>
        </is>
      </c>
      <c r="E175" s="7" t="inlineStr">
        <is>
          <t>yes</t>
        </is>
      </c>
      <c r="F175" s="8" t="inlineStr">
        <is>
          <t>yes</t>
        </is>
      </c>
      <c r="G175" s="4" t="inlineStr">
        <is>
          <t>passed</t>
        </is>
      </c>
      <c r="H175" s="9" t="inlineStr">
        <is>
          <t>covered</t>
        </is>
      </c>
      <c r="I175" s="5" t="inlineStr">
        <is>
          <t>Combobox playground scenario.</t>
        </is>
      </c>
      <c r="J175" s="5" t="n"/>
      <c r="K175" s="6">
        <f>IF(AND(E175="yes",F175="yes",H175="covered"),1,IF(AND(E175="yes",H175="partial"),0.5,0))</f>
        <v/>
      </c>
    </row>
    <row r="176" ht="15" customHeight="1" s="60">
      <c r="A176" s="4" t="n">
        <v>168</v>
      </c>
      <c r="B176" s="5" t="inlineStr">
        <is>
          <t>Keyboard</t>
        </is>
      </c>
      <c r="C176" s="5" t="inlineStr">
        <is>
          <t>Combobox</t>
        </is>
      </c>
      <c r="D176" s="5" t="inlineStr">
        <is>
          <t>typeahead/search behavior where supported</t>
        </is>
      </c>
      <c r="E176" s="7" t="inlineStr">
        <is>
          <t>yes</t>
        </is>
      </c>
      <c r="F176" s="8" t="inlineStr">
        <is>
          <t>yes</t>
        </is>
      </c>
      <c r="G176" s="4" t="inlineStr">
        <is>
          <t>passed</t>
        </is>
      </c>
      <c r="H176" s="9" t="inlineStr">
        <is>
          <t>covered</t>
        </is>
      </c>
      <c r="I176" s="5" t="inlineStr">
        <is>
          <t>Combobox playground scenario.</t>
        </is>
      </c>
      <c r="J176" s="5" t="n"/>
      <c r="K176" s="6">
        <f>IF(AND(E176="yes",F176="yes",H176="covered"),1,IF(AND(E176="yes",H176="partial"),0.5,0))</f>
        <v/>
      </c>
    </row>
    <row r="177" ht="15" customHeight="1" s="60">
      <c r="A177" s="4" t="n">
        <v>169</v>
      </c>
      <c r="B177" s="5" t="inlineStr">
        <is>
          <t>Focus</t>
        </is>
      </c>
      <c r="C177" s="5" t="inlineStr">
        <is>
          <t>Combobox</t>
        </is>
      </c>
      <c r="D177" s="5" t="inlineStr">
        <is>
          <t>roving focus or active descendant state is visible</t>
        </is>
      </c>
      <c r="E177" s="7" t="inlineStr">
        <is>
          <t>yes</t>
        </is>
      </c>
      <c r="F177" s="8" t="inlineStr">
        <is>
          <t>yes</t>
        </is>
      </c>
      <c r="G177" s="4" t="inlineStr">
        <is>
          <t>passed</t>
        </is>
      </c>
      <c r="H177" s="9" t="inlineStr">
        <is>
          <t>covered</t>
        </is>
      </c>
      <c r="I177" s="5" t="inlineStr">
        <is>
          <t>Combobox playground scenario.</t>
        </is>
      </c>
      <c r="J177" s="5" t="n"/>
      <c r="K177" s="6">
        <f>IF(AND(E177="yes",F177="yes",H177="covered"),1,IF(AND(E177="yes",H177="partial"),0.5,0))</f>
        <v/>
      </c>
    </row>
    <row r="178" ht="15" customHeight="1" s="60">
      <c r="A178" s="4" t="n">
        <v>170</v>
      </c>
      <c r="B178" s="5" t="inlineStr">
        <is>
          <t>Portal</t>
        </is>
      </c>
      <c r="C178" s="5" t="inlineStr">
        <is>
          <t>Combobox</t>
        </is>
      </c>
      <c r="D178" s="5" t="inlineStr">
        <is>
          <t>portal renders in body by default</t>
        </is>
      </c>
      <c r="E178" s="7" t="inlineStr">
        <is>
          <t>yes</t>
        </is>
      </c>
      <c r="F178" s="8" t="inlineStr">
        <is>
          <t>yes</t>
        </is>
      </c>
      <c r="G178" s="4" t="inlineStr">
        <is>
          <t>passed</t>
        </is>
      </c>
      <c r="H178" s="9" t="inlineStr">
        <is>
          <t>covered</t>
        </is>
      </c>
      <c r="I178" s="5" t="inlineStr">
        <is>
          <t>Combobox playground scenario.</t>
        </is>
      </c>
      <c r="J178" s="5" t="n"/>
      <c r="K178" s="6">
        <f>IF(AND(E178="yes",F178="yes",H178="covered"),1,IF(AND(E178="yes",H178="partial"),0.5,0))</f>
        <v/>
      </c>
    </row>
    <row r="179" ht="15" customHeight="1" s="60">
      <c r="A179" s="4" t="n">
        <v>171</v>
      </c>
      <c r="B179" s="5" t="inlineStr">
        <is>
          <t>Portal</t>
        </is>
      </c>
      <c r="C179" s="5" t="inlineStr">
        <is>
          <t>Combobox</t>
        </is>
      </c>
      <c r="D179" s="5" t="inlineStr">
        <is>
          <t>custom/disabled portal path works where supported</t>
        </is>
      </c>
      <c r="E179" s="7" t="inlineStr">
        <is>
          <t>yes</t>
        </is>
      </c>
      <c r="F179" s="8" t="inlineStr">
        <is>
          <t>yes</t>
        </is>
      </c>
      <c r="G179" s="4" t="inlineStr">
        <is>
          <t>passed</t>
        </is>
      </c>
      <c r="H179" s="9" t="inlineStr">
        <is>
          <t>covered</t>
        </is>
      </c>
      <c r="I179" s="5" t="inlineStr">
        <is>
          <t>Combobox playground scenario.</t>
        </is>
      </c>
      <c r="J179" s="5" t="n"/>
      <c r="K179" s="6">
        <f>IF(AND(E179="yes",F179="yes",H179="covered"),1,IF(AND(E179="yes",H179="partial"),0.5,0))</f>
        <v/>
      </c>
    </row>
    <row r="180" ht="15" customHeight="1" s="60">
      <c r="A180" s="4" t="n">
        <v>172</v>
      </c>
      <c r="B180" s="5" t="inlineStr">
        <is>
          <t>Positioning</t>
        </is>
      </c>
      <c r="C180" s="5" t="inlineStr">
        <is>
          <t>Combobox</t>
        </is>
      </c>
      <c r="D180" s="5" t="inlineStr">
        <is>
          <t>side options position content correctly</t>
        </is>
      </c>
      <c r="E180" s="7" t="inlineStr">
        <is>
          <t>yes</t>
        </is>
      </c>
      <c r="F180" s="8" t="inlineStr">
        <is>
          <t>yes</t>
        </is>
      </c>
      <c r="G180" s="4" t="inlineStr">
        <is>
          <t>passed</t>
        </is>
      </c>
      <c r="H180" s="9" t="inlineStr">
        <is>
          <t>covered</t>
        </is>
      </c>
      <c r="I180" s="5" t="inlineStr">
        <is>
          <t>Combobox playground scenario.</t>
        </is>
      </c>
      <c r="J180" s="5" t="n"/>
      <c r="K180" s="6">
        <f>IF(AND(E180="yes",F180="yes",H180="covered"),1,IF(AND(E180="yes",H180="partial"),0.5,0))</f>
        <v/>
      </c>
    </row>
    <row r="181" ht="30" customHeight="1" s="60">
      <c r="A181" s="4" t="n">
        <v>173</v>
      </c>
      <c r="B181" s="5" t="inlineStr">
        <is>
          <t>Positioning</t>
        </is>
      </c>
      <c r="C181" s="5" t="inlineStr">
        <is>
          <t>Combobox</t>
        </is>
      </c>
      <c r="D181" s="5" t="inlineStr">
        <is>
          <t>align options position content correctly</t>
        </is>
      </c>
      <c r="E181" s="7" t="inlineStr">
        <is>
          <t>yes</t>
        </is>
      </c>
      <c r="F181" s="8" t="inlineStr">
        <is>
          <t>yes</t>
        </is>
      </c>
      <c r="G181" s="4" t="inlineStr">
        <is>
          <t>passed</t>
        </is>
      </c>
      <c r="H181" s="9" t="inlineStr">
        <is>
          <t>covered</t>
        </is>
      </c>
      <c r="I181" s="5" t="inlineStr">
        <is>
          <t>Combobox playground scenario.</t>
        </is>
      </c>
      <c r="J181" s="5" t="n"/>
      <c r="K181" s="6">
        <f>IF(AND(E181="yes",F181="yes",H181="covered"),1,IF(AND(E181="yes",H181="partial"),0.5,0))</f>
        <v/>
      </c>
    </row>
    <row r="182" ht="15" customHeight="1" s="60">
      <c r="A182" s="4" t="n">
        <v>174</v>
      </c>
      <c r="B182" s="5" t="inlineStr">
        <is>
          <t>Positioning</t>
        </is>
      </c>
      <c r="C182" s="5" t="inlineStr">
        <is>
          <t>Combobox</t>
        </is>
      </c>
      <c r="D182" s="5" t="inlineStr">
        <is>
          <t>collision/flip/shift behavior stays in viewport</t>
        </is>
      </c>
      <c r="E182" s="7" t="inlineStr">
        <is>
          <t>yes</t>
        </is>
      </c>
      <c r="F182" s="8" t="inlineStr">
        <is>
          <t>yes</t>
        </is>
      </c>
      <c r="G182" s="4" t="inlineStr">
        <is>
          <t>passed</t>
        </is>
      </c>
      <c r="H182" s="9" t="inlineStr">
        <is>
          <t>covered</t>
        </is>
      </c>
      <c r="I182" s="5" t="inlineStr">
        <is>
          <t>Combobox playground scenario.</t>
        </is>
      </c>
      <c r="J182" s="5" t="n"/>
      <c r="K182" s="6">
        <f>IF(AND(E182="yes",F182="yes",H182="covered"),1,IF(AND(E182="yes",H182="partial"),0.5,0))</f>
        <v/>
      </c>
    </row>
    <row r="183" ht="15" customHeight="1" s="60">
      <c r="A183" s="4" t="n">
        <v>175</v>
      </c>
      <c r="B183" s="5" t="inlineStr">
        <is>
          <t>Positioning</t>
        </is>
      </c>
      <c r="C183" s="5" t="inlineStr">
        <is>
          <t>Combobox</t>
        </is>
      </c>
      <c r="D183" s="5" t="inlineStr">
        <is>
          <t>arrow or anchor geometry matches content where supported</t>
        </is>
      </c>
      <c r="E183" s="7" t="inlineStr">
        <is>
          <t>yes</t>
        </is>
      </c>
      <c r="F183" s="8" t="inlineStr">
        <is>
          <t>yes</t>
        </is>
      </c>
      <c r="G183" s="4" t="inlineStr">
        <is>
          <t>passed</t>
        </is>
      </c>
      <c r="H183" s="9" t="inlineStr">
        <is>
          <t>covered</t>
        </is>
      </c>
      <c r="I183" s="5" t="inlineStr">
        <is>
          <t>Combobox playground scenario.</t>
        </is>
      </c>
      <c r="J183" s="5" t="n"/>
      <c r="K183" s="6">
        <f>IF(AND(E183="yes",F183="yes",H183="covered"),1,IF(AND(E183="yes",H183="partial"),0.5,0))</f>
        <v/>
      </c>
    </row>
    <row r="184">
      <c r="A184" t="n">
        <v>176</v>
      </c>
      <c r="B184" t="inlineStr">
        <is>
          <t>Interaction</t>
        </is>
      </c>
      <c r="C184" t="inlineStr">
        <is>
          <t>Item</t>
        </is>
      </c>
      <c r="D184" t="inlineStr">
        <is>
          <t>pointer selecting an already-selected option closes the listbox</t>
        </is>
      </c>
      <c r="E184" t="inlineStr">
        <is>
          <t>yes</t>
        </is>
      </c>
      <c r="F184" t="inlineStr">
        <is>
          <t>yes</t>
        </is>
      </c>
      <c r="G184" t="inlineStr">
        <is>
          <t>passed</t>
        </is>
      </c>
      <c r="H184" t="inlineStr">
        <is>
          <t>covered</t>
        </is>
      </c>
      <c r="I184" t="inlineStr">
        <is>
          <t>Combobox playground scenario.</t>
        </is>
      </c>
      <c r="K184">
        <f>IF(AND(E184="yes",F184="yes",H184="covered"),1,IF(AND(E184="yes",H184="partial"),0.5,0))</f>
        <v/>
      </c>
    </row>
    <row r="185">
      <c r="A185" t="n">
        <v>177</v>
      </c>
      <c r="B185" t="inlineStr">
        <is>
          <t>Interaction</t>
        </is>
      </c>
      <c r="C185" t="inlineStr">
        <is>
          <t>Item</t>
        </is>
      </c>
      <c r="D185" t="inlineStr">
        <is>
          <t>clearOnSelect clears input after keyboard and pointer selection</t>
        </is>
      </c>
      <c r="E185" t="inlineStr">
        <is>
          <t>yes</t>
        </is>
      </c>
      <c r="F185" t="inlineStr">
        <is>
          <t>yes</t>
        </is>
      </c>
      <c r="G185" t="inlineStr">
        <is>
          <t>passed</t>
        </is>
      </c>
      <c r="H185" t="inlineStr">
        <is>
          <t>covered</t>
        </is>
      </c>
      <c r="I185" t="inlineStr">
        <is>
          <t>Combobox playground scenario.</t>
        </is>
      </c>
      <c r="K185">
        <f>IF(AND(E185="yes",F185="yes",H185="covered"),1,IF(AND(E185="yes",H185="partial"),0.5,0))</f>
        <v/>
      </c>
    </row>
    <row r="186">
      <c r="A186" t="n">
        <v>178</v>
      </c>
      <c r="B186" t="inlineStr">
        <is>
          <t>Interaction</t>
        </is>
      </c>
      <c r="C186" t="inlineStr">
        <is>
          <t>Empty</t>
        </is>
      </c>
      <c r="D186" t="inlineStr">
        <is>
          <t>openOnFocus opens the empty state when Combobox.Empty is mounted</t>
        </is>
      </c>
      <c r="E186" t="inlineStr">
        <is>
          <t>yes</t>
        </is>
      </c>
      <c r="F186" t="inlineStr">
        <is>
          <t>yes</t>
        </is>
      </c>
      <c r="G186" t="inlineStr">
        <is>
          <t>passed</t>
        </is>
      </c>
      <c r="H186" t="inlineStr">
        <is>
          <t>covered</t>
        </is>
      </c>
      <c r="I186" t="inlineStr">
        <is>
          <t>Combobox playground scenario.</t>
        </is>
      </c>
      <c r="K186">
        <f>IF(AND(E186="yes",F186="yes",H186="covered"),1,IF(AND(E186="yes",H186="partial"),0.5,0))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9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ContextMenu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 manual test</t>
        </is>
      </c>
      <c r="H9" s="12" t="inlineStr">
        <is>
          <t>covered</t>
        </is>
      </c>
      <c r="I9" s="5" t="inlineStr">
        <is>
          <t>ContextMenu playground Props toolbar; Anatomy/Inspector raw Data; Source view.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 manual test</t>
        </is>
      </c>
      <c r="H10" s="12" t="inlineStr">
        <is>
          <t>covered</t>
        </is>
      </c>
      <c r="I10" s="5" t="inlineStr">
        <is>
          <t>ContextMenu playground Props custom slot toggles; Anatomy/Inspector raw Data; Source view.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Public API</t>
        </is>
      </c>
      <c r="C11" s="5" t="inlineStr">
        <is>
          <t>Root</t>
        </is>
      </c>
      <c r="D11" s="5" t="inlineStr">
        <is>
          <t>open prop controls context menu visibility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 manual test</t>
        </is>
      </c>
      <c r="H11" s="11" t="inlineStr">
        <is>
          <t>covered</t>
        </is>
      </c>
      <c r="I11" s="5" t="inlineStr">
        <is>
          <t>ContextMenu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Public API</t>
        </is>
      </c>
      <c r="C12" s="5" t="inlineStr">
        <is>
          <t>Root</t>
        </is>
      </c>
      <c r="D12" s="5" t="inlineStr">
        <is>
          <t>defaultOpen initializes uncontrolled open state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 manual test</t>
        </is>
      </c>
      <c r="H12" s="11" t="inlineStr">
        <is>
          <t>covered</t>
        </is>
      </c>
      <c r="I12" s="5" t="inlineStr">
        <is>
          <t>ContextMenu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Public API</t>
        </is>
      </c>
      <c r="C13" s="5" t="inlineStr">
        <is>
          <t>Root</t>
        </is>
      </c>
      <c r="D13" s="5" t="inlineStr">
        <is>
          <t>onOpenChange fires on open and close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 manual test</t>
        </is>
      </c>
      <c r="H13" s="11" t="inlineStr">
        <is>
          <t>covered</t>
        </is>
      </c>
      <c r="I13" s="5" t="inlineStr">
        <is>
          <t>ContextMenu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Public API</t>
        </is>
      </c>
      <c r="C14" s="5" t="inlineStr">
        <is>
          <t>Root</t>
        </is>
      </c>
      <c r="D14" s="5" t="inlineStr">
        <is>
          <t>modal true locks scroll while open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 manual test</t>
        </is>
      </c>
      <c r="H14" s="11" t="inlineStr">
        <is>
          <t>covered</t>
        </is>
      </c>
      <c r="I14" s="5" t="inlineStr">
        <is>
          <t>ContextMenu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Public API</t>
        </is>
      </c>
      <c r="C15" s="5" t="inlineStr">
        <is>
          <t>Root</t>
        </is>
      </c>
      <c r="D15" s="5" t="inlineStr">
        <is>
          <t>modal false leaves page scroll unlocked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 manual test</t>
        </is>
      </c>
      <c r="H15" s="11" t="inlineStr">
        <is>
          <t>covered</t>
        </is>
      </c>
      <c r="I15" s="5" t="inlineStr">
        <is>
          <t>ContextMenu playground scenario.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Public API</t>
        </is>
      </c>
      <c r="C16" s="5" t="inlineStr">
        <is>
          <t>Root</t>
        </is>
      </c>
      <c r="D16" s="5" t="inlineStr">
        <is>
          <t>closeOnSelect true closes action items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 manual test</t>
        </is>
      </c>
      <c r="H16" s="11" t="inlineStr">
        <is>
          <t>covered</t>
        </is>
      </c>
      <c r="I16" s="5" t="inlineStr">
        <is>
          <t>ContextMenu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Public API</t>
        </is>
      </c>
      <c r="C17" s="5" t="inlineStr">
        <is>
          <t>Root</t>
        </is>
      </c>
      <c r="D17" s="5" t="inlineStr">
        <is>
          <t>closeOnSelect false keeps menu open after item select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 manual test</t>
        </is>
      </c>
      <c r="H17" s="11" t="inlineStr">
        <is>
          <t>covered</t>
        </is>
      </c>
      <c r="I17" s="5" t="inlineStr">
        <is>
          <t>ContextMenu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Public API</t>
        </is>
      </c>
      <c r="C18" s="5" t="inlineStr">
        <is>
          <t>Root</t>
        </is>
      </c>
      <c r="D18" s="5" t="inlineStr">
        <is>
          <t>loop true wraps keyboard highlight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 manual test</t>
        </is>
      </c>
      <c r="H18" s="11" t="inlineStr">
        <is>
          <t>covered</t>
        </is>
      </c>
      <c r="I18" s="5" t="inlineStr">
        <is>
          <t>ContextMenu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Public API</t>
        </is>
      </c>
      <c r="C19" s="5" t="inlineStr">
        <is>
          <t>Root</t>
        </is>
      </c>
      <c r="D19" s="5" t="inlineStr">
        <is>
          <t>loop false stops at first and last item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 manual test</t>
        </is>
      </c>
      <c r="H19" s="11" t="inlineStr">
        <is>
          <t>covered</t>
        </is>
      </c>
      <c r="I19" s="5" t="inlineStr">
        <is>
          <t>ContextMenu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Public API</t>
        </is>
      </c>
      <c r="C20" s="5" t="inlineStr">
        <is>
          <t>Root</t>
        </is>
      </c>
      <c r="D20" s="5" t="inlineStr">
        <is>
          <t>closeOnEscape true closes on Escape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 manual test</t>
        </is>
      </c>
      <c r="H20" s="11" t="inlineStr">
        <is>
          <t>covered</t>
        </is>
      </c>
      <c r="I20" s="5" t="inlineStr">
        <is>
          <t>ContextMenu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Public API</t>
        </is>
      </c>
      <c r="C21" s="5" t="inlineStr">
        <is>
          <t>Root</t>
        </is>
      </c>
      <c r="D21" s="5" t="inlineStr">
        <is>
          <t>closeOnEscape false ignores Escape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 manual test</t>
        </is>
      </c>
      <c r="H21" s="11" t="inlineStr">
        <is>
          <t>covered</t>
        </is>
      </c>
      <c r="I21" s="5" t="inlineStr">
        <is>
          <t>ContextMenu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Public API</t>
        </is>
      </c>
      <c r="C22" s="5" t="inlineStr">
        <is>
          <t>Root</t>
        </is>
      </c>
      <c r="D22" s="5" t="inlineStr">
        <is>
          <t>right-click anchor point controls content position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 manual test</t>
        </is>
      </c>
      <c r="H22" s="11" t="inlineStr">
        <is>
          <t>covered</t>
        </is>
      </c>
      <c r="I22" s="5" t="inlineStr">
        <is>
          <t>ContextMenu playground scenario.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Public API</t>
        </is>
      </c>
      <c r="C23" s="5" t="inlineStr">
        <is>
          <t>Root</t>
        </is>
      </c>
      <c r="D23" s="5" t="inlineStr">
        <is>
          <t>keyboard anchor point uses trigger bounds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 manual test</t>
        </is>
      </c>
      <c r="H23" s="11" t="inlineStr">
        <is>
          <t>covered</t>
        </is>
      </c>
      <c r="I23" s="5" t="inlineStr">
        <is>
          <t>ContextMenu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Public API</t>
        </is>
      </c>
      <c r="C24" s="5" t="inlineStr">
        <is>
          <t>Trigger</t>
        </is>
      </c>
      <c r="D24" s="5" t="inlineStr">
        <is>
          <t>renders span by default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 manual test</t>
        </is>
      </c>
      <c r="H24" s="11" t="inlineStr">
        <is>
          <t>covered</t>
        </is>
      </c>
      <c r="I24" s="5" t="inlineStr">
        <is>
          <t>ContextMenu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Public API</t>
        </is>
      </c>
      <c r="C25" s="5" t="inlineStr">
        <is>
          <t>Trigger</t>
        </is>
      </c>
      <c r="D25" s="5" t="inlineStr">
        <is>
          <t>default trigger uses display contents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 manual test</t>
        </is>
      </c>
      <c r="H25" s="11" t="inlineStr">
        <is>
          <t>covered</t>
        </is>
      </c>
      <c r="I25" s="5" t="inlineStr">
        <is>
          <t>ContextMenu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Trigger</t>
        </is>
      </c>
      <c r="D26" s="5" t="inlineStr">
        <is>
          <t>trigger id is stable and present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 manual test</t>
        </is>
      </c>
      <c r="H26" s="11" t="inlineStr">
        <is>
          <t>covered</t>
        </is>
      </c>
      <c r="I26" s="5" t="inlineStr">
        <is>
          <t>ContextMenu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Trigger</t>
        </is>
      </c>
      <c r="D27" s="5" t="inlineStr">
        <is>
          <t>data-slot is context-menu-trigger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 manual test</t>
        </is>
      </c>
      <c r="H27" s="11" t="inlineStr">
        <is>
          <t>covered</t>
        </is>
      </c>
      <c r="I27" s="5" t="inlineStr">
        <is>
          <t>ContextMenu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Trigger</t>
        </is>
      </c>
      <c r="D28" s="5" t="inlineStr">
        <is>
          <t>data-state reflects open and closed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 manual test</t>
        </is>
      </c>
      <c r="H28" s="11" t="inlineStr">
        <is>
          <t>covered</t>
        </is>
      </c>
      <c r="I28" s="5" t="inlineStr">
        <is>
          <t>ContextMenu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Trigger</t>
        </is>
      </c>
      <c r="D29" s="5" t="inlineStr">
        <is>
          <t>disabled trigger exposes data-disabled flag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 manual test</t>
        </is>
      </c>
      <c r="H29" s="11" t="inlineStr">
        <is>
          <t>covered</t>
        </is>
      </c>
      <c r="I29" s="5" t="inlineStr">
        <is>
          <t>ContextMenu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Trigger</t>
        </is>
      </c>
      <c r="D30" s="5" t="inlineStr">
        <is>
          <t>right click prevents native browser menu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 manual test</t>
        </is>
      </c>
      <c r="H30" s="11" t="inlineStr">
        <is>
          <t>covered</t>
        </is>
      </c>
      <c r="I30" s="5" t="inlineStr">
        <is>
          <t>ContextMenu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Trigger</t>
        </is>
      </c>
      <c r="D31" s="5" t="inlineStr">
        <is>
          <t>right click opens context menu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 manual test</t>
        </is>
      </c>
      <c r="H31" s="11" t="inlineStr">
        <is>
          <t>covered</t>
        </is>
      </c>
      <c r="I31" s="5" t="inlineStr">
        <is>
          <t>ContextMenu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Trigger</t>
        </is>
      </c>
      <c r="D32" s="5" t="inlineStr">
        <is>
          <t>disabled right click does not open menu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 manual test</t>
        </is>
      </c>
      <c r="H32" s="11" t="inlineStr">
        <is>
          <t>covered</t>
        </is>
      </c>
      <c r="I32" s="5" t="inlineStr">
        <is>
          <t>ContextMenu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Trigger</t>
        </is>
      </c>
      <c r="D33" s="5" t="inlineStr">
        <is>
          <t>Shift+F10 opens context menu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 manual test</t>
        </is>
      </c>
      <c r="H33" s="11" t="inlineStr">
        <is>
          <t>covered</t>
        </is>
      </c>
      <c r="I33" s="5" t="inlineStr">
        <is>
          <t>ContextMenu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Trigger</t>
        </is>
      </c>
      <c r="D34" s="5" t="inlineStr">
        <is>
          <t>ContextMenu key opens context menu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 manual test</t>
        </is>
      </c>
      <c r="H34" s="11" t="inlineStr">
        <is>
          <t>covered</t>
        </is>
      </c>
      <c r="I34" s="5" t="inlineStr">
        <is>
          <t>ContextMenu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Trigger</t>
        </is>
      </c>
      <c r="D35" s="5" t="inlineStr">
        <is>
          <t>consumer onContextMenu runs before Atom open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 manual test</t>
        </is>
      </c>
      <c r="H35" s="11" t="inlineStr">
        <is>
          <t>covered</t>
        </is>
      </c>
      <c r="I35" s="5" t="inlineStr">
        <is>
          <t>ContextMenu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Trigger</t>
        </is>
      </c>
      <c r="D36" s="5" t="inlineStr">
        <is>
          <t>consumer onContextMenu can prevent Atom open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 manual test</t>
        </is>
      </c>
      <c r="H36" s="11" t="inlineStr">
        <is>
          <t>covered</t>
        </is>
      </c>
      <c r="I36" s="5" t="inlineStr">
        <is>
          <t>ContextMenu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Trigger</t>
        </is>
      </c>
      <c r="D37" s="5" t="inlineStr">
        <is>
          <t>consumer onKeyDown can prevent keyboard open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 manual test</t>
        </is>
      </c>
      <c r="H37" s="11" t="inlineStr">
        <is>
          <t>covered</t>
        </is>
      </c>
      <c r="I37" s="5" t="inlineStr">
        <is>
          <t>ContextMenu playground scenario.</t>
        </is>
      </c>
      <c r="J37" s="5" t="n"/>
      <c r="K37" s="6">
        <f>IF(AND(E37="yes",F37="yes",H37="covered"),1,IF(H37="partial",0.5,0))</f>
        <v/>
      </c>
    </row>
    <row r="38" ht="30" customHeight="1" s="60">
      <c r="A38" s="4" t="n">
        <v>30</v>
      </c>
      <c r="B38" s="5" t="inlineStr">
        <is>
          <t>Public API</t>
        </is>
      </c>
      <c r="C38" s="5" t="inlineStr">
        <is>
          <t>Trigger</t>
        </is>
      </c>
      <c r="D38" s="5" t="inlineStr">
        <is>
          <t>native className and data props pass through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 manual test</t>
        </is>
      </c>
      <c r="H38" s="11" t="inlineStr">
        <is>
          <t>covered</t>
        </is>
      </c>
      <c r="I38" s="5" t="inlineStr">
        <is>
          <t>ContextMenu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Trigger</t>
        </is>
      </c>
      <c r="D39" s="5" t="inlineStr">
        <is>
          <t>asChild trigger preserves child content without nesting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 manual test</t>
        </is>
      </c>
      <c r="H39" s="11" t="inlineStr">
        <is>
          <t>covered</t>
        </is>
      </c>
      <c r="I39" s="5" t="inlineStr">
        <is>
          <t>ContextMenu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Trigger</t>
        </is>
      </c>
      <c r="D40" s="5" t="inlineStr">
        <is>
          <t>asChild trigger receives ContextMenu trigger data attributes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 manual test</t>
        </is>
      </c>
      <c r="H40" s="11" t="inlineStr">
        <is>
          <t>covered</t>
        </is>
      </c>
      <c r="I40" s="5" t="inlineStr">
        <is>
          <t>ContextMenu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Trigger</t>
        </is>
      </c>
      <c r="D41" s="5" t="inlineStr">
        <is>
          <t>render trigger preserves custom element content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 manual test</t>
        </is>
      </c>
      <c r="H41" s="11" t="inlineStr">
        <is>
          <t>covered</t>
        </is>
      </c>
      <c r="I41" s="5" t="inlineStr">
        <is>
          <t>ContextMenu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Trigger</t>
        </is>
      </c>
      <c r="D42" s="5" t="inlineStr">
        <is>
          <t>render trigger receives ContextMenu trigger data attributes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 manual test</t>
        </is>
      </c>
      <c r="H42" s="11" t="inlineStr">
        <is>
          <t>covered</t>
        </is>
      </c>
      <c r="I42" s="5" t="inlineStr">
        <is>
          <t>ContextMenu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Content</t>
        </is>
      </c>
      <c r="D43" s="5" t="inlineStr">
        <is>
          <t>renders only while open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 manual test</t>
        </is>
      </c>
      <c r="H43" s="11" t="inlineStr">
        <is>
          <t>covered</t>
        </is>
      </c>
      <c r="I43" s="5" t="inlineStr">
        <is>
          <t>ContextMenu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Content</t>
        </is>
      </c>
      <c r="D44" s="5" t="inlineStr">
        <is>
          <t>role is menu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 manual test</t>
        </is>
      </c>
      <c r="H44" s="11" t="inlineStr">
        <is>
          <t>covered</t>
        </is>
      </c>
      <c r="I44" s="5" t="inlineStr">
        <is>
          <t>ContextMenu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Content</t>
        </is>
      </c>
      <c r="D45" s="5" t="inlineStr">
        <is>
          <t>aria-orientation is vertical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 manual test</t>
        </is>
      </c>
      <c r="H45" s="11" t="inlineStr">
        <is>
          <t>covered</t>
        </is>
      </c>
      <c r="I45" s="5" t="inlineStr">
        <is>
          <t>ContextMenu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Content</t>
        </is>
      </c>
      <c r="D46" s="5" t="inlineStr">
        <is>
          <t>aria-label prop names menu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 manual test</t>
        </is>
      </c>
      <c r="H46" s="11" t="inlineStr">
        <is>
          <t>covered</t>
        </is>
      </c>
      <c r="I46" s="5" t="inlineStr">
        <is>
          <t>ContextMenu playground scenario.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Content</t>
        </is>
      </c>
      <c r="D47" s="5" t="inlineStr">
        <is>
          <t>aria-labelledby references trigger when ariaLabel is absent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 manual test</t>
        </is>
      </c>
      <c r="H47" s="11" t="inlineStr">
        <is>
          <t>covered</t>
        </is>
      </c>
      <c r="I47" s="5" t="inlineStr">
        <is>
          <t>ContextMenu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Content</t>
        </is>
      </c>
      <c r="D48" s="5" t="inlineStr">
        <is>
          <t>tabindex attr is -1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 manual test</t>
        </is>
      </c>
      <c r="H48" s="11" t="inlineStr">
        <is>
          <t>covered</t>
        </is>
      </c>
      <c r="I48" s="5" t="inlineStr">
        <is>
          <t>ContextMenu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Content</t>
        </is>
      </c>
      <c r="D49" s="5" t="inlineStr">
        <is>
          <t>id matches trigger aria-controls when available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 manual test</t>
        </is>
      </c>
      <c r="H49" s="11" t="inlineStr">
        <is>
          <t>covered</t>
        </is>
      </c>
      <c r="I49" s="5" t="inlineStr">
        <is>
          <t>ContextMenu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Content</t>
        </is>
      </c>
      <c r="D50" s="5" t="inlineStr">
        <is>
          <t>data-slot is menu-content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 manual test</t>
        </is>
      </c>
      <c r="H50" s="11" t="inlineStr">
        <is>
          <t>covered</t>
        </is>
      </c>
      <c r="I50" s="5" t="inlineStr">
        <is>
          <t>ContextMenu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Content</t>
        </is>
      </c>
      <c r="D51" s="5" t="inlineStr">
        <is>
          <t>data-state is open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 manual test</t>
        </is>
      </c>
      <c r="H51" s="11" t="inlineStr">
        <is>
          <t>covered</t>
        </is>
      </c>
      <c r="I51" s="5" t="inlineStr">
        <is>
          <t>ContextMenu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Content</t>
        </is>
      </c>
      <c r="D52" s="5" t="inlineStr">
        <is>
          <t>data-side reflects final placement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 manual test</t>
        </is>
      </c>
      <c r="H52" s="11" t="inlineStr">
        <is>
          <t>covered</t>
        </is>
      </c>
      <c r="I52" s="5" t="inlineStr">
        <is>
          <t>ContextMenu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Content</t>
        </is>
      </c>
      <c r="D53" s="5" t="inlineStr">
        <is>
          <t>data-align reflects final placement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 manual test</t>
        </is>
      </c>
      <c r="H53" s="11" t="inlineStr">
        <is>
          <t>covered</t>
        </is>
      </c>
      <c r="I53" s="5" t="inlineStr">
        <is>
          <t>ContextMenu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data-positioned appears after positioning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 manual test</t>
        </is>
      </c>
      <c r="H54" s="11" t="inlineStr">
        <is>
          <t>covered</t>
        </is>
      </c>
      <c r="I54" s="5" t="inlineStr">
        <is>
          <t>ContextMenu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side prop changes placement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 manual test</t>
        </is>
      </c>
      <c r="H55" s="11" t="inlineStr">
        <is>
          <t>covered</t>
        </is>
      </c>
      <c r="I55" s="5" t="inlineStr">
        <is>
          <t>ContextMenu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align prop changes placement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 manual test</t>
        </is>
      </c>
      <c r="H56" s="11" t="inlineStr">
        <is>
          <t>covered</t>
        </is>
      </c>
      <c r="I56" s="5" t="inlineStr">
        <is>
          <t>ContextMenu playground scenario.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sideOffset changes menu distance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 manual test</t>
        </is>
      </c>
      <c r="H57" s="11" t="inlineStr">
        <is>
          <t>covered</t>
        </is>
      </c>
      <c r="I57" s="5" t="inlineStr">
        <is>
          <t>ContextMenu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Content</t>
        </is>
      </c>
      <c r="D58" s="5" t="inlineStr">
        <is>
          <t>loop prop overrides root loop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 manual test</t>
        </is>
      </c>
      <c r="H58" s="11" t="inlineStr">
        <is>
          <t>covered</t>
        </is>
      </c>
      <c r="I58" s="5" t="inlineStr">
        <is>
          <t>ContextMenu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Content</t>
        </is>
      </c>
      <c r="D59" s="5" t="inlineStr">
        <is>
          <t>native className and data props pass through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 manual test</t>
        </is>
      </c>
      <c r="H59" s="11" t="inlineStr">
        <is>
          <t>covered</t>
        </is>
      </c>
      <c r="I59" s="5" t="inlineStr">
        <is>
          <t>ContextMenu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Content</t>
        </is>
      </c>
      <c r="D60" s="5" t="inlineStr">
        <is>
          <t>onKeyDownCapture can block Atom key behavior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 manual test</t>
        </is>
      </c>
      <c r="H60" s="11" t="inlineStr">
        <is>
          <t>covered</t>
        </is>
      </c>
      <c r="I60" s="5" t="inlineStr">
        <is>
          <t>ContextMenu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Item</t>
        </is>
      </c>
      <c r="D61" s="5" t="inlineStr">
        <is>
          <t>renders role menuitem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 manual test</t>
        </is>
      </c>
      <c r="H61" s="11" t="inlineStr">
        <is>
          <t>covered</t>
        </is>
      </c>
      <c r="I61" s="5" t="inlineStr">
        <is>
          <t>ContextMenu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value appears as data-value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 manual test</t>
        </is>
      </c>
      <c r="H62" s="11" t="inlineStr">
        <is>
          <t>covered</t>
        </is>
      </c>
      <c r="I62" s="5" t="inlineStr">
        <is>
          <t>ContextMenu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Item</t>
        </is>
      </c>
      <c r="D63" s="5" t="inlineStr">
        <is>
          <t>data-slot is menu-item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 manual test</t>
        </is>
      </c>
      <c r="H63" s="11" t="inlineStr">
        <is>
          <t>covered</t>
        </is>
      </c>
      <c r="I63" s="5" t="inlineStr">
        <is>
          <t>ContextMenu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Item</t>
        </is>
      </c>
      <c r="D64" s="5" t="inlineStr">
        <is>
          <t>onSelect fires on click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 manual test</t>
        </is>
      </c>
      <c r="H64" s="11" t="inlineStr">
        <is>
          <t>covered</t>
        </is>
      </c>
      <c r="I64" s="5" t="inlineStr">
        <is>
          <t>ContextMenu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Item</t>
        </is>
      </c>
      <c r="D65" s="5" t="inlineStr">
        <is>
          <t>onSelect fires on Enter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 manual test</t>
        </is>
      </c>
      <c r="H65" s="11" t="inlineStr">
        <is>
          <t>covered</t>
        </is>
      </c>
      <c r="I65" s="5" t="inlineStr">
        <is>
          <t>ContextMenu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Item</t>
        </is>
      </c>
      <c r="D66" s="5" t="inlineStr">
        <is>
          <t>onSelect fires on Space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 manual test</t>
        </is>
      </c>
      <c r="H66" s="11" t="inlineStr">
        <is>
          <t>covered</t>
        </is>
      </c>
      <c r="I66" s="5" t="inlineStr">
        <is>
          <t>ContextMenu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disabled item exposes aria-disabled true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passed manual test</t>
        </is>
      </c>
      <c r="H67" s="11" t="inlineStr">
        <is>
          <t>covered</t>
        </is>
      </c>
      <c r="I67" s="5" t="inlineStr">
        <is>
          <t>ContextMenu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Item</t>
        </is>
      </c>
      <c r="D68" s="5" t="inlineStr">
        <is>
          <t>disabled item exposes data-disabled flag</t>
        </is>
      </c>
      <c r="E68" s="7" t="inlineStr">
        <is>
          <t>yes</t>
        </is>
      </c>
      <c r="F68" s="7" t="inlineStr">
        <is>
          <t>yes</t>
        </is>
      </c>
      <c r="G68" s="4" t="inlineStr">
        <is>
          <t>passed manual test</t>
        </is>
      </c>
      <c r="H68" s="11" t="inlineStr">
        <is>
          <t>covered</t>
        </is>
      </c>
      <c r="I68" s="5" t="inlineStr">
        <is>
          <t>ContextMenu playground scenario.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Item</t>
        </is>
      </c>
      <c r="D69" s="5" t="inlineStr">
        <is>
          <t>disabled item is skipped by keyboard</t>
        </is>
      </c>
      <c r="E69" s="7" t="inlineStr">
        <is>
          <t>yes</t>
        </is>
      </c>
      <c r="F69" s="7" t="inlineStr">
        <is>
          <t>yes</t>
        </is>
      </c>
      <c r="G69" s="4" t="inlineStr">
        <is>
          <t>passed manual test</t>
        </is>
      </c>
      <c r="H69" s="11" t="inlineStr">
        <is>
          <t>covered</t>
        </is>
      </c>
      <c r="I69" s="5" t="inlineStr">
        <is>
          <t>ContextMenu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Item</t>
        </is>
      </c>
      <c r="D70" s="5" t="inlineStr">
        <is>
          <t>consumer onClick can prevent Atom behavior</t>
        </is>
      </c>
      <c r="E70" s="7" t="inlineStr">
        <is>
          <t>yes</t>
        </is>
      </c>
      <c r="F70" s="7" t="inlineStr">
        <is>
          <t>yes</t>
        </is>
      </c>
      <c r="G70" s="4" t="inlineStr">
        <is>
          <t>passed manual test</t>
        </is>
      </c>
      <c r="H70" s="11" t="inlineStr">
        <is>
          <t>covered</t>
        </is>
      </c>
      <c r="I70" s="5" t="inlineStr">
        <is>
          <t>ContextMenu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Item</t>
        </is>
      </c>
      <c r="D71" s="5" t="inlineStr">
        <is>
          <t>native className and data props pass through</t>
        </is>
      </c>
      <c r="E71" s="7" t="inlineStr">
        <is>
          <t>yes</t>
        </is>
      </c>
      <c r="F71" s="7" t="inlineStr">
        <is>
          <t>yes</t>
        </is>
      </c>
      <c r="G71" s="4" t="inlineStr">
        <is>
          <t>passed manual test</t>
        </is>
      </c>
      <c r="H71" s="11" t="inlineStr">
        <is>
          <t>covered</t>
        </is>
      </c>
      <c r="I71" s="5" t="inlineStr">
        <is>
          <t>ContextMenu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Checkbox Item</t>
        </is>
      </c>
      <c r="D72" s="5" t="inlineStr">
        <is>
          <t>renders role menuitemcheckbox</t>
        </is>
      </c>
      <c r="E72" s="7" t="inlineStr">
        <is>
          <t>yes</t>
        </is>
      </c>
      <c r="F72" s="7" t="inlineStr">
        <is>
          <t>yes</t>
        </is>
      </c>
      <c r="G72" s="4" t="inlineStr">
        <is>
          <t>passed manual test</t>
        </is>
      </c>
      <c r="H72" s="11" t="inlineStr">
        <is>
          <t>covered</t>
        </is>
      </c>
      <c r="I72" s="5" t="inlineStr">
        <is>
          <t>ContextMenu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Checkbox Item</t>
        </is>
      </c>
      <c r="D73" s="5" t="inlineStr">
        <is>
          <t>aria-checked reflects checked false</t>
        </is>
      </c>
      <c r="E73" s="7" t="inlineStr">
        <is>
          <t>yes</t>
        </is>
      </c>
      <c r="F73" s="7" t="inlineStr">
        <is>
          <t>yes</t>
        </is>
      </c>
      <c r="G73" s="4" t="inlineStr">
        <is>
          <t>passed manual test</t>
        </is>
      </c>
      <c r="H73" s="11" t="inlineStr">
        <is>
          <t>covered</t>
        </is>
      </c>
      <c r="I73" s="5" t="inlineStr">
        <is>
          <t>ContextMenu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Checkbox Item</t>
        </is>
      </c>
      <c r="D74" s="5" t="inlineStr">
        <is>
          <t>aria-checked reflects checked true</t>
        </is>
      </c>
      <c r="E74" s="7" t="inlineStr">
        <is>
          <t>yes</t>
        </is>
      </c>
      <c r="F74" s="7" t="inlineStr">
        <is>
          <t>yes</t>
        </is>
      </c>
      <c r="G74" s="4" t="inlineStr">
        <is>
          <t>passed manual test</t>
        </is>
      </c>
      <c r="H74" s="11" t="inlineStr">
        <is>
          <t>covered</t>
        </is>
      </c>
      <c r="I74" s="5" t="inlineStr">
        <is>
          <t>ContextMenu playground scenario.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Checkbox Item</t>
        </is>
      </c>
      <c r="D75" s="5" t="inlineStr">
        <is>
          <t>data-checked appears when checked</t>
        </is>
      </c>
      <c r="E75" s="7" t="inlineStr">
        <is>
          <t>yes</t>
        </is>
      </c>
      <c r="F75" s="7" t="inlineStr">
        <is>
          <t>yes</t>
        </is>
      </c>
      <c r="G75" s="4" t="inlineStr">
        <is>
          <t>passed manual test</t>
        </is>
      </c>
      <c r="H75" s="11" t="inlineStr">
        <is>
          <t>covered</t>
        </is>
      </c>
      <c r="I75" s="5" t="inlineStr">
        <is>
          <t>ContextMenu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Public API</t>
        </is>
      </c>
      <c r="C76" s="5" t="inlineStr">
        <is>
          <t>Checkbox Item</t>
        </is>
      </c>
      <c r="D76" s="5" t="inlineStr">
        <is>
          <t>onCheckedChange fires on click</t>
        </is>
      </c>
      <c r="E76" s="7" t="inlineStr">
        <is>
          <t>yes</t>
        </is>
      </c>
      <c r="F76" s="7" t="inlineStr">
        <is>
          <t>yes</t>
        </is>
      </c>
      <c r="G76" s="4" t="inlineStr">
        <is>
          <t>passed manual test</t>
        </is>
      </c>
      <c r="H76" s="11" t="inlineStr">
        <is>
          <t>covered</t>
        </is>
      </c>
      <c r="I76" s="5" t="inlineStr">
        <is>
          <t>ContextMenu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Checkbox Item</t>
        </is>
      </c>
      <c r="D77" s="5" t="inlineStr">
        <is>
          <t>closeOnSelect false keeps menu open</t>
        </is>
      </c>
      <c r="E77" s="7" t="inlineStr">
        <is>
          <t>yes</t>
        </is>
      </c>
      <c r="F77" s="7" t="inlineStr">
        <is>
          <t>yes</t>
        </is>
      </c>
      <c r="G77" s="4" t="inlineStr">
        <is>
          <t>passed manual test</t>
        </is>
      </c>
      <c r="H77" s="11" t="inlineStr">
        <is>
          <t>covered</t>
        </is>
      </c>
      <c r="I77" s="5" t="inlineStr">
        <is>
          <t>ContextMenu playground scenario.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Checkbox Item</t>
        </is>
      </c>
      <c r="D78" s="5" t="inlineStr">
        <is>
          <t>closeOnSelect true closes menu</t>
        </is>
      </c>
      <c r="E78" s="7" t="inlineStr">
        <is>
          <t>yes</t>
        </is>
      </c>
      <c r="F78" s="7" t="inlineStr">
        <is>
          <t>yes</t>
        </is>
      </c>
      <c r="G78" s="4" t="inlineStr">
        <is>
          <t>passed manual test</t>
        </is>
      </c>
      <c r="H78" s="11" t="inlineStr">
        <is>
          <t>covered</t>
        </is>
      </c>
      <c r="I78" s="5" t="inlineStr">
        <is>
          <t>ContextMenu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Public API</t>
        </is>
      </c>
      <c r="C79" s="5" t="inlineStr">
        <is>
          <t>Checkbox Item</t>
        </is>
      </c>
      <c r="D79" s="5" t="inlineStr">
        <is>
          <t>disabled checkbox is skipped</t>
        </is>
      </c>
      <c r="E79" s="7" t="inlineStr">
        <is>
          <t>yes</t>
        </is>
      </c>
      <c r="F79" s="7" t="inlineStr">
        <is>
          <t>yes</t>
        </is>
      </c>
      <c r="G79" s="4" t="inlineStr">
        <is>
          <t>passed manual test</t>
        </is>
      </c>
      <c r="H79" s="11" t="inlineStr">
        <is>
          <t>covered</t>
        </is>
      </c>
      <c r="I79" s="5" t="inlineStr">
        <is>
          <t>ContextMenu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Radio Group</t>
        </is>
      </c>
      <c r="D80" s="5" t="inlineStr">
        <is>
          <t>renders role group</t>
        </is>
      </c>
      <c r="E80" s="7" t="inlineStr">
        <is>
          <t>yes</t>
        </is>
      </c>
      <c r="F80" s="7" t="inlineStr">
        <is>
          <t>yes</t>
        </is>
      </c>
      <c r="G80" s="4" t="inlineStr">
        <is>
          <t>passed manual test</t>
        </is>
      </c>
      <c r="H80" s="11" t="inlineStr">
        <is>
          <t>covered</t>
        </is>
      </c>
      <c r="I80" s="5" t="inlineStr">
        <is>
          <t>ContextMenu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Public API</t>
        </is>
      </c>
      <c r="C81" s="5" t="inlineStr">
        <is>
          <t>Radio Group</t>
        </is>
      </c>
      <c r="D81" s="5" t="inlineStr">
        <is>
          <t>data-slot is menu-radio-group</t>
        </is>
      </c>
      <c r="E81" s="7" t="inlineStr">
        <is>
          <t>yes</t>
        </is>
      </c>
      <c r="F81" s="7" t="inlineStr">
        <is>
          <t>yes</t>
        </is>
      </c>
      <c r="G81" s="4" t="inlineStr">
        <is>
          <t>passed manual test</t>
        </is>
      </c>
      <c r="H81" s="11" t="inlineStr">
        <is>
          <t>covered</t>
        </is>
      </c>
      <c r="I81" s="5" t="inlineStr">
        <is>
          <t>ContextMenu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Public API</t>
        </is>
      </c>
      <c r="C82" s="5" t="inlineStr">
        <is>
          <t>Radio Group</t>
        </is>
      </c>
      <c r="D82" s="5" t="inlineStr">
        <is>
          <t>value controls checked radio item</t>
        </is>
      </c>
      <c r="E82" s="7" t="inlineStr">
        <is>
          <t>yes</t>
        </is>
      </c>
      <c r="F82" s="7" t="inlineStr">
        <is>
          <t>yes</t>
        </is>
      </c>
      <c r="G82" s="4" t="inlineStr">
        <is>
          <t>passed manual test</t>
        </is>
      </c>
      <c r="H82" s="11" t="inlineStr">
        <is>
          <t>covered</t>
        </is>
      </c>
      <c r="I82" s="5" t="inlineStr">
        <is>
          <t>ContextMenu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Radio Group</t>
        </is>
      </c>
      <c r="D83" s="5" t="inlineStr">
        <is>
          <t>onValueChange fires when radio changes</t>
        </is>
      </c>
      <c r="E83" s="7" t="inlineStr">
        <is>
          <t>yes</t>
        </is>
      </c>
      <c r="F83" s="7" t="inlineStr">
        <is>
          <t>yes</t>
        </is>
      </c>
      <c r="G83" s="4" t="inlineStr">
        <is>
          <t>passed manual test</t>
        </is>
      </c>
      <c r="H83" s="11" t="inlineStr">
        <is>
          <t>covered</t>
        </is>
      </c>
      <c r="I83" s="5" t="inlineStr">
        <is>
          <t>ContextMenu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Public API</t>
        </is>
      </c>
      <c r="C84" s="5" t="inlineStr">
        <is>
          <t>Radio Group</t>
        </is>
      </c>
      <c r="D84" s="5" t="inlineStr">
        <is>
          <t>native className and data props pass through</t>
        </is>
      </c>
      <c r="E84" s="7" t="inlineStr">
        <is>
          <t>yes</t>
        </is>
      </c>
      <c r="F84" s="7" t="inlineStr">
        <is>
          <t>yes</t>
        </is>
      </c>
      <c r="G84" s="4" t="inlineStr">
        <is>
          <t>passed manual test</t>
        </is>
      </c>
      <c r="H84" s="11" t="inlineStr">
        <is>
          <t>covered</t>
        </is>
      </c>
      <c r="I84" s="5" t="inlineStr">
        <is>
          <t>ContextMenu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Radio Item</t>
        </is>
      </c>
      <c r="D85" s="5" t="inlineStr">
        <is>
          <t>renders role menuitemradio</t>
        </is>
      </c>
      <c r="E85" s="7" t="inlineStr">
        <is>
          <t>yes</t>
        </is>
      </c>
      <c r="F85" s="7" t="inlineStr">
        <is>
          <t>yes</t>
        </is>
      </c>
      <c r="G85" s="4" t="inlineStr">
        <is>
          <t>passed manual test</t>
        </is>
      </c>
      <c r="H85" s="11" t="inlineStr">
        <is>
          <t>covered</t>
        </is>
      </c>
      <c r="I85" s="5" t="inlineStr">
        <is>
          <t>ContextMenu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Radio Item</t>
        </is>
      </c>
      <c r="D86" s="5" t="inlineStr">
        <is>
          <t>aria-checked reflects selected item</t>
        </is>
      </c>
      <c r="E86" s="7" t="inlineStr">
        <is>
          <t>yes</t>
        </is>
      </c>
      <c r="F86" s="7" t="inlineStr">
        <is>
          <t>yes</t>
        </is>
      </c>
      <c r="G86" s="4" t="inlineStr">
        <is>
          <t>passed manual test</t>
        </is>
      </c>
      <c r="H86" s="11" t="inlineStr">
        <is>
          <t>covered</t>
        </is>
      </c>
      <c r="I86" s="5" t="inlineStr">
        <is>
          <t>ContextMenu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Radio Item</t>
        </is>
      </c>
      <c r="D87" s="5" t="inlineStr">
        <is>
          <t>data-checked appears on selected item</t>
        </is>
      </c>
      <c r="E87" s="7" t="inlineStr">
        <is>
          <t>yes</t>
        </is>
      </c>
      <c r="F87" s="7" t="inlineStr">
        <is>
          <t>yes</t>
        </is>
      </c>
      <c r="G87" s="4" t="inlineStr">
        <is>
          <t>passed manual test</t>
        </is>
      </c>
      <c r="H87" s="11" t="inlineStr">
        <is>
          <t>covered</t>
        </is>
      </c>
      <c r="I87" s="5" t="inlineStr">
        <is>
          <t>ContextMenu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Radio Item</t>
        </is>
      </c>
      <c r="D88" s="5" t="inlineStr">
        <is>
          <t>value appears as data-value without internal group id</t>
        </is>
      </c>
      <c r="E88" s="7" t="inlineStr">
        <is>
          <t>yes</t>
        </is>
      </c>
      <c r="F88" s="7" t="inlineStr">
        <is>
          <t>yes</t>
        </is>
      </c>
      <c r="G88" s="4" t="inlineStr">
        <is>
          <t>passed manual test</t>
        </is>
      </c>
      <c r="H88" s="11" t="inlineStr">
        <is>
          <t>covered</t>
        </is>
      </c>
      <c r="I88" s="5" t="inlineStr">
        <is>
          <t>ContextMenu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Radio Item</t>
        </is>
      </c>
      <c r="D89" s="5" t="inlineStr">
        <is>
          <t>disabled radio item is skipped</t>
        </is>
      </c>
      <c r="E89" s="7" t="inlineStr">
        <is>
          <t>yes</t>
        </is>
      </c>
      <c r="F89" s="7" t="inlineStr">
        <is>
          <t>yes</t>
        </is>
      </c>
      <c r="G89" s="4" t="inlineStr">
        <is>
          <t>passed manual test</t>
        </is>
      </c>
      <c r="H89" s="11" t="inlineStr">
        <is>
          <t>covered</t>
        </is>
      </c>
      <c r="I89" s="5" t="inlineStr">
        <is>
          <t>ContextMenu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Public API</t>
        </is>
      </c>
      <c r="C90" s="5" t="inlineStr">
        <is>
          <t>Radio Item</t>
        </is>
      </c>
      <c r="D90" s="5" t="inlineStr">
        <is>
          <t>closeOnSelect false keeps menu open</t>
        </is>
      </c>
      <c r="E90" s="7" t="inlineStr">
        <is>
          <t>yes</t>
        </is>
      </c>
      <c r="F90" s="7" t="inlineStr">
        <is>
          <t>yes</t>
        </is>
      </c>
      <c r="G90" s="4" t="inlineStr">
        <is>
          <t>passed manual test</t>
        </is>
      </c>
      <c r="H90" s="11" t="inlineStr">
        <is>
          <t>covered</t>
        </is>
      </c>
      <c r="I90" s="5" t="inlineStr">
        <is>
          <t>ContextMenu playground scenario.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Radio Item</t>
        </is>
      </c>
      <c r="D91" s="5" t="inlineStr">
        <is>
          <t>closeOnSelect true closes menu</t>
        </is>
      </c>
      <c r="E91" s="7" t="inlineStr">
        <is>
          <t>yes</t>
        </is>
      </c>
      <c r="F91" s="7" t="inlineStr">
        <is>
          <t>yes</t>
        </is>
      </c>
      <c r="G91" s="4" t="inlineStr">
        <is>
          <t>passed manual test</t>
        </is>
      </c>
      <c r="H91" s="11" t="inlineStr">
        <is>
          <t>covered</t>
        </is>
      </c>
      <c r="I91" s="5" t="inlineStr">
        <is>
          <t>ContextMenu playground scenario.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Public API</t>
        </is>
      </c>
      <c r="C92" s="5" t="inlineStr">
        <is>
          <t>Group</t>
        </is>
      </c>
      <c r="D92" s="5" t="inlineStr">
        <is>
          <t>renders role group</t>
        </is>
      </c>
      <c r="E92" s="7" t="inlineStr">
        <is>
          <t>yes</t>
        </is>
      </c>
      <c r="F92" s="7" t="inlineStr">
        <is>
          <t>yes</t>
        </is>
      </c>
      <c r="G92" s="4" t="inlineStr">
        <is>
          <t>passed manual test</t>
        </is>
      </c>
      <c r="H92" s="11" t="inlineStr">
        <is>
          <t>covered</t>
        </is>
      </c>
      <c r="I92" s="5" t="inlineStr">
        <is>
          <t>ContextMenu playground scenario.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Group</t>
        </is>
      </c>
      <c r="D93" s="5" t="inlineStr">
        <is>
          <t>data-slot is menu-group</t>
        </is>
      </c>
      <c r="E93" s="7" t="inlineStr">
        <is>
          <t>yes</t>
        </is>
      </c>
      <c r="F93" s="7" t="inlineStr">
        <is>
          <t>yes</t>
        </is>
      </c>
      <c r="G93" s="4" t="inlineStr">
        <is>
          <t>passed manual test</t>
        </is>
      </c>
      <c r="H93" s="11" t="inlineStr">
        <is>
          <t>covered</t>
        </is>
      </c>
      <c r="I93" s="5" t="inlineStr">
        <is>
          <t>ContextMenu playground scenario.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Public API</t>
        </is>
      </c>
      <c r="C94" s="5" t="inlineStr">
        <is>
          <t>Group</t>
        </is>
      </c>
      <c r="D94" s="5" t="inlineStr">
        <is>
          <t>native className and data props pass through</t>
        </is>
      </c>
      <c r="E94" s="7" t="inlineStr">
        <is>
          <t>yes</t>
        </is>
      </c>
      <c r="F94" s="7" t="inlineStr">
        <is>
          <t>yes</t>
        </is>
      </c>
      <c r="G94" s="4" t="inlineStr">
        <is>
          <t>passed manual test</t>
        </is>
      </c>
      <c r="H94" s="11" t="inlineStr">
        <is>
          <t>covered</t>
        </is>
      </c>
      <c r="I94" s="5" t="inlineStr">
        <is>
          <t>ContextMenu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Public API</t>
        </is>
      </c>
      <c r="C95" s="5" t="inlineStr">
        <is>
          <t>Separator</t>
        </is>
      </c>
      <c r="D95" s="5" t="inlineStr">
        <is>
          <t>renders role separator</t>
        </is>
      </c>
      <c r="E95" s="7" t="inlineStr">
        <is>
          <t>yes</t>
        </is>
      </c>
      <c r="F95" s="7" t="inlineStr">
        <is>
          <t>yes</t>
        </is>
      </c>
      <c r="G95" s="4" t="inlineStr">
        <is>
          <t>passed manual test</t>
        </is>
      </c>
      <c r="H95" s="11" t="inlineStr">
        <is>
          <t>covered</t>
        </is>
      </c>
      <c r="I95" s="5" t="inlineStr">
        <is>
          <t>ContextMenu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Public API</t>
        </is>
      </c>
      <c r="C96" s="5" t="inlineStr">
        <is>
          <t>Separator</t>
        </is>
      </c>
      <c r="D96" s="5" t="inlineStr">
        <is>
          <t>aria-orientation is horizontal</t>
        </is>
      </c>
      <c r="E96" s="7" t="inlineStr">
        <is>
          <t>yes</t>
        </is>
      </c>
      <c r="F96" s="7" t="inlineStr">
        <is>
          <t>yes</t>
        </is>
      </c>
      <c r="G96" s="4" t="inlineStr">
        <is>
          <t>passed manual test</t>
        </is>
      </c>
      <c r="H96" s="11" t="inlineStr">
        <is>
          <t>covered</t>
        </is>
      </c>
      <c r="I96" s="5" t="inlineStr">
        <is>
          <t>ContextMenu playground scenario.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Public API</t>
        </is>
      </c>
      <c r="C97" s="5" t="inlineStr">
        <is>
          <t>Separator</t>
        </is>
      </c>
      <c r="D97" s="5" t="inlineStr">
        <is>
          <t>data-slot is menu-separator</t>
        </is>
      </c>
      <c r="E97" s="7" t="inlineStr">
        <is>
          <t>yes</t>
        </is>
      </c>
      <c r="F97" s="7" t="inlineStr">
        <is>
          <t>yes</t>
        </is>
      </c>
      <c r="G97" s="4" t="inlineStr">
        <is>
          <t>passed manual test</t>
        </is>
      </c>
      <c r="H97" s="11" t="inlineStr">
        <is>
          <t>covered</t>
        </is>
      </c>
      <c r="I97" s="5" t="inlineStr">
        <is>
          <t>ContextMenu playground scenario.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Public API</t>
        </is>
      </c>
      <c r="C98" s="5" t="inlineStr">
        <is>
          <t>Sub</t>
        </is>
      </c>
      <c r="D98" s="5" t="inlineStr">
        <is>
          <t>defaultOpen initializes uncontrolled submenu</t>
        </is>
      </c>
      <c r="E98" s="7" t="inlineStr">
        <is>
          <t>yes</t>
        </is>
      </c>
      <c r="F98" s="7" t="inlineStr">
        <is>
          <t>yes</t>
        </is>
      </c>
      <c r="G98" s="4" t="inlineStr">
        <is>
          <t>passed manual test</t>
        </is>
      </c>
      <c r="H98" s="11" t="inlineStr">
        <is>
          <t>covered</t>
        </is>
      </c>
      <c r="I98" s="5" t="inlineStr">
        <is>
          <t>ContextMenu playground scenario.</t>
        </is>
      </c>
      <c r="J98" s="5" t="n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Public API</t>
        </is>
      </c>
      <c r="C99" s="5" t="inlineStr">
        <is>
          <t>Sub</t>
        </is>
      </c>
      <c r="D99" s="5" t="inlineStr">
        <is>
          <t>open prop controls submenu</t>
        </is>
      </c>
      <c r="E99" s="7" t="inlineStr">
        <is>
          <t>yes</t>
        </is>
      </c>
      <c r="F99" s="7" t="inlineStr">
        <is>
          <t>yes</t>
        </is>
      </c>
      <c r="G99" s="4" t="inlineStr">
        <is>
          <t>passed manual test</t>
        </is>
      </c>
      <c r="H99" s="11" t="inlineStr">
        <is>
          <t>covered</t>
        </is>
      </c>
      <c r="I99" s="5" t="inlineStr">
        <is>
          <t>ContextMenu playground scenario.</t>
        </is>
      </c>
      <c r="J99" s="5" t="n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Public API</t>
        </is>
      </c>
      <c r="C100" s="5" t="inlineStr">
        <is>
          <t>Sub</t>
        </is>
      </c>
      <c r="D100" s="5" t="inlineStr">
        <is>
          <t>onOpenChange fires for controlled submenu</t>
        </is>
      </c>
      <c r="E100" s="7" t="inlineStr">
        <is>
          <t>yes</t>
        </is>
      </c>
      <c r="F100" s="7" t="inlineStr">
        <is>
          <t>yes</t>
        </is>
      </c>
      <c r="G100" s="4" t="inlineStr">
        <is>
          <t>passed manual test</t>
        </is>
      </c>
      <c r="H100" s="11" t="inlineStr">
        <is>
          <t>covered</t>
        </is>
      </c>
      <c r="I100" s="5" t="inlineStr">
        <is>
          <t>ContextMenu playground scenario.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Public API</t>
        </is>
      </c>
      <c r="C101" s="5" t="inlineStr">
        <is>
          <t>Sub</t>
        </is>
      </c>
      <c r="D101" s="5" t="inlineStr">
        <is>
          <t>only one uncontrolled submenu is open at a time</t>
        </is>
      </c>
      <c r="E101" s="7" t="inlineStr">
        <is>
          <t>yes</t>
        </is>
      </c>
      <c r="F101" s="7" t="inlineStr">
        <is>
          <t>yes</t>
        </is>
      </c>
      <c r="G101" s="4" t="inlineStr">
        <is>
          <t>passed manual test</t>
        </is>
      </c>
      <c r="H101" s="11" t="inlineStr">
        <is>
          <t>covered</t>
        </is>
      </c>
      <c r="I101" s="5" t="inlineStr">
        <is>
          <t>ContextMenu playground scenario.</t>
        </is>
      </c>
      <c r="J101" s="5" t="n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Public API</t>
        </is>
      </c>
      <c r="C102" s="5" t="inlineStr">
        <is>
          <t>Sub Trigger</t>
        </is>
      </c>
      <c r="D102" s="5" t="inlineStr">
        <is>
          <t>renders role menuitem</t>
        </is>
      </c>
      <c r="E102" s="7" t="inlineStr">
        <is>
          <t>yes</t>
        </is>
      </c>
      <c r="F102" s="7" t="inlineStr">
        <is>
          <t>yes</t>
        </is>
      </c>
      <c r="G102" s="4" t="inlineStr">
        <is>
          <t>passed manual test</t>
        </is>
      </c>
      <c r="H102" s="11" t="inlineStr">
        <is>
          <t>covered</t>
        </is>
      </c>
      <c r="I102" s="5" t="inlineStr">
        <is>
          <t>ContextMenu playground scenario.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Public API</t>
        </is>
      </c>
      <c r="C103" s="5" t="inlineStr">
        <is>
          <t>Sub Trigger</t>
        </is>
      </c>
      <c r="D103" s="5" t="inlineStr">
        <is>
          <t>aria-haspopup is menu</t>
        </is>
      </c>
      <c r="E103" s="7" t="inlineStr">
        <is>
          <t>yes</t>
        </is>
      </c>
      <c r="F103" s="7" t="inlineStr">
        <is>
          <t>yes</t>
        </is>
      </c>
      <c r="G103" s="4" t="inlineStr">
        <is>
          <t>passed manual test</t>
        </is>
      </c>
      <c r="H103" s="11" t="inlineStr">
        <is>
          <t>covered</t>
        </is>
      </c>
      <c r="I103" s="5" t="inlineStr">
        <is>
          <t>ContextMenu playground scenario.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Public API</t>
        </is>
      </c>
      <c r="C104" s="5" t="inlineStr">
        <is>
          <t>Sub Trigger</t>
        </is>
      </c>
      <c r="D104" s="5" t="inlineStr">
        <is>
          <t>aria-expanded reflects submenu open state</t>
        </is>
      </c>
      <c r="E104" s="7" t="inlineStr">
        <is>
          <t>yes</t>
        </is>
      </c>
      <c r="F104" s="7" t="inlineStr">
        <is>
          <t>yes</t>
        </is>
      </c>
      <c r="G104" s="4" t="inlineStr">
        <is>
          <t>passed manual test</t>
        </is>
      </c>
      <c r="H104" s="11" t="inlineStr">
        <is>
          <t>covered</t>
        </is>
      </c>
      <c r="I104" s="5" t="inlineStr">
        <is>
          <t>ContextMenu playground scenario.</t>
        </is>
      </c>
      <c r="J104" s="5" t="n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Public API</t>
        </is>
      </c>
      <c r="C105" s="5" t="inlineStr">
        <is>
          <t>Sub Trigger</t>
        </is>
      </c>
      <c r="D105" s="5" t="inlineStr">
        <is>
          <t>data-state reflects submenu state</t>
        </is>
      </c>
      <c r="E105" s="7" t="inlineStr">
        <is>
          <t>yes</t>
        </is>
      </c>
      <c r="F105" s="7" t="inlineStr">
        <is>
          <t>yes</t>
        </is>
      </c>
      <c r="G105" s="4" t="inlineStr">
        <is>
          <t>passed manual test</t>
        </is>
      </c>
      <c r="H105" s="11" t="inlineStr">
        <is>
          <t>covered</t>
        </is>
      </c>
      <c r="I105" s="5" t="inlineStr">
        <is>
          <t>ContextMenu playground scenario.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Public API</t>
        </is>
      </c>
      <c r="C106" s="5" t="inlineStr">
        <is>
          <t>Sub Trigger</t>
        </is>
      </c>
      <c r="D106" s="5" t="inlineStr">
        <is>
          <t>data-slot is menu-sub-trigger</t>
        </is>
      </c>
      <c r="E106" s="7" t="inlineStr">
        <is>
          <t>yes</t>
        </is>
      </c>
      <c r="F106" s="7" t="inlineStr">
        <is>
          <t>yes</t>
        </is>
      </c>
      <c r="G106" s="4" t="inlineStr">
        <is>
          <t>passed manual test</t>
        </is>
      </c>
      <c r="H106" s="11" t="inlineStr">
        <is>
          <t>covered</t>
        </is>
      </c>
      <c r="I106" s="5" t="inlineStr">
        <is>
          <t>ContextMenu playground scenario.</t>
        </is>
      </c>
      <c r="J106" s="5" t="n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Public API</t>
        </is>
      </c>
      <c r="C107" s="5" t="inlineStr">
        <is>
          <t>Sub Trigger</t>
        </is>
      </c>
      <c r="D107" s="5" t="inlineStr">
        <is>
          <t>hover opens submenu after delay</t>
        </is>
      </c>
      <c r="E107" s="7" t="inlineStr">
        <is>
          <t>yes</t>
        </is>
      </c>
      <c r="F107" s="7" t="inlineStr">
        <is>
          <t>yes</t>
        </is>
      </c>
      <c r="G107" s="4" t="inlineStr">
        <is>
          <t>passed manual test</t>
        </is>
      </c>
      <c r="H107" s="11" t="inlineStr">
        <is>
          <t>covered</t>
        </is>
      </c>
      <c r="I107" s="5" t="inlineStr">
        <is>
          <t>ContextMenu playground scenario.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Sub Trigger</t>
        </is>
      </c>
      <c r="D108" s="5" t="inlineStr">
        <is>
          <t>click toggles submenu</t>
        </is>
      </c>
      <c r="E108" s="7" t="inlineStr">
        <is>
          <t>yes</t>
        </is>
      </c>
      <c r="F108" s="7" t="inlineStr">
        <is>
          <t>yes</t>
        </is>
      </c>
      <c r="G108" s="4" t="inlineStr">
        <is>
          <t>passed manual test</t>
        </is>
      </c>
      <c r="H108" s="11" t="inlineStr">
        <is>
          <t>covered</t>
        </is>
      </c>
      <c r="I108" s="5" t="inlineStr">
        <is>
          <t>ContextMenu playground scenario.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Public API</t>
        </is>
      </c>
      <c r="C109" s="5" t="inlineStr">
        <is>
          <t>Sub Trigger</t>
        </is>
      </c>
      <c r="D109" s="5" t="inlineStr">
        <is>
          <t>ArrowRight opens submenu</t>
        </is>
      </c>
      <c r="E109" s="7" t="inlineStr">
        <is>
          <t>yes</t>
        </is>
      </c>
      <c r="F109" s="7" t="inlineStr">
        <is>
          <t>yes</t>
        </is>
      </c>
      <c r="G109" s="4" t="inlineStr">
        <is>
          <t>passed manual test</t>
        </is>
      </c>
      <c r="H109" s="11" t="inlineStr">
        <is>
          <t>covered</t>
        </is>
      </c>
      <c r="I109" s="5" t="inlineStr">
        <is>
          <t>ContextMenu playground scenario.</t>
        </is>
      </c>
      <c r="J109" s="5" t="n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Public API</t>
        </is>
      </c>
      <c r="C110" s="5" t="inlineStr">
        <is>
          <t>Sub Trigger</t>
        </is>
      </c>
      <c r="D110" s="5" t="inlineStr">
        <is>
          <t>disabled sub trigger is skipped</t>
        </is>
      </c>
      <c r="E110" s="7" t="inlineStr">
        <is>
          <t>yes</t>
        </is>
      </c>
      <c r="F110" s="7" t="inlineStr">
        <is>
          <t>yes</t>
        </is>
      </c>
      <c r="G110" s="4" t="inlineStr">
        <is>
          <t>passed manual test</t>
        </is>
      </c>
      <c r="H110" s="11" t="inlineStr">
        <is>
          <t>covered</t>
        </is>
      </c>
      <c r="I110" s="5" t="inlineStr">
        <is>
          <t>ContextMenu playground scenario.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Public API</t>
        </is>
      </c>
      <c r="C111" s="5" t="inlineStr">
        <is>
          <t>Sub Trigger</t>
        </is>
      </c>
      <c r="D111" s="5" t="inlineStr">
        <is>
          <t>textValue is used for typeahead</t>
        </is>
      </c>
      <c r="E111" s="7" t="inlineStr">
        <is>
          <t>yes</t>
        </is>
      </c>
      <c r="F111" s="7" t="inlineStr">
        <is>
          <t>yes</t>
        </is>
      </c>
      <c r="G111" s="4" t="inlineStr">
        <is>
          <t>passed manual test</t>
        </is>
      </c>
      <c r="H111" s="11" t="inlineStr">
        <is>
          <t>covered</t>
        </is>
      </c>
      <c r="I111" s="5" t="inlineStr">
        <is>
          <t>ContextMenu playground scenario.</t>
        </is>
      </c>
      <c r="J111" s="5" t="n"/>
      <c r="K111" s="6">
        <f>IF(AND(E111="yes",F111="yes",H111="covered"),1,IF(H111="partial",0.5,0))</f>
        <v/>
      </c>
    </row>
    <row r="112" ht="30" customHeight="1" s="60">
      <c r="A112" s="4" t="n">
        <v>104</v>
      </c>
      <c r="B112" s="5" t="inlineStr">
        <is>
          <t>Public API</t>
        </is>
      </c>
      <c r="C112" s="5" t="inlineStr">
        <is>
          <t>Sub Content</t>
        </is>
      </c>
      <c r="D112" s="5" t="inlineStr">
        <is>
          <t>renders role menu</t>
        </is>
      </c>
      <c r="E112" s="7" t="inlineStr">
        <is>
          <t>yes</t>
        </is>
      </c>
      <c r="F112" s="7" t="inlineStr">
        <is>
          <t>yes</t>
        </is>
      </c>
      <c r="G112" s="4" t="inlineStr">
        <is>
          <t>passed manual test</t>
        </is>
      </c>
      <c r="H112" s="11" t="inlineStr">
        <is>
          <t>covered</t>
        </is>
      </c>
      <c r="I112" s="5" t="inlineStr">
        <is>
          <t>ContextMenu playground scenario.</t>
        </is>
      </c>
      <c r="J112" s="5" t="n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Public API</t>
        </is>
      </c>
      <c r="C113" s="5" t="inlineStr">
        <is>
          <t>Sub Content</t>
        </is>
      </c>
      <c r="D113" s="5" t="inlineStr">
        <is>
          <t>aria-label prop names submenu</t>
        </is>
      </c>
      <c r="E113" s="7" t="inlineStr">
        <is>
          <t>yes</t>
        </is>
      </c>
      <c r="F113" s="7" t="inlineStr">
        <is>
          <t>yes</t>
        </is>
      </c>
      <c r="G113" s="4" t="inlineStr">
        <is>
          <t>passed manual test</t>
        </is>
      </c>
      <c r="H113" s="11" t="inlineStr">
        <is>
          <t>covered</t>
        </is>
      </c>
      <c r="I113" s="5" t="inlineStr">
        <is>
          <t>ContextMenu playground scenario.</t>
        </is>
      </c>
      <c r="J113" s="5" t="n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Public API</t>
        </is>
      </c>
      <c r="C114" s="5" t="inlineStr">
        <is>
          <t>Sub Content</t>
        </is>
      </c>
      <c r="D114" s="5" t="inlineStr">
        <is>
          <t>aria-labelledby references sub trigger when ariaLabel is absent</t>
        </is>
      </c>
      <c r="E114" s="7" t="inlineStr">
        <is>
          <t>yes</t>
        </is>
      </c>
      <c r="F114" s="7" t="inlineStr">
        <is>
          <t>yes</t>
        </is>
      </c>
      <c r="G114" s="4" t="inlineStr">
        <is>
          <t>passed manual test</t>
        </is>
      </c>
      <c r="H114" s="11" t="inlineStr">
        <is>
          <t>covered</t>
        </is>
      </c>
      <c r="I114" s="5" t="inlineStr">
        <is>
          <t>ContextMenu playground scenario.</t>
        </is>
      </c>
      <c r="J114" s="5" t="n"/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Public API</t>
        </is>
      </c>
      <c r="C115" s="5" t="inlineStr">
        <is>
          <t>Sub Content</t>
        </is>
      </c>
      <c r="D115" s="5" t="inlineStr">
        <is>
          <t>data-slot is menu-sub-content</t>
        </is>
      </c>
      <c r="E115" s="7" t="inlineStr">
        <is>
          <t>yes</t>
        </is>
      </c>
      <c r="F115" s="7" t="inlineStr">
        <is>
          <t>yes</t>
        </is>
      </c>
      <c r="G115" s="4" t="inlineStr">
        <is>
          <t>passed manual test</t>
        </is>
      </c>
      <c r="H115" s="11" t="inlineStr">
        <is>
          <t>covered</t>
        </is>
      </c>
      <c r="I115" s="5" t="inlineStr">
        <is>
          <t>ContextMenu playground scenario.</t>
        </is>
      </c>
      <c r="J115" s="5" t="n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Public API</t>
        </is>
      </c>
      <c r="C116" s="5" t="inlineStr">
        <is>
          <t>Sub Content</t>
        </is>
      </c>
      <c r="D116" s="5" t="inlineStr">
        <is>
          <t>data-state is open</t>
        </is>
      </c>
      <c r="E116" s="7" t="inlineStr">
        <is>
          <t>yes</t>
        </is>
      </c>
      <c r="F116" s="7" t="inlineStr">
        <is>
          <t>yes</t>
        </is>
      </c>
      <c r="G116" s="4" t="inlineStr">
        <is>
          <t>passed manual test</t>
        </is>
      </c>
      <c r="H116" s="11" t="inlineStr">
        <is>
          <t>covered</t>
        </is>
      </c>
      <c r="I116" s="5" t="inlineStr">
        <is>
          <t>ContextMenu playground scenario.</t>
        </is>
      </c>
      <c r="J116" s="5" t="n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Public API</t>
        </is>
      </c>
      <c r="C117" s="5" t="inlineStr">
        <is>
          <t>Sub Content</t>
        </is>
      </c>
      <c r="D117" s="5" t="inlineStr">
        <is>
          <t>data-side reflects final placement</t>
        </is>
      </c>
      <c r="E117" s="7" t="inlineStr">
        <is>
          <t>yes</t>
        </is>
      </c>
      <c r="F117" s="7" t="inlineStr">
        <is>
          <t>yes</t>
        </is>
      </c>
      <c r="G117" s="4" t="inlineStr">
        <is>
          <t>passed manual test</t>
        </is>
      </c>
      <c r="H117" s="11" t="inlineStr">
        <is>
          <t>covered</t>
        </is>
      </c>
      <c r="I117" s="5" t="inlineStr">
        <is>
          <t>ContextMenu playground scenario.</t>
        </is>
      </c>
      <c r="J117" s="5" t="n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Public API</t>
        </is>
      </c>
      <c r="C118" s="5" t="inlineStr">
        <is>
          <t>Sub Content</t>
        </is>
      </c>
      <c r="D118" s="5" t="inlineStr">
        <is>
          <t>data-positioned appears after positioning</t>
        </is>
      </c>
      <c r="E118" s="7" t="inlineStr">
        <is>
          <t>yes</t>
        </is>
      </c>
      <c r="F118" s="7" t="inlineStr">
        <is>
          <t>yes</t>
        </is>
      </c>
      <c r="G118" s="4" t="inlineStr">
        <is>
          <t>passed manual test</t>
        </is>
      </c>
      <c r="H118" s="11" t="inlineStr">
        <is>
          <t>covered</t>
        </is>
      </c>
      <c r="I118" s="5" t="inlineStr">
        <is>
          <t>ContextMenu playground scenario.</t>
        </is>
      </c>
      <c r="J118" s="5" t="n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Public API</t>
        </is>
      </c>
      <c r="C119" s="5" t="inlineStr">
        <is>
          <t>Sub Content</t>
        </is>
      </c>
      <c r="D119" s="5" t="inlineStr">
        <is>
          <t>sideOffset changes submenu distance</t>
        </is>
      </c>
      <c r="E119" s="7" t="inlineStr">
        <is>
          <t>yes</t>
        </is>
      </c>
      <c r="F119" s="7" t="inlineStr">
        <is>
          <t>yes</t>
        </is>
      </c>
      <c r="G119" s="4" t="inlineStr">
        <is>
          <t>passed manual test</t>
        </is>
      </c>
      <c r="H119" s="11" t="inlineStr">
        <is>
          <t>covered</t>
        </is>
      </c>
      <c r="I119" s="5" t="inlineStr">
        <is>
          <t>ContextMenu playground scenario.</t>
        </is>
      </c>
      <c r="J119" s="5" t="n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Public API</t>
        </is>
      </c>
      <c r="C120" s="5" t="inlineStr">
        <is>
          <t>Sub Content</t>
        </is>
      </c>
      <c r="D120" s="5" t="inlineStr">
        <is>
          <t>loop prop controls submenu wrapping</t>
        </is>
      </c>
      <c r="E120" s="7" t="inlineStr">
        <is>
          <t>yes</t>
        </is>
      </c>
      <c r="F120" s="7" t="inlineStr">
        <is>
          <t>yes</t>
        </is>
      </c>
      <c r="G120" s="4" t="inlineStr">
        <is>
          <t>passed manual test</t>
        </is>
      </c>
      <c r="H120" s="11" t="inlineStr">
        <is>
          <t>covered</t>
        </is>
      </c>
      <c r="I120" s="5" t="inlineStr">
        <is>
          <t>ContextMenu playground scenario.</t>
        </is>
      </c>
      <c r="J120" s="5" t="n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Interaction</t>
        </is>
      </c>
      <c r="C121" s="5" t="inlineStr">
        <is>
          <t>Open And Close</t>
        </is>
      </c>
      <c r="D121" s="5" t="inlineStr">
        <is>
          <t>right click opens at pointer location</t>
        </is>
      </c>
      <c r="E121" s="7" t="inlineStr">
        <is>
          <t>yes</t>
        </is>
      </c>
      <c r="F121" s="7" t="inlineStr">
        <is>
          <t>yes</t>
        </is>
      </c>
      <c r="G121" s="4" t="inlineStr">
        <is>
          <t>passed manual test</t>
        </is>
      </c>
      <c r="H121" s="11" t="inlineStr">
        <is>
          <t>covered</t>
        </is>
      </c>
      <c r="I121" s="5" t="inlineStr">
        <is>
          <t>ContextMenu playground scenario.</t>
        </is>
      </c>
      <c r="J121" s="5" t="n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Interaction</t>
        </is>
      </c>
      <c r="C122" s="5" t="inlineStr">
        <is>
          <t>Open And Close</t>
        </is>
      </c>
      <c r="D122" s="5" t="inlineStr">
        <is>
          <t>keyboard opens at trigger center</t>
        </is>
      </c>
      <c r="E122" s="7" t="inlineStr">
        <is>
          <t>yes</t>
        </is>
      </c>
      <c r="F122" s="7" t="inlineStr">
        <is>
          <t>yes</t>
        </is>
      </c>
      <c r="G122" s="4" t="inlineStr">
        <is>
          <t>passed manual test</t>
        </is>
      </c>
      <c r="H122" s="11" t="inlineStr">
        <is>
          <t>covered</t>
        </is>
      </c>
      <c r="I122" s="5" t="inlineStr">
        <is>
          <t>ContextMenu playground scenario.</t>
        </is>
      </c>
      <c r="J122" s="5" t="n"/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Interaction</t>
        </is>
      </c>
      <c r="C123" s="5" t="inlineStr">
        <is>
          <t>Open And Close</t>
        </is>
      </c>
      <c r="D123" s="5" t="inlineStr">
        <is>
          <t>outside click closes menu</t>
        </is>
      </c>
      <c r="E123" s="7" t="inlineStr">
        <is>
          <t>yes</t>
        </is>
      </c>
      <c r="F123" s="7" t="inlineStr">
        <is>
          <t>yes</t>
        </is>
      </c>
      <c r="G123" s="4" t="inlineStr">
        <is>
          <t>passed manual test</t>
        </is>
      </c>
      <c r="H123" s="11" t="inlineStr">
        <is>
          <t>covered</t>
        </is>
      </c>
      <c r="I123" s="5" t="inlineStr">
        <is>
          <t>ContextMenu playground scenario.</t>
        </is>
      </c>
      <c r="J123" s="5" t="n"/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Interaction</t>
        </is>
      </c>
      <c r="C124" s="5" t="inlineStr">
        <is>
          <t>Open And Close</t>
        </is>
      </c>
      <c r="D124" s="5" t="inlineStr">
        <is>
          <t>Tab closes menu and returns focus to trigger</t>
        </is>
      </c>
      <c r="E124" s="7" t="inlineStr">
        <is>
          <t>yes</t>
        </is>
      </c>
      <c r="F124" s="7" t="inlineStr">
        <is>
          <t>yes</t>
        </is>
      </c>
      <c r="G124" s="4" t="inlineStr">
        <is>
          <t>passed manual test</t>
        </is>
      </c>
      <c r="H124" s="11" t="inlineStr">
        <is>
          <t>covered</t>
        </is>
      </c>
      <c r="I124" s="5" t="inlineStr">
        <is>
          <t>ContextMenu playground scenario.</t>
        </is>
      </c>
      <c r="J124" s="5" t="n"/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Interaction</t>
        </is>
      </c>
      <c r="C125" s="5" t="inlineStr">
        <is>
          <t>Open And Close</t>
        </is>
      </c>
      <c r="D125" s="5" t="inlineStr">
        <is>
          <t>Escape closes menu when no submenu is open</t>
        </is>
      </c>
      <c r="E125" s="7" t="inlineStr">
        <is>
          <t>yes</t>
        </is>
      </c>
      <c r="F125" s="7" t="inlineStr">
        <is>
          <t>yes</t>
        </is>
      </c>
      <c r="G125" s="4" t="inlineStr">
        <is>
          <t>passed manual test</t>
        </is>
      </c>
      <c r="H125" s="11" t="inlineStr">
        <is>
          <t>covered</t>
        </is>
      </c>
      <c r="I125" s="5" t="inlineStr">
        <is>
          <t>ContextMenu playground scenario.</t>
        </is>
      </c>
      <c r="J125" s="5" t="n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Interaction</t>
        </is>
      </c>
      <c r="C126" s="5" t="inlineStr">
        <is>
          <t>Open And Close</t>
        </is>
      </c>
      <c r="D126" s="5" t="inlineStr">
        <is>
          <t>Escape closes submenu first and returns focus to parent content</t>
        </is>
      </c>
      <c r="E126" s="7" t="inlineStr">
        <is>
          <t>yes</t>
        </is>
      </c>
      <c r="F126" s="7" t="inlineStr">
        <is>
          <t>yes</t>
        </is>
      </c>
      <c r="G126" s="4" t="inlineStr">
        <is>
          <t>passed manual test</t>
        </is>
      </c>
      <c r="H126" s="11" t="inlineStr">
        <is>
          <t>covered</t>
        </is>
      </c>
      <c r="I126" s="5" t="inlineStr">
        <is>
          <t>ContextMenu playground scenario.</t>
        </is>
      </c>
      <c r="J126" s="5" t="n"/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Interaction</t>
        </is>
      </c>
      <c r="C127" s="5" t="inlineStr">
        <is>
          <t>Open And Close</t>
        </is>
      </c>
      <c r="D127" s="5" t="inlineStr">
        <is>
          <t>selecting action item closes menu when enabled</t>
        </is>
      </c>
      <c r="E127" s="7" t="inlineStr">
        <is>
          <t>yes</t>
        </is>
      </c>
      <c r="F127" s="7" t="inlineStr">
        <is>
          <t>yes</t>
        </is>
      </c>
      <c r="G127" s="4" t="inlineStr">
        <is>
          <t>passed manual test</t>
        </is>
      </c>
      <c r="H127" s="11" t="inlineStr">
        <is>
          <t>covered</t>
        </is>
      </c>
      <c r="I127" s="5" t="inlineStr">
        <is>
          <t>ContextMenu playground scenario.</t>
        </is>
      </c>
      <c r="J127" s="5" t="n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Interaction</t>
        </is>
      </c>
      <c r="C128" s="5" t="inlineStr">
        <is>
          <t>Open And Close</t>
        </is>
      </c>
      <c r="D128" s="5" t="inlineStr">
        <is>
          <t>selecting checkbox/radio can keep menu open</t>
        </is>
      </c>
      <c r="E128" s="7" t="inlineStr">
        <is>
          <t>yes</t>
        </is>
      </c>
      <c r="F128" s="7" t="inlineStr">
        <is>
          <t>yes</t>
        </is>
      </c>
      <c r="G128" s="4" t="inlineStr">
        <is>
          <t>passed manual test</t>
        </is>
      </c>
      <c r="H128" s="11" t="inlineStr">
        <is>
          <t>covered</t>
        </is>
      </c>
      <c r="I128" s="5" t="inlineStr">
        <is>
          <t>ContextMenu playground scenario.</t>
        </is>
      </c>
      <c r="J128" s="5" t="n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Interaction</t>
        </is>
      </c>
      <c r="C129" s="5" t="inlineStr">
        <is>
          <t>Open And Close</t>
        </is>
      </c>
      <c r="D129" s="5" t="inlineStr">
        <is>
          <t>selecting submenu item closes submenu and parent menu</t>
        </is>
      </c>
      <c r="E129" s="7" t="inlineStr">
        <is>
          <t>yes</t>
        </is>
      </c>
      <c r="F129" s="7" t="inlineStr">
        <is>
          <t>yes</t>
        </is>
      </c>
      <c r="G129" s="4" t="inlineStr">
        <is>
          <t>passed manual test</t>
        </is>
      </c>
      <c r="H129" s="11" t="inlineStr">
        <is>
          <t>covered</t>
        </is>
      </c>
      <c r="I129" s="5" t="inlineStr">
        <is>
          <t>ContextMenu playground scenario.</t>
        </is>
      </c>
      <c r="J129" s="5" t="n"/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Keyboard</t>
        </is>
      </c>
      <c r="C130" s="5" t="inlineStr">
        <is>
          <t>Navigation</t>
        </is>
      </c>
      <c r="D130" s="5" t="inlineStr">
        <is>
          <t>ArrowDown moves highlight forward</t>
        </is>
      </c>
      <c r="E130" s="7" t="inlineStr">
        <is>
          <t>yes</t>
        </is>
      </c>
      <c r="F130" s="7" t="inlineStr">
        <is>
          <t>yes</t>
        </is>
      </c>
      <c r="G130" s="4" t="inlineStr">
        <is>
          <t>passed manual test</t>
        </is>
      </c>
      <c r="H130" s="11" t="inlineStr">
        <is>
          <t>covered</t>
        </is>
      </c>
      <c r="I130" s="5" t="inlineStr">
        <is>
          <t>ContextMenu playground scenario.</t>
        </is>
      </c>
      <c r="J130" s="5" t="n"/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Keyboard</t>
        </is>
      </c>
      <c r="C131" s="5" t="inlineStr">
        <is>
          <t>Navigation</t>
        </is>
      </c>
      <c r="D131" s="5" t="inlineStr">
        <is>
          <t>ArrowUp moves highlight backward</t>
        </is>
      </c>
      <c r="E131" s="7" t="inlineStr">
        <is>
          <t>yes</t>
        </is>
      </c>
      <c r="F131" s="7" t="inlineStr">
        <is>
          <t>yes</t>
        </is>
      </c>
      <c r="G131" s="4" t="inlineStr">
        <is>
          <t>passed manual test</t>
        </is>
      </c>
      <c r="H131" s="11" t="inlineStr">
        <is>
          <t>covered</t>
        </is>
      </c>
      <c r="I131" s="5" t="inlineStr">
        <is>
          <t>ContextMenu playground scenario.</t>
        </is>
      </c>
      <c r="J131" s="5" t="n"/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Keyboard</t>
        </is>
      </c>
      <c r="C132" s="5" t="inlineStr">
        <is>
          <t>Navigation</t>
        </is>
      </c>
      <c r="D132" s="5" t="inlineStr">
        <is>
          <t>Home moves highlight to first item</t>
        </is>
      </c>
      <c r="E132" s="7" t="inlineStr">
        <is>
          <t>yes</t>
        </is>
      </c>
      <c r="F132" s="7" t="inlineStr">
        <is>
          <t>yes</t>
        </is>
      </c>
      <c r="G132" s="4" t="inlineStr">
        <is>
          <t>passed manual test</t>
        </is>
      </c>
      <c r="H132" s="11" t="inlineStr">
        <is>
          <t>covered</t>
        </is>
      </c>
      <c r="I132" s="5" t="inlineStr">
        <is>
          <t>ContextMenu playground scenario.</t>
        </is>
      </c>
      <c r="J132" s="5" t="n"/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Keyboard</t>
        </is>
      </c>
      <c r="C133" s="5" t="inlineStr">
        <is>
          <t>Navigation</t>
        </is>
      </c>
      <c r="D133" s="5" t="inlineStr">
        <is>
          <t>End moves highlight to last item</t>
        </is>
      </c>
      <c r="E133" s="7" t="inlineStr">
        <is>
          <t>yes</t>
        </is>
      </c>
      <c r="F133" s="7" t="inlineStr">
        <is>
          <t>yes</t>
        </is>
      </c>
      <c r="G133" s="4" t="inlineStr">
        <is>
          <t>passed manual test</t>
        </is>
      </c>
      <c r="H133" s="11" t="inlineStr">
        <is>
          <t>covered</t>
        </is>
      </c>
      <c r="I133" s="5" t="inlineStr">
        <is>
          <t>ContextMenu playground scenario.</t>
        </is>
      </c>
      <c r="J133" s="5" t="n"/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Keyboard</t>
        </is>
      </c>
      <c r="C134" s="5" t="inlineStr">
        <is>
          <t>Navigation</t>
        </is>
      </c>
      <c r="D134" s="5" t="inlineStr">
        <is>
          <t>disabled items are skipped</t>
        </is>
      </c>
      <c r="E134" s="7" t="inlineStr">
        <is>
          <t>yes</t>
        </is>
      </c>
      <c r="F134" s="7" t="inlineStr">
        <is>
          <t>yes</t>
        </is>
      </c>
      <c r="G134" s="4" t="inlineStr">
        <is>
          <t>passed manual test</t>
        </is>
      </c>
      <c r="H134" s="11" t="inlineStr">
        <is>
          <t>covered</t>
        </is>
      </c>
      <c r="I134" s="5" t="inlineStr">
        <is>
          <t>ContextMenu playground scenario.</t>
        </is>
      </c>
      <c r="J134" s="5" t="n"/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Keyboard</t>
        </is>
      </c>
      <c r="C135" s="5" t="inlineStr">
        <is>
          <t>Navigation</t>
        </is>
      </c>
      <c r="D135" s="5" t="inlineStr">
        <is>
          <t>loop forward wraps to first</t>
        </is>
      </c>
      <c r="E135" s="7" t="inlineStr">
        <is>
          <t>yes</t>
        </is>
      </c>
      <c r="F135" s="7" t="inlineStr">
        <is>
          <t>yes</t>
        </is>
      </c>
      <c r="G135" s="4" t="inlineStr">
        <is>
          <t>passed manual test</t>
        </is>
      </c>
      <c r="H135" s="11" t="inlineStr">
        <is>
          <t>covered</t>
        </is>
      </c>
      <c r="I135" s="5" t="inlineStr">
        <is>
          <t>ContextMenu playground scenario.</t>
        </is>
      </c>
      <c r="J135" s="5" t="n"/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Keyboard</t>
        </is>
      </c>
      <c r="C136" s="5" t="inlineStr">
        <is>
          <t>Navigation</t>
        </is>
      </c>
      <c r="D136" s="5" t="inlineStr">
        <is>
          <t>loop backward wraps to last</t>
        </is>
      </c>
      <c r="E136" s="7" t="inlineStr">
        <is>
          <t>yes</t>
        </is>
      </c>
      <c r="F136" s="7" t="inlineStr">
        <is>
          <t>yes</t>
        </is>
      </c>
      <c r="G136" s="4" t="inlineStr">
        <is>
          <t>passed manual test</t>
        </is>
      </c>
      <c r="H136" s="11" t="inlineStr">
        <is>
          <t>covered</t>
        </is>
      </c>
      <c r="I136" s="5" t="inlineStr">
        <is>
          <t>ContextMenu playground scenario.</t>
        </is>
      </c>
      <c r="J136" s="5" t="n"/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Keyboard</t>
        </is>
      </c>
      <c r="C137" s="5" t="inlineStr">
        <is>
          <t>Navigation</t>
        </is>
      </c>
      <c r="D137" s="5" t="inlineStr">
        <is>
          <t>loop off does not wrap forward</t>
        </is>
      </c>
      <c r="E137" s="7" t="inlineStr">
        <is>
          <t>yes</t>
        </is>
      </c>
      <c r="F137" s="7" t="inlineStr">
        <is>
          <t>yes</t>
        </is>
      </c>
      <c r="G137" s="4" t="inlineStr">
        <is>
          <t>passed manual test</t>
        </is>
      </c>
      <c r="H137" s="11" t="inlineStr">
        <is>
          <t>covered</t>
        </is>
      </c>
      <c r="I137" s="5" t="inlineStr">
        <is>
          <t>ContextMenu playground scenario.</t>
        </is>
      </c>
      <c r="J137" s="5" t="n"/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Keyboard</t>
        </is>
      </c>
      <c r="C138" s="5" t="inlineStr">
        <is>
          <t>Navigation</t>
        </is>
      </c>
      <c r="D138" s="5" t="inlineStr">
        <is>
          <t>loop off does not wrap backward</t>
        </is>
      </c>
      <c r="E138" s="7" t="inlineStr">
        <is>
          <t>yes</t>
        </is>
      </c>
      <c r="F138" s="7" t="inlineStr">
        <is>
          <t>yes</t>
        </is>
      </c>
      <c r="G138" s="4" t="inlineStr">
        <is>
          <t>passed manual test</t>
        </is>
      </c>
      <c r="H138" s="11" t="inlineStr">
        <is>
          <t>covered</t>
        </is>
      </c>
      <c r="I138" s="5" t="inlineStr">
        <is>
          <t>ContextMenu playground scenario.</t>
        </is>
      </c>
      <c r="J138" s="5" t="n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Keyboard</t>
        </is>
      </c>
      <c r="C139" s="5" t="inlineStr">
        <is>
          <t>Navigation</t>
        </is>
      </c>
      <c r="D139" s="5" t="inlineStr">
        <is>
          <t>Enter activates highlighted item</t>
        </is>
      </c>
      <c r="E139" s="7" t="inlineStr">
        <is>
          <t>yes</t>
        </is>
      </c>
      <c r="F139" s="7" t="inlineStr">
        <is>
          <t>yes</t>
        </is>
      </c>
      <c r="G139" s="4" t="inlineStr">
        <is>
          <t>passed manual test</t>
        </is>
      </c>
      <c r="H139" s="11" t="inlineStr">
        <is>
          <t>covered</t>
        </is>
      </c>
      <c r="I139" s="5" t="inlineStr">
        <is>
          <t>ContextMenu playground scenario.</t>
        </is>
      </c>
      <c r="J139" s="5" t="n"/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Keyboard</t>
        </is>
      </c>
      <c r="C140" s="5" t="inlineStr">
        <is>
          <t>Navigation</t>
        </is>
      </c>
      <c r="D140" s="5" t="inlineStr">
        <is>
          <t>Space activates highlighted item</t>
        </is>
      </c>
      <c r="E140" s="7" t="inlineStr">
        <is>
          <t>yes</t>
        </is>
      </c>
      <c r="F140" s="7" t="inlineStr">
        <is>
          <t>yes</t>
        </is>
      </c>
      <c r="G140" s="4" t="inlineStr">
        <is>
          <t>passed manual test</t>
        </is>
      </c>
      <c r="H140" s="11" t="inlineStr">
        <is>
          <t>covered</t>
        </is>
      </c>
      <c r="I140" s="5" t="inlineStr">
        <is>
          <t>ContextMenu playground scenario.</t>
        </is>
      </c>
      <c r="J140" s="5" t="n"/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Keyboard</t>
        </is>
      </c>
      <c r="C141" s="5" t="inlineStr">
        <is>
          <t>Navigation</t>
        </is>
      </c>
      <c r="D141" s="5" t="inlineStr">
        <is>
          <t>typeahead highlights matching item</t>
        </is>
      </c>
      <c r="E141" s="7" t="inlineStr">
        <is>
          <t>yes</t>
        </is>
      </c>
      <c r="F141" s="7" t="inlineStr">
        <is>
          <t>yes</t>
        </is>
      </c>
      <c r="G141" s="4" t="inlineStr">
        <is>
          <t>passed manual test</t>
        </is>
      </c>
      <c r="H141" s="11" t="inlineStr">
        <is>
          <t>covered</t>
        </is>
      </c>
      <c r="I141" s="5" t="inlineStr">
        <is>
          <t>ContextMenu playground scenario.</t>
        </is>
      </c>
      <c r="J141" s="5" t="n"/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Keyboard</t>
        </is>
      </c>
      <c r="C142" s="5" t="inlineStr">
        <is>
          <t>Navigation</t>
        </is>
      </c>
      <c r="D142" s="5" t="inlineStr">
        <is>
          <t>single-character typeahead cycles same-letter matches</t>
        </is>
      </c>
      <c r="E142" s="7" t="inlineStr">
        <is>
          <t>yes</t>
        </is>
      </c>
      <c r="F142" s="7" t="inlineStr">
        <is>
          <t>yes</t>
        </is>
      </c>
      <c r="G142" s="4" t="inlineStr">
        <is>
          <t>passed manual test</t>
        </is>
      </c>
      <c r="H142" s="11" t="inlineStr">
        <is>
          <t>covered</t>
        </is>
      </c>
      <c r="I142" s="5" t="inlineStr">
        <is>
          <t>ContextMenu playground scenario.</t>
        </is>
      </c>
      <c r="J142" s="5" t="n"/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Keyboard</t>
        </is>
      </c>
      <c r="C143" s="5" t="inlineStr">
        <is>
          <t>Navigation</t>
        </is>
      </c>
      <c r="D143" s="5" t="inlineStr">
        <is>
          <t>multi-character typeahead matches exact prefix</t>
        </is>
      </c>
      <c r="E143" s="7" t="inlineStr">
        <is>
          <t>yes</t>
        </is>
      </c>
      <c r="F143" s="7" t="inlineStr">
        <is>
          <t>yes</t>
        </is>
      </c>
      <c r="G143" s="4" t="inlineStr">
        <is>
          <t>passed manual test</t>
        </is>
      </c>
      <c r="H143" s="11" t="inlineStr">
        <is>
          <t>covered</t>
        </is>
      </c>
      <c r="I143" s="5" t="inlineStr">
        <is>
          <t>ContextMenu playground scenario.</t>
        </is>
      </c>
      <c r="J143" s="5" t="n"/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Keyboard</t>
        </is>
      </c>
      <c r="C144" s="5" t="inlineStr">
        <is>
          <t>Navigation</t>
        </is>
      </c>
      <c r="D144" s="5" t="inlineStr">
        <is>
          <t>submenu has independent highlight state</t>
        </is>
      </c>
      <c r="E144" s="7" t="inlineStr">
        <is>
          <t>yes</t>
        </is>
      </c>
      <c r="F144" s="7" t="inlineStr">
        <is>
          <t>yes</t>
        </is>
      </c>
      <c r="G144" s="4" t="inlineStr">
        <is>
          <t>passed manual test</t>
        </is>
      </c>
      <c r="H144" s="11" t="inlineStr">
        <is>
          <t>covered</t>
        </is>
      </c>
      <c r="I144" s="5" t="inlineStr">
        <is>
          <t>ContextMenu playground scenario.</t>
        </is>
      </c>
      <c r="J144" s="5" t="n"/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Keyboard</t>
        </is>
      </c>
      <c r="C145" s="5" t="inlineStr">
        <is>
          <t>Navigation</t>
        </is>
      </c>
      <c r="D145" s="5" t="inlineStr">
        <is>
          <t>ArrowLeft closes submenu</t>
        </is>
      </c>
      <c r="E145" s="7" t="inlineStr">
        <is>
          <t>yes</t>
        </is>
      </c>
      <c r="F145" s="7" t="inlineStr">
        <is>
          <t>yes</t>
        </is>
      </c>
      <c r="G145" s="4" t="inlineStr">
        <is>
          <t>passed manual test</t>
        </is>
      </c>
      <c r="H145" s="11" t="inlineStr">
        <is>
          <t>covered</t>
        </is>
      </c>
      <c r="I145" s="5" t="inlineStr">
        <is>
          <t>ContextMenu playground scenario.</t>
        </is>
      </c>
      <c r="J145" s="5" t="n"/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Keyboard</t>
        </is>
      </c>
      <c r="C146" s="5" t="inlineStr">
        <is>
          <t>Navigation</t>
        </is>
      </c>
      <c r="D146" s="5" t="inlineStr">
        <is>
          <t>ArrowRight opens nested submenu from submenu</t>
        </is>
      </c>
      <c r="E146" s="7" t="inlineStr">
        <is>
          <t>yes</t>
        </is>
      </c>
      <c r="F146" s="7" t="inlineStr">
        <is>
          <t>yes</t>
        </is>
      </c>
      <c r="G146" s="4" t="inlineStr">
        <is>
          <t>passed manual test</t>
        </is>
      </c>
      <c r="H146" s="11" t="inlineStr">
        <is>
          <t>covered</t>
        </is>
      </c>
      <c r="I146" s="5" t="inlineStr">
        <is>
          <t>ContextMenu playground scenario.</t>
        </is>
      </c>
      <c r="J146" s="5" t="n"/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Pointer</t>
        </is>
      </c>
      <c r="C147" s="5" t="inlineStr">
        <is>
          <t>Highlight</t>
        </is>
      </c>
      <c r="D147" s="5" t="inlineStr">
        <is>
          <t>pointer open starts with no highlighted item</t>
        </is>
      </c>
      <c r="E147" s="7" t="inlineStr">
        <is>
          <t>yes</t>
        </is>
      </c>
      <c r="F147" s="7" t="inlineStr">
        <is>
          <t>yes</t>
        </is>
      </c>
      <c r="G147" s="4" t="inlineStr">
        <is>
          <t>passed manual test</t>
        </is>
      </c>
      <c r="H147" s="11" t="inlineStr">
        <is>
          <t>covered</t>
        </is>
      </c>
      <c r="I147" s="5" t="inlineStr">
        <is>
          <t>ContextMenu playground scenario.</t>
        </is>
      </c>
      <c r="J147" s="5" t="n"/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Pointer</t>
        </is>
      </c>
      <c r="C148" s="5" t="inlineStr">
        <is>
          <t>Highlight</t>
        </is>
      </c>
      <c r="D148" s="5" t="inlineStr">
        <is>
          <t>hovering item highlights it</t>
        </is>
      </c>
      <c r="E148" s="7" t="inlineStr">
        <is>
          <t>yes</t>
        </is>
      </c>
      <c r="F148" s="7" t="inlineStr">
        <is>
          <t>yes</t>
        </is>
      </c>
      <c r="G148" s="4" t="inlineStr">
        <is>
          <t>passed manual test</t>
        </is>
      </c>
      <c r="H148" s="11" t="inlineStr">
        <is>
          <t>covered</t>
        </is>
      </c>
      <c r="I148" s="5" t="inlineStr">
        <is>
          <t>ContextMenu playground scenario.</t>
        </is>
      </c>
      <c r="J148" s="5" t="n"/>
      <c r="K148" s="6">
        <f>IF(AND(E148="yes",F148="yes",H148="covered"),1,IF(H148="partial",0.5,0))</f>
        <v/>
      </c>
    </row>
    <row r="149" ht="30" customHeight="1" s="60">
      <c r="A149" s="4" t="n">
        <v>141</v>
      </c>
      <c r="B149" s="5" t="inlineStr">
        <is>
          <t>Pointer</t>
        </is>
      </c>
      <c r="C149" s="5" t="inlineStr">
        <is>
          <t>Highlight</t>
        </is>
      </c>
      <c r="D149" s="5" t="inlineStr">
        <is>
          <t>hovering disabled item does not highlight it</t>
        </is>
      </c>
      <c r="E149" s="7" t="inlineStr">
        <is>
          <t>yes</t>
        </is>
      </c>
      <c r="F149" s="7" t="inlineStr">
        <is>
          <t>yes</t>
        </is>
      </c>
      <c r="G149" s="4" t="inlineStr">
        <is>
          <t>passed manual test</t>
        </is>
      </c>
      <c r="H149" s="11" t="inlineStr">
        <is>
          <t>covered</t>
        </is>
      </c>
      <c r="I149" s="5" t="inlineStr">
        <is>
          <t>ContextMenu playground scenario.</t>
        </is>
      </c>
      <c r="J149" s="5" t="n"/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Pointer</t>
        </is>
      </c>
      <c r="C150" s="5" t="inlineStr">
        <is>
          <t>Highlight</t>
        </is>
      </c>
      <c r="D150" s="5" t="inlineStr">
        <is>
          <t>hovering item closes previously open submenu</t>
        </is>
      </c>
      <c r="E150" s="7" t="inlineStr">
        <is>
          <t>yes</t>
        </is>
      </c>
      <c r="F150" s="7" t="inlineStr">
        <is>
          <t>yes</t>
        </is>
      </c>
      <c r="G150" s="4" t="inlineStr">
        <is>
          <t>passed manual test</t>
        </is>
      </c>
      <c r="H150" s="11" t="inlineStr">
        <is>
          <t>covered</t>
        </is>
      </c>
      <c r="I150" s="5" t="inlineStr">
        <is>
          <t>ContextMenu playground scenario.</t>
        </is>
      </c>
      <c r="J150" s="5" t="n"/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Pointer</t>
        </is>
      </c>
      <c r="C151" s="5" t="inlineStr">
        <is>
          <t>Highlight</t>
        </is>
      </c>
      <c r="D151" s="5" t="inlineStr">
        <is>
          <t>reopening from pointer does not alternate stale first highlight</t>
        </is>
      </c>
      <c r="E151" s="7" t="inlineStr">
        <is>
          <t>yes</t>
        </is>
      </c>
      <c r="F151" s="7" t="inlineStr">
        <is>
          <t>yes</t>
        </is>
      </c>
      <c r="G151" s="4" t="inlineStr">
        <is>
          <t>passed manual test</t>
        </is>
      </c>
      <c r="H151" s="11" t="inlineStr">
        <is>
          <t>covered</t>
        </is>
      </c>
      <c r="I151" s="5" t="inlineStr">
        <is>
          <t>ContextMenu playground scenario.</t>
        </is>
      </c>
      <c r="J151" s="5" t="n"/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Accessibility</t>
        </is>
      </c>
      <c r="C152" s="5" t="inlineStr">
        <is>
          <t>Relationships</t>
        </is>
      </c>
      <c r="D152" s="5" t="inlineStr">
        <is>
          <t>trigger has accessible text</t>
        </is>
      </c>
      <c r="E152" s="7" t="inlineStr">
        <is>
          <t>yes</t>
        </is>
      </c>
      <c r="F152" s="7" t="inlineStr">
        <is>
          <t>yes</t>
        </is>
      </c>
      <c r="G152" s="4" t="inlineStr">
        <is>
          <t>passed manual test</t>
        </is>
      </c>
      <c r="H152" s="11" t="inlineStr">
        <is>
          <t>covered</t>
        </is>
      </c>
      <c r="I152" s="5" t="inlineStr">
        <is>
          <t>ContextMenu playground scenario.</t>
        </is>
      </c>
      <c r="J152" s="5" t="n"/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Accessibility</t>
        </is>
      </c>
      <c r="C153" s="5" t="inlineStr">
        <is>
          <t>Relationships</t>
        </is>
      </c>
      <c r="D153" s="5" t="inlineStr">
        <is>
          <t>content has accessible name</t>
        </is>
      </c>
      <c r="E153" s="7" t="inlineStr">
        <is>
          <t>yes</t>
        </is>
      </c>
      <c r="F153" s="7" t="inlineStr">
        <is>
          <t>yes</t>
        </is>
      </c>
      <c r="G153" s="4" t="inlineStr">
        <is>
          <t>passed manual test</t>
        </is>
      </c>
      <c r="H153" s="11" t="inlineStr">
        <is>
          <t>covered</t>
        </is>
      </c>
      <c r="I153" s="5" t="inlineStr">
        <is>
          <t>ContextMenu playground scenario.</t>
        </is>
      </c>
      <c r="J153" s="5" t="n"/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Accessibility</t>
        </is>
      </c>
      <c r="C154" s="5" t="inlineStr">
        <is>
          <t>Relationships</t>
        </is>
      </c>
      <c r="D154" s="5" t="inlineStr">
        <is>
          <t>content references trigger when unnamed</t>
        </is>
      </c>
      <c r="E154" s="7" t="inlineStr">
        <is>
          <t>yes</t>
        </is>
      </c>
      <c r="F154" s="7" t="inlineStr">
        <is>
          <t>yes</t>
        </is>
      </c>
      <c r="G154" s="4" t="inlineStr">
        <is>
          <t>passed manual test</t>
        </is>
      </c>
      <c r="H154" s="11" t="inlineStr">
        <is>
          <t>covered</t>
        </is>
      </c>
      <c r="I154" s="5" t="inlineStr">
        <is>
          <t>ContextMenu playground scenario.</t>
        </is>
      </c>
      <c r="J154" s="5" t="n"/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Accessibility</t>
        </is>
      </c>
      <c r="C155" s="5" t="inlineStr">
        <is>
          <t>Relationships</t>
        </is>
      </c>
      <c r="D155" s="5" t="inlineStr">
        <is>
          <t>sub content references sub trigger when unnamed</t>
        </is>
      </c>
      <c r="E155" s="7" t="inlineStr">
        <is>
          <t>yes</t>
        </is>
      </c>
      <c r="F155" s="7" t="inlineStr">
        <is>
          <t>yes</t>
        </is>
      </c>
      <c r="G155" s="4" t="inlineStr">
        <is>
          <t>passed manual test</t>
        </is>
      </c>
      <c r="H155" s="11" t="inlineStr">
        <is>
          <t>covered</t>
        </is>
      </c>
      <c r="I155" s="5" t="inlineStr">
        <is>
          <t>ContextMenu playground scenario.</t>
        </is>
      </c>
      <c r="J155" s="5" t="n"/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Accessibility</t>
        </is>
      </c>
      <c r="C156" s="5" t="inlineStr">
        <is>
          <t>Relationships</t>
        </is>
      </c>
      <c r="D156" s="5" t="inlineStr">
        <is>
          <t>checked states are exposed through aria-checked</t>
        </is>
      </c>
      <c r="E156" s="7" t="inlineStr">
        <is>
          <t>yes</t>
        </is>
      </c>
      <c r="F156" s="7" t="inlineStr">
        <is>
          <t>yes</t>
        </is>
      </c>
      <c r="G156" s="4" t="inlineStr">
        <is>
          <t>passed manual test</t>
        </is>
      </c>
      <c r="H156" s="11" t="inlineStr">
        <is>
          <t>covered</t>
        </is>
      </c>
      <c r="I156" s="5" t="inlineStr">
        <is>
          <t>ContextMenu playground scenario.</t>
        </is>
      </c>
      <c r="J156" s="5" t="n"/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Accessibility</t>
        </is>
      </c>
      <c r="C157" s="5" t="inlineStr">
        <is>
          <t>Relationships</t>
        </is>
      </c>
      <c r="D157" s="5" t="inlineStr">
        <is>
          <t>disabled states are exposed through aria-disabled</t>
        </is>
      </c>
      <c r="E157" s="7" t="inlineStr">
        <is>
          <t>yes</t>
        </is>
      </c>
      <c r="F157" s="7" t="inlineStr">
        <is>
          <t>yes</t>
        </is>
      </c>
      <c r="G157" s="4" t="inlineStr">
        <is>
          <t>passed manual test</t>
        </is>
      </c>
      <c r="H157" s="11" t="inlineStr">
        <is>
          <t>covered</t>
        </is>
      </c>
      <c r="I157" s="5" t="inlineStr">
        <is>
          <t>ContextMenu playground scenario.</t>
        </is>
      </c>
      <c r="J157" s="5" t="n"/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Accessibility</t>
        </is>
      </c>
      <c r="C158" s="5" t="inlineStr">
        <is>
          <t>Relationships</t>
        </is>
      </c>
      <c r="D158" s="5" t="inlineStr">
        <is>
          <t>nested ContextMenu Escape does not close parent overlay</t>
        </is>
      </c>
      <c r="E158" s="7" t="inlineStr">
        <is>
          <t>yes</t>
        </is>
      </c>
      <c r="F158" s="7" t="inlineStr">
        <is>
          <t>yes</t>
        </is>
      </c>
      <c r="G158" s="4" t="inlineStr">
        <is>
          <t>passed manual test</t>
        </is>
      </c>
      <c r="H158" s="11" t="inlineStr">
        <is>
          <t>covered</t>
        </is>
      </c>
      <c r="I158" s="5" t="inlineStr">
        <is>
          <t>ContextMenu playground scenario.</t>
        </is>
      </c>
      <c r="J158" s="5" t="n"/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Composition</t>
        </is>
      </c>
      <c r="C159" s="5" t="inlineStr">
        <is>
          <t>Trigger Composition</t>
        </is>
      </c>
      <c r="D159" s="5" t="inlineStr">
        <is>
          <t>trigger asChild preserves child content</t>
        </is>
      </c>
      <c r="E159" s="7" t="inlineStr">
        <is>
          <t>yes</t>
        </is>
      </c>
      <c r="F159" s="7" t="inlineStr">
        <is>
          <t>yes</t>
        </is>
      </c>
      <c r="G159" s="4" t="inlineStr">
        <is>
          <t>passed manual test</t>
        </is>
      </c>
      <c r="H159" s="11" t="inlineStr">
        <is>
          <t>covered</t>
        </is>
      </c>
      <c r="I159" s="5" t="inlineStr">
        <is>
          <t>ContextMenu playground scenario.</t>
        </is>
      </c>
      <c r="J159" s="5" t="n"/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Composition</t>
        </is>
      </c>
      <c r="C160" s="5" t="inlineStr">
        <is>
          <t>Trigger Composition</t>
        </is>
      </c>
      <c r="D160" s="5" t="inlineStr">
        <is>
          <t>trigger render preserves child content</t>
        </is>
      </c>
      <c r="E160" s="7" t="inlineStr">
        <is>
          <t>yes</t>
        </is>
      </c>
      <c r="F160" s="7" t="inlineStr">
        <is>
          <t>yes</t>
        </is>
      </c>
      <c r="G160" s="4" t="inlineStr">
        <is>
          <t>passed manual test</t>
        </is>
      </c>
      <c r="H160" s="11" t="inlineStr">
        <is>
          <t>covered</t>
        </is>
      </c>
      <c r="I160" s="5" t="inlineStr">
        <is>
          <t>ContextMenu playground scenario.</t>
        </is>
      </c>
      <c r="J160" s="5" t="n"/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Composition</t>
        </is>
      </c>
      <c r="C161" s="5" t="inlineStr">
        <is>
          <t>Item Composition</t>
        </is>
      </c>
      <c r="D161" s="5" t="inlineStr">
        <is>
          <t>Item asChild preserves child content</t>
        </is>
      </c>
      <c r="E161" s="7" t="inlineStr">
        <is>
          <t>yes</t>
        </is>
      </c>
      <c r="F161" s="7" t="inlineStr">
        <is>
          <t>yes</t>
        </is>
      </c>
      <c r="G161" s="4" t="inlineStr">
        <is>
          <t>passed manual test</t>
        </is>
      </c>
      <c r="H161" s="11" t="inlineStr">
        <is>
          <t>covered</t>
        </is>
      </c>
      <c r="I161" s="5" t="inlineStr">
        <is>
          <t>ContextMenu playground scenario.</t>
        </is>
      </c>
      <c r="J161" s="5" t="n"/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Composition</t>
        </is>
      </c>
      <c r="C162" s="5" t="inlineStr">
        <is>
          <t>Item Composition</t>
        </is>
      </c>
      <c r="D162" s="5" t="inlineStr">
        <is>
          <t>Item render preserves child content</t>
        </is>
      </c>
      <c r="E162" s="7" t="inlineStr">
        <is>
          <t>yes</t>
        </is>
      </c>
      <c r="F162" s="7" t="inlineStr">
        <is>
          <t>yes</t>
        </is>
      </c>
      <c r="G162" s="4" t="inlineStr">
        <is>
          <t>passed manual test</t>
        </is>
      </c>
      <c r="H162" s="11" t="inlineStr">
        <is>
          <t>covered</t>
        </is>
      </c>
      <c r="I162" s="5" t="inlineStr">
        <is>
          <t>ContextMenu playground scenario.</t>
        </is>
      </c>
      <c r="J162" s="5" t="n"/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Composition</t>
        </is>
      </c>
      <c r="C163" s="5" t="inlineStr">
        <is>
          <t>Native Props</t>
        </is>
      </c>
      <c r="D163" s="5" t="inlineStr">
        <is>
          <t>Trigger native props pass through</t>
        </is>
      </c>
      <c r="E163" s="7" t="inlineStr">
        <is>
          <t>yes</t>
        </is>
      </c>
      <c r="F163" s="7" t="inlineStr">
        <is>
          <t>yes</t>
        </is>
      </c>
      <c r="G163" s="4" t="inlineStr">
        <is>
          <t>passed manual test</t>
        </is>
      </c>
      <c r="H163" s="11" t="inlineStr">
        <is>
          <t>covered</t>
        </is>
      </c>
      <c r="I163" s="5" t="inlineStr">
        <is>
          <t>ContextMenu playground scenario.</t>
        </is>
      </c>
      <c r="J163" s="5" t="n"/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Composition</t>
        </is>
      </c>
      <c r="C164" s="5" t="inlineStr">
        <is>
          <t>Native Props</t>
        </is>
      </c>
      <c r="D164" s="5" t="inlineStr">
        <is>
          <t>Content native props pass through</t>
        </is>
      </c>
      <c r="E164" s="7" t="inlineStr">
        <is>
          <t>yes</t>
        </is>
      </c>
      <c r="F164" s="7" t="inlineStr">
        <is>
          <t>yes</t>
        </is>
      </c>
      <c r="G164" s="4" t="inlineStr">
        <is>
          <t>passed manual test</t>
        </is>
      </c>
      <c r="H164" s="11" t="inlineStr">
        <is>
          <t>covered</t>
        </is>
      </c>
      <c r="I164" s="5" t="inlineStr">
        <is>
          <t>ContextMenu playground scenario.</t>
        </is>
      </c>
      <c r="J164" s="5" t="n"/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Composition</t>
        </is>
      </c>
      <c r="C165" s="5" t="inlineStr">
        <is>
          <t>Native Props</t>
        </is>
      </c>
      <c r="D165" s="5" t="inlineStr">
        <is>
          <t>Item native props pass through</t>
        </is>
      </c>
      <c r="E165" s="7" t="inlineStr">
        <is>
          <t>yes</t>
        </is>
      </c>
      <c r="F165" s="7" t="inlineStr">
        <is>
          <t>yes</t>
        </is>
      </c>
      <c r="G165" s="4" t="inlineStr">
        <is>
          <t>passed manual test</t>
        </is>
      </c>
      <c r="H165" s="11" t="inlineStr">
        <is>
          <t>covered</t>
        </is>
      </c>
      <c r="I165" s="5" t="inlineStr">
        <is>
          <t>ContextMenu playground scenario.</t>
        </is>
      </c>
      <c r="J165" s="5" t="n"/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Composition</t>
        </is>
      </c>
      <c r="C166" s="5" t="inlineStr">
        <is>
          <t>Native Props</t>
        </is>
      </c>
      <c r="D166" s="5" t="inlineStr">
        <is>
          <t>CheckboxItem native props pass through</t>
        </is>
      </c>
      <c r="E166" s="7" t="inlineStr">
        <is>
          <t>yes</t>
        </is>
      </c>
      <c r="F166" s="7" t="inlineStr">
        <is>
          <t>yes</t>
        </is>
      </c>
      <c r="G166" s="4" t="inlineStr">
        <is>
          <t>passed manual test</t>
        </is>
      </c>
      <c r="H166" s="11" t="inlineStr">
        <is>
          <t>covered</t>
        </is>
      </c>
      <c r="I166" s="5" t="inlineStr">
        <is>
          <t>ContextMenu playground scenario.</t>
        </is>
      </c>
      <c r="J166" s="5" t="n"/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Composition</t>
        </is>
      </c>
      <c r="C167" s="5" t="inlineStr">
        <is>
          <t>Native Props</t>
        </is>
      </c>
      <c r="D167" s="5" t="inlineStr">
        <is>
          <t>RadioGroup native props pass through</t>
        </is>
      </c>
      <c r="E167" s="7" t="inlineStr">
        <is>
          <t>yes</t>
        </is>
      </c>
      <c r="F167" s="7" t="inlineStr">
        <is>
          <t>yes</t>
        </is>
      </c>
      <c r="G167" s="4" t="inlineStr">
        <is>
          <t>passed manual test</t>
        </is>
      </c>
      <c r="H167" s="11" t="inlineStr">
        <is>
          <t>covered</t>
        </is>
      </c>
      <c r="I167" s="5" t="inlineStr">
        <is>
          <t>ContextMenu playground scenario.</t>
        </is>
      </c>
      <c r="J167" s="5" t="n"/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Composition</t>
        </is>
      </c>
      <c r="C168" s="5" t="inlineStr">
        <is>
          <t>Native Props</t>
        </is>
      </c>
      <c r="D168" s="5" t="inlineStr">
        <is>
          <t>RadioItem native props pass through</t>
        </is>
      </c>
      <c r="E168" s="7" t="inlineStr">
        <is>
          <t>yes</t>
        </is>
      </c>
      <c r="F168" s="7" t="inlineStr">
        <is>
          <t>yes</t>
        </is>
      </c>
      <c r="G168" s="4" t="inlineStr">
        <is>
          <t>passed manual test</t>
        </is>
      </c>
      <c r="H168" s="11" t="inlineStr">
        <is>
          <t>covered</t>
        </is>
      </c>
      <c r="I168" s="5" t="inlineStr">
        <is>
          <t>ContextMenu playground scenario.</t>
        </is>
      </c>
      <c r="J168" s="5" t="n"/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Composition</t>
        </is>
      </c>
      <c r="C169" s="5" t="inlineStr">
        <is>
          <t>Native Props</t>
        </is>
      </c>
      <c r="D169" s="5" t="inlineStr">
        <is>
          <t>Group native props pass through</t>
        </is>
      </c>
      <c r="E169" s="7" t="inlineStr">
        <is>
          <t>yes</t>
        </is>
      </c>
      <c r="F169" s="7" t="inlineStr">
        <is>
          <t>yes</t>
        </is>
      </c>
      <c r="G169" s="4" t="inlineStr">
        <is>
          <t>passed manual test</t>
        </is>
      </c>
      <c r="H169" s="11" t="inlineStr">
        <is>
          <t>covered</t>
        </is>
      </c>
      <c r="I169" s="5" t="inlineStr">
        <is>
          <t>ContextMenu playground scenario.</t>
        </is>
      </c>
      <c r="J169" s="5" t="n"/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Composition</t>
        </is>
      </c>
      <c r="C170" s="5" t="inlineStr">
        <is>
          <t>Native Props</t>
        </is>
      </c>
      <c r="D170" s="5" t="inlineStr">
        <is>
          <t>SubContent native props pass through</t>
        </is>
      </c>
      <c r="E170" s="7" t="inlineStr">
        <is>
          <t>yes</t>
        </is>
      </c>
      <c r="F170" s="7" t="inlineStr">
        <is>
          <t>yes</t>
        </is>
      </c>
      <c r="G170" s="4" t="inlineStr">
        <is>
          <t>passed manual test</t>
        </is>
      </c>
      <c r="H170" s="11" t="inlineStr">
        <is>
          <t>covered</t>
        </is>
      </c>
      <c r="I170" s="5" t="inlineStr">
        <is>
          <t>ContextMenu playground scenario.</t>
        </is>
      </c>
      <c r="J170" s="5" t="n"/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Styling Hooks</t>
        </is>
      </c>
      <c r="C171" s="5" t="inlineStr">
        <is>
          <t>Data Attributes</t>
        </is>
      </c>
      <c r="D171" s="5" t="inlineStr">
        <is>
          <t>trigger open state visible through data-state</t>
        </is>
      </c>
      <c r="E171" s="7" t="inlineStr">
        <is>
          <t>yes</t>
        </is>
      </c>
      <c r="F171" s="7" t="inlineStr">
        <is>
          <t>yes</t>
        </is>
      </c>
      <c r="G171" s="4" t="inlineStr">
        <is>
          <t>passed manual test</t>
        </is>
      </c>
      <c r="H171" s="11" t="inlineStr">
        <is>
          <t>covered</t>
        </is>
      </c>
      <c r="I171" s="5" t="inlineStr">
        <is>
          <t>ContextMenu playground scenario.</t>
        </is>
      </c>
      <c r="J171" s="5" t="n"/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Styling Hooks</t>
        </is>
      </c>
      <c r="C172" s="5" t="inlineStr">
        <is>
          <t>Data Attributes</t>
        </is>
      </c>
      <c r="D172" s="5" t="inlineStr">
        <is>
          <t>content open state visible through data-state</t>
        </is>
      </c>
      <c r="E172" s="7" t="inlineStr">
        <is>
          <t>yes</t>
        </is>
      </c>
      <c r="F172" s="7" t="inlineStr">
        <is>
          <t>yes</t>
        </is>
      </c>
      <c r="G172" s="4" t="inlineStr">
        <is>
          <t>passed manual test</t>
        </is>
      </c>
      <c r="H172" s="11" t="inlineStr">
        <is>
          <t>covered</t>
        </is>
      </c>
      <c r="I172" s="5" t="inlineStr">
        <is>
          <t>ContextMenu playground scenario.</t>
        </is>
      </c>
      <c r="J172" s="5" t="n"/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Styling Hooks</t>
        </is>
      </c>
      <c r="C173" s="5" t="inlineStr">
        <is>
          <t>Data Attributes</t>
        </is>
      </c>
      <c r="D173" s="5" t="inlineStr">
        <is>
          <t>disabled trigger visible through data-disabled</t>
        </is>
      </c>
      <c r="E173" s="7" t="inlineStr">
        <is>
          <t>yes</t>
        </is>
      </c>
      <c r="F173" s="7" t="inlineStr">
        <is>
          <t>yes</t>
        </is>
      </c>
      <c r="G173" s="4" t="inlineStr">
        <is>
          <t>passed manual test</t>
        </is>
      </c>
      <c r="H173" s="11" t="inlineStr">
        <is>
          <t>covered</t>
        </is>
      </c>
      <c r="I173" s="5" t="inlineStr">
        <is>
          <t>ContextMenu playground scenario.</t>
        </is>
      </c>
      <c r="J173" s="5" t="n"/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Styling Hooks</t>
        </is>
      </c>
      <c r="C174" s="5" t="inlineStr">
        <is>
          <t>Data Attributes</t>
        </is>
      </c>
      <c r="D174" s="5" t="inlineStr">
        <is>
          <t>disabled item visible through data-disabled</t>
        </is>
      </c>
      <c r="E174" s="7" t="inlineStr">
        <is>
          <t>yes</t>
        </is>
      </c>
      <c r="F174" s="7" t="inlineStr">
        <is>
          <t>yes</t>
        </is>
      </c>
      <c r="G174" s="4" t="inlineStr">
        <is>
          <t>passed manual test</t>
        </is>
      </c>
      <c r="H174" s="11" t="inlineStr">
        <is>
          <t>covered</t>
        </is>
      </c>
      <c r="I174" s="5" t="inlineStr">
        <is>
          <t>ContextMenu playground scenario.</t>
        </is>
      </c>
      <c r="J174" s="5" t="n"/>
      <c r="K174" s="6">
        <f>IF(AND(E174="yes",F174="yes",H174="covered"),1,IF(H174="partial",0.5,0))</f>
        <v/>
      </c>
    </row>
    <row r="175" ht="30" customHeight="1" s="60">
      <c r="A175" s="4" t="n">
        <v>167</v>
      </c>
      <c r="B175" s="5" t="inlineStr">
        <is>
          <t>Styling Hooks</t>
        </is>
      </c>
      <c r="C175" s="5" t="inlineStr">
        <is>
          <t>Data Attributes</t>
        </is>
      </c>
      <c r="D175" s="5" t="inlineStr">
        <is>
          <t>checked item visible through data-checked</t>
        </is>
      </c>
      <c r="E175" s="7" t="inlineStr">
        <is>
          <t>yes</t>
        </is>
      </c>
      <c r="F175" s="7" t="inlineStr">
        <is>
          <t>yes</t>
        </is>
      </c>
      <c r="G175" s="4" t="inlineStr">
        <is>
          <t>passed manual test</t>
        </is>
      </c>
      <c r="H175" s="11" t="inlineStr">
        <is>
          <t>covered</t>
        </is>
      </c>
      <c r="I175" s="5" t="inlineStr">
        <is>
          <t>ContextMenu playground scenario.</t>
        </is>
      </c>
      <c r="J175" s="5" t="n"/>
      <c r="K175" s="6">
        <f>IF(AND(E175="yes",F175="yes",H175="covered"),1,IF(H175="partial",0.5,0))</f>
        <v/>
      </c>
    </row>
    <row r="176" ht="30" customHeight="1" s="60">
      <c r="A176" s="4" t="n">
        <v>168</v>
      </c>
      <c r="B176" s="5" t="inlineStr">
        <is>
          <t>Styling Hooks</t>
        </is>
      </c>
      <c r="C176" s="5" t="inlineStr">
        <is>
          <t>Data Attributes</t>
        </is>
      </c>
      <c r="D176" s="5" t="inlineStr">
        <is>
          <t>positioned state visible through data-positioned</t>
        </is>
      </c>
      <c r="E176" s="7" t="inlineStr">
        <is>
          <t>yes</t>
        </is>
      </c>
      <c r="F176" s="7" t="inlineStr">
        <is>
          <t>yes</t>
        </is>
      </c>
      <c r="G176" s="4" t="inlineStr">
        <is>
          <t>passed manual test</t>
        </is>
      </c>
      <c r="H176" s="11" t="inlineStr">
        <is>
          <t>covered</t>
        </is>
      </c>
      <c r="I176" s="5" t="inlineStr">
        <is>
          <t>ContextMenu playground scenario.</t>
        </is>
      </c>
      <c r="J176" s="5" t="n"/>
      <c r="K176" s="6">
        <f>IF(AND(E176="yes",F176="yes",H176="covered"),1,IF(H176="partial",0.5,0))</f>
        <v/>
      </c>
    </row>
    <row r="177" ht="30" customHeight="1" s="60">
      <c r="A177" s="4" t="n">
        <v>169</v>
      </c>
      <c r="B177" s="5" t="inlineStr">
        <is>
          <t>Portal And Positioning</t>
        </is>
      </c>
      <c r="C177" s="5" t="inlineStr">
        <is>
          <t>Portal</t>
        </is>
      </c>
      <c r="D177" s="5" t="inlineStr">
        <is>
          <t>content portals to body</t>
        </is>
      </c>
      <c r="E177" s="7" t="inlineStr">
        <is>
          <t>yes</t>
        </is>
      </c>
      <c r="F177" s="7" t="inlineStr">
        <is>
          <t>yes</t>
        </is>
      </c>
      <c r="G177" s="4" t="inlineStr">
        <is>
          <t>passed manual test</t>
        </is>
      </c>
      <c r="H177" s="11" t="inlineStr">
        <is>
          <t>covered</t>
        </is>
      </c>
      <c r="I177" s="5" t="inlineStr">
        <is>
          <t>ContextMenu playground scenario.</t>
        </is>
      </c>
      <c r="J177" s="5" t="n"/>
      <c r="K177" s="6">
        <f>IF(AND(E177="yes",F177="yes",H177="covered"),1,IF(H177="partial",0.5,0))</f>
        <v/>
      </c>
    </row>
    <row r="178" ht="30" customHeight="1" s="60">
      <c r="A178" s="4" t="n">
        <v>170</v>
      </c>
      <c r="B178" s="5" t="inlineStr">
        <is>
          <t>Portal And Positioning</t>
        </is>
      </c>
      <c r="C178" s="5" t="inlineStr">
        <is>
          <t>Portal</t>
        </is>
      </c>
      <c r="D178" s="5" t="inlineStr">
        <is>
          <t>sub content portals to body</t>
        </is>
      </c>
      <c r="E178" s="7" t="inlineStr">
        <is>
          <t>yes</t>
        </is>
      </c>
      <c r="F178" s="7" t="inlineStr">
        <is>
          <t>yes</t>
        </is>
      </c>
      <c r="G178" s="4" t="inlineStr">
        <is>
          <t>passed manual test</t>
        </is>
      </c>
      <c r="H178" s="11" t="inlineStr">
        <is>
          <t>covered</t>
        </is>
      </c>
      <c r="I178" s="5" t="inlineStr">
        <is>
          <t>ContextMenu playground scenario.</t>
        </is>
      </c>
      <c r="J178" s="5" t="n"/>
      <c r="K178" s="6">
        <f>IF(AND(E178="yes",F178="yes",H178="covered"),1,IF(H178="partial",0.5,0))</f>
        <v/>
      </c>
    </row>
    <row r="179" ht="30" customHeight="1" s="60">
      <c r="A179" s="4" t="n">
        <v>171</v>
      </c>
      <c r="B179" s="5" t="inlineStr">
        <is>
          <t>Portal And Positioning</t>
        </is>
      </c>
      <c r="C179" s="5" t="inlineStr">
        <is>
          <t>Portal</t>
        </is>
      </c>
      <c r="D179" s="5" t="inlineStr">
        <is>
          <t>content positions relative to pointer anchor</t>
        </is>
      </c>
      <c r="E179" s="7" t="inlineStr">
        <is>
          <t>yes</t>
        </is>
      </c>
      <c r="F179" s="7" t="inlineStr">
        <is>
          <t>yes</t>
        </is>
      </c>
      <c r="G179" s="4" t="inlineStr">
        <is>
          <t>passed manual test</t>
        </is>
      </c>
      <c r="H179" s="11" t="inlineStr">
        <is>
          <t>covered</t>
        </is>
      </c>
      <c r="I179" s="5" t="inlineStr">
        <is>
          <t>ContextMenu playground scenario.</t>
        </is>
      </c>
      <c r="J179" s="5" t="n"/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Portal And Positioning</t>
        </is>
      </c>
      <c r="C180" s="5" t="inlineStr">
        <is>
          <t>Portal</t>
        </is>
      </c>
      <c r="D180" s="5" t="inlineStr">
        <is>
          <t>content positions relative to trigger for keyboard open</t>
        </is>
      </c>
      <c r="E180" s="7" t="inlineStr">
        <is>
          <t>yes</t>
        </is>
      </c>
      <c r="F180" s="7" t="inlineStr">
        <is>
          <t>yes</t>
        </is>
      </c>
      <c r="G180" s="4" t="inlineStr">
        <is>
          <t>passed manual test</t>
        </is>
      </c>
      <c r="H180" s="11" t="inlineStr">
        <is>
          <t>covered</t>
        </is>
      </c>
      <c r="I180" s="5" t="inlineStr">
        <is>
          <t>ContextMenu playground scenario.</t>
        </is>
      </c>
      <c r="J180" s="5" t="n"/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Portal And Positioning</t>
        </is>
      </c>
      <c r="C181" s="5" t="inlineStr">
        <is>
          <t>Portal</t>
        </is>
      </c>
      <c r="D181" s="5" t="inlineStr">
        <is>
          <t>placement flips or shifts near viewport edge</t>
        </is>
      </c>
      <c r="E181" s="7" t="inlineStr">
        <is>
          <t>yes</t>
        </is>
      </c>
      <c r="F181" s="7" t="inlineStr">
        <is>
          <t>yes</t>
        </is>
      </c>
      <c r="G181" s="4" t="inlineStr">
        <is>
          <t>passed manual test</t>
        </is>
      </c>
      <c r="H181" s="11" t="inlineStr">
        <is>
          <t>covered</t>
        </is>
      </c>
      <c r="I181" s="5" t="inlineStr">
        <is>
          <t>ContextMenu playground scenario.</t>
        </is>
      </c>
      <c r="J181" s="5" t="n"/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Regression</t>
        </is>
      </c>
      <c r="C182" s="5" t="inlineStr">
        <is>
          <t>Recent Fixes</t>
        </is>
      </c>
      <c r="D182" s="5" t="inlineStr">
        <is>
          <t>Escape closes topmost context menu before parent overlay</t>
        </is>
      </c>
      <c r="E182" s="7" t="inlineStr">
        <is>
          <t>yes</t>
        </is>
      </c>
      <c r="F182" s="7" t="inlineStr">
        <is>
          <t>yes</t>
        </is>
      </c>
      <c r="G182" s="4" t="inlineStr">
        <is>
          <t>passed manual test</t>
        </is>
      </c>
      <c r="H182" s="11" t="inlineStr">
        <is>
          <t>covered</t>
        </is>
      </c>
      <c r="I182" s="5" t="inlineStr">
        <is>
          <t>ContextMenu playground scenario.</t>
        </is>
      </c>
      <c r="J182" s="5" t="n"/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Regression</t>
        </is>
      </c>
      <c r="C183" s="5" t="inlineStr">
        <is>
          <t>Recent Fixes</t>
        </is>
      </c>
      <c r="D183" s="5" t="inlineStr">
        <is>
          <t>typeahead same-letter cycling works in context menu</t>
        </is>
      </c>
      <c r="E183" s="7" t="inlineStr">
        <is>
          <t>yes</t>
        </is>
      </c>
      <c r="F183" s="7" t="inlineStr">
        <is>
          <t>yes</t>
        </is>
      </c>
      <c r="G183" s="4" t="inlineStr">
        <is>
          <t>passed manual test</t>
        </is>
      </c>
      <c r="H183" s="11" t="inlineStr">
        <is>
          <t>covered</t>
        </is>
      </c>
      <c r="I183" s="5" t="inlineStr">
        <is>
          <t>ContextMenu playground scenario.</t>
        </is>
      </c>
      <c r="J183" s="5" t="n"/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Regression</t>
        </is>
      </c>
      <c r="C184" s="5" t="inlineStr">
        <is>
          <t>Recent Fixes</t>
        </is>
      </c>
      <c r="D184" s="5" t="inlineStr">
        <is>
          <t>trigger disabled right click does not open menu</t>
        </is>
      </c>
      <c r="E184" s="7" t="inlineStr">
        <is>
          <t>yes</t>
        </is>
      </c>
      <c r="F184" s="7" t="inlineStr">
        <is>
          <t>yes</t>
        </is>
      </c>
      <c r="G184" s="4" t="inlineStr">
        <is>
          <t>passed manual test</t>
        </is>
      </c>
      <c r="H184" s="11" t="inlineStr">
        <is>
          <t>covered</t>
        </is>
      </c>
      <c r="I184" s="5" t="inlineStr">
        <is>
          <t>ContextMenu playground scenario.</t>
        </is>
      </c>
      <c r="J184" s="5" t="n"/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Regression</t>
        </is>
      </c>
      <c r="C185" s="5" t="inlineStr">
        <is>
          <t>Recent Fixes</t>
        </is>
      </c>
      <c r="D185" s="5" t="inlineStr">
        <is>
          <t>trigger asChild composition keeps one child element</t>
        </is>
      </c>
      <c r="E185" s="7" t="inlineStr">
        <is>
          <t>yes</t>
        </is>
      </c>
      <c r="F185" s="7" t="inlineStr">
        <is>
          <t>yes</t>
        </is>
      </c>
      <c r="G185" s="4" t="inlineStr">
        <is>
          <t>passed manual test</t>
        </is>
      </c>
      <c r="H185" s="11" t="inlineStr">
        <is>
          <t>covered</t>
        </is>
      </c>
      <c r="I185" s="5" t="inlineStr">
        <is>
          <t>ContextMenu playground scenario.</t>
        </is>
      </c>
      <c r="J185" s="5" t="n"/>
      <c r="K185" s="6">
        <f>IF(AND(E185="yes",F185="yes",H185="covered"),1,IF(H185="partial",0.5,0))</f>
        <v/>
      </c>
    </row>
    <row r="186" ht="30" customHeight="1" s="60">
      <c r="A186" s="4" t="n">
        <v>178</v>
      </c>
      <c r="B186" s="5" t="inlineStr">
        <is>
          <t>Regression</t>
        </is>
      </c>
      <c r="C186" s="5" t="inlineStr">
        <is>
          <t>Recent Fixes</t>
        </is>
      </c>
      <c r="D186" s="5" t="inlineStr">
        <is>
          <t>outside click closes portalled context menu</t>
        </is>
      </c>
      <c r="E186" s="7" t="inlineStr">
        <is>
          <t>yes</t>
        </is>
      </c>
      <c r="F186" s="7" t="inlineStr">
        <is>
          <t>yes</t>
        </is>
      </c>
      <c r="G186" s="4" t="inlineStr">
        <is>
          <t>passed manual test</t>
        </is>
      </c>
      <c r="H186" s="11" t="inlineStr">
        <is>
          <t>covered</t>
        </is>
      </c>
      <c r="I186" s="5" t="inlineStr">
        <is>
          <t>ContextMenu playground scenario.</t>
        </is>
      </c>
      <c r="J186" s="5" t="n"/>
      <c r="K186" s="6">
        <f>IF(AND(E186="yes",F186="yes",H186="covered"),1,IF(H186="partial",0.5,0))</f>
        <v/>
      </c>
    </row>
    <row r="187" ht="45" customHeight="1" s="60">
      <c r="A187" s="4" t="n">
        <v>179</v>
      </c>
      <c r="B187" s="5" t="inlineStr">
        <is>
          <t>Regression</t>
        </is>
      </c>
      <c r="C187" s="5" t="inlineStr">
        <is>
          <t>Recent Fixes</t>
        </is>
      </c>
      <c r="D187" s="5" t="inlineStr">
        <is>
          <t>submenu focus returns to parent content on close</t>
        </is>
      </c>
      <c r="E187" s="7" t="inlineStr">
        <is>
          <t>yes</t>
        </is>
      </c>
      <c r="F187" s="7" t="inlineStr">
        <is>
          <t>yes</t>
        </is>
      </c>
      <c r="G187" s="4" t="inlineStr">
        <is>
          <t>passed manual test</t>
        </is>
      </c>
      <c r="H187" s="11" t="inlineStr">
        <is>
          <t>covered</t>
        </is>
      </c>
      <c r="I187" s="5" t="inlineStr">
        <is>
          <t>ContextMenu playground scenario.</t>
        </is>
      </c>
      <c r="J187" s="5" t="n"/>
      <c r="K187" s="6">
        <f>IF(AND(E187="yes",F187="yes",H187="covered"),1,IF(H187="partial",0.5,0))</f>
        <v/>
      </c>
    </row>
    <row r="188" ht="15" customHeight="1" s="60">
      <c r="A188" s="4" t="n">
        <v>180</v>
      </c>
      <c r="B188" s="5" t="inlineStr">
        <is>
          <t>Regression</t>
        </is>
      </c>
      <c r="C188" s="5" t="inlineStr">
        <is>
          <t>Recent Fixes</t>
        </is>
      </c>
      <c r="D188" s="5" t="inlineStr">
        <is>
          <t>hovering non-item content does not reset highlight to first item</t>
        </is>
      </c>
      <c r="E188" s="7" t="inlineStr">
        <is>
          <t>yes</t>
        </is>
      </c>
      <c r="F188" s="7" t="inlineStr">
        <is>
          <t>yes</t>
        </is>
      </c>
      <c r="G188" s="4" t="inlineStr">
        <is>
          <t>passed manual test</t>
        </is>
      </c>
      <c r="H188" s="11" t="inlineStr">
        <is>
          <t>covered</t>
        </is>
      </c>
      <c r="I188" s="5" t="inlineStr">
        <is>
          <t>ContextMenu playground scenario.</t>
        </is>
      </c>
      <c r="J188" s="5" t="n"/>
      <c r="K188" s="6">
        <f>IF(AND(E188="yes",F188="yes",H188="covered"),1,IF(H188="partial",0.5,0))</f>
        <v/>
      </c>
    </row>
    <row r="189" ht="15" customHeight="1" s="60">
      <c r="A189" s="4" t="n">
        <v>181</v>
      </c>
      <c r="B189" s="5" t="inlineStr">
        <is>
          <t>Mobile</t>
        </is>
      </c>
      <c r="C189" s="5" t="inlineStr">
        <is>
          <t>Touch</t>
        </is>
      </c>
      <c r="D189" s="5" t="inlineStr">
        <is>
          <t>touch outside closes context menu</t>
        </is>
      </c>
      <c r="E189" s="7" t="inlineStr">
        <is>
          <t>yes</t>
        </is>
      </c>
      <c r="F189" s="7" t="inlineStr">
        <is>
          <t>yes</t>
        </is>
      </c>
      <c r="G189" s="4" t="inlineStr">
        <is>
          <t>passed manual test</t>
        </is>
      </c>
      <c r="H189" s="11" t="inlineStr">
        <is>
          <t>covered</t>
        </is>
      </c>
      <c r="I189" s="5" t="inlineStr">
        <is>
          <t>ContextMenu playground scenario.</t>
        </is>
      </c>
      <c r="J189" s="5" t="n"/>
      <c r="K189" s="6">
        <f>IF(AND(E189="yes",F189="yes",H189="covered"),1,IF(H189="partial",0.5,0))</f>
        <v/>
      </c>
    </row>
    <row r="190" ht="15" customHeight="1" s="60">
      <c r="A190" s="4" t="n">
        <v>182</v>
      </c>
      <c r="B190" s="5" t="inlineStr">
        <is>
          <t>Mobile</t>
        </is>
      </c>
      <c r="C190" s="5" t="inlineStr">
        <is>
          <t>Touch</t>
        </is>
      </c>
      <c r="D190" s="5" t="inlineStr">
        <is>
          <t>touch selects action item</t>
        </is>
      </c>
      <c r="E190" s="7" t="inlineStr">
        <is>
          <t>yes</t>
        </is>
      </c>
      <c r="F190" s="7" t="inlineStr">
        <is>
          <t>yes</t>
        </is>
      </c>
      <c r="G190" s="4" t="inlineStr">
        <is>
          <t>passed manual test</t>
        </is>
      </c>
      <c r="H190" s="11" t="inlineStr">
        <is>
          <t>covered</t>
        </is>
      </c>
      <c r="I190" s="5" t="inlineStr">
        <is>
          <t>ContextMenu playground scenario.</t>
        </is>
      </c>
      <c r="J190" s="5" t="n"/>
      <c r="K190" s="6">
        <f>IF(AND(E190="yes",F190="yes",H190="covered"),1,IF(H190="partial",0.5,0))</f>
        <v/>
      </c>
    </row>
    <row r="191" ht="15" customHeight="1" s="60">
      <c r="A191" s="4" t="n">
        <v>183</v>
      </c>
      <c r="B191" s="5" t="inlineStr">
        <is>
          <t>Mobile</t>
        </is>
      </c>
      <c r="C191" s="5" t="inlineStr">
        <is>
          <t>Touch</t>
        </is>
      </c>
      <c r="D191" s="5" t="inlineStr">
        <is>
          <t>touch toggles checkbox item</t>
        </is>
      </c>
      <c r="E191" s="7" t="inlineStr">
        <is>
          <t>yes</t>
        </is>
      </c>
      <c r="F191" s="7" t="inlineStr">
        <is>
          <t>yes</t>
        </is>
      </c>
      <c r="G191" s="4" t="inlineStr">
        <is>
          <t>passed manual test</t>
        </is>
      </c>
      <c r="H191" s="11" t="inlineStr">
        <is>
          <t>covered</t>
        </is>
      </c>
      <c r="I191" s="5" t="inlineStr">
        <is>
          <t>ContextMenu playground scenario.</t>
        </is>
      </c>
      <c r="J191" s="5" t="n"/>
      <c r="K191" s="6">
        <f>IF(AND(E191="yes",F191="yes",H191="covered"),1,IF(H191="partial",0.5,0))</f>
        <v/>
      </c>
    </row>
    <row r="192" ht="15" customHeight="1" s="60">
      <c r="A192" s="4" t="n">
        <v>184</v>
      </c>
      <c r="B192" s="5" t="inlineStr">
        <is>
          <t>Mobile</t>
        </is>
      </c>
      <c r="C192" s="5" t="inlineStr">
        <is>
          <t>Touch</t>
        </is>
      </c>
      <c r="D192" s="5" t="inlineStr">
        <is>
          <t>touch selects radio item</t>
        </is>
      </c>
      <c r="E192" s="7" t="inlineStr">
        <is>
          <t>yes</t>
        </is>
      </c>
      <c r="F192" s="7" t="inlineStr">
        <is>
          <t>yes</t>
        </is>
      </c>
      <c r="G192" s="4" t="inlineStr">
        <is>
          <t>passed manual test</t>
        </is>
      </c>
      <c r="H192" s="11" t="inlineStr">
        <is>
          <t>covered</t>
        </is>
      </c>
      <c r="I192" s="5" t="inlineStr">
        <is>
          <t>ContextMenu playground scenario.</t>
        </is>
      </c>
      <c r="J192" s="5" t="n"/>
      <c r="K192" s="6">
        <f>IF(AND(E192="yes",F192="yes",H192="covered"),1,IF(H192="partial",0.5,0))</f>
        <v/>
      </c>
    </row>
    <row r="193" ht="30" customHeight="1" s="60">
      <c r="A193" s="4" t="n">
        <v>185</v>
      </c>
      <c r="B193" s="5" t="inlineStr">
        <is>
          <t>Mobile</t>
        </is>
      </c>
      <c r="C193" s="5" t="inlineStr">
        <is>
          <t>Touch</t>
        </is>
      </c>
      <c r="D193" s="5" t="inlineStr">
        <is>
          <t>touch opens submenu</t>
        </is>
      </c>
      <c r="E193" s="7" t="inlineStr">
        <is>
          <t>yes</t>
        </is>
      </c>
      <c r="F193" s="7" t="inlineStr">
        <is>
          <t>yes</t>
        </is>
      </c>
      <c r="G193" s="4" t="inlineStr">
        <is>
          <t>passed manual test</t>
        </is>
      </c>
      <c r="H193" s="11" t="inlineStr">
        <is>
          <t>covered</t>
        </is>
      </c>
      <c r="I193" s="5" t="inlineStr">
        <is>
          <t>ContextMenu playground scenario.</t>
        </is>
      </c>
      <c r="J193" s="5" t="n"/>
      <c r="K193" s="6">
        <f>IF(AND(E193="yes",F193="yes",H193="covered"),1,IF(H193="partial",0.5,0))</f>
        <v/>
      </c>
    </row>
    <row r="194" ht="30" customHeight="1" s="60">
      <c r="A194" s="4" t="n">
        <v>186</v>
      </c>
      <c r="B194" s="5" t="inlineStr">
        <is>
          <t>Direction</t>
        </is>
      </c>
      <c r="C194" s="5" t="inlineStr">
        <is>
          <t>Submenu</t>
        </is>
      </c>
      <c r="D194" s="5" t="inlineStr">
        <is>
          <t>reads Direction.Provider context for submenu keyboard behavior</t>
        </is>
      </c>
      <c r="E194" s="10" t="inlineStr">
        <is>
          <t>yes</t>
        </is>
      </c>
      <c r="F194" s="8" t="inlineStr">
        <is>
          <t>yes</t>
        </is>
      </c>
      <c r="G194" s="4" t="inlineStr">
        <is>
          <t>pass</t>
        </is>
      </c>
      <c r="H194" s="10" t="inlineStr">
        <is>
          <t>covered</t>
        </is>
      </c>
      <c r="I194" s="5" t="inlineStr">
        <is>
          <t>ContextMenu playground direction scenario; manually verified.</t>
        </is>
      </c>
      <c r="J194" s="5" t="inlineStr">
        <is>
          <t>Complete.</t>
        </is>
      </c>
      <c r="K194" s="6">
        <f>IF(AND(E194="yes",F194="yes",H194="covered"),1,IF(H194="partial",0.5,0))</f>
        <v/>
      </c>
    </row>
    <row r="195" ht="30" customHeight="1" s="60">
      <c r="A195" s="4" t="n">
        <v>187</v>
      </c>
      <c r="B195" s="5" t="inlineStr">
        <is>
          <t>Direction</t>
        </is>
      </c>
      <c r="C195" s="5" t="inlineStr">
        <is>
          <t>Submenu</t>
        </is>
      </c>
      <c r="D195" s="5" t="inlineStr">
        <is>
          <t>RTL mirrors submenu ArrowLeft and ArrowRight open/close behavior</t>
        </is>
      </c>
      <c r="E195" s="10" t="inlineStr">
        <is>
          <t>yes</t>
        </is>
      </c>
      <c r="F195" s="8" t="inlineStr">
        <is>
          <t>yes</t>
        </is>
      </c>
      <c r="G195" s="4" t="inlineStr">
        <is>
          <t>pass</t>
        </is>
      </c>
      <c r="H195" s="10" t="inlineStr">
        <is>
          <t>covered</t>
        </is>
      </c>
      <c r="I195" s="5" t="inlineStr">
        <is>
          <t>ContextMenu playground direction scenario; manually verified.</t>
        </is>
      </c>
      <c r="J195" s="5" t="inlineStr">
        <is>
          <t>Complete.</t>
        </is>
      </c>
      <c r="K195" s="6">
        <f>IF(AND(E195="yes",F195="yes",H195="covered"),1,IF(H195="partial",0.5,0))</f>
        <v/>
      </c>
    </row>
    <row r="196" ht="30" customHeight="1" s="60">
      <c r="A196" s="4" t="n">
        <v>188</v>
      </c>
      <c r="B196" s="5" t="inlineStr">
        <is>
          <t>Playground</t>
        </is>
      </c>
      <c r="C196" s="5" t="inlineStr">
        <is>
          <t>Direction controls</t>
        </is>
      </c>
      <c r="D196" s="5" t="inlineStr">
        <is>
          <t>scenario exposes provider direction controls</t>
        </is>
      </c>
      <c r="E196" s="10" t="inlineStr">
        <is>
          <t>yes</t>
        </is>
      </c>
      <c r="F196" s="8" t="inlineStr">
        <is>
          <t>yes</t>
        </is>
      </c>
      <c r="G196" s="4" t="inlineStr">
        <is>
          <t>pass</t>
        </is>
      </c>
      <c r="H196" s="10" t="inlineStr">
        <is>
          <t>covered</t>
        </is>
      </c>
      <c r="I196" s="5" t="inlineStr">
        <is>
          <t>ContextMenu playground direction scenario; manually verified.</t>
        </is>
      </c>
      <c r="J196" s="5" t="inlineStr">
        <is>
          <t>Complete.</t>
        </is>
      </c>
      <c r="K196" s="6">
        <f>IF(AND(E196="yes",F196="yes",H196="covered"),1,IF(H196="partial",0.5,0))</f>
        <v/>
      </c>
    </row>
    <row r="197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19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DataGrid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DataGrid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DataGrid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DataGrid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DataGrid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DataGrid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DataGrid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DataGrid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DataGrid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DataGrid</t>
        </is>
      </c>
      <c r="D15" s="5" t="inlineStr">
        <is>
          <t>Implements `role="grid"` with row, column header, and gridcell parts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DataGrid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DataGrid</t>
        </is>
      </c>
      <c r="D16" s="5" t="inlineStr">
        <is>
          <t>Uses collection registration for DOM-ordered keyboard navigation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DataGrid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DataGrid</t>
        </is>
      </c>
      <c r="D17" s="5" t="inlineStr">
        <is>
          <t>Supports controlled and uncontrolled active cell state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DataGrid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DataGrid</t>
        </is>
      </c>
      <c r="D18" s="5" t="inlineStr">
        <is>
          <t>Supports none, single, and multiple row selection modes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DataGrid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DataGrid</t>
        </is>
      </c>
      <c r="D19" s="5" t="inlineStr">
        <is>
          <t>Supports row click selection, disabled/read-only state, row and column counts, and optional row wrapping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DataGrid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DataGrid</t>
        </is>
      </c>
      <c r="D20" s="5" t="inlineStr">
        <is>
          <t>Keeps sorting models, filtering, resizing, editing, and virtualization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DataGrid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DataGrid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DataGrid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DataGrid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DataGrid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DataGrid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DataGrid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DataGrid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DataGrid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DataGrid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activeCell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DataGrid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defaultActiveCell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DataGrid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onActiveCellChange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DataGrid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selectionMode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DataGrid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DataGrid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DataGrid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DataGrid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wrapRows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DataGrid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rowCount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DataGrid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columnCount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DataGrid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selectOnRowClick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DataGrid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DataGrid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[data-focused]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DataGrid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[data-disabled]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DataGrid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[data-readonly]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DataGrid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[data-selection-mode]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DataGrid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Body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DataGrid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Body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DataGrid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Body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DataGrid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Identity</t>
        </is>
      </c>
      <c r="C49" s="5" t="inlineStr">
        <is>
          <t>Body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DataGrid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Body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DataGrid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Body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DataGrid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Anatomy</t>
        </is>
      </c>
      <c r="C52" s="5" t="inlineStr">
        <is>
          <t>Caption</t>
        </is>
      </c>
      <c r="D52" s="5" t="inlineStr">
        <is>
          <t>renders correct part when expected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DataGrid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Caption</t>
        </is>
      </c>
      <c r="D53" s="5" t="inlineStr">
        <is>
          <t>appears in documented order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DataGrid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Identity</t>
        </is>
      </c>
      <c r="C54" s="5" t="inlineStr">
        <is>
          <t>Caption</t>
        </is>
      </c>
      <c r="D54" s="5" t="inlineStr">
        <is>
          <t>default tag is visible in Anatomy/Inspector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DataGrid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Identity</t>
        </is>
      </c>
      <c r="C55" s="5" t="inlineStr">
        <is>
          <t>Caption</t>
        </is>
      </c>
      <c r="D55" s="5" t="inlineStr">
        <is>
          <t>data-slot is present and correct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DataGrid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Props</t>
        </is>
      </c>
      <c r="C56" s="5" t="inlineStr">
        <is>
          <t>Caption</t>
        </is>
      </c>
      <c r="D56" s="5" t="inlineStr">
        <is>
          <t>non-Atom native props pass through with data-prop-check marker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DataGrid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Refs</t>
        </is>
      </c>
      <c r="C57" s="5" t="inlineStr">
        <is>
          <t>Caption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DataGrid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Cell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DataGrid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Cell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DataGrid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Cell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DataGrid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Cell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DataGrid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Cell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DataGrid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Cell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DataGrid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Cell</t>
        </is>
      </c>
      <c r="D64" s="5" t="inlineStr">
        <is>
          <t>columnIndex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DataGrid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Cell</t>
        </is>
      </c>
      <c r="D65" s="5" t="inlineStr">
        <is>
          <t>index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DataGrid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State</t>
        </is>
      </c>
      <c r="C66" s="5" t="inlineStr">
        <is>
          <t>Cell</t>
        </is>
      </c>
      <c r="D66" s="5" t="inlineStr">
        <is>
          <t>disabled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DataGrid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Cell</t>
        </is>
      </c>
      <c r="D67" s="5" t="inlineStr">
        <is>
          <t>[data-active]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DataGrid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Cell</t>
        </is>
      </c>
      <c r="D68" s="5" t="inlineStr">
        <is>
          <t>[data-selected] prop behavior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DataGrid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Cell</t>
        </is>
      </c>
      <c r="D69" s="5" t="inlineStr">
        <is>
          <t>[data-disabled] prop behavior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DataGrid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Anatomy</t>
        </is>
      </c>
      <c r="C70" s="5" t="inlineStr">
        <is>
          <t>ColumnHeader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DataGrid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ColumnHeader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DataGrid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30" customHeight="1" s="60">
      <c r="A72" s="4" t="n">
        <v>64</v>
      </c>
      <c r="B72" s="5" t="inlineStr">
        <is>
          <t>Identity</t>
        </is>
      </c>
      <c r="C72" s="5" t="inlineStr">
        <is>
          <t>ColumnHeader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DataGrid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ColumnHeader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DataGrid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Props</t>
        </is>
      </c>
      <c r="C74" s="5" t="inlineStr">
        <is>
          <t>ColumnHeader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DataGrid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Refs</t>
        </is>
      </c>
      <c r="C75" s="5" t="inlineStr">
        <is>
          <t>ColumnHeader</t>
        </is>
      </c>
      <c r="D75" s="5" t="inlineStr">
        <is>
          <t>consumer ref receives the rendered element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DataGrid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Public API</t>
        </is>
      </c>
      <c r="C76" s="5" t="inlineStr">
        <is>
          <t>ColumnHeader</t>
        </is>
      </c>
      <c r="D76" s="5" t="inlineStr">
        <is>
          <t>columnIndex prop behavior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DataGrid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ColumnHeader</t>
        </is>
      </c>
      <c r="D77" s="5" t="inlineStr">
        <is>
          <t>index prop behavior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DataGrid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ColumnHeader</t>
        </is>
      </c>
      <c r="D78" s="5" t="inlineStr">
        <is>
          <t>sortDirection prop behavior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DataGrid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State</t>
        </is>
      </c>
      <c r="C79" s="5" t="inlineStr">
        <is>
          <t>ColumnHeader</t>
        </is>
      </c>
      <c r="D79" s="5" t="inlineStr">
        <is>
          <t>disabled prop behavior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DataGrid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Footer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DataGrid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Footer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DataGrid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Identity</t>
        </is>
      </c>
      <c r="C82" s="5" t="inlineStr">
        <is>
          <t>Footer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DataGrid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Footer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DataGrid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Props</t>
        </is>
      </c>
      <c r="C84" s="5" t="inlineStr">
        <is>
          <t>Footer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DataGrid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Refs</t>
        </is>
      </c>
      <c r="C85" s="5" t="inlineStr">
        <is>
          <t>Footer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DataGrid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Anatomy</t>
        </is>
      </c>
      <c r="C86" s="5" t="inlineStr">
        <is>
          <t>GridBody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DataGrid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Anatomy</t>
        </is>
      </c>
      <c r="C87" s="5" t="inlineStr">
        <is>
          <t>GridBody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DataGrid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Identity</t>
        </is>
      </c>
      <c r="C88" s="5" t="inlineStr">
        <is>
          <t>GridBody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DataGrid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Identity</t>
        </is>
      </c>
      <c r="C89" s="5" t="inlineStr">
        <is>
          <t>GridBody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DataGrid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Props</t>
        </is>
      </c>
      <c r="C90" s="5" t="inlineStr">
        <is>
          <t>GridBody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DataGrid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Refs</t>
        </is>
      </c>
      <c r="C91" s="5" t="inlineStr">
        <is>
          <t>GridBody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DataGrid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Anatomy</t>
        </is>
      </c>
      <c r="C92" s="5" t="inlineStr">
        <is>
          <t>GridCaption</t>
        </is>
      </c>
      <c r="D92" s="5" t="inlineStr">
        <is>
          <t>renders correct part when expected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DataGrid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Anatomy</t>
        </is>
      </c>
      <c r="C93" s="5" t="inlineStr">
        <is>
          <t>GridCaption</t>
        </is>
      </c>
      <c r="D93" s="5" t="inlineStr">
        <is>
          <t>appears in documented order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DataGrid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Identity</t>
        </is>
      </c>
      <c r="C94" s="5" t="inlineStr">
        <is>
          <t>GridCaption</t>
        </is>
      </c>
      <c r="D94" s="5" t="inlineStr">
        <is>
          <t>default tag is visible in Anatomy/Inspector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DataGrid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Identity</t>
        </is>
      </c>
      <c r="C95" s="5" t="inlineStr">
        <is>
          <t>GridCaption</t>
        </is>
      </c>
      <c r="D95" s="5" t="inlineStr">
        <is>
          <t>data-slot is present and correct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DataGrid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Props</t>
        </is>
      </c>
      <c r="C96" s="5" t="inlineStr">
        <is>
          <t>GridCaption</t>
        </is>
      </c>
      <c r="D96" s="5" t="inlineStr">
        <is>
          <t>non-Atom native props pass through with data-prop-check marker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DataGrid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Refs</t>
        </is>
      </c>
      <c r="C97" s="5" t="inlineStr">
        <is>
          <t>GridCaption</t>
        </is>
      </c>
      <c r="D97" s="5" t="inlineStr">
        <is>
          <t>consumer ref receives the rendered element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DataGrid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Anatomy</t>
        </is>
      </c>
      <c r="C98" s="5" t="inlineStr">
        <is>
          <t>GridCell</t>
        </is>
      </c>
      <c r="D98" s="5" t="inlineStr">
        <is>
          <t>renders correct part when expected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DataGrid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Anatomy</t>
        </is>
      </c>
      <c r="C99" s="5" t="inlineStr">
        <is>
          <t>GridCell</t>
        </is>
      </c>
      <c r="D99" s="5" t="inlineStr">
        <is>
          <t>appears in documented order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DataGrid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Identity</t>
        </is>
      </c>
      <c r="C100" s="5" t="inlineStr">
        <is>
          <t>GridCell</t>
        </is>
      </c>
      <c r="D100" s="5" t="inlineStr">
        <is>
          <t>default tag is visible in Anatomy/Inspector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DataGrid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GridCell</t>
        </is>
      </c>
      <c r="D101" s="5" t="inlineStr">
        <is>
          <t>data-slot is present and correct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DataGrid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Props</t>
        </is>
      </c>
      <c r="C102" s="5" t="inlineStr">
        <is>
          <t>GridCell</t>
        </is>
      </c>
      <c r="D102" s="5" t="inlineStr">
        <is>
          <t>non-Atom native props pass through with data-prop-check marker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DataGrid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Refs</t>
        </is>
      </c>
      <c r="C103" s="5" t="inlineStr">
        <is>
          <t>GridCell</t>
        </is>
      </c>
      <c r="D103" s="5" t="inlineStr">
        <is>
          <t>consumer ref receives the rendered element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DataGrid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Anatomy</t>
        </is>
      </c>
      <c r="C104" s="5" t="inlineStr">
        <is>
          <t>GridColumnHeader</t>
        </is>
      </c>
      <c r="D104" s="5" t="inlineStr">
        <is>
          <t>renders correct part when expected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DataGrid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Anatomy</t>
        </is>
      </c>
      <c r="C105" s="5" t="inlineStr">
        <is>
          <t>GridColumnHeader</t>
        </is>
      </c>
      <c r="D105" s="5" t="inlineStr">
        <is>
          <t>appears in documented order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DataGrid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Identity</t>
        </is>
      </c>
      <c r="C106" s="5" t="inlineStr">
        <is>
          <t>GridColumnHeader</t>
        </is>
      </c>
      <c r="D106" s="5" t="inlineStr">
        <is>
          <t>default tag is visible in Anatomy/Inspector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DataGrid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Identity</t>
        </is>
      </c>
      <c r="C107" s="5" t="inlineStr">
        <is>
          <t>GridColumnHeader</t>
        </is>
      </c>
      <c r="D107" s="5" t="inlineStr">
        <is>
          <t>data-slot is present and correct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DataGrid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Props</t>
        </is>
      </c>
      <c r="C108" s="5" t="inlineStr">
        <is>
          <t>GridColumnHeader</t>
        </is>
      </c>
      <c r="D108" s="5" t="inlineStr">
        <is>
          <t>non-Atom native props pass through with data-prop-check marker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DataGrid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Refs</t>
        </is>
      </c>
      <c r="C109" s="5" t="inlineStr">
        <is>
          <t>GridColumnHeader</t>
        </is>
      </c>
      <c r="D109" s="5" t="inlineStr">
        <is>
          <t>consumer ref receives the rendered element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DataGrid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GridFooter</t>
        </is>
      </c>
      <c r="D110" s="5" t="inlineStr">
        <is>
          <t>renders correct part when expected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DataGrid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Anatomy</t>
        </is>
      </c>
      <c r="C111" s="5" t="inlineStr">
        <is>
          <t>GridFooter</t>
        </is>
      </c>
      <c r="D111" s="5" t="inlineStr">
        <is>
          <t>appears in documented order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DataGrid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30" customHeight="1" s="60">
      <c r="A112" s="4" t="n">
        <v>104</v>
      </c>
      <c r="B112" s="5" t="inlineStr">
        <is>
          <t>Identity</t>
        </is>
      </c>
      <c r="C112" s="5" t="inlineStr">
        <is>
          <t>GridFooter</t>
        </is>
      </c>
      <c r="D112" s="5" t="inlineStr">
        <is>
          <t>default tag is visible in Anatomy/Inspector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DataGrid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Identity</t>
        </is>
      </c>
      <c r="C113" s="5" t="inlineStr">
        <is>
          <t>GridFooter</t>
        </is>
      </c>
      <c r="D113" s="5" t="inlineStr">
        <is>
          <t>data-slot is present and correct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DataGrid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Props</t>
        </is>
      </c>
      <c r="C114" s="5" t="inlineStr">
        <is>
          <t>GridFooter</t>
        </is>
      </c>
      <c r="D114" s="5" t="inlineStr">
        <is>
          <t>non-Atom native props pass through with data-prop-check marker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DataGrid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Refs</t>
        </is>
      </c>
      <c r="C115" s="5" t="inlineStr">
        <is>
          <t>GridFooter</t>
        </is>
      </c>
      <c r="D115" s="5" t="inlineStr">
        <is>
          <t>consumer ref receives the rendered element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DataGrid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Anatomy</t>
        </is>
      </c>
      <c r="C116" s="5" t="inlineStr">
        <is>
          <t>GridHeader</t>
        </is>
      </c>
      <c r="D116" s="5" t="inlineStr">
        <is>
          <t>renders correct part when expected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DataGrid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Anatomy</t>
        </is>
      </c>
      <c r="C117" s="5" t="inlineStr">
        <is>
          <t>GridHeader</t>
        </is>
      </c>
      <c r="D117" s="5" t="inlineStr">
        <is>
          <t>appears in documented order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DataGrid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30" customHeight="1" s="60">
      <c r="A118" s="4" t="n">
        <v>110</v>
      </c>
      <c r="B118" s="5" t="inlineStr">
        <is>
          <t>Identity</t>
        </is>
      </c>
      <c r="C118" s="5" t="inlineStr">
        <is>
          <t>GridHeader</t>
        </is>
      </c>
      <c r="D118" s="5" t="inlineStr">
        <is>
          <t>default tag is visible in Anatomy/Inspector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DataGrid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Identity</t>
        </is>
      </c>
      <c r="C119" s="5" t="inlineStr">
        <is>
          <t>GridHeader</t>
        </is>
      </c>
      <c r="D119" s="5" t="inlineStr">
        <is>
          <t>data-slot is present and correct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DataGrid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Props</t>
        </is>
      </c>
      <c r="C120" s="5" t="inlineStr">
        <is>
          <t>GridHeader</t>
        </is>
      </c>
      <c r="D120" s="5" t="inlineStr">
        <is>
          <t>non-Atom native props pass through with data-prop-check marker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DataGrid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Refs</t>
        </is>
      </c>
      <c r="C121" s="5" t="inlineStr">
        <is>
          <t>GridHeader</t>
        </is>
      </c>
      <c r="D121" s="5" t="inlineStr">
        <is>
          <t>consumer ref receives the rendered element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DataGrid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Anatomy</t>
        </is>
      </c>
      <c r="C122" s="5" t="inlineStr">
        <is>
          <t>GridRow</t>
        </is>
      </c>
      <c r="D122" s="5" t="inlineStr">
        <is>
          <t>renders correct part when expected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DataGrid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Anatomy</t>
        </is>
      </c>
      <c r="C123" s="5" t="inlineStr">
        <is>
          <t>GridRow</t>
        </is>
      </c>
      <c r="D123" s="5" t="inlineStr">
        <is>
          <t>appears in documented order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DataGrid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Identity</t>
        </is>
      </c>
      <c r="C124" s="5" t="inlineStr">
        <is>
          <t>GridRow</t>
        </is>
      </c>
      <c r="D124" s="5" t="inlineStr">
        <is>
          <t>default tag is visible in Anatomy/Inspector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DataGrid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Identity</t>
        </is>
      </c>
      <c r="C125" s="5" t="inlineStr">
        <is>
          <t>GridRow</t>
        </is>
      </c>
      <c r="D125" s="5" t="inlineStr">
        <is>
          <t>data-slot is present and correct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DataGrid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Props</t>
        </is>
      </c>
      <c r="C126" s="5" t="inlineStr">
        <is>
          <t>GridRow</t>
        </is>
      </c>
      <c r="D126" s="5" t="inlineStr">
        <is>
          <t>non-Atom native props pass through with data-prop-check marker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DataGrid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Refs</t>
        </is>
      </c>
      <c r="C127" s="5" t="inlineStr">
        <is>
          <t>GridRow</t>
        </is>
      </c>
      <c r="D127" s="5" t="inlineStr">
        <is>
          <t>consumer ref receives the rendered element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DataGrid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Anatomy</t>
        </is>
      </c>
      <c r="C128" s="5" t="inlineStr">
        <is>
          <t>Header</t>
        </is>
      </c>
      <c r="D128" s="5" t="inlineStr">
        <is>
          <t>renders correct part when expected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DataGrid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Anatomy</t>
        </is>
      </c>
      <c r="C129" s="5" t="inlineStr">
        <is>
          <t>Header</t>
        </is>
      </c>
      <c r="D129" s="5" t="inlineStr">
        <is>
          <t>appears in documented order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DataGrid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30" customHeight="1" s="60">
      <c r="A130" s="4" t="n">
        <v>122</v>
      </c>
      <c r="B130" s="5" t="inlineStr">
        <is>
          <t>Identity</t>
        </is>
      </c>
      <c r="C130" s="5" t="inlineStr">
        <is>
          <t>Header</t>
        </is>
      </c>
      <c r="D130" s="5" t="inlineStr">
        <is>
          <t>default tag is visible in Anatomy/Inspector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DataGrid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Identity</t>
        </is>
      </c>
      <c r="C131" s="5" t="inlineStr">
        <is>
          <t>Header</t>
        </is>
      </c>
      <c r="D131" s="5" t="inlineStr">
        <is>
          <t>data-slot is present and correct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DataGrid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Props</t>
        </is>
      </c>
      <c r="C132" s="5" t="inlineStr">
        <is>
          <t>Header</t>
        </is>
      </c>
      <c r="D132" s="5" t="inlineStr">
        <is>
          <t>non-Atom native props pass through with data-prop-check marker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DataGrid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Refs</t>
        </is>
      </c>
      <c r="C133" s="5" t="inlineStr">
        <is>
          <t>Header</t>
        </is>
      </c>
      <c r="D133" s="5" t="inlineStr">
        <is>
          <t>consumer ref receives the rendered element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DataGrid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Anatomy</t>
        </is>
      </c>
      <c r="C134" s="5" t="inlineStr">
        <is>
          <t>Row</t>
        </is>
      </c>
      <c r="D134" s="5" t="inlineStr">
        <is>
          <t>renders correct part when expected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DataGrid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Anatomy</t>
        </is>
      </c>
      <c r="C135" s="5" t="inlineStr">
        <is>
          <t>Row</t>
        </is>
      </c>
      <c r="D135" s="5" t="inlineStr">
        <is>
          <t>appears in documented order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DataGrid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30" customHeight="1" s="60">
      <c r="A136" s="4" t="n">
        <v>128</v>
      </c>
      <c r="B136" s="5" t="inlineStr">
        <is>
          <t>Identity</t>
        </is>
      </c>
      <c r="C136" s="5" t="inlineStr">
        <is>
          <t>Row</t>
        </is>
      </c>
      <c r="D136" s="5" t="inlineStr">
        <is>
          <t>default tag is visible in Anatomy/Inspector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DataGrid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Identity</t>
        </is>
      </c>
      <c r="C137" s="5" t="inlineStr">
        <is>
          <t>Row</t>
        </is>
      </c>
      <c r="D137" s="5" t="inlineStr">
        <is>
          <t>data-slot is present and correct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DataGrid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Props</t>
        </is>
      </c>
      <c r="C138" s="5" t="inlineStr">
        <is>
          <t>Row</t>
        </is>
      </c>
      <c r="D138" s="5" t="inlineStr">
        <is>
          <t>non-Atom native props pass through with data-prop-check marker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DataGrid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Refs</t>
        </is>
      </c>
      <c r="C139" s="5" t="inlineStr">
        <is>
          <t>Row</t>
        </is>
      </c>
      <c r="D139" s="5" t="inlineStr">
        <is>
          <t>consumer ref receives the rendered element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DataGrid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Public API</t>
        </is>
      </c>
      <c r="C140" s="5" t="inlineStr">
        <is>
          <t>Row</t>
        </is>
      </c>
      <c r="D140" s="5" t="inlineStr">
        <is>
          <t>rowIndex prop behavior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DataGrid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Public API</t>
        </is>
      </c>
      <c r="C141" s="5" t="inlineStr">
        <is>
          <t>Row</t>
        </is>
      </c>
      <c r="D141" s="5" t="inlineStr">
        <is>
          <t>index prop behavior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DataGrid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State</t>
        </is>
      </c>
      <c r="C142" s="5" t="inlineStr">
        <is>
          <t>Row</t>
        </is>
      </c>
      <c r="D142" s="5" t="inlineStr">
        <is>
          <t>value prop behavior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DataGrid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State</t>
        </is>
      </c>
      <c r="C143" s="5" t="inlineStr">
        <is>
          <t>Row</t>
        </is>
      </c>
      <c r="D143" s="5" t="inlineStr">
        <is>
          <t>disabled prop behavior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DataGrid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Public API</t>
        </is>
      </c>
      <c r="C144" s="5" t="inlineStr">
        <is>
          <t>Row</t>
        </is>
      </c>
      <c r="D144" s="5" t="inlineStr">
        <is>
          <t>selectable prop behavior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DataGrid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aria-activedescendant is present at the correct time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DataGrid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aria-colcount is present at the correct time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DataGrid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aria-colindex is present at the correct time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DataGrid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aria-disabled is present at the correct time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DataGrid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aria-multiselectable is present at the correct time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DataGrid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aria-readonly is present at the correct time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DataGrid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aria-rowcount is present at the correct time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DataGrid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ARIA</t>
        </is>
      </c>
      <c r="C152" s="5" t="inlineStr">
        <is>
          <t>Live DOM</t>
        </is>
      </c>
      <c r="D152" s="5" t="inlineStr">
        <is>
          <t>aria-rowindex is present at the correct time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DataGrid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ARIA</t>
        </is>
      </c>
      <c r="C153" s="5" t="inlineStr">
        <is>
          <t>Live DOM</t>
        </is>
      </c>
      <c r="D153" s="5" t="inlineStr">
        <is>
          <t>aria-selected is present at the correct time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DataGrid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ARIA</t>
        </is>
      </c>
      <c r="C154" s="5" t="inlineStr">
        <is>
          <t>Live DOM</t>
        </is>
      </c>
      <c r="D154" s="5" t="inlineStr">
        <is>
          <t>aria-sort is present at the correct time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DataGrid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data-active is present at the correct time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DataGrid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data-column-count is present at the correct time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DataGrid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data-column-index is present at the correct time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DataGrid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data-disabled is present at the correct time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DataGrid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data-focused is present at the correct time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DataGrid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data-grid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DataGrid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data-grid-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DataGrid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data-grid-body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DataGrid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data-grid-caption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DataGrid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Data</t>
        </is>
      </c>
      <c r="C164" s="5" t="inlineStr">
        <is>
          <t>Live DOM</t>
        </is>
      </c>
      <c r="D164" s="5" t="inlineStr">
        <is>
          <t>data-grid-cell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DataGrid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Data</t>
        </is>
      </c>
      <c r="C165" s="5" t="inlineStr">
        <is>
          <t>Live DOM</t>
        </is>
      </c>
      <c r="D165" s="5" t="inlineStr">
        <is>
          <t>data-grid-column-header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DataGrid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data-grid-footer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DataGrid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data-grid-header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DataGrid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data-grid-row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DataGrid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data-readonly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DataGrid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data-row-count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DataGrid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data-row-index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DataGrid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Data</t>
        </is>
      </c>
      <c r="C172" s="5" t="inlineStr">
        <is>
          <t>Live DOM</t>
        </is>
      </c>
      <c r="D172" s="5" t="inlineStr">
        <is>
          <t>data-selected is present at the correct time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DataGrid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Data</t>
        </is>
      </c>
      <c r="C173" s="5" t="inlineStr">
        <is>
          <t>Live DOM</t>
        </is>
      </c>
      <c r="D173" s="5" t="inlineStr">
        <is>
          <t>data-selection-mode is present at the correct time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DataGrid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Data</t>
        </is>
      </c>
      <c r="C174" s="5" t="inlineStr">
        <is>
          <t>Live DOM</t>
        </is>
      </c>
      <c r="D174" s="5" t="inlineStr">
        <is>
          <t>data-slot is present at the correct time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DataGrid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60">
      <c r="A175" s="4" t="n">
        <v>167</v>
      </c>
      <c r="B175" s="5" t="inlineStr">
        <is>
          <t>Data</t>
        </is>
      </c>
      <c r="C175" s="5" t="inlineStr">
        <is>
          <t>Live DOM</t>
        </is>
      </c>
      <c r="D175" s="5" t="inlineStr">
        <is>
          <t>data-sort is present at the correct time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DataGrid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Data</t>
        </is>
      </c>
      <c r="C176" s="5" t="inlineStr">
        <is>
          <t>Live DOM</t>
        </is>
      </c>
      <c r="D176" s="5" t="inlineStr">
        <is>
          <t>data-value is present at the correct time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DataGrid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30" customHeight="1" s="60">
      <c r="A177" s="4" t="n">
        <v>169</v>
      </c>
      <c r="B177" s="5" t="inlineStr">
        <is>
          <t>Composition</t>
        </is>
      </c>
      <c r="C177" s="5" t="inlineStr">
        <is>
          <t>DataGrid</t>
        </is>
      </c>
      <c r="D177" s="5" t="inlineStr">
        <is>
          <t>asChild preserves child content without double nesting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DataGrid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15" customHeight="1" s="60">
      <c r="A178" s="4" t="n">
        <v>170</v>
      </c>
      <c r="B178" s="5" t="inlineStr">
        <is>
          <t>Composition</t>
        </is>
      </c>
      <c r="C178" s="5" t="inlineStr">
        <is>
          <t>DataGrid</t>
        </is>
      </c>
      <c r="D178" s="5" t="inlineStr">
        <is>
          <t>asChild merges Atom props and consumer props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DataGrid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Composition</t>
        </is>
      </c>
      <c r="C179" s="5" t="inlineStr">
        <is>
          <t>DataGrid</t>
        </is>
      </c>
      <c r="D179" s="5" t="inlineStr">
        <is>
          <t>asChild lets preventDefault block Atom behavior where supported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DataGrid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Composition</t>
        </is>
      </c>
      <c r="C180" s="5" t="inlineStr">
        <is>
          <t>DataGrid</t>
        </is>
      </c>
      <c r="D180" s="5" t="inlineStr">
        <is>
          <t>render prop renders custom element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DataGrid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Composition</t>
        </is>
      </c>
      <c r="C181" s="5" t="inlineStr">
        <is>
          <t>DataGrid</t>
        </is>
      </c>
      <c r="D181" s="5" t="inlineStr">
        <is>
          <t>render prop preserves refs and behavior props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DataGrid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State</t>
        </is>
      </c>
      <c r="C182" s="5" t="inlineStr">
        <is>
          <t>Root</t>
        </is>
      </c>
      <c r="D182" s="5" t="inlineStr">
        <is>
          <t>controlled state path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DataGrid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State</t>
        </is>
      </c>
      <c r="C183" s="5" t="inlineStr">
        <is>
          <t>Root</t>
        </is>
      </c>
      <c r="D183" s="5" t="inlineStr">
        <is>
          <t>uncontrolled default state path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DataGrid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State</t>
        </is>
      </c>
      <c r="C184" s="5" t="inlineStr">
        <is>
          <t>Root</t>
        </is>
      </c>
      <c r="D184" s="5" t="inlineStr">
        <is>
          <t>state change callback fires once with correct value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DataGrid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Keyboard</t>
        </is>
      </c>
      <c r="C185" s="5" t="inlineStr">
        <is>
          <t>DataGrid</t>
        </is>
      </c>
      <c r="D185" s="5" t="inlineStr">
        <is>
          <t>Arrow key navigation follows documented orientation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DataGrid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60">
      <c r="A186" s="4" t="n">
        <v>178</v>
      </c>
      <c r="B186" s="5" t="inlineStr">
        <is>
          <t>Keyboard</t>
        </is>
      </c>
      <c r="C186" s="5" t="inlineStr">
        <is>
          <t>DataGrid</t>
        </is>
      </c>
      <c r="D186" s="5" t="inlineStr">
        <is>
          <t>Home and End navigation where supported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DataGrid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60">
      <c r="A187" s="4" t="n">
        <v>179</v>
      </c>
      <c r="B187" s="5" t="inlineStr">
        <is>
          <t>Keyboard</t>
        </is>
      </c>
      <c r="C187" s="5" t="inlineStr">
        <is>
          <t>DataGrid</t>
        </is>
      </c>
      <c r="D187" s="5" t="inlineStr">
        <is>
          <t>disabled items are skipped or exposed according to pattern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DataGrid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30" customHeight="1" s="60">
      <c r="A188" s="4" t="n">
        <v>180</v>
      </c>
      <c r="B188" s="5" t="inlineStr">
        <is>
          <t>Keyboard</t>
        </is>
      </c>
      <c r="C188" s="5" t="inlineStr">
        <is>
          <t>DataGrid</t>
        </is>
      </c>
      <c r="D188" s="5" t="inlineStr">
        <is>
          <t>typeahead/search behavior where supported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DataGrid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15" customHeight="1" s="60">
      <c r="A189" s="4" t="n">
        <v>181</v>
      </c>
      <c r="B189" s="5" t="inlineStr">
        <is>
          <t>Focus</t>
        </is>
      </c>
      <c r="C189" s="5" t="inlineStr">
        <is>
          <t>DataGrid</t>
        </is>
      </c>
      <c r="D189" s="5" t="inlineStr">
        <is>
          <t>roving focus or active descendant state is visible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DataGrid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30" customHeight="1" s="60">
      <c r="A190" s="4" t="n">
        <v>182</v>
      </c>
      <c r="B190" s="5" t="inlineStr">
        <is>
          <t>Direction</t>
        </is>
      </c>
      <c r="C190" s="5" t="inlineStr">
        <is>
          <t>Grid</t>
        </is>
      </c>
      <c r="D190" s="5" t="inlineStr">
        <is>
          <t>reads Direction.Provider context for horizontal cell navigation</t>
        </is>
      </c>
      <c r="E190" s="10" t="inlineStr">
        <is>
          <t>no</t>
        </is>
      </c>
      <c r="F190" s="8" t="inlineStr">
        <is>
          <t>no</t>
        </is>
      </c>
      <c r="G190" s="4" t="inlineStr">
        <is>
          <t>missing</t>
        </is>
      </c>
      <c r="H190" s="10" t="inlineStr">
        <is>
          <t>missing</t>
        </is>
      </c>
      <c r="I190" s="5" t="n"/>
      <c r="J190" s="5" t="inlineStr">
        <is>
          <t>Add Direction.Provider fallback before testing RTL grid arrows.</t>
        </is>
      </c>
      <c r="K190" s="6">
        <f>IF(AND(E190="yes",F190="yes",H190="covered"),1,IF(H190="partial",0.5,0))</f>
        <v/>
      </c>
    </row>
    <row r="191" ht="30" customHeight="1" s="60">
      <c r="A191" s="4" t="n">
        <v>183</v>
      </c>
      <c r="B191" s="5" t="inlineStr">
        <is>
          <t>Direction</t>
        </is>
      </c>
      <c r="C191" s="5" t="inlineStr">
        <is>
          <t>Grid</t>
        </is>
      </c>
      <c r="D191" s="5" t="inlineStr">
        <is>
          <t>RTL mirrors ArrowLeft and ArrowRight cell movement</t>
        </is>
      </c>
      <c r="E191" s="10" t="inlineStr">
        <is>
          <t>no</t>
        </is>
      </c>
      <c r="F191" s="8" t="inlineStr">
        <is>
          <t>no</t>
        </is>
      </c>
      <c r="G191" s="4" t="inlineStr">
        <is>
          <t>missing</t>
        </is>
      </c>
      <c r="H191" s="10" t="inlineStr">
        <is>
          <t>missing</t>
        </is>
      </c>
      <c r="I191" s="5" t="n"/>
      <c r="J191" s="5" t="inlineStr">
        <is>
          <t>Implement and test RTL cell navigation.</t>
        </is>
      </c>
      <c r="K191" s="6">
        <f>IF(AND(E191="yes",F191="yes",H191="covered"),1,IF(H191="partial",0.5,0))</f>
        <v/>
      </c>
    </row>
    <row r="192" ht="30" customHeight="1" s="60">
      <c r="A192" s="4" t="n">
        <v>184</v>
      </c>
      <c r="B192" s="5" t="inlineStr">
        <is>
          <t>Direction</t>
        </is>
      </c>
      <c r="C192" s="5" t="inlineStr">
        <is>
          <t>Grid</t>
        </is>
      </c>
      <c r="D192" s="5" t="inlineStr">
        <is>
          <t>row start and row end respect RTL direction</t>
        </is>
      </c>
      <c r="E192" s="10" t="inlineStr">
        <is>
          <t>no</t>
        </is>
      </c>
      <c r="F192" s="8" t="inlineStr">
        <is>
          <t>no</t>
        </is>
      </c>
      <c r="G192" s="4" t="inlineStr">
        <is>
          <t>missing</t>
        </is>
      </c>
      <c r="H192" s="10" t="inlineStr">
        <is>
          <t>missing</t>
        </is>
      </c>
      <c r="I192" s="5" t="n"/>
      <c r="J192" s="5" t="inlineStr">
        <is>
          <t>Implement and test RTL row-start/row-end semantics.</t>
        </is>
      </c>
      <c r="K192" s="6">
        <f>IF(AND(E192="yes",F192="yes",H192="covered"),1,IF(H192="partial",0.5,0))</f>
        <v/>
      </c>
    </row>
    <row r="193" ht="30" customHeight="1" s="60">
      <c r="A193" s="4" t="n">
        <v>185</v>
      </c>
      <c r="B193" s="5" t="inlineStr">
        <is>
          <t>Playground</t>
        </is>
      </c>
      <c r="C193" s="5" t="inlineStr">
        <is>
          <t>Direction controls</t>
        </is>
      </c>
      <c r="D193" s="5" t="inlineStr">
        <is>
          <t>scenario exposes provider direction controls</t>
        </is>
      </c>
      <c r="E193" s="10" t="inlineStr">
        <is>
          <t>no</t>
        </is>
      </c>
      <c r="F193" s="8" t="inlineStr">
        <is>
          <t>no</t>
        </is>
      </c>
      <c r="G193" s="4" t="inlineStr">
        <is>
          <t>missing</t>
        </is>
      </c>
      <c r="H193" s="10" t="inlineStr">
        <is>
          <t>missing</t>
        </is>
      </c>
      <c r="I193" s="5" t="n"/>
      <c r="J193" s="5" t="inlineStr">
        <is>
          <t>Add provider direction controls to the playground scenario.</t>
        </is>
      </c>
      <c r="K193" s="6">
        <f>IF(AND(E193="yes",F193="yes",H193="covered"),1,IF(H193="partial",0.5,0))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0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Dialog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passes manual test</t>
        </is>
      </c>
      <c r="H9" s="12" t="inlineStr">
        <is>
          <t>covered</t>
        </is>
      </c>
      <c r="I9" s="5" t="inlineStr">
        <is>
          <t>Shared playground prop rule.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passes manual test</t>
        </is>
      </c>
      <c r="H10" s="12" t="inlineStr">
        <is>
          <t>covered</t>
        </is>
      </c>
      <c r="I10" s="5" t="inlineStr">
        <is>
          <t>Shared playground prop rule.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Public API</t>
        </is>
      </c>
      <c r="C11" s="5" t="inlineStr">
        <is>
          <t>Root</t>
        </is>
      </c>
      <c r="D11" s="5" t="inlineStr">
        <is>
          <t>controlled open prop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passes manual test</t>
        </is>
      </c>
      <c r="H11" s="11" t="inlineStr">
        <is>
          <t>covered</t>
        </is>
      </c>
      <c r="I11" s="5" t="inlineStr">
        <is>
          <t>Dialog playground scenario; manually verified.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Public API</t>
        </is>
      </c>
      <c r="C12" s="5" t="inlineStr">
        <is>
          <t>Root</t>
        </is>
      </c>
      <c r="D12" s="5" t="inlineStr">
        <is>
          <t>defaultOpen / uncontrolled state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passes manual test</t>
        </is>
      </c>
      <c r="H12" s="11" t="inlineStr">
        <is>
          <t>covered</t>
        </is>
      </c>
      <c r="I12" s="5" t="inlineStr">
        <is>
          <t>Dialog playground scenario; manually verified.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Public API</t>
        </is>
      </c>
      <c r="C13" s="5" t="inlineStr">
        <is>
          <t>Root</t>
        </is>
      </c>
      <c r="D13" s="5" t="inlineStr">
        <is>
          <t>onOpenChange callback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passes manual test</t>
        </is>
      </c>
      <c r="H13" s="11" t="inlineStr">
        <is>
          <t>covered</t>
        </is>
      </c>
      <c r="I13" s="5" t="inlineStr">
        <is>
          <t>Dialog playground scenario; manually verified.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Public API</t>
        </is>
      </c>
      <c r="C14" s="5" t="inlineStr">
        <is>
          <t>Root</t>
        </is>
      </c>
      <c r="D14" s="5" t="inlineStr">
        <is>
          <t>onOpenChange close reason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passes manual test</t>
        </is>
      </c>
      <c r="H14" s="11" t="inlineStr">
        <is>
          <t>covered</t>
        </is>
      </c>
      <c r="I14" s="5" t="inlineStr">
        <is>
          <t>Dialog playground scenario; manually verified.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Public API</t>
        </is>
      </c>
      <c r="C15" s="5" t="inlineStr">
        <is>
          <t>Root</t>
        </is>
      </c>
      <c r="D15" s="5" t="inlineStr">
        <is>
          <t>disabled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passes manual test</t>
        </is>
      </c>
      <c r="H15" s="11" t="inlineStr">
        <is>
          <t>covered</t>
        </is>
      </c>
      <c r="I15" s="5" t="inlineStr">
        <is>
          <t>Dialog playground scenario; manually verified.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Public API</t>
        </is>
      </c>
      <c r="C16" s="5" t="inlineStr">
        <is>
          <t>Root</t>
        </is>
      </c>
      <c r="D16" s="5" t="inlineStr">
        <is>
          <t>closeOnEscape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passes manual test</t>
        </is>
      </c>
      <c r="H16" s="11" t="inlineStr">
        <is>
          <t>covered</t>
        </is>
      </c>
      <c r="I16" s="5" t="inlineStr">
        <is>
          <t>Dialog playground scenario; manually verified.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Public API</t>
        </is>
      </c>
      <c r="C17" s="5" t="inlineStr">
        <is>
          <t>Root</t>
        </is>
      </c>
      <c r="D17" s="5" t="inlineStr">
        <is>
          <t>closeOnBackdropClick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passes manual test</t>
        </is>
      </c>
      <c r="H17" s="11" t="inlineStr">
        <is>
          <t>covered</t>
        </is>
      </c>
      <c r="I17" s="5" t="inlineStr">
        <is>
          <t>Dialog playground scenario; manually verified.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Public API</t>
        </is>
      </c>
      <c r="C18" s="5" t="inlineStr">
        <is>
          <t>Root</t>
        </is>
      </c>
      <c r="D18" s="5" t="inlineStr">
        <is>
          <t>keepMounted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passes manual test</t>
        </is>
      </c>
      <c r="H18" s="11" t="inlineStr">
        <is>
          <t>covered</t>
        </is>
      </c>
      <c r="I18" s="5" t="inlineStr">
        <is>
          <t>Dialog playground scenario; manually verified.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Public API</t>
        </is>
      </c>
      <c r="C19" s="5" t="inlineStr">
        <is>
          <t>Trigger</t>
        </is>
      </c>
      <c r="D19" s="5" t="inlineStr">
        <is>
          <t>click opens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passes manual test</t>
        </is>
      </c>
      <c r="H19" s="11" t="inlineStr">
        <is>
          <t>covered</t>
        </is>
      </c>
      <c r="I19" s="5" t="inlineStr">
        <is>
          <t>Dialog playground scenario; manually verified.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Public API</t>
        </is>
      </c>
      <c r="C20" s="5" t="inlineStr">
        <is>
          <t>Trigger</t>
        </is>
      </c>
      <c r="D20" s="5" t="inlineStr">
        <is>
          <t>Enter opens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passes manual test</t>
        </is>
      </c>
      <c r="H20" s="11" t="inlineStr">
        <is>
          <t>covered</t>
        </is>
      </c>
      <c r="I20" s="5" t="inlineStr">
        <is>
          <t>Dialog playground scenario; manually verified.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Public API</t>
        </is>
      </c>
      <c r="C21" s="5" t="inlineStr">
        <is>
          <t>Trigger</t>
        </is>
      </c>
      <c r="D21" s="5" t="inlineStr">
        <is>
          <t>Space opens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passes manual test</t>
        </is>
      </c>
      <c r="H21" s="11" t="inlineStr">
        <is>
          <t>covered</t>
        </is>
      </c>
      <c r="I21" s="5" t="inlineStr">
        <is>
          <t>Dialog playground scenario; manually verified.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Public API</t>
        </is>
      </c>
      <c r="C22" s="5" t="inlineStr">
        <is>
          <t>Trigger</t>
        </is>
      </c>
      <c r="D22" s="5" t="inlineStr">
        <is>
          <t>disabled blocks click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passes manual test</t>
        </is>
      </c>
      <c r="H22" s="11" t="inlineStr">
        <is>
          <t>covered</t>
        </is>
      </c>
      <c r="I22" s="5" t="inlineStr">
        <is>
          <t>Dialog playground scenario; manually verified.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Public API</t>
        </is>
      </c>
      <c r="C23" s="5" t="inlineStr">
        <is>
          <t>Trigger</t>
        </is>
      </c>
      <c r="D23" s="5" t="inlineStr">
        <is>
          <t>disabled blocks Enter/Space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passes manual test</t>
        </is>
      </c>
      <c r="H23" s="11" t="inlineStr">
        <is>
          <t>covered</t>
        </is>
      </c>
      <c r="I23" s="5" t="inlineStr">
        <is>
          <t>Dialog playground scenario; manually verified.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Public API</t>
        </is>
      </c>
      <c r="C24" s="5" t="inlineStr">
        <is>
          <t>Trigger</t>
        </is>
      </c>
      <c r="D24" s="5" t="inlineStr">
        <is>
          <t>data-state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passes manual test</t>
        </is>
      </c>
      <c r="H24" s="11" t="inlineStr">
        <is>
          <t>covered</t>
        </is>
      </c>
      <c r="I24" s="5" t="inlineStr">
        <is>
          <t>Dialog playground scenario; manually verified.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Public API</t>
        </is>
      </c>
      <c r="C25" s="5" t="inlineStr">
        <is>
          <t>Trigger</t>
        </is>
      </c>
      <c r="D25" s="5" t="inlineStr">
        <is>
          <t>aria-controls id match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passes manual test</t>
        </is>
      </c>
      <c r="H25" s="11" t="inlineStr">
        <is>
          <t>covered</t>
        </is>
      </c>
      <c r="I25" s="5" t="inlineStr">
        <is>
          <t>Dialog playground scenario; manually verified.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Trigger</t>
        </is>
      </c>
      <c r="D26" s="5" t="inlineStr">
        <is>
          <t>aria-haspopup / aria-expanded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passes manual test</t>
        </is>
      </c>
      <c r="H26" s="11" t="inlineStr">
        <is>
          <t>covered</t>
        </is>
      </c>
      <c r="I26" s="5" t="inlineStr">
        <is>
          <t>Dialog playground scenario; manually verified.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Trigger</t>
        </is>
      </c>
      <c r="D27" s="5" t="inlineStr">
        <is>
          <t>asChild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passes manual test</t>
        </is>
      </c>
      <c r="H27" s="11" t="inlineStr">
        <is>
          <t>covered</t>
        </is>
      </c>
      <c r="I27" s="5" t="inlineStr">
        <is>
          <t>Dialog playground scenario; manually verified.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Composition</t>
        </is>
      </c>
      <c r="C28" s="5" t="inlineStr">
        <is>
          <t>Trigger</t>
        </is>
      </c>
      <c r="D28" s="5" t="inlineStr">
        <is>
          <t>render prop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passes manual test</t>
        </is>
      </c>
      <c r="H28" s="11" t="inlineStr">
        <is>
          <t>covered</t>
        </is>
      </c>
      <c r="I28" s="5" t="inlineStr">
        <is>
          <t>Dialog playground scenario; manually verified.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Trigger</t>
        </is>
      </c>
      <c r="D29" s="5" t="inlineStr">
        <is>
          <t>merged onClick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passes manual test</t>
        </is>
      </c>
      <c r="H29" s="11" t="inlineStr">
        <is>
          <t>covered</t>
        </is>
      </c>
      <c r="I29" s="5" t="inlineStr">
        <is>
          <t>Dialog playground scenario; manually verified.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45" customHeight="1" s="60">
      <c r="A30" s="4" t="n">
        <v>22</v>
      </c>
      <c r="B30" s="5" t="inlineStr">
        <is>
          <t>Composition</t>
        </is>
      </c>
      <c r="C30" s="5" t="inlineStr">
        <is>
          <t>Trigger</t>
        </is>
      </c>
      <c r="D30" s="5" t="inlineStr">
        <is>
          <t>merged onKeyDown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passes manual test</t>
        </is>
      </c>
      <c r="H30" s="11" t="inlineStr">
        <is>
          <t>covered</t>
        </is>
      </c>
      <c r="I30" s="5" t="inlineStr">
        <is>
          <t>Dialog playground scenario; manually verified.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Refs</t>
        </is>
      </c>
      <c r="C31" s="5" t="inlineStr">
        <is>
          <t>Trigger</t>
        </is>
      </c>
      <c r="D31" s="5" t="inlineStr">
        <is>
          <t>ref receives element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passes manual test</t>
        </is>
      </c>
      <c r="H31" s="11" t="inlineStr">
        <is>
          <t>covered</t>
        </is>
      </c>
      <c r="I31" s="5" t="inlineStr">
        <is>
          <t>Dialog playground scenario; manually verified.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Props</t>
        </is>
      </c>
      <c r="C32" s="5" t="inlineStr">
        <is>
          <t>Trigger</t>
        </is>
      </c>
      <c r="D32" s="5" t="inlineStr">
        <is>
          <t>native button props passthrough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passes manual test</t>
        </is>
      </c>
      <c r="H32" s="11" t="inlineStr">
        <is>
          <t>covered</t>
        </is>
      </c>
      <c r="I32" s="5" t="inlineStr">
        <is>
          <t>Verify the part forwards a non-Atom-owned data-prop-check marker in the live raw Data group or Inspector.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Styling hooks</t>
        </is>
      </c>
      <c r="C33" s="5" t="inlineStr">
        <is>
          <t>Trigger</t>
        </is>
      </c>
      <c r="D33" s="5" t="inlineStr">
        <is>
          <t>className passthrough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passes manual test</t>
        </is>
      </c>
      <c r="H33" s="11" t="inlineStr">
        <is>
          <t>covered</t>
        </is>
      </c>
      <c r="I33" s="5" t="inlineStr">
        <is>
          <t>Dialog playground scenario; manually verified.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Styling hooks</t>
        </is>
      </c>
      <c r="C34" s="5" t="inlineStr">
        <is>
          <t>Trigger</t>
        </is>
      </c>
      <c r="D34" s="5" t="inlineStr">
        <is>
          <t>data-slot override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passes manual test</t>
        </is>
      </c>
      <c r="H34" s="11" t="inlineStr">
        <is>
          <t>covered</t>
        </is>
      </c>
      <c r="I34" s="5" t="inlineStr">
        <is>
          <t>Dialog playground scenario; manually verified.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Portal</t>
        </is>
      </c>
      <c r="D35" s="5" t="inlineStr">
        <is>
          <t>content mounts in body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passes manual test</t>
        </is>
      </c>
      <c r="H35" s="11" t="inlineStr">
        <is>
          <t>covered</t>
        </is>
      </c>
      <c r="I35" s="5" t="inlineStr">
        <is>
          <t>Dialog playground scenario; manually verified.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Portal</t>
        </is>
      </c>
      <c r="D36" s="5" t="inlineStr">
        <is>
          <t>content not inside canvas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passes manual test</t>
        </is>
      </c>
      <c r="H36" s="11" t="inlineStr">
        <is>
          <t>covered</t>
        </is>
      </c>
      <c r="I36" s="5" t="inlineStr">
        <is>
          <t>Dialog playground scenario; manually verified.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Portal</t>
        </is>
      </c>
      <c r="D37" s="5" t="inlineStr">
        <is>
          <t>unmounts after close without keepMounted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passes manual test</t>
        </is>
      </c>
      <c r="H37" s="11" t="inlineStr">
        <is>
          <t>covered</t>
        </is>
      </c>
      <c r="I37" s="5" t="inlineStr">
        <is>
          <t>Dialog playground scenario; manually verified.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Portal</t>
        </is>
      </c>
      <c r="D38" s="5" t="inlineStr">
        <is>
          <t>stays mounted with keepMounted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passes manual test</t>
        </is>
      </c>
      <c r="H38" s="11" t="inlineStr">
        <is>
          <t>covered</t>
        </is>
      </c>
      <c r="I38" s="5" t="inlineStr">
        <is>
          <t>Dialog playground scenario; manually verified.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Overlay</t>
        </is>
      </c>
      <c r="D39" s="5" t="inlineStr">
        <is>
          <t>renders when open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passes manual test</t>
        </is>
      </c>
      <c r="H39" s="11" t="inlineStr">
        <is>
          <t>covered</t>
        </is>
      </c>
      <c r="I39" s="5" t="inlineStr">
        <is>
          <t>Dialog playground scenario; manually verified.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Overlay</t>
        </is>
      </c>
      <c r="D40" s="5" t="inlineStr">
        <is>
          <t>data-state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passes manual test</t>
        </is>
      </c>
      <c r="H40" s="11" t="inlineStr">
        <is>
          <t>covered</t>
        </is>
      </c>
      <c r="I40" s="5" t="inlineStr">
        <is>
          <t>Dialog playground scenario; manually verified.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Interaction</t>
        </is>
      </c>
      <c r="C41" s="5" t="inlineStr">
        <is>
          <t>Overlay</t>
        </is>
      </c>
      <c r="D41" s="5" t="inlineStr">
        <is>
          <t>backdrop click closes when enabled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passes manual test</t>
        </is>
      </c>
      <c r="H41" s="11" t="inlineStr">
        <is>
          <t>covered</t>
        </is>
      </c>
      <c r="I41" s="5" t="inlineStr">
        <is>
          <t>Dialog playground scenario; manually verified.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Interaction</t>
        </is>
      </c>
      <c r="C42" s="5" t="inlineStr">
        <is>
          <t>Overlay</t>
        </is>
      </c>
      <c r="D42" s="5" t="inlineStr">
        <is>
          <t>backdrop click does not close when disabled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passes manual test</t>
        </is>
      </c>
      <c r="H42" s="11" t="inlineStr">
        <is>
          <t>covered</t>
        </is>
      </c>
      <c r="I42" s="5" t="inlineStr">
        <is>
          <t>Dialog playground scenario; manually verified.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Composition</t>
        </is>
      </c>
      <c r="C43" s="5" t="inlineStr">
        <is>
          <t>Overlay</t>
        </is>
      </c>
      <c r="D43" s="5" t="inlineStr">
        <is>
          <t>user onClick merges with close behavior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passes manual test</t>
        </is>
      </c>
      <c r="H43" s="11" t="inlineStr">
        <is>
          <t>covered</t>
        </is>
      </c>
      <c r="I43" s="5" t="inlineStr">
        <is>
          <t>Dialog playground scenario; manually verified.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Refs</t>
        </is>
      </c>
      <c r="C44" s="5" t="inlineStr">
        <is>
          <t>Overlay</t>
        </is>
      </c>
      <c r="D44" s="5" t="inlineStr">
        <is>
          <t>ref receives element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passes manual test</t>
        </is>
      </c>
      <c r="H44" s="11" t="inlineStr">
        <is>
          <t>covered</t>
        </is>
      </c>
      <c r="I44" s="5" t="inlineStr">
        <is>
          <t>Dialog playground scenario; manually verified.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Overlay</t>
        </is>
      </c>
      <c r="D45" s="5" t="inlineStr">
        <is>
          <t>native div props passthrough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passes manual test</t>
        </is>
      </c>
      <c r="H45" s="11" t="inlineStr">
        <is>
          <t>covered</t>
        </is>
      </c>
      <c r="I45" s="5" t="inlineStr">
        <is>
          <t>Verify the part forwards a non-Atom-owned data-prop-check marker in the live raw Data group or Inspector.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Styling hooks</t>
        </is>
      </c>
      <c r="C46" s="5" t="inlineStr">
        <is>
          <t>Overlay</t>
        </is>
      </c>
      <c r="D46" s="5" t="inlineStr">
        <is>
          <t>className passthrough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passes manual test</t>
        </is>
      </c>
      <c r="H46" s="11" t="inlineStr">
        <is>
          <t>covered</t>
        </is>
      </c>
      <c r="I46" s="5" t="inlineStr">
        <is>
          <t>Dialog playground scenario; manually verified.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Styling hooks</t>
        </is>
      </c>
      <c r="C47" s="5" t="inlineStr">
        <is>
          <t>Overlay</t>
        </is>
      </c>
      <c r="D47" s="5" t="inlineStr">
        <is>
          <t>data-slot override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passes manual test</t>
        </is>
      </c>
      <c r="H47" s="11" t="inlineStr">
        <is>
          <t>covered</t>
        </is>
      </c>
      <c r="I47" s="5" t="inlineStr">
        <is>
          <t>Dialog playground scenario; manually verified.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Content</t>
        </is>
      </c>
      <c r="D48" s="5" t="inlineStr">
        <is>
          <t>renders when open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passes manual test</t>
        </is>
      </c>
      <c r="H48" s="11" t="inlineStr">
        <is>
          <t>covered</t>
        </is>
      </c>
      <c r="I48" s="5" t="inlineStr">
        <is>
          <t>Dialog playground scenario; manually verified.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Content</t>
        </is>
      </c>
      <c r="D49" s="5" t="inlineStr">
        <is>
          <t>unmounts when closed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passes manual test</t>
        </is>
      </c>
      <c r="H49" s="11" t="inlineStr">
        <is>
          <t>covered</t>
        </is>
      </c>
      <c r="I49" s="5" t="inlineStr">
        <is>
          <t>Dialog playground scenario; manually verified.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Content</t>
        </is>
      </c>
      <c r="D50" s="5" t="inlineStr">
        <is>
          <t>hidden with keepMounted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passes manual test</t>
        </is>
      </c>
      <c r="H50" s="11" t="inlineStr">
        <is>
          <t>covered</t>
        </is>
      </c>
      <c r="I50" s="5" t="inlineStr">
        <is>
          <t>Dialog playground scenario; manually verified.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Content</t>
        </is>
      </c>
      <c r="D51" s="5" t="inlineStr">
        <is>
          <t>role dialog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passes manual test</t>
        </is>
      </c>
      <c r="H51" s="11" t="inlineStr">
        <is>
          <t>covered</t>
        </is>
      </c>
      <c r="I51" s="5" t="inlineStr">
        <is>
          <t>Dialog playground scenario; manually verified.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Content</t>
        </is>
      </c>
      <c r="D52" s="5" t="inlineStr">
        <is>
          <t>role alertdialog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passes manual test</t>
        </is>
      </c>
      <c r="H52" s="11" t="inlineStr">
        <is>
          <t>covered</t>
        </is>
      </c>
      <c r="I52" s="5" t="inlineStr">
        <is>
          <t>Dialog playground scenario; manually verified.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Content</t>
        </is>
      </c>
      <c r="D53" s="5" t="inlineStr">
        <is>
          <t>tabIndex -1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passes manual test</t>
        </is>
      </c>
      <c r="H53" s="11" t="inlineStr">
        <is>
          <t>covered</t>
        </is>
      </c>
      <c r="I53" s="5" t="inlineStr">
        <is>
          <t>Dialog playground scenario; manually verified.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data-state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passes manual test</t>
        </is>
      </c>
      <c r="H54" s="11" t="inlineStr">
        <is>
          <t>covered</t>
        </is>
      </c>
      <c r="I54" s="5" t="inlineStr">
        <is>
          <t>Dialog playground scenario; manually verified.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data-positioned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passes manual test</t>
        </is>
      </c>
      <c r="H55" s="11" t="inlineStr">
        <is>
          <t>covered</t>
        </is>
      </c>
      <c r="I55" s="5" t="inlineStr">
        <is>
          <t>Dialog playground scenario; manually verified.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Accessibility</t>
        </is>
      </c>
      <c r="C56" s="5" t="inlineStr">
        <is>
          <t>Content</t>
        </is>
      </c>
      <c r="D56" s="5" t="inlineStr">
        <is>
          <t>aria-modal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passes manual test</t>
        </is>
      </c>
      <c r="H56" s="11" t="inlineStr">
        <is>
          <t>covered</t>
        </is>
      </c>
      <c r="I56" s="5" t="inlineStr">
        <is>
          <t>Dialog playground scenario; manually verified.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Accessibility</t>
        </is>
      </c>
      <c r="C57" s="5" t="inlineStr">
        <is>
          <t>Content</t>
        </is>
      </c>
      <c r="D57" s="5" t="inlineStr">
        <is>
          <t>aria-labelledby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passes manual test</t>
        </is>
      </c>
      <c r="H57" s="11" t="inlineStr">
        <is>
          <t>covered</t>
        </is>
      </c>
      <c r="I57" s="5" t="inlineStr">
        <is>
          <t>Dialog playground scenario; manually verified.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Accessibility</t>
        </is>
      </c>
      <c r="C58" s="5" t="inlineStr">
        <is>
          <t>Content</t>
        </is>
      </c>
      <c r="D58" s="5" t="inlineStr">
        <is>
          <t>aria-describedby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passes manual test</t>
        </is>
      </c>
      <c r="H58" s="11" t="inlineStr">
        <is>
          <t>covered</t>
        </is>
      </c>
      <c r="I58" s="5" t="inlineStr">
        <is>
          <t>Dialog playground scenario; manually verified.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Accessibility</t>
        </is>
      </c>
      <c r="C59" s="5" t="inlineStr">
        <is>
          <t>Content</t>
        </is>
      </c>
      <c r="D59" s="5" t="inlineStr">
        <is>
          <t>aria-label fallback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passes manual test</t>
        </is>
      </c>
      <c r="H59" s="11" t="inlineStr">
        <is>
          <t>covered</t>
        </is>
      </c>
      <c r="I59" s="5" t="inlineStr">
        <is>
          <t>Dialog playground scenario; manually verified.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Interaction</t>
        </is>
      </c>
      <c r="C60" s="5" t="inlineStr">
        <is>
          <t>Content</t>
        </is>
      </c>
      <c r="D60" s="5" t="inlineStr">
        <is>
          <t>click inside content does not close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passes manual test</t>
        </is>
      </c>
      <c r="H60" s="11" t="inlineStr">
        <is>
          <t>covered</t>
        </is>
      </c>
      <c r="I60" s="5" t="inlineStr">
        <is>
          <t>Dialog playground scenario; manually verified.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Interaction</t>
        </is>
      </c>
      <c r="C61" s="5" t="inlineStr">
        <is>
          <t>Content</t>
        </is>
      </c>
      <c r="D61" s="5" t="inlineStr">
        <is>
          <t>first focusable receives focus on open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passes manual test</t>
        </is>
      </c>
      <c r="H61" s="11" t="inlineStr">
        <is>
          <t>covered</t>
        </is>
      </c>
      <c r="I61" s="5" t="inlineStr">
        <is>
          <t>Dialog playground scenario; manually verified.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Interaction</t>
        </is>
      </c>
      <c r="C62" s="5" t="inlineStr">
        <is>
          <t>Content</t>
        </is>
      </c>
      <c r="D62" s="5" t="inlineStr">
        <is>
          <t>no focusable child focuses content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passes manual test</t>
        </is>
      </c>
      <c r="H62" s="11" t="inlineStr">
        <is>
          <t>covered</t>
        </is>
      </c>
      <c r="I62" s="5" t="inlineStr">
        <is>
          <t>Dialog playground scenario; manually verified.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Interaction</t>
        </is>
      </c>
      <c r="C63" s="5" t="inlineStr">
        <is>
          <t>Content</t>
        </is>
      </c>
      <c r="D63" s="5" t="inlineStr">
        <is>
          <t>focus trap Tab loop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passes manual test</t>
        </is>
      </c>
      <c r="H63" s="11" t="inlineStr">
        <is>
          <t>covered</t>
        </is>
      </c>
      <c r="I63" s="5" t="inlineStr">
        <is>
          <t>Dialog playground scenario; manually verified.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Interaction</t>
        </is>
      </c>
      <c r="C64" s="5" t="inlineStr">
        <is>
          <t>Content</t>
        </is>
      </c>
      <c r="D64" s="5" t="inlineStr">
        <is>
          <t>focus trap Shift+Tab loop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passes manual test</t>
        </is>
      </c>
      <c r="H64" s="11" t="inlineStr">
        <is>
          <t>covered</t>
        </is>
      </c>
      <c r="I64" s="5" t="inlineStr">
        <is>
          <t>Dialog playground scenario; manually verified.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Interaction</t>
        </is>
      </c>
      <c r="C65" s="5" t="inlineStr">
        <is>
          <t>Content</t>
        </is>
      </c>
      <c r="D65" s="5" t="inlineStr">
        <is>
          <t>focus cannot escape behind dialog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passes manual test</t>
        </is>
      </c>
      <c r="H65" s="11" t="inlineStr">
        <is>
          <t>covered</t>
        </is>
      </c>
      <c r="I65" s="5" t="inlineStr">
        <is>
          <t>Dialog playground scenario; manually verified.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Interaction</t>
        </is>
      </c>
      <c r="C66" s="5" t="inlineStr">
        <is>
          <t>Content</t>
        </is>
      </c>
      <c r="D66" s="5" t="inlineStr">
        <is>
          <t>focus restores to trigger after close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passes manual test</t>
        </is>
      </c>
      <c r="H66" s="11" t="inlineStr">
        <is>
          <t>covered</t>
        </is>
      </c>
      <c r="I66" s="5" t="inlineStr">
        <is>
          <t>Dialog playground scenario; manually verified.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45" customHeight="1" s="60">
      <c r="A67" s="4" t="n">
        <v>59</v>
      </c>
      <c r="B67" s="5" t="inlineStr">
        <is>
          <t>Interaction</t>
        </is>
      </c>
      <c r="C67" s="5" t="inlineStr">
        <is>
          <t>Content</t>
        </is>
      </c>
      <c r="D67" s="5" t="inlineStr">
        <is>
          <t>scroll lock on open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passes manual test</t>
        </is>
      </c>
      <c r="H67" s="11" t="inlineStr">
        <is>
          <t>covered</t>
        </is>
      </c>
      <c r="I67" s="5" t="inlineStr">
        <is>
          <t>Dialog playground scenario; manually verified.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Refs</t>
        </is>
      </c>
      <c r="C68" s="5" t="inlineStr">
        <is>
          <t>Content</t>
        </is>
      </c>
      <c r="D68" s="5" t="inlineStr">
        <is>
          <t>ref receives element</t>
        </is>
      </c>
      <c r="E68" s="7" t="inlineStr">
        <is>
          <t>yes</t>
        </is>
      </c>
      <c r="F68" s="7" t="inlineStr">
        <is>
          <t>yes</t>
        </is>
      </c>
      <c r="G68" s="4" t="inlineStr">
        <is>
          <t>passes manual test</t>
        </is>
      </c>
      <c r="H68" s="11" t="inlineStr">
        <is>
          <t>covered</t>
        </is>
      </c>
      <c r="I68" s="5" t="inlineStr">
        <is>
          <t>Dialog playground scenario; manually verified.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Content</t>
        </is>
      </c>
      <c r="D69" s="5" t="inlineStr">
        <is>
          <t>native div props passthrough</t>
        </is>
      </c>
      <c r="E69" s="7" t="inlineStr">
        <is>
          <t>yes</t>
        </is>
      </c>
      <c r="F69" s="7" t="inlineStr">
        <is>
          <t>yes</t>
        </is>
      </c>
      <c r="G69" s="4" t="inlineStr">
        <is>
          <t>passes manual test</t>
        </is>
      </c>
      <c r="H69" s="11" t="inlineStr">
        <is>
          <t>covered</t>
        </is>
      </c>
      <c r="I69" s="5" t="inlineStr">
        <is>
          <t>Verify the part forwards a non-Atom-owned data-prop-check marker in the live raw Data group or Inspector.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Styling hooks</t>
        </is>
      </c>
      <c r="C70" s="5" t="inlineStr">
        <is>
          <t>Content</t>
        </is>
      </c>
      <c r="D70" s="5" t="inlineStr">
        <is>
          <t>className passthrough</t>
        </is>
      </c>
      <c r="E70" s="7" t="inlineStr">
        <is>
          <t>yes</t>
        </is>
      </c>
      <c r="F70" s="7" t="inlineStr">
        <is>
          <t>yes</t>
        </is>
      </c>
      <c r="G70" s="4" t="inlineStr">
        <is>
          <t>passes manual test</t>
        </is>
      </c>
      <c r="H70" s="11" t="inlineStr">
        <is>
          <t>covered</t>
        </is>
      </c>
      <c r="I70" s="5" t="inlineStr">
        <is>
          <t>Dialog playground scenario; manually verified.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Styling hooks</t>
        </is>
      </c>
      <c r="C71" s="5" t="inlineStr">
        <is>
          <t>Content</t>
        </is>
      </c>
      <c r="D71" s="5" t="inlineStr">
        <is>
          <t>data-slot override</t>
        </is>
      </c>
      <c r="E71" s="7" t="inlineStr">
        <is>
          <t>yes</t>
        </is>
      </c>
      <c r="F71" s="7" t="inlineStr">
        <is>
          <t>yes</t>
        </is>
      </c>
      <c r="G71" s="4" t="inlineStr">
        <is>
          <t>passes manual test</t>
        </is>
      </c>
      <c r="H71" s="11" t="inlineStr">
        <is>
          <t>covered</t>
        </is>
      </c>
      <c r="I71" s="5" t="inlineStr">
        <is>
          <t>Dialog playground scenario; manually verified.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Title</t>
        </is>
      </c>
      <c r="D72" s="5" t="inlineStr">
        <is>
          <t>renders title</t>
        </is>
      </c>
      <c r="E72" s="7" t="inlineStr">
        <is>
          <t>yes</t>
        </is>
      </c>
      <c r="F72" s="7" t="inlineStr">
        <is>
          <t>yes</t>
        </is>
      </c>
      <c r="G72" s="4" t="inlineStr">
        <is>
          <t>passes manual test</t>
        </is>
      </c>
      <c r="H72" s="11" t="inlineStr">
        <is>
          <t>covered</t>
        </is>
      </c>
      <c r="I72" s="5" t="inlineStr">
        <is>
          <t>Dialog playground scenario; manually verified.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Title</t>
        </is>
      </c>
      <c r="D73" s="5" t="inlineStr">
        <is>
          <t>id matches aria-labelledby</t>
        </is>
      </c>
      <c r="E73" s="7" t="inlineStr">
        <is>
          <t>yes</t>
        </is>
      </c>
      <c r="F73" s="7" t="inlineStr">
        <is>
          <t>yes</t>
        </is>
      </c>
      <c r="G73" s="4" t="inlineStr">
        <is>
          <t>passes manual test</t>
        </is>
      </c>
      <c r="H73" s="11" t="inlineStr">
        <is>
          <t>covered</t>
        </is>
      </c>
      <c r="I73" s="5" t="inlineStr">
        <is>
          <t>Dialog playground scenario; manually verified.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Title</t>
        </is>
      </c>
      <c r="D74" s="5" t="inlineStr">
        <is>
          <t>heading level default</t>
        </is>
      </c>
      <c r="E74" s="7" t="inlineStr">
        <is>
          <t>yes</t>
        </is>
      </c>
      <c r="F74" s="7" t="inlineStr">
        <is>
          <t>yes</t>
        </is>
      </c>
      <c r="G74" s="4" t="inlineStr">
        <is>
          <t>passes manual test</t>
        </is>
      </c>
      <c r="H74" s="11" t="inlineStr">
        <is>
          <t>covered</t>
        </is>
      </c>
      <c r="I74" s="5" t="inlineStr">
        <is>
          <t>Dialog playground scenario; manually verified.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45" customHeight="1" s="60">
      <c r="A75" s="4" t="n">
        <v>67</v>
      </c>
      <c r="B75" s="5" t="inlineStr">
        <is>
          <t>Public API</t>
        </is>
      </c>
      <c r="C75" s="5" t="inlineStr">
        <is>
          <t>Title</t>
        </is>
      </c>
      <c r="D75" s="5" t="inlineStr">
        <is>
          <t>heading level as prop</t>
        </is>
      </c>
      <c r="E75" s="7" t="inlineStr">
        <is>
          <t>yes</t>
        </is>
      </c>
      <c r="F75" s="7" t="inlineStr">
        <is>
          <t>yes</t>
        </is>
      </c>
      <c r="G75" s="4" t="inlineStr">
        <is>
          <t>passes manual test</t>
        </is>
      </c>
      <c r="H75" s="11" t="inlineStr">
        <is>
          <t>covered</t>
        </is>
      </c>
      <c r="I75" s="5" t="inlineStr">
        <is>
          <t>Dialog playground scenario; manually verified.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Title</t>
        </is>
      </c>
      <c r="D76" s="5" t="inlineStr">
        <is>
          <t>ref receives heading</t>
        </is>
      </c>
      <c r="E76" s="7" t="inlineStr">
        <is>
          <t>yes</t>
        </is>
      </c>
      <c r="F76" s="7" t="inlineStr">
        <is>
          <t>yes</t>
        </is>
      </c>
      <c r="G76" s="4" t="inlineStr">
        <is>
          <t>passes manual test</t>
        </is>
      </c>
      <c r="H76" s="11" t="inlineStr">
        <is>
          <t>covered</t>
        </is>
      </c>
      <c r="I76" s="5" t="inlineStr">
        <is>
          <t>Dialog playground scenario; manually verified.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Props</t>
        </is>
      </c>
      <c r="C77" s="5" t="inlineStr">
        <is>
          <t>Title</t>
        </is>
      </c>
      <c r="D77" s="5" t="inlineStr">
        <is>
          <t>heading props passthrough</t>
        </is>
      </c>
      <c r="E77" s="7" t="inlineStr">
        <is>
          <t>yes</t>
        </is>
      </c>
      <c r="F77" s="7" t="inlineStr">
        <is>
          <t>yes</t>
        </is>
      </c>
      <c r="G77" s="4" t="inlineStr">
        <is>
          <t>passes manual test</t>
        </is>
      </c>
      <c r="H77" s="11" t="inlineStr">
        <is>
          <t>covered</t>
        </is>
      </c>
      <c r="I77" s="5" t="inlineStr">
        <is>
          <t>Verify the part forwards a non-Atom-owned data-prop-check marker in the live raw Data group or Inspector.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Styling hooks</t>
        </is>
      </c>
      <c r="C78" s="5" t="inlineStr">
        <is>
          <t>Title</t>
        </is>
      </c>
      <c r="D78" s="5" t="inlineStr">
        <is>
          <t>className passthrough</t>
        </is>
      </c>
      <c r="E78" s="7" t="inlineStr">
        <is>
          <t>yes</t>
        </is>
      </c>
      <c r="F78" s="7" t="inlineStr">
        <is>
          <t>yes</t>
        </is>
      </c>
      <c r="G78" s="4" t="inlineStr">
        <is>
          <t>passes manual test</t>
        </is>
      </c>
      <c r="H78" s="11" t="inlineStr">
        <is>
          <t>covered</t>
        </is>
      </c>
      <c r="I78" s="5" t="inlineStr">
        <is>
          <t>Dialog playground scenario; manually verified.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Styling hooks</t>
        </is>
      </c>
      <c r="C79" s="5" t="inlineStr">
        <is>
          <t>Title</t>
        </is>
      </c>
      <c r="D79" s="5" t="inlineStr">
        <is>
          <t>data-slot override</t>
        </is>
      </c>
      <c r="E79" s="7" t="inlineStr">
        <is>
          <t>yes</t>
        </is>
      </c>
      <c r="F79" s="7" t="inlineStr">
        <is>
          <t>yes</t>
        </is>
      </c>
      <c r="G79" s="4" t="inlineStr">
        <is>
          <t>passes manual test</t>
        </is>
      </c>
      <c r="H79" s="11" t="inlineStr">
        <is>
          <t>covered</t>
        </is>
      </c>
      <c r="I79" s="5" t="inlineStr">
        <is>
          <t>Dialog playground scenario; manually verified.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Description</t>
        </is>
      </c>
      <c r="D80" s="5" t="inlineStr">
        <is>
          <t>renders description</t>
        </is>
      </c>
      <c r="E80" s="7" t="inlineStr">
        <is>
          <t>yes</t>
        </is>
      </c>
      <c r="F80" s="7" t="inlineStr">
        <is>
          <t>yes</t>
        </is>
      </c>
      <c r="G80" s="4" t="inlineStr">
        <is>
          <t>passes manual test</t>
        </is>
      </c>
      <c r="H80" s="11" t="inlineStr">
        <is>
          <t>covered</t>
        </is>
      </c>
      <c r="I80" s="5" t="inlineStr">
        <is>
          <t>Dialog playground scenario; manually verified.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45" customHeight="1" s="60">
      <c r="A81" s="4" t="n">
        <v>73</v>
      </c>
      <c r="B81" s="5" t="inlineStr">
        <is>
          <t>Public API</t>
        </is>
      </c>
      <c r="C81" s="5" t="inlineStr">
        <is>
          <t>Description</t>
        </is>
      </c>
      <c r="D81" s="5" t="inlineStr">
        <is>
          <t>id matches aria-describedby</t>
        </is>
      </c>
      <c r="E81" s="7" t="inlineStr">
        <is>
          <t>yes</t>
        </is>
      </c>
      <c r="F81" s="7" t="inlineStr">
        <is>
          <t>yes</t>
        </is>
      </c>
      <c r="G81" s="4" t="inlineStr">
        <is>
          <t>passes manual test</t>
        </is>
      </c>
      <c r="H81" s="11" t="inlineStr">
        <is>
          <t>covered</t>
        </is>
      </c>
      <c r="I81" s="5" t="inlineStr">
        <is>
          <t>Dialog playground scenario; manually verified.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Refs</t>
        </is>
      </c>
      <c r="C82" s="5" t="inlineStr">
        <is>
          <t>Description</t>
        </is>
      </c>
      <c r="D82" s="5" t="inlineStr">
        <is>
          <t>ref receives paragraph</t>
        </is>
      </c>
      <c r="E82" s="7" t="inlineStr">
        <is>
          <t>yes</t>
        </is>
      </c>
      <c r="F82" s="7" t="inlineStr">
        <is>
          <t>yes</t>
        </is>
      </c>
      <c r="G82" s="4" t="inlineStr">
        <is>
          <t>passes manual test</t>
        </is>
      </c>
      <c r="H82" s="11" t="inlineStr">
        <is>
          <t>covered</t>
        </is>
      </c>
      <c r="I82" s="5" t="inlineStr">
        <is>
          <t>Dialog playground scenario; manually verified.</t>
        </is>
      </c>
      <c r="J82" s="5" t="inlineStr">
        <is>
          <t>423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Description</t>
        </is>
      </c>
      <c r="D83" s="5" t="inlineStr">
        <is>
          <t>paragraph props passthrough</t>
        </is>
      </c>
      <c r="E83" s="7" t="inlineStr">
        <is>
          <t>yes</t>
        </is>
      </c>
      <c r="F83" s="7" t="inlineStr">
        <is>
          <t>yes</t>
        </is>
      </c>
      <c r="G83" s="4" t="inlineStr">
        <is>
          <t>passes manual test</t>
        </is>
      </c>
      <c r="H83" s="11" t="inlineStr">
        <is>
          <t>covered</t>
        </is>
      </c>
      <c r="I83" s="5" t="inlineStr">
        <is>
          <t>Verify the part forwards a non-Atom-owned data-prop-check marker in the live raw Data group or Inspector.</t>
        </is>
      </c>
      <c r="J83" s="5" t="inlineStr">
        <is>
          <t>423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Styling hooks</t>
        </is>
      </c>
      <c r="C84" s="5" t="inlineStr">
        <is>
          <t>Description</t>
        </is>
      </c>
      <c r="D84" s="5" t="inlineStr">
        <is>
          <t>className passthrough</t>
        </is>
      </c>
      <c r="E84" s="7" t="inlineStr">
        <is>
          <t>yes</t>
        </is>
      </c>
      <c r="F84" s="7" t="inlineStr">
        <is>
          <t>yes</t>
        </is>
      </c>
      <c r="G84" s="4" t="inlineStr">
        <is>
          <t>passes manual test</t>
        </is>
      </c>
      <c r="H84" s="11" t="inlineStr">
        <is>
          <t>covered</t>
        </is>
      </c>
      <c r="I84" s="5" t="inlineStr">
        <is>
          <t>Dialog playground scenario; manually verified.</t>
        </is>
      </c>
      <c r="J84" s="5" t="inlineStr">
        <is>
          <t>423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Styling hooks</t>
        </is>
      </c>
      <c r="C85" s="5" t="inlineStr">
        <is>
          <t>Description</t>
        </is>
      </c>
      <c r="D85" s="5" t="inlineStr">
        <is>
          <t>data-slot override</t>
        </is>
      </c>
      <c r="E85" s="7" t="inlineStr">
        <is>
          <t>yes</t>
        </is>
      </c>
      <c r="F85" s="7" t="inlineStr">
        <is>
          <t>yes</t>
        </is>
      </c>
      <c r="G85" s="4" t="inlineStr">
        <is>
          <t>passes manual test</t>
        </is>
      </c>
      <c r="H85" s="11" t="inlineStr">
        <is>
          <t>covered</t>
        </is>
      </c>
      <c r="I85" s="5" t="inlineStr">
        <is>
          <t>Dialog playground scenario; manually verified.</t>
        </is>
      </c>
      <c r="J85" s="5" t="inlineStr">
        <is>
          <t>423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Close</t>
        </is>
      </c>
      <c r="D86" s="5" t="inlineStr">
        <is>
          <t>Cancel close button closes</t>
        </is>
      </c>
      <c r="E86" s="7" t="inlineStr">
        <is>
          <t>yes</t>
        </is>
      </c>
      <c r="F86" s="7" t="inlineStr">
        <is>
          <t>yes</t>
        </is>
      </c>
      <c r="G86" s="4" t="inlineStr">
        <is>
          <t>passes manual test</t>
        </is>
      </c>
      <c r="H86" s="11" t="inlineStr">
        <is>
          <t>covered</t>
        </is>
      </c>
      <c r="I86" s="5" t="inlineStr">
        <is>
          <t>Dialog playground scenario; manually verified.</t>
        </is>
      </c>
      <c r="J86" s="5" t="inlineStr">
        <is>
          <t>423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Close</t>
        </is>
      </c>
      <c r="D87" s="5" t="inlineStr">
        <is>
          <t>Save close button closes</t>
        </is>
      </c>
      <c r="E87" s="7" t="inlineStr">
        <is>
          <t>yes</t>
        </is>
      </c>
      <c r="F87" s="7" t="inlineStr">
        <is>
          <t>yes</t>
        </is>
      </c>
      <c r="G87" s="4" t="inlineStr">
        <is>
          <t>passes manual test</t>
        </is>
      </c>
      <c r="H87" s="11" t="inlineStr">
        <is>
          <t>covered</t>
        </is>
      </c>
      <c r="I87" s="5" t="inlineStr">
        <is>
          <t>Dialog playground scenario; manually verified.</t>
        </is>
      </c>
      <c r="J87" s="5" t="inlineStr">
        <is>
          <t>423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Close</t>
        </is>
      </c>
      <c r="D88" s="5" t="inlineStr">
        <is>
          <t>closeClick reason</t>
        </is>
      </c>
      <c r="E88" s="7" t="inlineStr">
        <is>
          <t>yes</t>
        </is>
      </c>
      <c r="F88" s="7" t="inlineStr">
        <is>
          <t>yes</t>
        </is>
      </c>
      <c r="G88" s="4" t="inlineStr">
        <is>
          <t>passes manual test</t>
        </is>
      </c>
      <c r="H88" s="11" t="inlineStr">
        <is>
          <t>covered</t>
        </is>
      </c>
      <c r="I88" s="5" t="inlineStr">
        <is>
          <t>Dialog playground scenario; manually verified.</t>
        </is>
      </c>
      <c r="J88" s="5" t="inlineStr">
        <is>
          <t>423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Close</t>
        </is>
      </c>
      <c r="D89" s="5" t="inlineStr">
        <is>
          <t>asChild</t>
        </is>
      </c>
      <c r="E89" s="7" t="inlineStr">
        <is>
          <t>yes</t>
        </is>
      </c>
      <c r="F89" s="7" t="inlineStr">
        <is>
          <t>yes</t>
        </is>
      </c>
      <c r="G89" s="4" t="inlineStr">
        <is>
          <t>passes manual test</t>
        </is>
      </c>
      <c r="H89" s="11" t="inlineStr">
        <is>
          <t>covered</t>
        </is>
      </c>
      <c r="I89" s="5" t="inlineStr">
        <is>
          <t>Dialog playground scenario; manually verified.</t>
        </is>
      </c>
      <c r="J89" s="5" t="inlineStr">
        <is>
          <t>423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Close</t>
        </is>
      </c>
      <c r="D90" s="5" t="inlineStr">
        <is>
          <t>render prop</t>
        </is>
      </c>
      <c r="E90" s="7" t="inlineStr">
        <is>
          <t>yes</t>
        </is>
      </c>
      <c r="F90" s="7" t="inlineStr">
        <is>
          <t>yes</t>
        </is>
      </c>
      <c r="G90" s="4" t="inlineStr">
        <is>
          <t>passes manual test</t>
        </is>
      </c>
      <c r="H90" s="11" t="inlineStr">
        <is>
          <t>covered</t>
        </is>
      </c>
      <c r="I90" s="5" t="inlineStr">
        <is>
          <t>Dialog playground scenario; manually verified.</t>
        </is>
      </c>
      <c r="J90" s="5" t="inlineStr">
        <is>
          <t>423</t>
        </is>
      </c>
      <c r="K90" s="6">
        <f>IF(AND(E90="yes",F90="yes",H90="covered"),1,IF(H90="partial",0.5,0))</f>
        <v/>
      </c>
    </row>
    <row r="91" ht="45" customHeight="1" s="60">
      <c r="A91" s="4" t="n">
        <v>83</v>
      </c>
      <c r="B91" s="5" t="inlineStr">
        <is>
          <t>Composition</t>
        </is>
      </c>
      <c r="C91" s="5" t="inlineStr">
        <is>
          <t>Close</t>
        </is>
      </c>
      <c r="D91" s="5" t="inlineStr">
        <is>
          <t>merged onClick</t>
        </is>
      </c>
      <c r="E91" s="7" t="inlineStr">
        <is>
          <t>yes</t>
        </is>
      </c>
      <c r="F91" s="7" t="inlineStr">
        <is>
          <t>yes</t>
        </is>
      </c>
      <c r="G91" s="4" t="inlineStr">
        <is>
          <t>passes manual test</t>
        </is>
      </c>
      <c r="H91" s="11" t="inlineStr">
        <is>
          <t>covered</t>
        </is>
      </c>
      <c r="I91" s="5" t="inlineStr">
        <is>
          <t>Dialog playground scenario; manually verified.</t>
        </is>
      </c>
      <c r="J91" s="5" t="inlineStr">
        <is>
          <t>423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Refs</t>
        </is>
      </c>
      <c r="C92" s="5" t="inlineStr">
        <is>
          <t>Close</t>
        </is>
      </c>
      <c r="D92" s="5" t="inlineStr">
        <is>
          <t>ref receives element</t>
        </is>
      </c>
      <c r="E92" s="7" t="inlineStr">
        <is>
          <t>yes</t>
        </is>
      </c>
      <c r="F92" s="7" t="inlineStr">
        <is>
          <t>yes</t>
        </is>
      </c>
      <c r="G92" s="4" t="inlineStr">
        <is>
          <t>passes manual test</t>
        </is>
      </c>
      <c r="H92" s="11" t="inlineStr">
        <is>
          <t>covered</t>
        </is>
      </c>
      <c r="I92" s="5" t="inlineStr">
        <is>
          <t>Dialog playground scenario; manually verified.</t>
        </is>
      </c>
      <c r="J92" s="5" t="inlineStr">
        <is>
          <t>423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Props</t>
        </is>
      </c>
      <c r="C93" s="5" t="inlineStr">
        <is>
          <t>Close</t>
        </is>
      </c>
      <c r="D93" s="5" t="inlineStr">
        <is>
          <t>native button props passthrough</t>
        </is>
      </c>
      <c r="E93" s="7" t="inlineStr">
        <is>
          <t>yes</t>
        </is>
      </c>
      <c r="F93" s="7" t="inlineStr">
        <is>
          <t>yes</t>
        </is>
      </c>
      <c r="G93" s="4" t="inlineStr">
        <is>
          <t>passes manual test</t>
        </is>
      </c>
      <c r="H93" s="11" t="inlineStr">
        <is>
          <t>covered</t>
        </is>
      </c>
      <c r="I93" s="5" t="inlineStr">
        <is>
          <t>Verify the part forwards a non-Atom-owned data-prop-check marker in the live raw Data group or Inspector.</t>
        </is>
      </c>
      <c r="J93" s="5" t="inlineStr">
        <is>
          <t>423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Styling hooks</t>
        </is>
      </c>
      <c r="C94" s="5" t="inlineStr">
        <is>
          <t>Close</t>
        </is>
      </c>
      <c r="D94" s="5" t="inlineStr">
        <is>
          <t>className passthrough</t>
        </is>
      </c>
      <c r="E94" s="7" t="inlineStr">
        <is>
          <t>yes</t>
        </is>
      </c>
      <c r="F94" s="7" t="inlineStr">
        <is>
          <t>yes</t>
        </is>
      </c>
      <c r="G94" s="4" t="inlineStr">
        <is>
          <t>passes manual test</t>
        </is>
      </c>
      <c r="H94" s="11" t="inlineStr">
        <is>
          <t>covered</t>
        </is>
      </c>
      <c r="I94" s="5" t="inlineStr">
        <is>
          <t>Dialog playground scenario; manually verified.</t>
        </is>
      </c>
      <c r="J94" s="5" t="inlineStr">
        <is>
          <t>423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Styling hooks</t>
        </is>
      </c>
      <c r="C95" s="5" t="inlineStr">
        <is>
          <t>Close</t>
        </is>
      </c>
      <c r="D95" s="5" t="inlineStr">
        <is>
          <t>data-slot override</t>
        </is>
      </c>
      <c r="E95" s="7" t="inlineStr">
        <is>
          <t>yes</t>
        </is>
      </c>
      <c r="F95" s="7" t="inlineStr">
        <is>
          <t>yes</t>
        </is>
      </c>
      <c r="G95" s="4" t="inlineStr">
        <is>
          <t>passes manual test</t>
        </is>
      </c>
      <c r="H95" s="11" t="inlineStr">
        <is>
          <t>covered</t>
        </is>
      </c>
      <c r="I95" s="5" t="inlineStr">
        <is>
          <t>Dialog playground scenario; manually verified.</t>
        </is>
      </c>
      <c r="J95" s="5" t="inlineStr">
        <is>
          <t>423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Interaction</t>
        </is>
      </c>
      <c r="C96" s="5" t="inlineStr">
        <is>
          <t>Keyboard</t>
        </is>
      </c>
      <c r="D96" s="5" t="inlineStr">
        <is>
          <t>Escape closes when enabled</t>
        </is>
      </c>
      <c r="E96" s="7" t="inlineStr">
        <is>
          <t>yes</t>
        </is>
      </c>
      <c r="F96" s="7" t="inlineStr">
        <is>
          <t>yes</t>
        </is>
      </c>
      <c r="G96" s="4" t="inlineStr">
        <is>
          <t>passes manual test</t>
        </is>
      </c>
      <c r="H96" s="11" t="inlineStr">
        <is>
          <t>covered</t>
        </is>
      </c>
      <c r="I96" s="5" t="inlineStr">
        <is>
          <t>Dialog playground scenario; manually verified.</t>
        </is>
      </c>
      <c r="J96" s="5" t="inlineStr">
        <is>
          <t>423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Keyboard</t>
        </is>
      </c>
      <c r="D97" s="5" t="inlineStr">
        <is>
          <t>Escape does not close when disabled</t>
        </is>
      </c>
      <c r="E97" s="7" t="inlineStr">
        <is>
          <t>yes</t>
        </is>
      </c>
      <c r="F97" s="7" t="inlineStr">
        <is>
          <t>yes</t>
        </is>
      </c>
      <c r="G97" s="4" t="inlineStr">
        <is>
          <t>passes manual test</t>
        </is>
      </c>
      <c r="H97" s="11" t="inlineStr">
        <is>
          <t>covered</t>
        </is>
      </c>
      <c r="I97" s="5" t="inlineStr">
        <is>
          <t>Dialog playground scenario; manually verified.</t>
        </is>
      </c>
      <c r="J97" s="5" t="inlineStr">
        <is>
          <t>423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Interaction</t>
        </is>
      </c>
      <c r="C98" s="5" t="inlineStr">
        <is>
          <t>Keyboard</t>
        </is>
      </c>
      <c r="D98" s="5" t="inlineStr">
        <is>
          <t>fullscreen browser Escape limitation documented</t>
        </is>
      </c>
      <c r="E98" s="7" t="inlineStr">
        <is>
          <t>yes</t>
        </is>
      </c>
      <c r="F98" s="7" t="inlineStr">
        <is>
          <t>yes</t>
        </is>
      </c>
      <c r="G98" s="4" t="inlineStr">
        <is>
          <t>passes manual test</t>
        </is>
      </c>
      <c r="H98" s="11" t="inlineStr">
        <is>
          <t>covered</t>
        </is>
      </c>
      <c r="I98" s="5" t="inlineStr">
        <is>
          <t>Dialog playground scenario; manually verified.</t>
        </is>
      </c>
      <c r="J98" s="5" t="inlineStr">
        <is>
          <t>423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Interaction</t>
        </is>
      </c>
      <c r="C99" s="5" t="inlineStr">
        <is>
          <t>Cycle</t>
        </is>
      </c>
      <c r="D99" s="5" t="inlineStr">
        <is>
          <t>multiple open/close cycles</t>
        </is>
      </c>
      <c r="E99" s="7" t="inlineStr">
        <is>
          <t>yes</t>
        </is>
      </c>
      <c r="F99" s="7" t="inlineStr">
        <is>
          <t>yes</t>
        </is>
      </c>
      <c r="G99" s="4" t="inlineStr">
        <is>
          <t>passes manual test</t>
        </is>
      </c>
      <c r="H99" s="11" t="inlineStr">
        <is>
          <t>covered</t>
        </is>
      </c>
      <c r="I99" s="5" t="inlineStr">
        <is>
          <t>Dialog playground scenario; manually verified.</t>
        </is>
      </c>
      <c r="J99" s="5" t="inlineStr">
        <is>
          <t>423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Interaction</t>
        </is>
      </c>
      <c r="C100" s="5" t="inlineStr">
        <is>
          <t>Mobile</t>
        </is>
      </c>
      <c r="D100" s="5" t="inlineStr">
        <is>
          <t>tap trigger</t>
        </is>
      </c>
      <c r="E100" s="7" t="inlineStr">
        <is>
          <t>yes</t>
        </is>
      </c>
      <c r="F100" s="7" t="inlineStr">
        <is>
          <t>yes</t>
        </is>
      </c>
      <c r="G100" s="4" t="inlineStr">
        <is>
          <t>passes manual test</t>
        </is>
      </c>
      <c r="H100" s="11" t="inlineStr">
        <is>
          <t>covered</t>
        </is>
      </c>
      <c r="I100" s="5" t="inlineStr">
        <is>
          <t>Dialog playground scenario; manually verified.</t>
        </is>
      </c>
      <c r="J100" s="5" t="inlineStr">
        <is>
          <t>423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Interaction</t>
        </is>
      </c>
      <c r="C101" s="5" t="inlineStr">
        <is>
          <t>Mobile</t>
        </is>
      </c>
      <c r="D101" s="5" t="inlineStr">
        <is>
          <t>tap backdrop</t>
        </is>
      </c>
      <c r="E101" s="7" t="inlineStr">
        <is>
          <t>yes</t>
        </is>
      </c>
      <c r="F101" s="7" t="inlineStr">
        <is>
          <t>yes</t>
        </is>
      </c>
      <c r="G101" s="4" t="inlineStr">
        <is>
          <t>passes manual test</t>
        </is>
      </c>
      <c r="H101" s="11" t="inlineStr">
        <is>
          <t>covered</t>
        </is>
      </c>
      <c r="I101" s="5" t="inlineStr">
        <is>
          <t>Dialog playground scenario; manually verified.</t>
        </is>
      </c>
      <c r="J101" s="5" t="inlineStr">
        <is>
          <t>423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Interaction</t>
        </is>
      </c>
      <c r="C102" s="5" t="inlineStr">
        <is>
          <t>Mobile</t>
        </is>
      </c>
      <c r="D102" s="5" t="inlineStr">
        <is>
          <t>viewport fit</t>
        </is>
      </c>
      <c r="E102" s="7" t="inlineStr">
        <is>
          <t>yes</t>
        </is>
      </c>
      <c r="F102" s="7" t="inlineStr">
        <is>
          <t>yes</t>
        </is>
      </c>
      <c r="G102" s="4" t="inlineStr">
        <is>
          <t>passes manual test</t>
        </is>
      </c>
      <c r="H102" s="11" t="inlineStr">
        <is>
          <t>covered</t>
        </is>
      </c>
      <c r="I102" s="5" t="inlineStr">
        <is>
          <t>Dialog playground scenario; manually verified.</t>
        </is>
      </c>
      <c r="J102" s="5" t="inlineStr">
        <is>
          <t>423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Interaction</t>
        </is>
      </c>
      <c r="C103" s="5" t="inlineStr">
        <is>
          <t>Mobile</t>
        </is>
      </c>
      <c r="D103" s="5" t="inlineStr">
        <is>
          <t>mobile focus expectations</t>
        </is>
      </c>
      <c r="E103" s="7" t="inlineStr">
        <is>
          <t>yes</t>
        </is>
      </c>
      <c r="F103" s="7" t="inlineStr">
        <is>
          <t>yes</t>
        </is>
      </c>
      <c r="G103" s="4" t="inlineStr">
        <is>
          <t>passes manual test</t>
        </is>
      </c>
      <c r="H103" s="11" t="inlineStr">
        <is>
          <t>covered</t>
        </is>
      </c>
      <c r="I103" s="5" t="inlineStr">
        <is>
          <t>Dialog playground scenario; manually verified.</t>
        </is>
      </c>
      <c r="J103" s="5" t="inlineStr">
        <is>
          <t>423</t>
        </is>
      </c>
      <c r="K103" s="6">
        <f>IF(AND(E103="yes",F103="yes",H103="covered"),1,IF(H103="partial",0.5,0))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3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Direction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IFERROR(SUM(K9:K34)/COUNTA(A9:A34),0)</f>
        <v/>
      </c>
      <c r="C4" s="1" t="inlineStr">
        <is>
          <t>Covered</t>
        </is>
      </c>
      <c r="D4" s="2">
        <f>COUNTIF(H9:H34,"covered")</f>
        <v/>
      </c>
      <c r="E4" s="1" t="inlineStr">
        <is>
          <t>Partial</t>
        </is>
      </c>
      <c r="F4" s="2">
        <f>COUNTIF(H9:H34,"partial")</f>
        <v/>
      </c>
      <c r="G4" s="1" t="inlineStr">
        <is>
          <t>Missing</t>
        </is>
      </c>
      <c r="H4" s="2">
        <f>COUNTIF(H9:H34,"missing")</f>
        <v/>
      </c>
      <c r="I4" s="1" t="inlineStr">
        <is>
          <t>Untested</t>
        </is>
      </c>
      <c r="J4" s="2">
        <f>COUNTIF(F9:F34,"no")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No slot-owning Atom DOM part for this utility; no custom slot override applies.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Direction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Direction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Direction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Direction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Direction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Direction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Direction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Direction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Direction</t>
        </is>
      </c>
      <c r="D15" s="20" t="inlineStr">
        <is>
          <t>Provides `ltr` or `rtl` direction to Atom primitives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Direction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Direction</t>
        </is>
      </c>
      <c r="D16" s="20" t="inlineStr">
        <is>
          <t>Supports nested providers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Direction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Direction</t>
        </is>
      </c>
      <c r="D17" s="20" t="inlineStr">
        <is>
          <t>Exports `useDirection` for custom headless compositions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Direction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Direction</t>
        </is>
      </c>
      <c r="D18" s="20" t="inlineStr">
        <is>
          <t>Does not render a DOM wrapper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Direction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Direction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Direction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Direction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Direction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Direction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Anatomy</t>
        </is>
      </c>
      <c r="C24" s="20" t="inlineStr">
        <is>
          <t>Provider</t>
        </is>
      </c>
      <c r="D24" s="20" t="inlineStr">
        <is>
          <t>renders correct part when expected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Direction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Anatomy</t>
        </is>
      </c>
      <c r="C25" s="20" t="inlineStr">
        <is>
          <t>Provider</t>
        </is>
      </c>
      <c r="D25" s="20" t="inlineStr">
        <is>
          <t>appears in documented order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Direction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30" customHeight="1" s="60">
      <c r="A26" s="19" t="n">
        <v>18</v>
      </c>
      <c r="B26" s="20" t="inlineStr">
        <is>
          <t>Identity</t>
        </is>
      </c>
      <c r="C26" s="20" t="inlineStr">
        <is>
          <t>Provider</t>
        </is>
      </c>
      <c r="D26" s="20" t="inlineStr">
        <is>
          <t>default tag is visible in Anatomy/Inspector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Direction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Identity</t>
        </is>
      </c>
      <c r="C27" s="20" t="inlineStr">
        <is>
          <t>Provider</t>
        </is>
      </c>
      <c r="D27" s="20" t="inlineStr">
        <is>
          <t>data-slot is present and correct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Direction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Props</t>
        </is>
      </c>
      <c r="C28" s="20" t="inlineStr">
        <is>
          <t>Provider</t>
        </is>
      </c>
      <c r="D28" s="20" t="inlineStr">
        <is>
          <t>non-Atom native props pass through with data-prop-check marker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Direction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Provider</t>
        </is>
      </c>
      <c r="D29" s="20" t="inlineStr">
        <is>
          <t>dir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Direction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State</t>
        </is>
      </c>
      <c r="C30" s="20" t="inlineStr">
        <is>
          <t>Root</t>
        </is>
      </c>
      <c r="D30" s="20" t="inlineStr">
        <is>
          <t>controlled state path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Direction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State</t>
        </is>
      </c>
      <c r="C31" s="20" t="inlineStr">
        <is>
          <t>Root</t>
        </is>
      </c>
      <c r="D31" s="20" t="inlineStr">
        <is>
          <t>uncontrolled default state path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Direction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30" customHeight="1" s="60">
      <c r="A32" s="19" t="n">
        <v>24</v>
      </c>
      <c r="B32" s="20" t="inlineStr">
        <is>
          <t>State</t>
        </is>
      </c>
      <c r="C32" s="20" t="inlineStr">
        <is>
          <t>Root</t>
        </is>
      </c>
      <c r="D32" s="20" t="inlineStr">
        <is>
          <t>state change callback fires once with correct value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Direction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Utility</t>
        </is>
      </c>
      <c r="C33" s="20" t="inlineStr">
        <is>
          <t>Direction</t>
        </is>
      </c>
      <c r="D33" s="20" t="inlineStr">
        <is>
          <t>direction provider changes descendant direction context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Direction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30" customHeight="1" s="60">
      <c r="A34" s="19" t="n">
        <v>26</v>
      </c>
      <c r="B34" s="20" t="inlineStr">
        <is>
          <t>Utility</t>
        </is>
      </c>
      <c r="C34" s="20" t="inlineStr">
        <is>
          <t>Direction</t>
        </is>
      </c>
      <c r="D34" s="20" t="inlineStr">
        <is>
          <t>rtl-sensitive keyboard behavior updates in composed widgets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Direction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Divider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Divider props manual verification.</t>
        </is>
      </c>
      <c r="J9" s="20" t="inlineStr">
        <is>
          <t>Manual verification passed.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Divider props manual verification.</t>
        </is>
      </c>
      <c r="J10" s="20" t="inlineStr">
        <is>
          <t>Manual verification passed.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Divider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Divider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Divider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Divider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30" customHeight="1" s="60">
      <c r="A13" s="19" t="n">
        <v>5</v>
      </c>
      <c r="B13" s="20" t="inlineStr">
        <is>
          <t>Playground</t>
        </is>
      </c>
      <c r="C13" s="20" t="inlineStr">
        <is>
          <t>Divider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Divider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Divider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Divider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Divider</t>
        </is>
      </c>
      <c r="D15" s="20" t="inlineStr">
        <is>
          <t>Renders `hr` when it has no children and `div` when it contains content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Divider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Divider</t>
        </is>
      </c>
      <c r="D16" s="20" t="inlineStr">
        <is>
          <t>Defaults to decorative output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Divider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Divider</t>
        </is>
      </c>
      <c r="D17" s="20" t="inlineStr">
        <is>
          <t>Supports horizontal and vertical semantic orientation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Divider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Divider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Divider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Divider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Divider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Divider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Divider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Divider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Divider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Divider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Divider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orientation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Divider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decorative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Divider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[data-slot]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Divider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ARIA</t>
        </is>
      </c>
      <c r="C30" s="20" t="inlineStr">
        <is>
          <t>Live DOM</t>
        </is>
      </c>
      <c r="D30" s="20" t="inlineStr">
        <is>
          <t>aria-orientation is present at the correct time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Divider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Data</t>
        </is>
      </c>
      <c r="C31" s="20" t="inlineStr">
        <is>
          <t>Live DOM</t>
        </is>
      </c>
      <c r="D31" s="20" t="inlineStr">
        <is>
          <t>data-slot is present at the correct time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Divider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Composition</t>
        </is>
      </c>
      <c r="C32" s="20" t="inlineStr">
        <is>
          <t>Divider</t>
        </is>
      </c>
      <c r="D32" s="20" t="inlineStr">
        <is>
          <t>asChild preserves child content without double nesting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Divider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Composition</t>
        </is>
      </c>
      <c r="C33" s="20" t="inlineStr">
        <is>
          <t>Divider</t>
        </is>
      </c>
      <c r="D33" s="20" t="inlineStr">
        <is>
          <t>asChild merges Atom props and consumer props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Divider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Composition</t>
        </is>
      </c>
      <c r="C34" s="20" t="inlineStr">
        <is>
          <t>Divider</t>
        </is>
      </c>
      <c r="D34" s="20" t="inlineStr">
        <is>
          <t>render prop renders custom element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Divider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Composition</t>
        </is>
      </c>
      <c r="C35" s="20" t="inlineStr">
        <is>
          <t>Divider</t>
        </is>
      </c>
      <c r="D35" s="20" t="inlineStr">
        <is>
          <t>render prop preserves refs and behavior props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Divider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10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Drawer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manual-tests/drawer.md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manual-tests/drawer.md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Drawer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manual-tests/drawer.md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Drawer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manual-tests/drawer.md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Drawer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manual-tests/drawer.md</t>
        </is>
      </c>
      <c r="J13" s="5" t="inlineStr"/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Drawer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manual-tests/drawer.md</t>
        </is>
      </c>
      <c r="J14" s="5" t="inlineStr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Drawer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manual-tests/drawer.md</t>
        </is>
      </c>
      <c r="J15" s="5" t="inlineStr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Drawer</t>
        </is>
      </c>
      <c r="D16" s="5" t="inlineStr">
        <is>
          <t>Trigger, portal, overlay, content, title, description, and close parts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manual-tests/drawer.md</t>
        </is>
      </c>
      <c r="J16" s="5" t="inlineStr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Drawer</t>
        </is>
      </c>
      <c r="D17" s="5" t="inlineStr">
        <is>
          <t>Focus trap, focus restore, Escape dismissal, backdrop dismissal, and scroll lock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manual-tests/drawer.md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Drawer</t>
        </is>
      </c>
      <c r="D18" s="5" t="inlineStr">
        <is>
          <t>Stack-aware Escape dismissal so nested overlays close before the parent drawer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manual-tests/drawer.md</t>
        </is>
      </c>
      <c r="J18" s="5" t="inlineStr"/>
      <c r="K18" s="6">
        <f>IF(AND(E18="yes",F18="yes",H18="covered"),1,IF(H18="partial",0.5,0))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Drawer</t>
        </is>
      </c>
      <c r="D19" s="5" t="inlineStr">
        <is>
          <t>`placement` value exposed as `data-placement` for styling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manual-tests/drawer.md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Drawer</t>
        </is>
      </c>
      <c r="D20" s="5" t="inlineStr">
        <is>
          <t>Keep-mounted content support for exit animations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manual-tests/drawer.md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Drawer</t>
        </is>
      </c>
      <c r="D21" s="5" t="inlineStr">
        <is>
          <t>Headless only: placement does not apply visual positioning by itself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manual-tests/drawer.md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correct part when expected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manual-tests/drawer.md</t>
        </is>
      </c>
      <c r="J22" s="5" t="inlineStr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appears in documented order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manual-tests/drawer.md</t>
        </is>
      </c>
      <c r="J23" s="5" t="inlineStr"/>
      <c r="K23" s="6">
        <f>IF(AND(E23="yes",F23="yes",H23="covered"),1,IF(H23="partial",0.5,0))</f>
        <v/>
      </c>
    </row>
    <row r="24" ht="30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open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manual-tests/drawer.md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defaultOpen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manual-tests/drawer.md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onOpenChange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manual-tests/drawer.md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closeOnEscape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manual-tests/drawer.md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closeOnBackdropClick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manual-tests/drawer.md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disabled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manual-tests/drawer.md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keepMounted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manual-tests/drawer.md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Portal</t>
        </is>
      </c>
      <c r="D31" s="5" t="inlineStr">
        <is>
          <t>renders correct part when expected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manual-tests/drawer.md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Portal</t>
        </is>
      </c>
      <c r="D32" s="5" t="inlineStr">
        <is>
          <t>appears in documented order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manual-tests/drawer.md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Positioning</t>
        </is>
      </c>
      <c r="C33" s="5" t="inlineStr">
        <is>
          <t>Portal</t>
        </is>
      </c>
      <c r="D33" s="5" t="inlineStr">
        <is>
          <t>container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manual-tests/drawer.md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Portal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manual-tests/drawer.md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Overlay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manual-tests/drawer.md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Overlay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manual-tests/drawer.md</t>
        </is>
      </c>
      <c r="J36" s="5" t="inlineStr"/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Overlay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manual-tests/drawer.md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Overlay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manual-tests/drawer.md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Overlay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manual-tests/drawer.md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Overlay</t>
        </is>
      </c>
      <c r="D40" s="5" t="inlineStr">
        <is>
          <t>disabled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manual-tests/drawer.md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Overlay</t>
        </is>
      </c>
      <c r="D41" s="5" t="inlineStr">
        <is>
          <t>data-slot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manual-tests/drawer.md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Overlay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manual-tests/drawer.md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Overlay</t>
        </is>
      </c>
      <c r="D43" s="5" t="inlineStr">
        <is>
          <t>[data-state]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manual-tests/drawer.md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Overlay</t>
        </is>
      </c>
      <c r="D44" s="5" t="inlineStr">
        <is>
          <t>[data-positioned]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manual-tests/drawer.md</t>
        </is>
      </c>
      <c r="J44" s="5" t="inlineStr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Anatomy</t>
        </is>
      </c>
      <c r="C45" s="5" t="inlineStr">
        <is>
          <t>Trigger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manual-tests/drawer.md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Trigger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manual-tests/drawer.md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Trigger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manual-tests/drawer.md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Trigger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manual-tests/drawer.md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Props</t>
        </is>
      </c>
      <c r="C49" s="5" t="inlineStr">
        <is>
          <t>Trigger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manual-tests/drawer.md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Trigger</t>
        </is>
      </c>
      <c r="D50" s="5" t="inlineStr">
        <is>
          <t>asChild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manual-tests/drawer.md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Trigger</t>
        </is>
      </c>
      <c r="D51" s="5" t="inlineStr">
        <is>
          <t>render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manual-tests/drawer.md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Trigger</t>
        </is>
      </c>
      <c r="D52" s="5" t="inlineStr">
        <is>
          <t>data-slot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manual-tests/drawer.md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Trigger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manual-tests/drawer.md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Trigger</t>
        </is>
      </c>
      <c r="D54" s="5" t="inlineStr">
        <is>
          <t>[data-state]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manual-tests/drawer.md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Trigger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manual-tests/drawer.md</t>
        </is>
      </c>
      <c r="J55" s="5" t="inlineStr"/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Anatomy</t>
        </is>
      </c>
      <c r="C56" s="5" t="inlineStr">
        <is>
          <t>Content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manual-tests/drawer.md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Content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manual-tests/drawer.md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Content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manual-tests/drawer.md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Content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manual-tests/drawer.md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Content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manual-tests/drawer.md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Content</t>
        </is>
      </c>
      <c r="D61" s="5" t="inlineStr">
        <is>
          <t>placement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manual-tests/drawer.md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Accessibility</t>
        </is>
      </c>
      <c r="C62" s="5" t="inlineStr">
        <is>
          <t>Content</t>
        </is>
      </c>
      <c r="D62" s="5" t="inlineStr">
        <is>
          <t>ariaLabel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manual-tests/drawer.md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Content</t>
        </is>
      </c>
      <c r="D63" s="5" t="inlineStr">
        <is>
          <t>data-slot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manual-tests/drawer.md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Content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manual-tests/drawer.md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Content</t>
        </is>
      </c>
      <c r="D65" s="5" t="inlineStr">
        <is>
          <t>[data-state]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manual-tests/drawer.md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Content</t>
        </is>
      </c>
      <c r="D66" s="5" t="inlineStr">
        <is>
          <t>[data-placement]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manual-tests/drawer.md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Content</t>
        </is>
      </c>
      <c r="D67" s="5" t="inlineStr">
        <is>
          <t>[data-positioned]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manual-tests/drawer.md</t>
        </is>
      </c>
      <c r="J67" s="5" t="inlineStr"/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Anatomy</t>
        </is>
      </c>
      <c r="C68" s="5" t="inlineStr">
        <is>
          <t>Title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manual-tests/drawer.md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Title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manual-tests/drawer.md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Identity</t>
        </is>
      </c>
      <c r="C70" s="5" t="inlineStr">
        <is>
          <t>Title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manual-tests/drawer.md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Title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manual-tests/drawer.md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Props</t>
        </is>
      </c>
      <c r="C72" s="5" t="inlineStr">
        <is>
          <t>Title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manual-tests/drawer.md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Title</t>
        </is>
      </c>
      <c r="D73" s="5" t="inlineStr">
        <is>
          <t>as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manual-tests/drawer.md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Title</t>
        </is>
      </c>
      <c r="D74" s="5" t="inlineStr">
        <is>
          <t>data-slot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manual-tests/drawer.md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Anatomy</t>
        </is>
      </c>
      <c r="C75" s="5" t="inlineStr">
        <is>
          <t>Description</t>
        </is>
      </c>
      <c r="D75" s="5" t="inlineStr">
        <is>
          <t>renders correct part when expected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manual-tests/drawer.md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Description</t>
        </is>
      </c>
      <c r="D76" s="5" t="inlineStr">
        <is>
          <t>appears in documented order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manual-tests/drawer.md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Identity</t>
        </is>
      </c>
      <c r="C77" s="5" t="inlineStr">
        <is>
          <t>Description</t>
        </is>
      </c>
      <c r="D77" s="5" t="inlineStr">
        <is>
          <t>default tag is visible in Anatomy/Inspector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manual-tests/drawer.md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Identity</t>
        </is>
      </c>
      <c r="C78" s="5" t="inlineStr">
        <is>
          <t>Description</t>
        </is>
      </c>
      <c r="D78" s="5" t="inlineStr">
        <is>
          <t>data-slot is present and correct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manual-tests/drawer.md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Props</t>
        </is>
      </c>
      <c r="C79" s="5" t="inlineStr">
        <is>
          <t>Description</t>
        </is>
      </c>
      <c r="D79" s="5" t="inlineStr">
        <is>
          <t>non-Atom native props pass through with data-prop-check marker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manual-tests/drawer.md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Description</t>
        </is>
      </c>
      <c r="D80" s="5" t="inlineStr">
        <is>
          <t>data-slot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manual-tests/drawer.md</t>
        </is>
      </c>
      <c r="J80" s="5" t="inlineStr"/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Anatomy</t>
        </is>
      </c>
      <c r="C81" s="5" t="inlineStr">
        <is>
          <t>Close</t>
        </is>
      </c>
      <c r="D81" s="5" t="inlineStr">
        <is>
          <t>renders correct part when expected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manual-tests/drawer.md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Anatomy</t>
        </is>
      </c>
      <c r="C82" s="5" t="inlineStr">
        <is>
          <t>Close</t>
        </is>
      </c>
      <c r="D82" s="5" t="inlineStr">
        <is>
          <t>appears in documented order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manual-tests/drawer.md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Close</t>
        </is>
      </c>
      <c r="D83" s="5" t="inlineStr">
        <is>
          <t>default tag is visible in Anatomy/Inspector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manual-tests/drawer.md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Close</t>
        </is>
      </c>
      <c r="D84" s="5" t="inlineStr">
        <is>
          <t>data-slot is present and correct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manual-tests/drawer.md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Props</t>
        </is>
      </c>
      <c r="C85" s="5" t="inlineStr">
        <is>
          <t>Close</t>
        </is>
      </c>
      <c r="D85" s="5" t="inlineStr">
        <is>
          <t>non-Atom native props pass through with data-prop-check marker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manual-tests/drawer.md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Close</t>
        </is>
      </c>
      <c r="D86" s="5" t="inlineStr">
        <is>
          <t>asChild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manual-tests/drawer.md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Close</t>
        </is>
      </c>
      <c r="D87" s="5" t="inlineStr">
        <is>
          <t>render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manual-tests/drawer.md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Close</t>
        </is>
      </c>
      <c r="D88" s="5" t="inlineStr">
        <is>
          <t>data-slot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manual-tests/drawer.md</t>
        </is>
      </c>
      <c r="J88" s="5" t="inlineStr"/>
      <c r="K88" s="6">
        <f>IF(AND(E88="yes",F88="yes",H88="covered"),1,IF(H88="partial",0.5,0))</f>
        <v/>
      </c>
    </row>
    <row r="89" ht="30" customHeight="1" s="60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manual-tests/drawer.md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data-placement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manual-tests/drawer.md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data-positioned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manual-tests/drawer.md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data-slot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manual-tests/drawer.md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data-state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manual-tests/drawer.md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Root</t>
        </is>
      </c>
      <c r="D94" s="5" t="inlineStr">
        <is>
          <t>controlled state path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manual-tests/drawer.md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State</t>
        </is>
      </c>
      <c r="C95" s="5" t="inlineStr">
        <is>
          <t>Root</t>
        </is>
      </c>
      <c r="D95" s="5" t="inlineStr">
        <is>
          <t>uncontrolled default state path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manual-tests/drawer.md</t>
        </is>
      </c>
      <c r="J95" s="5" t="inlineStr"/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State</t>
        </is>
      </c>
      <c r="C96" s="5" t="inlineStr">
        <is>
          <t>Root</t>
        </is>
      </c>
      <c r="D96" s="5" t="inlineStr">
        <is>
          <t>state change callback fires once with correct value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manual-tests/drawer.md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Trigger</t>
        </is>
      </c>
      <c r="D97" s="5" t="inlineStr">
        <is>
          <t>mouse click or pointer activation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manual-tests/drawer.md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Interaction</t>
        </is>
      </c>
      <c r="C98" s="5" t="inlineStr">
        <is>
          <t>Trigger</t>
        </is>
      </c>
      <c r="D98" s="5" t="inlineStr">
        <is>
          <t>Enter key activation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manual-tests/drawer.md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Interaction</t>
        </is>
      </c>
      <c r="C99" s="5" t="inlineStr">
        <is>
          <t>Trigger</t>
        </is>
      </c>
      <c r="D99" s="5" t="inlineStr">
        <is>
          <t>Space key activation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manual-tests/drawer.md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Interaction</t>
        </is>
      </c>
      <c r="C100" s="5" t="inlineStr">
        <is>
          <t>Trigger</t>
        </is>
      </c>
      <c r="D100" s="5" t="inlineStr">
        <is>
          <t>disabled trigger blocks pointer and keyboard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manual-tests/drawer.md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Focus</t>
        </is>
      </c>
      <c r="C101" s="5" t="inlineStr">
        <is>
          <t>Trigger</t>
        </is>
      </c>
      <c r="D101" s="5" t="inlineStr">
        <is>
          <t>focus ring and focus restoration are correct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manual-tests/drawer.md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Dismiss</t>
        </is>
      </c>
      <c r="C102" s="5" t="inlineStr">
        <is>
          <t>Drawer</t>
        </is>
      </c>
      <c r="D102" s="5" t="inlineStr">
        <is>
          <t>Escape closes only the topmost active layer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manual-tests/drawer.md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Dismiss</t>
        </is>
      </c>
      <c r="C103" s="5" t="inlineStr">
        <is>
          <t>Drawer</t>
        </is>
      </c>
      <c r="D103" s="5" t="inlineStr">
        <is>
          <t>outside click/interact closes when enabled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manual-tests/drawer.md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Dismiss</t>
        </is>
      </c>
      <c r="C104" s="5" t="inlineStr">
        <is>
          <t>Drawer</t>
        </is>
      </c>
      <c r="D104" s="5" t="inlineStr">
        <is>
          <t>outside click/interact is blocked when disabled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manual-tests/drawer.md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Focus</t>
        </is>
      </c>
      <c r="C105" s="5" t="inlineStr">
        <is>
          <t>Drawer</t>
        </is>
      </c>
      <c r="D105" s="5" t="inlineStr">
        <is>
          <t>focus returns to the correct trigger/anchor after close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manual-tests/drawer.md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Focus</t>
        </is>
      </c>
      <c r="C106" s="5" t="inlineStr">
        <is>
          <t>Drawer</t>
        </is>
      </c>
      <c r="D106" s="5" t="inlineStr">
        <is>
          <t>nested overlays keep focus and Escape order correct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manual-tests/drawer.md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Portal</t>
        </is>
      </c>
      <c r="C107" s="5" t="inlineStr">
        <is>
          <t>Drawer</t>
        </is>
      </c>
      <c r="D107" s="5" t="inlineStr">
        <is>
          <t>portal renders in body by default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manual-tests/drawer.md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Portal</t>
        </is>
      </c>
      <c r="C108" s="5" t="inlineStr">
        <is>
          <t>Drawer</t>
        </is>
      </c>
      <c r="D108" s="5" t="inlineStr">
        <is>
          <t>custom/disabled portal path works where supported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manual-tests/drawer.md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Positioning</t>
        </is>
      </c>
      <c r="C109" s="5" t="inlineStr">
        <is>
          <t>Drawer</t>
        </is>
      </c>
      <c r="D109" s="5" t="inlineStr">
        <is>
          <t>placement options expose data-placement and playground CSS positions content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manual-tests/drawer.md</t>
        </is>
      </c>
      <c r="J109" s="5" t="inlineStr"/>
      <c r="K109" s="6">
        <f>IF(AND(E109="yes",F109="yes",H109="covered"),1,IF(H109="partial",0.5,0))</f>
        <v/>
      </c>
    </row>
    <row r="110" ht="15" customHeight="1" s="60"/>
    <row r="111" ht="15" customHeight="1" s="60"/>
    <row r="112" ht="15" customHeight="1" s="60"/>
    <row r="113" ht="15" customHeight="1" s="60"/>
    <row r="114" ht="15" customHeight="1" s="60"/>
    <row r="115" ht="15" customHeight="1" s="60"/>
    <row r="116" ht="15" customHeight="1" s="60"/>
    <row r="117" ht="15" customHeight="1" s="60"/>
    <row r="118" ht="15" customHeight="1" s="60"/>
    <row r="119" ht="15" customHeight="1" s="60"/>
    <row r="120" ht="15" customHeight="1" s="60"/>
    <row r="121" ht="15" customHeight="1" s="60"/>
    <row r="122" ht="15" customHeight="1" s="60"/>
    <row r="123" ht="15" customHeight="1" s="60"/>
    <row r="124" ht="15" customHeight="1" s="60"/>
    <row r="125" ht="30" customHeight="1" s="60"/>
    <row r="126" ht="15" customHeight="1" s="60"/>
    <row r="127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DropdownMenu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32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DropdownMenu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32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DropdownMenu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32" customHeight="1" s="60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open prop controls menu visibility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DropdownMenu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2" customHeight="1" s="60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defaultOpen initializes uncontrolled open state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DropdownMenu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32" customHeight="1" s="60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onOpenChange fires on open and close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DropdownMenu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2" customHeight="1" s="60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closeOnSelect true closes action items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DropdownMenu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2" customHeight="1" s="60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closeOnSelect false keeps selection menu open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DropdownMenu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32" customHeight="1" s="60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loop true wraps keyboard highlight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DropdownMenu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2" customHeight="1" s="60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loop false stops at first and last item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DropdownMenu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2" customHeight="1" s="60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closeOnEscape true closes menu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DropdownMenu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32" customHeight="1" s="60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closeOnEscape false leaves menu open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DropdownMenu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32" customHeight="1" s="60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nested submenu disables parent Escape close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DropdownMenu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32" customHeight="1" s="60">
      <c r="A21" s="37" t="n">
        <v>13</v>
      </c>
      <c r="B21" s="38" t="inlineStr">
        <is>
          <t>Public API</t>
        </is>
      </c>
      <c r="C21" s="38" t="inlineStr">
        <is>
          <t>Trigger</t>
        </is>
      </c>
      <c r="D21" s="38" t="inlineStr">
        <is>
          <t>renders native button by default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DropdownMenu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2" customHeight="1" s="60">
      <c r="A22" s="37" t="n">
        <v>14</v>
      </c>
      <c r="B22" s="38" t="inlineStr">
        <is>
          <t>Public API</t>
        </is>
      </c>
      <c r="C22" s="38" t="inlineStr">
        <is>
          <t>Trigger</t>
        </is>
      </c>
      <c r="D22" s="38" t="inlineStr">
        <is>
          <t>default trigger has type button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DropdownMenu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2" customHeight="1" s="60">
      <c r="A23" s="37" t="n">
        <v>15</v>
      </c>
      <c r="B23" s="38" t="inlineStr">
        <is>
          <t>Public API</t>
        </is>
      </c>
      <c r="C23" s="38" t="inlineStr">
        <is>
          <t>Trigger</t>
        </is>
      </c>
      <c r="D23" s="38" t="inlineStr">
        <is>
          <t>trigger id is stable and present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DropdownMenu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32" customHeight="1" s="60">
      <c r="A24" s="37" t="n">
        <v>16</v>
      </c>
      <c r="B24" s="38" t="inlineStr">
        <is>
          <t>Public API</t>
        </is>
      </c>
      <c r="C24" s="38" t="inlineStr">
        <is>
          <t>Trigger</t>
        </is>
      </c>
      <c r="D24" s="38" t="inlineStr">
        <is>
          <t>trigger data-slot is dropdown-menu-trigger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DropdownMenu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2" customHeight="1" s="60">
      <c r="A25" s="37" t="n">
        <v>17</v>
      </c>
      <c r="B25" s="38" t="inlineStr">
        <is>
          <t>Public API</t>
        </is>
      </c>
      <c r="C25" s="38" t="inlineStr">
        <is>
          <t>Trigger</t>
        </is>
      </c>
      <c r="D25" s="38" t="inlineStr">
        <is>
          <t>trigger data-state is closed when menu is closed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DropdownMenu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32" customHeight="1" s="60">
      <c r="A26" s="37" t="n">
        <v>18</v>
      </c>
      <c r="B26" s="38" t="inlineStr">
        <is>
          <t>Public API</t>
        </is>
      </c>
      <c r="C26" s="38" t="inlineStr">
        <is>
          <t>Trigger</t>
        </is>
      </c>
      <c r="D26" s="38" t="inlineStr">
        <is>
          <t>trigger data-state is open when menu is open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DropdownMenu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32" customHeight="1" s="60">
      <c r="A27" s="37" t="n">
        <v>19</v>
      </c>
      <c r="B27" s="38" t="inlineStr">
        <is>
          <t>Public API</t>
        </is>
      </c>
      <c r="C27" s="38" t="inlineStr">
        <is>
          <t>Trigger</t>
        </is>
      </c>
      <c r="D27" s="38" t="inlineStr">
        <is>
          <t>trigger aria-haspopup is menu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DropdownMenu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32" customHeight="1" s="60">
      <c r="A28" s="37" t="n">
        <v>20</v>
      </c>
      <c r="B28" s="38" t="inlineStr">
        <is>
          <t>Public API</t>
        </is>
      </c>
      <c r="C28" s="38" t="inlineStr">
        <is>
          <t>Trigger</t>
        </is>
      </c>
      <c r="D28" s="38" t="inlineStr">
        <is>
          <t>trigger aria-expanded reflects open state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DropdownMenu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32" customHeight="1" s="60">
      <c r="A29" s="37" t="n">
        <v>21</v>
      </c>
      <c r="B29" s="38" t="inlineStr">
        <is>
          <t>Public API</t>
        </is>
      </c>
      <c r="C29" s="38" t="inlineStr">
        <is>
          <t>Trigger</t>
        </is>
      </c>
      <c r="D29" s="38" t="inlineStr">
        <is>
          <t>trigger aria-controls references content id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DropdownMenu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32" customHeight="1" s="60">
      <c r="A30" s="37" t="n">
        <v>22</v>
      </c>
      <c r="B30" s="38" t="inlineStr">
        <is>
          <t>Public API</t>
        </is>
      </c>
      <c r="C30" s="38" t="inlineStr">
        <is>
          <t>Trigger</t>
        </is>
      </c>
      <c r="D30" s="38" t="inlineStr">
        <is>
          <t>trigger controls match content id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DropdownMenu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2" customHeight="1" s="60">
      <c r="A31" s="37" t="n">
        <v>23</v>
      </c>
      <c r="B31" s="38" t="inlineStr">
        <is>
          <t>Public API</t>
        </is>
      </c>
      <c r="C31" s="38" t="inlineStr">
        <is>
          <t>Trigger</t>
        </is>
      </c>
      <c r="D31" s="38" t="inlineStr">
        <is>
          <t>disabled trigger exposes native disabled attr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DropdownMenu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2" customHeight="1" s="60">
      <c r="A32" s="37" t="n">
        <v>24</v>
      </c>
      <c r="B32" s="38" t="inlineStr">
        <is>
          <t>Public API</t>
        </is>
      </c>
      <c r="C32" s="38" t="inlineStr">
        <is>
          <t>Trigger</t>
        </is>
      </c>
      <c r="D32" s="38" t="inlineStr">
        <is>
          <t>disabled trigger exposes aria-disabled true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DropdownMenu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32" customHeight="1" s="60">
      <c r="A33" s="37" t="n">
        <v>25</v>
      </c>
      <c r="B33" s="38" t="inlineStr">
        <is>
          <t>Public API</t>
        </is>
      </c>
      <c r="C33" s="38" t="inlineStr">
        <is>
          <t>Trigger</t>
        </is>
      </c>
      <c r="D33" s="38" t="inlineStr">
        <is>
          <t>disabled trigger exposes data-disabled flag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DropdownMenu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32" customHeight="1" s="60">
      <c r="A34" s="37" t="n">
        <v>26</v>
      </c>
      <c r="B34" s="38" t="inlineStr">
        <is>
          <t>Public API</t>
        </is>
      </c>
      <c r="C34" s="38" t="inlineStr">
        <is>
          <t>Trigger</t>
        </is>
      </c>
      <c r="D34" s="38" t="inlineStr">
        <is>
          <t>disabled trigger does not open on click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DropdownMenu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32" customHeight="1" s="60">
      <c r="A35" s="37" t="n">
        <v>27</v>
      </c>
      <c r="B35" s="38" t="inlineStr">
        <is>
          <t>Public API</t>
        </is>
      </c>
      <c r="C35" s="38" t="inlineStr">
        <is>
          <t>Trigger</t>
        </is>
      </c>
      <c r="D35" s="38" t="inlineStr">
        <is>
          <t>disabled trigger does not open from keyboard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DropdownMenu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32" customHeight="1" s="60">
      <c r="A36" s="37" t="n">
        <v>28</v>
      </c>
      <c r="B36" s="38" t="inlineStr">
        <is>
          <t>Public API</t>
        </is>
      </c>
      <c r="C36" s="38" t="inlineStr">
        <is>
          <t>Trigger</t>
        </is>
      </c>
      <c r="D36" s="38" t="inlineStr">
        <is>
          <t>native className and data props pass through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DropdownMenu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32" customHeight="1" s="60">
      <c r="A37" s="37" t="n">
        <v>29</v>
      </c>
      <c r="B37" s="38" t="inlineStr">
        <is>
          <t>Public API</t>
        </is>
      </c>
      <c r="C37" s="38" t="inlineStr">
        <is>
          <t>Trigger</t>
        </is>
      </c>
      <c r="D37" s="38" t="inlineStr">
        <is>
          <t>consumer onClick runs before Atom toggle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DropdownMenu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32" customHeight="1" s="60">
      <c r="A38" s="37" t="n">
        <v>30</v>
      </c>
      <c r="B38" s="38" t="inlineStr">
        <is>
          <t>Public API</t>
        </is>
      </c>
      <c r="C38" s="38" t="inlineStr">
        <is>
          <t>Trigger</t>
        </is>
      </c>
      <c r="D38" s="38" t="inlineStr">
        <is>
          <t>consumer onClick can prevent Atom toggle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DropdownMenu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32" customHeight="1" s="60">
      <c r="A39" s="37" t="n">
        <v>31</v>
      </c>
      <c r="B39" s="38" t="inlineStr">
        <is>
          <t>Public API</t>
        </is>
      </c>
      <c r="C39" s="38" t="inlineStr">
        <is>
          <t>Trigger</t>
        </is>
      </c>
      <c r="D39" s="38" t="inlineStr">
        <is>
          <t>consumer onKeyDown runs before Atom key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DropdownMenu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32" customHeight="1" s="60">
      <c r="A40" s="37" t="n">
        <v>32</v>
      </c>
      <c r="B40" s="38" t="inlineStr">
        <is>
          <t>Public API</t>
        </is>
      </c>
      <c r="C40" s="38" t="inlineStr">
        <is>
          <t>Trigger</t>
        </is>
      </c>
      <c r="D40" s="38" t="inlineStr">
        <is>
          <t>consumer onKeyDown can prevent Atom key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DropdownMenu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2" customHeight="1" s="60">
      <c r="A41" s="37" t="n">
        <v>33</v>
      </c>
      <c r="B41" s="38" t="inlineStr">
        <is>
          <t>Public API</t>
        </is>
      </c>
      <c r="C41" s="38" t="inlineStr">
        <is>
          <t>Trigger</t>
        </is>
      </c>
      <c r="D41" s="38" t="inlineStr">
        <is>
          <t>click toggles menu open and closed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DropdownMenu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2" customHeight="1" s="60">
      <c r="A42" s="37" t="n">
        <v>34</v>
      </c>
      <c r="B42" s="38" t="inlineStr">
        <is>
          <t>Public API</t>
        </is>
      </c>
      <c r="C42" s="38" t="inlineStr">
        <is>
          <t>Trigger</t>
        </is>
      </c>
      <c r="D42" s="38" t="inlineStr">
        <is>
          <t>pointer click opens without pre-highlighting first item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DropdownMenu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32" customHeight="1" s="60">
      <c r="A43" s="37" t="n">
        <v>35</v>
      </c>
      <c r="B43" s="38" t="inlineStr">
        <is>
          <t>Public API</t>
        </is>
      </c>
      <c r="C43" s="38" t="inlineStr">
        <is>
          <t>Trigger</t>
        </is>
      </c>
      <c r="D43" s="38" t="inlineStr">
        <is>
          <t>Enter opens menu and seeds first highlight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DropdownMenu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2" customHeight="1" s="60">
      <c r="A44" s="37" t="n">
        <v>36</v>
      </c>
      <c r="B44" s="38" t="inlineStr">
        <is>
          <t>Public API</t>
        </is>
      </c>
      <c r="C44" s="38" t="inlineStr">
        <is>
          <t>Trigger</t>
        </is>
      </c>
      <c r="D44" s="38" t="inlineStr">
        <is>
          <t>Space opens menu and seeds first highlight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DropdownMenu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2" customHeight="1" s="60">
      <c r="A45" s="37" t="n">
        <v>37</v>
      </c>
      <c r="B45" s="38" t="inlineStr">
        <is>
          <t>Public API</t>
        </is>
      </c>
      <c r="C45" s="38" t="inlineStr">
        <is>
          <t>Trigger</t>
        </is>
      </c>
      <c r="D45" s="38" t="inlineStr">
        <is>
          <t>ArrowDown opens menu and seeds first highlight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DropdownMenu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32" customHeight="1" s="60">
      <c r="A46" s="37" t="n">
        <v>38</v>
      </c>
      <c r="B46" s="38" t="inlineStr">
        <is>
          <t>Public API</t>
        </is>
      </c>
      <c r="C46" s="38" t="inlineStr">
        <is>
          <t>Trigger</t>
        </is>
      </c>
      <c r="D46" s="38" t="inlineStr">
        <is>
          <t>ArrowUp opens menu and seeds last highlight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DropdownMenu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32" customHeight="1" s="60">
      <c r="A47" s="37" t="n">
        <v>39</v>
      </c>
      <c r="B47" s="38" t="inlineStr">
        <is>
          <t>Public API</t>
        </is>
      </c>
      <c r="C47" s="38" t="inlineStr">
        <is>
          <t>Trigger</t>
        </is>
      </c>
      <c r="D47" s="38" t="inlineStr">
        <is>
          <t>focus returns to trigger after Escape close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DropdownMenu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32" customHeight="1" s="60">
      <c r="A48" s="37" t="n">
        <v>40</v>
      </c>
      <c r="B48" s="38" t="inlineStr">
        <is>
          <t>Public API</t>
        </is>
      </c>
      <c r="C48" s="38" t="inlineStr">
        <is>
          <t>Trigger</t>
        </is>
      </c>
      <c r="D48" s="38" t="inlineStr">
        <is>
          <t>focus returns to trigger after item selection close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DropdownMenu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32" customHeight="1" s="60">
      <c r="A49" s="37" t="n">
        <v>41</v>
      </c>
      <c r="B49" s="38" t="inlineStr">
        <is>
          <t>Public API</t>
        </is>
      </c>
      <c r="C49" s="38" t="inlineStr">
        <is>
          <t>Trigger</t>
        </is>
      </c>
      <c r="D49" s="38" t="inlineStr">
        <is>
          <t>trigger ref points to rendered trigger element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DropdownMenu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2" customHeight="1" s="60">
      <c r="A50" s="37" t="n">
        <v>42</v>
      </c>
      <c r="B50" s="38" t="inlineStr">
        <is>
          <t>Public API</t>
        </is>
      </c>
      <c r="C50" s="38" t="inlineStr">
        <is>
          <t>Trigger</t>
        </is>
      </c>
      <c r="D50" s="38" t="inlineStr">
        <is>
          <t>asChild trigger preserves child content without nesting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DropdownMenu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2" customHeight="1" s="60">
      <c r="A51" s="37" t="n">
        <v>43</v>
      </c>
      <c r="B51" s="38" t="inlineStr">
        <is>
          <t>Public API</t>
        </is>
      </c>
      <c r="C51" s="38" t="inlineStr">
        <is>
          <t>Trigger</t>
        </is>
      </c>
      <c r="D51" s="38" t="inlineStr">
        <is>
          <t>asChild trigger receives role button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DropdownMenu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32" customHeight="1" s="60">
      <c r="A52" s="37" t="n">
        <v>44</v>
      </c>
      <c r="B52" s="38" t="inlineStr">
        <is>
          <t>Public API</t>
        </is>
      </c>
      <c r="C52" s="38" t="inlineStr">
        <is>
          <t>Trigger</t>
        </is>
      </c>
      <c r="D52" s="38" t="inlineStr">
        <is>
          <t>asChild trigger receives tabindex 0 when enabled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DropdownMenu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2" customHeight="1" s="60">
      <c r="A53" s="37" t="n">
        <v>45</v>
      </c>
      <c r="B53" s="38" t="inlineStr">
        <is>
          <t>Public API</t>
        </is>
      </c>
      <c r="C53" s="38" t="inlineStr">
        <is>
          <t>Trigger</t>
        </is>
      </c>
      <c r="D53" s="38" t="inlineStr">
        <is>
          <t>asChild disabled trigger receives tabindex -1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DropdownMenu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2" customHeight="1" s="60">
      <c r="A54" s="37" t="n">
        <v>46</v>
      </c>
      <c r="B54" s="38" t="inlineStr">
        <is>
          <t>Public API</t>
        </is>
      </c>
      <c r="C54" s="38" t="inlineStr">
        <is>
          <t>Trigger</t>
        </is>
      </c>
      <c r="D54" s="38" t="inlineStr">
        <is>
          <t>render trigger preserves custom element content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DropdownMenu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2" customHeight="1" s="60">
      <c r="A55" s="37" t="n">
        <v>47</v>
      </c>
      <c r="B55" s="38" t="inlineStr">
        <is>
          <t>Public API</t>
        </is>
      </c>
      <c r="C55" s="38" t="inlineStr">
        <is>
          <t>Trigger</t>
        </is>
      </c>
      <c r="D55" s="38" t="inlineStr">
        <is>
          <t>render trigger receives role button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DropdownMenu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32" customHeight="1" s="60">
      <c r="A56" s="37" t="n">
        <v>48</v>
      </c>
      <c r="B56" s="38" t="inlineStr">
        <is>
          <t>Public API</t>
        </is>
      </c>
      <c r="C56" s="38" t="inlineStr">
        <is>
          <t>Trigger</t>
        </is>
      </c>
      <c r="D56" s="38" t="inlineStr">
        <is>
          <t>render trigger receives tabindex 0 when enabled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DropdownMenu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2" customHeight="1" s="60">
      <c r="A57" s="37" t="n">
        <v>49</v>
      </c>
      <c r="B57" s="38" t="inlineStr">
        <is>
          <t>Public API</t>
        </is>
      </c>
      <c r="C57" s="38" t="inlineStr">
        <is>
          <t>Trigger</t>
        </is>
      </c>
      <c r="D57" s="38" t="inlineStr">
        <is>
          <t>render disabled trigger receives tabindex -1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DropdownMenu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32" customHeight="1" s="60">
      <c r="A58" s="37" t="n">
        <v>50</v>
      </c>
      <c r="B58" s="38" t="inlineStr">
        <is>
          <t>Public API</t>
        </is>
      </c>
      <c r="C58" s="38" t="inlineStr">
        <is>
          <t>Trigger</t>
        </is>
      </c>
      <c r="D58" s="38" t="inlineStr">
        <is>
          <t>custom data-slot override applies to trigger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DropdownMenu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32" customHeight="1" s="60">
      <c r="A59" s="37" t="n">
        <v>51</v>
      </c>
      <c r="B59" s="38" t="inlineStr">
        <is>
          <t>Public API</t>
        </is>
      </c>
      <c r="C59" s="38" t="inlineStr">
        <is>
          <t>Content</t>
        </is>
      </c>
      <c r="D59" s="38" t="inlineStr">
        <is>
          <t>renders only while open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DropdownMenu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2" customHeight="1" s="60">
      <c r="A60" s="37" t="n">
        <v>52</v>
      </c>
      <c r="B60" s="38" t="inlineStr">
        <is>
          <t>Public API</t>
        </is>
      </c>
      <c r="C60" s="38" t="inlineStr">
        <is>
          <t>Content</t>
        </is>
      </c>
      <c r="D60" s="38" t="inlineStr">
        <is>
          <t>role is menu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DropdownMenu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32" customHeight="1" s="60">
      <c r="A61" s="37" t="n">
        <v>53</v>
      </c>
      <c r="B61" s="38" t="inlineStr">
        <is>
          <t>Public API</t>
        </is>
      </c>
      <c r="C61" s="38" t="inlineStr">
        <is>
          <t>Content</t>
        </is>
      </c>
      <c r="D61" s="38" t="inlineStr">
        <is>
          <t>aria-orientation is vertical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DropdownMenu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2" customHeight="1" s="60">
      <c r="A62" s="37" t="n">
        <v>54</v>
      </c>
      <c r="B62" s="38" t="inlineStr">
        <is>
          <t>Public API</t>
        </is>
      </c>
      <c r="C62" s="38" t="inlineStr">
        <is>
          <t>Content</t>
        </is>
      </c>
      <c r="D62" s="38" t="inlineStr">
        <is>
          <t>aria-label prop names menu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DropdownMenu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32" customHeight="1" s="60">
      <c r="A63" s="37" t="n">
        <v>55</v>
      </c>
      <c r="B63" s="38" t="inlineStr">
        <is>
          <t>Public API</t>
        </is>
      </c>
      <c r="C63" s="38" t="inlineStr">
        <is>
          <t>Content</t>
        </is>
      </c>
      <c r="D63" s="38" t="inlineStr">
        <is>
          <t>aria-labelledby references trigger when ariaLabel is absent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DropdownMenu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32" customHeight="1" s="60">
      <c r="A64" s="37" t="n">
        <v>56</v>
      </c>
      <c r="B64" s="38" t="inlineStr">
        <is>
          <t>Public API</t>
        </is>
      </c>
      <c r="C64" s="38" t="inlineStr">
        <is>
          <t>Content</t>
        </is>
      </c>
      <c r="D64" s="38" t="inlineStr">
        <is>
          <t>tabindex attr is -1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DropdownMenu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32" customHeight="1" s="60">
      <c r="A65" s="37" t="n">
        <v>57</v>
      </c>
      <c r="B65" s="38" t="inlineStr">
        <is>
          <t>Public API</t>
        </is>
      </c>
      <c r="C65" s="38" t="inlineStr">
        <is>
          <t>Content</t>
        </is>
      </c>
      <c r="D65" s="38" t="inlineStr">
        <is>
          <t>id matches trigger aria-controls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DropdownMenu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32" customHeight="1" s="60">
      <c r="A66" s="37" t="n">
        <v>58</v>
      </c>
      <c r="B66" s="38" t="inlineStr">
        <is>
          <t>Public API</t>
        </is>
      </c>
      <c r="C66" s="38" t="inlineStr">
        <is>
          <t>Content</t>
        </is>
      </c>
      <c r="D66" s="38" t="inlineStr">
        <is>
          <t>data-slot is menu-content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DropdownMenu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32" customHeight="1" s="60">
      <c r="A67" s="37" t="n">
        <v>59</v>
      </c>
      <c r="B67" s="38" t="inlineStr">
        <is>
          <t>Public API</t>
        </is>
      </c>
      <c r="C67" s="38" t="inlineStr">
        <is>
          <t>Content</t>
        </is>
      </c>
      <c r="D67" s="38" t="inlineStr">
        <is>
          <t>data-state is open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DropdownMenu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32" customHeight="1" s="60">
      <c r="A68" s="37" t="n">
        <v>60</v>
      </c>
      <c r="B68" s="38" t="inlineStr">
        <is>
          <t>Public API</t>
        </is>
      </c>
      <c r="C68" s="38" t="inlineStr">
        <is>
          <t>Content</t>
        </is>
      </c>
      <c r="D68" s="38" t="inlineStr">
        <is>
          <t>data-side reflects final placement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DropdownMenu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32" customHeight="1" s="60">
      <c r="A69" s="37" t="n">
        <v>61</v>
      </c>
      <c r="B69" s="38" t="inlineStr">
        <is>
          <t>Public API</t>
        </is>
      </c>
      <c r="C69" s="38" t="inlineStr">
        <is>
          <t>Content</t>
        </is>
      </c>
      <c r="D69" s="38" t="inlineStr">
        <is>
          <t>data-align reflects final placement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DropdownMenu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32" customHeight="1" s="60">
      <c r="A70" s="37" t="n">
        <v>62</v>
      </c>
      <c r="B70" s="38" t="inlineStr">
        <is>
          <t>Public API</t>
        </is>
      </c>
      <c r="C70" s="38" t="inlineStr">
        <is>
          <t>Content</t>
        </is>
      </c>
      <c r="D70" s="38" t="inlineStr">
        <is>
          <t>data-positioned appears after positioning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DropdownMenu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32" customHeight="1" s="60">
      <c r="A71" s="37" t="n">
        <v>63</v>
      </c>
      <c r="B71" s="38" t="inlineStr">
        <is>
          <t>Public API</t>
        </is>
      </c>
      <c r="C71" s="38" t="inlineStr">
        <is>
          <t>Content</t>
        </is>
      </c>
      <c r="D71" s="38" t="inlineStr">
        <is>
          <t>side prop changes placement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DropdownMenu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32" customHeight="1" s="60">
      <c r="A72" s="37" t="n">
        <v>64</v>
      </c>
      <c r="B72" s="38" t="inlineStr">
        <is>
          <t>Public API</t>
        </is>
      </c>
      <c r="C72" s="38" t="inlineStr">
        <is>
          <t>Content</t>
        </is>
      </c>
      <c r="D72" s="38" t="inlineStr">
        <is>
          <t>align prop changes placement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DropdownMenu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32" customHeight="1" s="60">
      <c r="A73" s="37" t="n">
        <v>65</v>
      </c>
      <c r="B73" s="38" t="inlineStr">
        <is>
          <t>Public API</t>
        </is>
      </c>
      <c r="C73" s="38" t="inlineStr">
        <is>
          <t>Content</t>
        </is>
      </c>
      <c r="D73" s="38" t="inlineStr">
        <is>
          <t>sideOffset changes menu distance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DropdownMenu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32" customHeight="1" s="60">
      <c r="A74" s="37" t="n">
        <v>66</v>
      </c>
      <c r="B74" s="38" t="inlineStr">
        <is>
          <t>Public API</t>
        </is>
      </c>
      <c r="C74" s="38" t="inlineStr">
        <is>
          <t>Content</t>
        </is>
      </c>
      <c r="D74" s="38" t="inlineStr">
        <is>
          <t>loop prop overrides root loop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DropdownMenu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32" customHeight="1" s="60">
      <c r="A75" s="37" t="n">
        <v>67</v>
      </c>
      <c r="B75" s="38" t="inlineStr">
        <is>
          <t>Public API</t>
        </is>
      </c>
      <c r="C75" s="38" t="inlineStr">
        <is>
          <t>Content</t>
        </is>
      </c>
      <c r="D75" s="38" t="inlineStr">
        <is>
          <t>native className and data props pass through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DropdownMenu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32" customHeight="1" s="60">
      <c r="A76" s="37" t="n">
        <v>68</v>
      </c>
      <c r="B76" s="38" t="inlineStr">
        <is>
          <t>Public API</t>
        </is>
      </c>
      <c r="C76" s="38" t="inlineStr">
        <is>
          <t>Content</t>
        </is>
      </c>
      <c r="D76" s="38" t="inlineStr">
        <is>
          <t>onKeyDownCapture can block Atom key behavior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DropdownMenu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32" customHeight="1" s="60">
      <c r="A77" s="37" t="n">
        <v>69</v>
      </c>
      <c r="B77" s="38" t="inlineStr">
        <is>
          <t>Public API</t>
        </is>
      </c>
      <c r="C77" s="38" t="inlineStr">
        <is>
          <t>Item</t>
        </is>
      </c>
      <c r="D77" s="38" t="inlineStr">
        <is>
          <t>renders role menuitem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DropdownMenu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32" customHeight="1" s="60">
      <c r="A78" s="37" t="n">
        <v>70</v>
      </c>
      <c r="B78" s="38" t="inlineStr">
        <is>
          <t>Public API</t>
        </is>
      </c>
      <c r="C78" s="38" t="inlineStr">
        <is>
          <t>Item</t>
        </is>
      </c>
      <c r="D78" s="38" t="inlineStr">
        <is>
          <t>value appears as data-value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DropdownMenu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32" customHeight="1" s="60">
      <c r="A79" s="37" t="n">
        <v>71</v>
      </c>
      <c r="B79" s="38" t="inlineStr">
        <is>
          <t>Public API</t>
        </is>
      </c>
      <c r="C79" s="38" t="inlineStr">
        <is>
          <t>Item</t>
        </is>
      </c>
      <c r="D79" s="38" t="inlineStr">
        <is>
          <t>textValue is used for typeahead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DropdownMenu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32" customHeight="1" s="60">
      <c r="A80" s="37" t="n">
        <v>72</v>
      </c>
      <c r="B80" s="38" t="inlineStr">
        <is>
          <t>Public API</t>
        </is>
      </c>
      <c r="C80" s="38" t="inlineStr">
        <is>
          <t>Item</t>
        </is>
      </c>
      <c r="D80" s="38" t="inlineStr">
        <is>
          <t>onSelect fires on click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DropdownMenu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32" customHeight="1" s="60">
      <c r="A81" s="37" t="n">
        <v>73</v>
      </c>
      <c r="B81" s="38" t="inlineStr">
        <is>
          <t>Public API</t>
        </is>
      </c>
      <c r="C81" s="38" t="inlineStr">
        <is>
          <t>Item</t>
        </is>
      </c>
      <c r="D81" s="38" t="inlineStr">
        <is>
          <t>onSelect fires from keyboard activation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DropdownMenu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32" customHeight="1" s="60">
      <c r="A82" s="37" t="n">
        <v>74</v>
      </c>
      <c r="B82" s="38" t="inlineStr">
        <is>
          <t>Public API</t>
        </is>
      </c>
      <c r="C82" s="38" t="inlineStr">
        <is>
          <t>Item</t>
        </is>
      </c>
      <c r="D82" s="38" t="inlineStr">
        <is>
          <t>disabled item is skipped by keyboard navigation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DropdownMenu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32" customHeight="1" s="60">
      <c r="A83" s="37" t="n">
        <v>75</v>
      </c>
      <c r="B83" s="38" t="inlineStr">
        <is>
          <t>Public API</t>
        </is>
      </c>
      <c r="C83" s="38" t="inlineStr">
        <is>
          <t>Item</t>
        </is>
      </c>
      <c r="D83" s="38" t="inlineStr">
        <is>
          <t>disabled item exposes aria-disabled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DropdownMenu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32" customHeight="1" s="60">
      <c r="A84" s="37" t="n">
        <v>76</v>
      </c>
      <c r="B84" s="38" t="inlineStr">
        <is>
          <t>Public API</t>
        </is>
      </c>
      <c r="C84" s="38" t="inlineStr">
        <is>
          <t>Item</t>
        </is>
      </c>
      <c r="D84" s="38" t="inlineStr">
        <is>
          <t>disabled item exposes data-disabled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DropdownMenu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32" customHeight="1" s="60">
      <c r="A85" s="37" t="n">
        <v>77</v>
      </c>
      <c r="B85" s="38" t="inlineStr">
        <is>
          <t>Public API</t>
        </is>
      </c>
      <c r="C85" s="38" t="inlineStr">
        <is>
          <t>Item</t>
        </is>
      </c>
      <c r="D85" s="38" t="inlineStr">
        <is>
          <t>highlighted item exposes data-highlighted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DropdownMenu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32" customHeight="1" s="60">
      <c r="A86" s="37" t="n">
        <v>78</v>
      </c>
      <c r="B86" s="38" t="inlineStr">
        <is>
          <t>Public API</t>
        </is>
      </c>
      <c r="C86" s="38" t="inlineStr">
        <is>
          <t>Item</t>
        </is>
      </c>
      <c r="D86" s="38" t="inlineStr">
        <is>
          <t>closeOnSelect overrides root close behavior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DropdownMenu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32" customHeight="1" s="60">
      <c r="A87" s="37" t="n">
        <v>79</v>
      </c>
      <c r="B87" s="38" t="inlineStr">
        <is>
          <t>Public API</t>
        </is>
      </c>
      <c r="C87" s="38" t="inlineStr">
        <is>
          <t>Item</t>
        </is>
      </c>
      <c r="D87" s="38" t="inlineStr">
        <is>
          <t>asChild composition works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DropdownMenu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32" customHeight="1" s="60">
      <c r="A88" s="37" t="n">
        <v>80</v>
      </c>
      <c r="B88" s="38" t="inlineStr">
        <is>
          <t>Public API</t>
        </is>
      </c>
      <c r="C88" s="38" t="inlineStr">
        <is>
          <t>Item</t>
        </is>
      </c>
      <c r="D88" s="38" t="inlineStr">
        <is>
          <t>render composition works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DropdownMenu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32" customHeight="1" s="60">
      <c r="A89" s="37" t="n">
        <v>81</v>
      </c>
      <c r="B89" s="38" t="inlineStr">
        <is>
          <t>Public API</t>
        </is>
      </c>
      <c r="C89" s="38" t="inlineStr">
        <is>
          <t>Item</t>
        </is>
      </c>
      <c r="D89" s="38" t="inlineStr">
        <is>
          <t>consumer onClick can prevent Atom behavior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DropdownMenu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32" customHeight="1" s="60">
      <c r="A90" s="37" t="n">
        <v>82</v>
      </c>
      <c r="B90" s="38" t="inlineStr">
        <is>
          <t>Public API</t>
        </is>
      </c>
      <c r="C90" s="38" t="inlineStr">
        <is>
          <t>Item</t>
        </is>
      </c>
      <c r="D90" s="38" t="inlineStr">
        <is>
          <t>native className and data props pass through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DropdownMenu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32" customHeight="1" s="60">
      <c r="A91" s="37" t="n">
        <v>83</v>
      </c>
      <c r="B91" s="38" t="inlineStr">
        <is>
          <t>Public API</t>
        </is>
      </c>
      <c r="C91" s="38" t="inlineStr">
        <is>
          <t>Checkbox Item</t>
        </is>
      </c>
      <c r="D91" s="38" t="inlineStr">
        <is>
          <t>renders role menuitemcheckbox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DropdownMenu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32" customHeight="1" s="60">
      <c r="A92" s="37" t="n">
        <v>84</v>
      </c>
      <c r="B92" s="38" t="inlineStr">
        <is>
          <t>Public API</t>
        </is>
      </c>
      <c r="C92" s="38" t="inlineStr">
        <is>
          <t>Checkbox Item</t>
        </is>
      </c>
      <c r="D92" s="38" t="inlineStr">
        <is>
          <t>checked true exposes aria-checked true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DropdownMenu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32" customHeight="1" s="60">
      <c r="A93" s="37" t="n">
        <v>85</v>
      </c>
      <c r="B93" s="38" t="inlineStr">
        <is>
          <t>Public API</t>
        </is>
      </c>
      <c r="C93" s="38" t="inlineStr">
        <is>
          <t>Checkbox Item</t>
        </is>
      </c>
      <c r="D93" s="38" t="inlineStr">
        <is>
          <t>checked false exposes aria-checked false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DropdownMenu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32" customHeight="1" s="60">
      <c r="A94" s="37" t="n">
        <v>86</v>
      </c>
      <c r="B94" s="38" t="inlineStr">
        <is>
          <t>Public API</t>
        </is>
      </c>
      <c r="C94" s="38" t="inlineStr">
        <is>
          <t>Checkbox Item</t>
        </is>
      </c>
      <c r="D94" s="38" t="inlineStr">
        <is>
          <t>checked true exposes data-checked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DropdownMenu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32" customHeight="1" s="60">
      <c r="A95" s="37" t="n">
        <v>87</v>
      </c>
      <c r="B95" s="38" t="inlineStr">
        <is>
          <t>Public API</t>
        </is>
      </c>
      <c r="C95" s="38" t="inlineStr">
        <is>
          <t>Checkbox Item</t>
        </is>
      </c>
      <c r="D95" s="38" t="inlineStr">
        <is>
          <t>onCheckedChange toggles checked state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DropdownMenu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32" customHeight="1" s="60">
      <c r="A96" s="37" t="n">
        <v>88</v>
      </c>
      <c r="B96" s="38" t="inlineStr">
        <is>
          <t>Public API</t>
        </is>
      </c>
      <c r="C96" s="38" t="inlineStr">
        <is>
          <t>Checkbox Item</t>
        </is>
      </c>
      <c r="D96" s="38" t="inlineStr">
        <is>
          <t>default closeOnSelect false keeps menu open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DropdownMenu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32" customHeight="1" s="60">
      <c r="A97" s="37" t="n">
        <v>89</v>
      </c>
      <c r="B97" s="38" t="inlineStr">
        <is>
          <t>Public API</t>
        </is>
      </c>
      <c r="C97" s="38" t="inlineStr">
        <is>
          <t>Checkbox Item</t>
        </is>
      </c>
      <c r="D97" s="38" t="inlineStr">
        <is>
          <t>closeOnSelect true closes menu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DropdownMenu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32" customHeight="1" s="60">
      <c r="A98" s="37" t="n">
        <v>90</v>
      </c>
      <c r="B98" s="38" t="inlineStr">
        <is>
          <t>Public API</t>
        </is>
      </c>
      <c r="C98" s="38" t="inlineStr">
        <is>
          <t>Checkbox Item</t>
        </is>
      </c>
      <c r="D98" s="38" t="inlineStr">
        <is>
          <t>disabled checkbox is skipped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DropdownMenu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32" customHeight="1" s="60">
      <c r="A99" s="37" t="n">
        <v>91</v>
      </c>
      <c r="B99" s="38" t="inlineStr">
        <is>
          <t>Public API</t>
        </is>
      </c>
      <c r="C99" s="38" t="inlineStr">
        <is>
          <t>Checkbox Item</t>
        </is>
      </c>
      <c r="D99" s="38" t="inlineStr">
        <is>
          <t>textValue is used for typeahead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DropdownMenu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32" customHeight="1" s="60">
      <c r="A100" s="37" t="n">
        <v>92</v>
      </c>
      <c r="B100" s="38" t="inlineStr">
        <is>
          <t>Public API</t>
        </is>
      </c>
      <c r="C100" s="38" t="inlineStr">
        <is>
          <t>Radio Group</t>
        </is>
      </c>
      <c r="D100" s="38" t="inlineStr">
        <is>
          <t>renders role group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DropdownMenu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32" customHeight="1" s="60">
      <c r="A101" s="37" t="n">
        <v>93</v>
      </c>
      <c r="B101" s="38" t="inlineStr">
        <is>
          <t>Public API</t>
        </is>
      </c>
      <c r="C101" s="38" t="inlineStr">
        <is>
          <t>Radio Group</t>
        </is>
      </c>
      <c r="D101" s="38" t="inlineStr">
        <is>
          <t>data-slot is menu-radio-group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DropdownMenu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32" customHeight="1" s="60">
      <c r="A102" s="37" t="n">
        <v>94</v>
      </c>
      <c r="B102" s="38" t="inlineStr">
        <is>
          <t>Public API</t>
        </is>
      </c>
      <c r="C102" s="38" t="inlineStr">
        <is>
          <t>Radio Group</t>
        </is>
      </c>
      <c r="D102" s="38" t="inlineStr">
        <is>
          <t>value controls checked item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DropdownMenu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32" customHeight="1" s="60">
      <c r="A103" s="37" t="n">
        <v>95</v>
      </c>
      <c r="B103" s="38" t="inlineStr">
        <is>
          <t>Public API</t>
        </is>
      </c>
      <c r="C103" s="38" t="inlineStr">
        <is>
          <t>Radio Group</t>
        </is>
      </c>
      <c r="D103" s="38" t="inlineStr">
        <is>
          <t>onValueChange fires when selecting radio item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DropdownMenu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32" customHeight="1" s="60">
      <c r="A104" s="37" t="n">
        <v>96</v>
      </c>
      <c r="B104" s="38" t="inlineStr">
        <is>
          <t>Public API</t>
        </is>
      </c>
      <c r="C104" s="38" t="inlineStr">
        <is>
          <t>Radio Group</t>
        </is>
      </c>
      <c r="D104" s="38" t="inlineStr">
        <is>
          <t>duplicate public radio values in different groups do not conflict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DropdownMenu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32" customHeight="1" s="60">
      <c r="A105" s="37" t="n">
        <v>97</v>
      </c>
      <c r="B105" s="38" t="inlineStr">
        <is>
          <t>Public API</t>
        </is>
      </c>
      <c r="C105" s="38" t="inlineStr">
        <is>
          <t>Radio Group</t>
        </is>
      </c>
      <c r="D105" s="38" t="inlineStr">
        <is>
          <t>native className and data props pass through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DropdownMenu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32" customHeight="1" s="60">
      <c r="A106" s="37" t="n">
        <v>98</v>
      </c>
      <c r="B106" s="38" t="inlineStr">
        <is>
          <t>Public API</t>
        </is>
      </c>
      <c r="C106" s="38" t="inlineStr">
        <is>
          <t>Radio Item</t>
        </is>
      </c>
      <c r="D106" s="38" t="inlineStr">
        <is>
          <t>renders role menuitemradio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DropdownMenu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32" customHeight="1" s="60">
      <c r="A107" s="37" t="n">
        <v>99</v>
      </c>
      <c r="B107" s="38" t="inlineStr">
        <is>
          <t>Public API</t>
        </is>
      </c>
      <c r="C107" s="38" t="inlineStr">
        <is>
          <t>Radio Item</t>
        </is>
      </c>
      <c r="D107" s="38" t="inlineStr">
        <is>
          <t>checked item exposes aria-checked true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DropdownMenu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32" customHeight="1" s="60">
      <c r="A108" s="37" t="n">
        <v>100</v>
      </c>
      <c r="B108" s="38" t="inlineStr">
        <is>
          <t>Public API</t>
        </is>
      </c>
      <c r="C108" s="38" t="inlineStr">
        <is>
          <t>Radio Item</t>
        </is>
      </c>
      <c r="D108" s="38" t="inlineStr">
        <is>
          <t>unchecked item exposes aria-checked false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DropdownMenu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32" customHeight="1" s="60">
      <c r="A109" s="37" t="n">
        <v>101</v>
      </c>
      <c r="B109" s="38" t="inlineStr">
        <is>
          <t>Public API</t>
        </is>
      </c>
      <c r="C109" s="38" t="inlineStr">
        <is>
          <t>Radio Item</t>
        </is>
      </c>
      <c r="D109" s="38" t="inlineStr">
        <is>
          <t>checked item exposes data-checked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DropdownMenu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32" customHeight="1" s="60">
      <c r="A110" s="37" t="n">
        <v>102</v>
      </c>
      <c r="B110" s="38" t="inlineStr">
        <is>
          <t>Public API</t>
        </is>
      </c>
      <c r="C110" s="38" t="inlineStr">
        <is>
          <t>Radio Item</t>
        </is>
      </c>
      <c r="D110" s="38" t="inlineStr">
        <is>
          <t>value appears as data-value without internal group id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DropdownMenu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32" customHeight="1" s="60">
      <c r="A111" s="37" t="n">
        <v>103</v>
      </c>
      <c r="B111" s="38" t="inlineStr">
        <is>
          <t>Public API</t>
        </is>
      </c>
      <c r="C111" s="38" t="inlineStr">
        <is>
          <t>Radio Item</t>
        </is>
      </c>
      <c r="D111" s="38" t="inlineStr">
        <is>
          <t>disabled radio item is skipped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DropdownMenu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32" customHeight="1" s="60">
      <c r="A112" s="37" t="n">
        <v>104</v>
      </c>
      <c r="B112" s="38" t="inlineStr">
        <is>
          <t>Public API</t>
        </is>
      </c>
      <c r="C112" s="38" t="inlineStr">
        <is>
          <t>Radio Item</t>
        </is>
      </c>
      <c r="D112" s="38" t="inlineStr">
        <is>
          <t>default closeOnSelect false keeps menu open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DropdownMenu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32" customHeight="1" s="60">
      <c r="A113" s="37" t="n">
        <v>105</v>
      </c>
      <c r="B113" s="38" t="inlineStr">
        <is>
          <t>Public API</t>
        </is>
      </c>
      <c r="C113" s="38" t="inlineStr">
        <is>
          <t>Radio Item</t>
        </is>
      </c>
      <c r="D113" s="38" t="inlineStr">
        <is>
          <t>closeOnSelect true closes menu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DropdownMenu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32" customHeight="1" s="60">
      <c r="A114" s="37" t="n">
        <v>106</v>
      </c>
      <c r="B114" s="38" t="inlineStr">
        <is>
          <t>Public API</t>
        </is>
      </c>
      <c r="C114" s="38" t="inlineStr">
        <is>
          <t>Radio Item</t>
        </is>
      </c>
      <c r="D114" s="38" t="inlineStr">
        <is>
          <t>textValue is used for typeahead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DropdownMenu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32" customHeight="1" s="60">
      <c r="A115" s="37" t="n">
        <v>107</v>
      </c>
      <c r="B115" s="38" t="inlineStr">
        <is>
          <t>Public API</t>
        </is>
      </c>
      <c r="C115" s="38" t="inlineStr">
        <is>
          <t>Group</t>
        </is>
      </c>
      <c r="D115" s="38" t="inlineStr">
        <is>
          <t>renders role group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DropdownMenu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32" customHeight="1" s="60">
      <c r="A116" s="37" t="n">
        <v>108</v>
      </c>
      <c r="B116" s="38" t="inlineStr">
        <is>
          <t>Public API</t>
        </is>
      </c>
      <c r="C116" s="38" t="inlineStr">
        <is>
          <t>Group</t>
        </is>
      </c>
      <c r="D116" s="38" t="inlineStr">
        <is>
          <t>data-slot is menu-group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DropdownMenu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32" customHeight="1" s="60">
      <c r="A117" s="37" t="n">
        <v>109</v>
      </c>
      <c r="B117" s="38" t="inlineStr">
        <is>
          <t>Public API</t>
        </is>
      </c>
      <c r="C117" s="38" t="inlineStr">
        <is>
          <t>Group</t>
        </is>
      </c>
      <c r="D117" s="38" t="inlineStr">
        <is>
          <t>native className and data props pass through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DropdownMenu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32" customHeight="1" s="60">
      <c r="A118" s="37" t="n">
        <v>110</v>
      </c>
      <c r="B118" s="38" t="inlineStr">
        <is>
          <t>Public API</t>
        </is>
      </c>
      <c r="C118" s="38" t="inlineStr">
        <is>
          <t>Separator</t>
        </is>
      </c>
      <c r="D118" s="38" t="inlineStr">
        <is>
          <t>renders role separator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DropdownMenu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32" customHeight="1" s="60">
      <c r="A119" s="37" t="n">
        <v>111</v>
      </c>
      <c r="B119" s="38" t="inlineStr">
        <is>
          <t>Public API</t>
        </is>
      </c>
      <c r="C119" s="38" t="inlineStr">
        <is>
          <t>Separator</t>
        </is>
      </c>
      <c r="D119" s="38" t="inlineStr">
        <is>
          <t>aria-orientation is horizontal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DropdownMenu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32" customHeight="1" s="60">
      <c r="A120" s="37" t="n">
        <v>112</v>
      </c>
      <c r="B120" s="38" t="inlineStr">
        <is>
          <t>Public API</t>
        </is>
      </c>
      <c r="C120" s="38" t="inlineStr">
        <is>
          <t>Separator</t>
        </is>
      </c>
      <c r="D120" s="38" t="inlineStr">
        <is>
          <t>data-slot is menu-separator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DropdownMenu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32" customHeight="1" s="60">
      <c r="A121" s="37" t="n">
        <v>113</v>
      </c>
      <c r="B121" s="38" t="inlineStr">
        <is>
          <t>Public API</t>
        </is>
      </c>
      <c r="C121" s="38" t="inlineStr">
        <is>
          <t>Separator</t>
        </is>
      </c>
      <c r="D121" s="38" t="inlineStr">
        <is>
          <t>is not keyboard highlightable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DropdownMenu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32" customHeight="1" s="60">
      <c r="A122" s="37" t="n">
        <v>114</v>
      </c>
      <c r="B122" s="38" t="inlineStr">
        <is>
          <t>Public API</t>
        </is>
      </c>
      <c r="C122" s="38" t="inlineStr">
        <is>
          <t>Sub</t>
        </is>
      </c>
      <c r="D122" s="38" t="inlineStr">
        <is>
          <t>defaultOpen initializes uncontrolled submenu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DropdownMenu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32" customHeight="1" s="60">
      <c r="A123" s="37" t="n">
        <v>115</v>
      </c>
      <c r="B123" s="38" t="inlineStr">
        <is>
          <t>Public API</t>
        </is>
      </c>
      <c r="C123" s="38" t="inlineStr">
        <is>
          <t>Sub</t>
        </is>
      </c>
      <c r="D123" s="38" t="inlineStr">
        <is>
          <t>open prop controls submenu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DropdownMenu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32" customHeight="1" s="60">
      <c r="A124" s="37" t="n">
        <v>116</v>
      </c>
      <c r="B124" s="38" t="inlineStr">
        <is>
          <t>Public API</t>
        </is>
      </c>
      <c r="C124" s="38" t="inlineStr">
        <is>
          <t>Sub</t>
        </is>
      </c>
      <c r="D124" s="38" t="inlineStr">
        <is>
          <t>onOpenChange fires for controlled submenu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DropdownMenu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32" customHeight="1" s="60">
      <c r="A125" s="37" t="n">
        <v>117</v>
      </c>
      <c r="B125" s="38" t="inlineStr">
        <is>
          <t>Public API</t>
        </is>
      </c>
      <c r="C125" s="38" t="inlineStr">
        <is>
          <t>Sub</t>
        </is>
      </c>
      <c r="D125" s="38" t="inlineStr">
        <is>
          <t>only one uncontrolled submenu is open at a time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DropdownMenu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32" customHeight="1" s="60">
      <c r="A126" s="37" t="n">
        <v>118</v>
      </c>
      <c r="B126" s="38" t="inlineStr">
        <is>
          <t>Public API</t>
        </is>
      </c>
      <c r="C126" s="38" t="inlineStr">
        <is>
          <t>Sub Trigger</t>
        </is>
      </c>
      <c r="D126" s="38" t="inlineStr">
        <is>
          <t>renders role menuitem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DropdownMenu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32" customHeight="1" s="60">
      <c r="A127" s="37" t="n">
        <v>119</v>
      </c>
      <c r="B127" s="38" t="inlineStr">
        <is>
          <t>Public API</t>
        </is>
      </c>
      <c r="C127" s="38" t="inlineStr">
        <is>
          <t>Sub Trigger</t>
        </is>
      </c>
      <c r="D127" s="38" t="inlineStr">
        <is>
          <t>aria-haspopup is menu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DropdownMenu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32" customHeight="1" s="60">
      <c r="A128" s="37" t="n">
        <v>120</v>
      </c>
      <c r="B128" s="38" t="inlineStr">
        <is>
          <t>Public API</t>
        </is>
      </c>
      <c r="C128" s="38" t="inlineStr">
        <is>
          <t>Sub Trigger</t>
        </is>
      </c>
      <c r="D128" s="38" t="inlineStr">
        <is>
          <t>aria-expanded reflects submenu open state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DropdownMenu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32" customHeight="1" s="60">
      <c r="A129" s="37" t="n">
        <v>121</v>
      </c>
      <c r="B129" s="38" t="inlineStr">
        <is>
          <t>Public API</t>
        </is>
      </c>
      <c r="C129" s="38" t="inlineStr">
        <is>
          <t>Sub Trigger</t>
        </is>
      </c>
      <c r="D129" s="38" t="inlineStr">
        <is>
          <t>data-state reflects submenu state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DropdownMenu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32" customHeight="1" s="60">
      <c r="A130" s="37" t="n">
        <v>122</v>
      </c>
      <c r="B130" s="38" t="inlineStr">
        <is>
          <t>Public API</t>
        </is>
      </c>
      <c r="C130" s="38" t="inlineStr">
        <is>
          <t>Sub Trigger</t>
        </is>
      </c>
      <c r="D130" s="38" t="inlineStr">
        <is>
          <t>data-slot is menu-sub-trigger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DropdownMenu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32" customHeight="1" s="60">
      <c r="A131" s="37" t="n">
        <v>123</v>
      </c>
      <c r="B131" s="38" t="inlineStr">
        <is>
          <t>Public API</t>
        </is>
      </c>
      <c r="C131" s="38" t="inlineStr">
        <is>
          <t>Sub Trigger</t>
        </is>
      </c>
      <c r="D131" s="38" t="inlineStr">
        <is>
          <t>hover opens submenu after delay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DropdownMenu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32" customHeight="1" s="60">
      <c r="A132" s="37" t="n">
        <v>124</v>
      </c>
      <c r="B132" s="38" t="inlineStr">
        <is>
          <t>Public API</t>
        </is>
      </c>
      <c r="C132" s="38" t="inlineStr">
        <is>
          <t>Sub Trigger</t>
        </is>
      </c>
      <c r="D132" s="38" t="inlineStr">
        <is>
          <t>click toggles submenu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DropdownMenu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32" customHeight="1" s="60">
      <c r="A133" s="37" t="n">
        <v>125</v>
      </c>
      <c r="B133" s="38" t="inlineStr">
        <is>
          <t>Public API</t>
        </is>
      </c>
      <c r="C133" s="38" t="inlineStr">
        <is>
          <t>Sub Trigger</t>
        </is>
      </c>
      <c r="D133" s="38" t="inlineStr">
        <is>
          <t>ArrowRight opens submenu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DropdownMenu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32" customHeight="1" s="60">
      <c r="A134" s="37" t="n">
        <v>126</v>
      </c>
      <c r="B134" s="38" t="inlineStr">
        <is>
          <t>Public API</t>
        </is>
      </c>
      <c r="C134" s="38" t="inlineStr">
        <is>
          <t>Sub Trigger</t>
        </is>
      </c>
      <c r="D134" s="38" t="inlineStr">
        <is>
          <t>disabled sub trigger is skipped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DropdownMenu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32" customHeight="1" s="60">
      <c r="A135" s="37" t="n">
        <v>127</v>
      </c>
      <c r="B135" s="38" t="inlineStr">
        <is>
          <t>Public API</t>
        </is>
      </c>
      <c r="C135" s="38" t="inlineStr">
        <is>
          <t>Sub Trigger</t>
        </is>
      </c>
      <c r="D135" s="38" t="inlineStr">
        <is>
          <t>textValue is used for typeahead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DropdownMenu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32" customHeight="1" s="60">
      <c r="A136" s="37" t="n">
        <v>128</v>
      </c>
      <c r="B136" s="38" t="inlineStr">
        <is>
          <t>Public API</t>
        </is>
      </c>
      <c r="C136" s="38" t="inlineStr">
        <is>
          <t>Sub Content</t>
        </is>
      </c>
      <c r="D136" s="38" t="inlineStr">
        <is>
          <t>renders role menu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DropdownMenu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32" customHeight="1" s="60">
      <c r="A137" s="37" t="n">
        <v>129</v>
      </c>
      <c r="B137" s="38" t="inlineStr">
        <is>
          <t>Public API</t>
        </is>
      </c>
      <c r="C137" s="38" t="inlineStr">
        <is>
          <t>Sub Content</t>
        </is>
      </c>
      <c r="D137" s="38" t="inlineStr">
        <is>
          <t>aria-label prop names submenu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DropdownMenu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32" customHeight="1" s="60">
      <c r="A138" s="37" t="n">
        <v>130</v>
      </c>
      <c r="B138" s="38" t="inlineStr">
        <is>
          <t>Public API</t>
        </is>
      </c>
      <c r="C138" s="38" t="inlineStr">
        <is>
          <t>Sub Content</t>
        </is>
      </c>
      <c r="D138" s="38" t="inlineStr">
        <is>
          <t>aria-labelledby references sub trigger when ariaLabel is absent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DropdownMenu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32" customHeight="1" s="60">
      <c r="A139" s="37" t="n">
        <v>131</v>
      </c>
      <c r="B139" s="38" t="inlineStr">
        <is>
          <t>Public API</t>
        </is>
      </c>
      <c r="C139" s="38" t="inlineStr">
        <is>
          <t>Sub Content</t>
        </is>
      </c>
      <c r="D139" s="38" t="inlineStr">
        <is>
          <t>data-slot is menu-sub-content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DropdownMenu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32" customHeight="1" s="60">
      <c r="A140" s="37" t="n">
        <v>132</v>
      </c>
      <c r="B140" s="38" t="inlineStr">
        <is>
          <t>Public API</t>
        </is>
      </c>
      <c r="C140" s="38" t="inlineStr">
        <is>
          <t>Sub Content</t>
        </is>
      </c>
      <c r="D140" s="38" t="inlineStr">
        <is>
          <t>data-state is open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DropdownMenu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32" customHeight="1" s="60">
      <c r="A141" s="37" t="n">
        <v>133</v>
      </c>
      <c r="B141" s="38" t="inlineStr">
        <is>
          <t>Public API</t>
        </is>
      </c>
      <c r="C141" s="38" t="inlineStr">
        <is>
          <t>Sub Content</t>
        </is>
      </c>
      <c r="D141" s="38" t="inlineStr">
        <is>
          <t>data-side reflects final placement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DropdownMenu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32" customHeight="1" s="60">
      <c r="A142" s="37" t="n">
        <v>134</v>
      </c>
      <c r="B142" s="38" t="inlineStr">
        <is>
          <t>Public API</t>
        </is>
      </c>
      <c r="C142" s="38" t="inlineStr">
        <is>
          <t>Sub Content</t>
        </is>
      </c>
      <c r="D142" s="38" t="inlineStr">
        <is>
          <t>data-positioned appears after positioning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DropdownMenu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32" customHeight="1" s="60">
      <c r="A143" s="37" t="n">
        <v>135</v>
      </c>
      <c r="B143" s="38" t="inlineStr">
        <is>
          <t>Public API</t>
        </is>
      </c>
      <c r="C143" s="38" t="inlineStr">
        <is>
          <t>Sub Content</t>
        </is>
      </c>
      <c r="D143" s="38" t="inlineStr">
        <is>
          <t>sideOffset changes submenu distance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DropdownMenu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32" customHeight="1" s="60">
      <c r="A144" s="37" t="n">
        <v>136</v>
      </c>
      <c r="B144" s="38" t="inlineStr">
        <is>
          <t>Public API</t>
        </is>
      </c>
      <c r="C144" s="38" t="inlineStr">
        <is>
          <t>Sub Content</t>
        </is>
      </c>
      <c r="D144" s="38" t="inlineStr">
        <is>
          <t>loop prop controls submenu wrapping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DropdownMenu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32" customHeight="1" s="60">
      <c r="A145" s="37" t="n">
        <v>137</v>
      </c>
      <c r="B145" s="38" t="inlineStr">
        <is>
          <t>Interaction</t>
        </is>
      </c>
      <c r="C145" s="38" t="inlineStr">
        <is>
          <t>Open And Close</t>
        </is>
      </c>
      <c r="D145" s="38" t="inlineStr">
        <is>
          <t>trigger click opens menu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DropdownMenu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32" customHeight="1" s="60">
      <c r="A146" s="37" t="n">
        <v>138</v>
      </c>
      <c r="B146" s="38" t="inlineStr">
        <is>
          <t>Interaction</t>
        </is>
      </c>
      <c r="C146" s="38" t="inlineStr">
        <is>
          <t>Open And Close</t>
        </is>
      </c>
      <c r="D146" s="38" t="inlineStr">
        <is>
          <t>trigger click closes open menu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DropdownMenu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32" customHeight="1" s="60">
      <c r="A147" s="37" t="n">
        <v>139</v>
      </c>
      <c r="B147" s="38" t="inlineStr">
        <is>
          <t>Interaction</t>
        </is>
      </c>
      <c r="C147" s="38" t="inlineStr">
        <is>
          <t>Open And Close</t>
        </is>
      </c>
      <c r="D147" s="38" t="inlineStr">
        <is>
          <t>controlled open button opens menu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DropdownMenu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32" customHeight="1" s="60">
      <c r="A148" s="37" t="n">
        <v>140</v>
      </c>
      <c r="B148" s="38" t="inlineStr">
        <is>
          <t>Interaction</t>
        </is>
      </c>
      <c r="C148" s="38" t="inlineStr">
        <is>
          <t>Open And Close</t>
        </is>
      </c>
      <c r="D148" s="38" t="inlineStr">
        <is>
          <t>controlled close button closes menu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DropdownMenu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32" customHeight="1" s="60">
      <c r="A149" s="37" t="n">
        <v>141</v>
      </c>
      <c r="B149" s="38" t="inlineStr">
        <is>
          <t>Interaction</t>
        </is>
      </c>
      <c r="C149" s="38" t="inlineStr">
        <is>
          <t>Open And Close</t>
        </is>
      </c>
      <c r="D149" s="38" t="inlineStr">
        <is>
          <t>outside click closes menu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DropdownMenu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32" customHeight="1" s="60">
      <c r="A150" s="37" t="n">
        <v>142</v>
      </c>
      <c r="B150" s="38" t="inlineStr">
        <is>
          <t>Interaction</t>
        </is>
      </c>
      <c r="C150" s="38" t="inlineStr">
        <is>
          <t>Open And Close</t>
        </is>
      </c>
      <c r="D150" s="38" t="inlineStr">
        <is>
          <t>outside click closes submenu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DropdownMenu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32" customHeight="1" s="60">
      <c r="A151" s="37" t="n">
        <v>143</v>
      </c>
      <c r="B151" s="38" t="inlineStr">
        <is>
          <t>Interaction</t>
        </is>
      </c>
      <c r="C151" s="38" t="inlineStr">
        <is>
          <t>Open And Close</t>
        </is>
      </c>
      <c r="D151" s="38" t="inlineStr">
        <is>
          <t>Tab closes menu and returns focus to trigger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DropdownMenu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32" customHeight="1" s="60">
      <c r="A152" s="37" t="n">
        <v>144</v>
      </c>
      <c r="B152" s="38" t="inlineStr">
        <is>
          <t>Interaction</t>
        </is>
      </c>
      <c r="C152" s="38" t="inlineStr">
        <is>
          <t>Open And Close</t>
        </is>
      </c>
      <c r="D152" s="38" t="inlineStr">
        <is>
          <t>Escape closes root menu and returns focus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DropdownMenu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32" customHeight="1" s="60">
      <c r="A153" s="37" t="n">
        <v>145</v>
      </c>
      <c r="B153" s="38" t="inlineStr">
        <is>
          <t>Interaction</t>
        </is>
      </c>
      <c r="C153" s="38" t="inlineStr">
        <is>
          <t>Open And Close</t>
        </is>
      </c>
      <c r="D153" s="38" t="inlineStr">
        <is>
          <t>Escape closes submenu first and returns focus to parent content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DropdownMenu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32" customHeight="1" s="60">
      <c r="A154" s="37" t="n">
        <v>146</v>
      </c>
      <c r="B154" s="38" t="inlineStr">
        <is>
          <t>Interaction</t>
        </is>
      </c>
      <c r="C154" s="38" t="inlineStr">
        <is>
          <t>Open And Close</t>
        </is>
      </c>
      <c r="D154" s="38" t="inlineStr">
        <is>
          <t>selecting action item closes menu when enabled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DropdownMenu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32" customHeight="1" s="60">
      <c r="A155" s="37" t="n">
        <v>147</v>
      </c>
      <c r="B155" s="38" t="inlineStr">
        <is>
          <t>Interaction</t>
        </is>
      </c>
      <c r="C155" s="38" t="inlineStr">
        <is>
          <t>Open And Close</t>
        </is>
      </c>
      <c r="D155" s="38" t="inlineStr">
        <is>
          <t>selecting checkbox/radio stays open by default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DropdownMenu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32" customHeight="1" s="60">
      <c r="A156" s="37" t="n">
        <v>148</v>
      </c>
      <c r="B156" s="38" t="inlineStr">
        <is>
          <t>Interaction</t>
        </is>
      </c>
      <c r="C156" s="38" t="inlineStr">
        <is>
          <t>Open And Close</t>
        </is>
      </c>
      <c r="D156" s="38" t="inlineStr">
        <is>
          <t>selecting submenu item closes submenu and parent menu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DropdownMenu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32" customHeight="1" s="60">
      <c r="A157" s="37" t="n">
        <v>149</v>
      </c>
      <c r="B157" s="38" t="inlineStr">
        <is>
          <t>Keyboard</t>
        </is>
      </c>
      <c r="C157" s="38" t="inlineStr">
        <is>
          <t>Navigation</t>
        </is>
      </c>
      <c r="D157" s="38" t="inlineStr">
        <is>
          <t>ArrowDown opens from trigger and highlights first enabled item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DropdownMenu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32" customHeight="1" s="60">
      <c r="A158" s="37" t="n">
        <v>150</v>
      </c>
      <c r="B158" s="38" t="inlineStr">
        <is>
          <t>Keyboard</t>
        </is>
      </c>
      <c r="C158" s="38" t="inlineStr">
        <is>
          <t>Navigation</t>
        </is>
      </c>
      <c r="D158" s="38" t="inlineStr">
        <is>
          <t>ArrowUp opens from trigger and highlights last enabled item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DropdownMenu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32" customHeight="1" s="60">
      <c r="A159" s="37" t="n">
        <v>151</v>
      </c>
      <c r="B159" s="38" t="inlineStr">
        <is>
          <t>Keyboard</t>
        </is>
      </c>
      <c r="C159" s="38" t="inlineStr">
        <is>
          <t>Navigation</t>
        </is>
      </c>
      <c r="D159" s="38" t="inlineStr">
        <is>
          <t>Enter opens from trigger and highlights first enabled item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DropdownMenu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32" customHeight="1" s="60">
      <c r="A160" s="37" t="n">
        <v>152</v>
      </c>
      <c r="B160" s="38" t="inlineStr">
        <is>
          <t>Keyboard</t>
        </is>
      </c>
      <c r="C160" s="38" t="inlineStr">
        <is>
          <t>Navigation</t>
        </is>
      </c>
      <c r="D160" s="38" t="inlineStr">
        <is>
          <t>Space opens from trigger and highlights first enabled item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DropdownMenu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32" customHeight="1" s="60">
      <c r="A161" s="37" t="n">
        <v>153</v>
      </c>
      <c r="B161" s="38" t="inlineStr">
        <is>
          <t>Keyboard</t>
        </is>
      </c>
      <c r="C161" s="38" t="inlineStr">
        <is>
          <t>Navigation</t>
        </is>
      </c>
      <c r="D161" s="38" t="inlineStr">
        <is>
          <t>ArrowDown moves to next enabled item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DropdownMenu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32" customHeight="1" s="60">
      <c r="A162" s="37" t="n">
        <v>154</v>
      </c>
      <c r="B162" s="38" t="inlineStr">
        <is>
          <t>Keyboard</t>
        </is>
      </c>
      <c r="C162" s="38" t="inlineStr">
        <is>
          <t>Navigation</t>
        </is>
      </c>
      <c r="D162" s="38" t="inlineStr">
        <is>
          <t>ArrowUp moves to previous enabled item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DropdownMenu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32" customHeight="1" s="60">
      <c r="A163" s="37" t="n">
        <v>155</v>
      </c>
      <c r="B163" s="38" t="inlineStr">
        <is>
          <t>Keyboard</t>
        </is>
      </c>
      <c r="C163" s="38" t="inlineStr">
        <is>
          <t>Navigation</t>
        </is>
      </c>
      <c r="D163" s="38" t="inlineStr">
        <is>
          <t>Home highlights first enabled item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DropdownMenu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32" customHeight="1" s="60">
      <c r="A164" s="37" t="n">
        <v>156</v>
      </c>
      <c r="B164" s="38" t="inlineStr">
        <is>
          <t>Keyboard</t>
        </is>
      </c>
      <c r="C164" s="38" t="inlineStr">
        <is>
          <t>Navigation</t>
        </is>
      </c>
      <c r="D164" s="38" t="inlineStr">
        <is>
          <t>End highlights last enabled item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DropdownMenu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32" customHeight="1" s="60">
      <c r="A165" s="37" t="n">
        <v>157</v>
      </c>
      <c r="B165" s="38" t="inlineStr">
        <is>
          <t>Keyboard</t>
        </is>
      </c>
      <c r="C165" s="38" t="inlineStr">
        <is>
          <t>Navigation</t>
        </is>
      </c>
      <c r="D165" s="38" t="inlineStr">
        <is>
          <t>loop forward wraps to first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DropdownMenu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32" customHeight="1" s="60">
      <c r="A166" s="37" t="n">
        <v>158</v>
      </c>
      <c r="B166" s="38" t="inlineStr">
        <is>
          <t>Keyboard</t>
        </is>
      </c>
      <c r="C166" s="38" t="inlineStr">
        <is>
          <t>Navigation</t>
        </is>
      </c>
      <c r="D166" s="38" t="inlineStr">
        <is>
          <t>loop backward wraps to last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DropdownMenu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32" customHeight="1" s="60">
      <c r="A167" s="37" t="n">
        <v>159</v>
      </c>
      <c r="B167" s="38" t="inlineStr">
        <is>
          <t>Keyboard</t>
        </is>
      </c>
      <c r="C167" s="38" t="inlineStr">
        <is>
          <t>Navigation</t>
        </is>
      </c>
      <c r="D167" s="38" t="inlineStr">
        <is>
          <t>disabled items are skipped by Arrow keys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DropdownMenu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32" customHeight="1" s="60">
      <c r="A168" s="37" t="n">
        <v>160</v>
      </c>
      <c r="B168" s="38" t="inlineStr">
        <is>
          <t>Keyboard</t>
        </is>
      </c>
      <c r="C168" s="38" t="inlineStr">
        <is>
          <t>Navigation</t>
        </is>
      </c>
      <c r="D168" s="38" t="inlineStr">
        <is>
          <t>separator is skipped by Arrow keys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DropdownMenu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2" customHeight="1" s="60">
      <c r="A169" s="37" t="n">
        <v>161</v>
      </c>
      <c r="B169" s="38" t="inlineStr">
        <is>
          <t>Keyboard</t>
        </is>
      </c>
      <c r="C169" s="38" t="inlineStr">
        <is>
          <t>Navigation</t>
        </is>
      </c>
      <c r="D169" s="38" t="inlineStr">
        <is>
          <t>Enter activates highlighted item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DropdownMenu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32" customHeight="1" s="60">
      <c r="A170" s="37" t="n">
        <v>162</v>
      </c>
      <c r="B170" s="38" t="inlineStr">
        <is>
          <t>Keyboard</t>
        </is>
      </c>
      <c r="C170" s="38" t="inlineStr">
        <is>
          <t>Navigation</t>
        </is>
      </c>
      <c r="D170" s="38" t="inlineStr">
        <is>
          <t>Space activates highlighted item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DropdownMenu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32" customHeight="1" s="60">
      <c r="A171" s="37" t="n">
        <v>163</v>
      </c>
      <c r="B171" s="38" t="inlineStr">
        <is>
          <t>Keyboard</t>
        </is>
      </c>
      <c r="C171" s="38" t="inlineStr">
        <is>
          <t>Navigation</t>
        </is>
      </c>
      <c r="D171" s="38" t="inlineStr">
        <is>
          <t>typeahead highlights matching item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DropdownMenu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  <row r="172" ht="32" customHeight="1" s="60">
      <c r="A172" s="37" t="n">
        <v>164</v>
      </c>
      <c r="B172" s="38" t="inlineStr">
        <is>
          <t>Keyboard</t>
        </is>
      </c>
      <c r="C172" s="38" t="inlineStr">
        <is>
          <t>Navigation</t>
        </is>
      </c>
      <c r="D172" s="38" t="inlineStr">
        <is>
          <t>typeahead uses explicit textValue</t>
        </is>
      </c>
      <c r="E172" s="37" t="inlineStr">
        <is>
          <t>yes</t>
        </is>
      </c>
      <c r="F172" s="37" t="inlineStr">
        <is>
          <t>yes</t>
        </is>
      </c>
      <c r="G172" s="37" t="inlineStr">
        <is>
          <t>pass</t>
        </is>
      </c>
      <c r="H172" s="37" t="inlineStr">
        <is>
          <t>covered</t>
        </is>
      </c>
      <c r="I172" s="38" t="inlineStr">
        <is>
          <t>DropdownMenu playground manual verification.</t>
        </is>
      </c>
      <c r="J172" s="38" t="inlineStr">
        <is>
          <t>Complete.</t>
        </is>
      </c>
      <c r="K172" s="39">
        <f>IF(AND(E172="yes",F172="yes",H172="covered"),1,IF(H172="partial",0.5,0))</f>
        <v/>
      </c>
    </row>
    <row r="173" ht="32" customHeight="1" s="60">
      <c r="A173" s="37" t="n">
        <v>165</v>
      </c>
      <c r="B173" s="38" t="inlineStr">
        <is>
          <t>Keyboard</t>
        </is>
      </c>
      <c r="C173" s="38" t="inlineStr">
        <is>
          <t>Navigation</t>
        </is>
      </c>
      <c r="D173" s="38" t="inlineStr">
        <is>
          <t>typeahead buffer resets after delay</t>
        </is>
      </c>
      <c r="E173" s="37" t="inlineStr">
        <is>
          <t>yes</t>
        </is>
      </c>
      <c r="F173" s="37" t="inlineStr">
        <is>
          <t>yes</t>
        </is>
      </c>
      <c r="G173" s="37" t="inlineStr">
        <is>
          <t>pass</t>
        </is>
      </c>
      <c r="H173" s="37" t="inlineStr">
        <is>
          <t>covered</t>
        </is>
      </c>
      <c r="I173" s="38" t="inlineStr">
        <is>
          <t>DropdownMenu playground manual verification.</t>
        </is>
      </c>
      <c r="J173" s="38" t="inlineStr">
        <is>
          <t>Complete.</t>
        </is>
      </c>
      <c r="K173" s="39">
        <f>IF(AND(E173="yes",F173="yes",H173="covered"),1,IF(H173="partial",0.5,0))</f>
        <v/>
      </c>
    </row>
    <row r="174" ht="32" customHeight="1" s="60">
      <c r="A174" s="37" t="n">
        <v>166</v>
      </c>
      <c r="B174" s="38" t="inlineStr">
        <is>
          <t>Keyboard</t>
        </is>
      </c>
      <c r="C174" s="38" t="inlineStr">
        <is>
          <t>Navigation</t>
        </is>
      </c>
      <c r="D174" s="38" t="inlineStr">
        <is>
          <t>submenu has independent highlight state</t>
        </is>
      </c>
      <c r="E174" s="37" t="inlineStr">
        <is>
          <t>yes</t>
        </is>
      </c>
      <c r="F174" s="37" t="inlineStr">
        <is>
          <t>yes</t>
        </is>
      </c>
      <c r="G174" s="37" t="inlineStr">
        <is>
          <t>pass</t>
        </is>
      </c>
      <c r="H174" s="37" t="inlineStr">
        <is>
          <t>covered</t>
        </is>
      </c>
      <c r="I174" s="38" t="inlineStr">
        <is>
          <t>DropdownMenu playground manual verification.</t>
        </is>
      </c>
      <c r="J174" s="38" t="inlineStr">
        <is>
          <t>Complete.</t>
        </is>
      </c>
      <c r="K174" s="39">
        <f>IF(AND(E174="yes",F174="yes",H174="covered"),1,IF(H174="partial",0.5,0))</f>
        <v/>
      </c>
    </row>
    <row r="175" ht="32" customHeight="1" s="60">
      <c r="A175" s="37" t="n">
        <v>167</v>
      </c>
      <c r="B175" s="38" t="inlineStr">
        <is>
          <t>Keyboard</t>
        </is>
      </c>
      <c r="C175" s="38" t="inlineStr">
        <is>
          <t>Navigation</t>
        </is>
      </c>
      <c r="D175" s="38" t="inlineStr">
        <is>
          <t>ArrowLeft closes submenu</t>
        </is>
      </c>
      <c r="E175" s="37" t="inlineStr">
        <is>
          <t>yes</t>
        </is>
      </c>
      <c r="F175" s="37" t="inlineStr">
        <is>
          <t>yes</t>
        </is>
      </c>
      <c r="G175" s="37" t="inlineStr">
        <is>
          <t>pass</t>
        </is>
      </c>
      <c r="H175" s="37" t="inlineStr">
        <is>
          <t>covered</t>
        </is>
      </c>
      <c r="I175" s="38" t="inlineStr">
        <is>
          <t>DropdownMenu playground manual verification.</t>
        </is>
      </c>
      <c r="J175" s="38" t="inlineStr">
        <is>
          <t>Complete.</t>
        </is>
      </c>
      <c r="K175" s="39">
        <f>IF(AND(E175="yes",F175="yes",H175="covered"),1,IF(H175="partial",0.5,0))</f>
        <v/>
      </c>
    </row>
    <row r="176" ht="32" customHeight="1" s="60">
      <c r="A176" s="37" t="n">
        <v>168</v>
      </c>
      <c r="B176" s="38" t="inlineStr">
        <is>
          <t>Keyboard</t>
        </is>
      </c>
      <c r="C176" s="38" t="inlineStr">
        <is>
          <t>Navigation</t>
        </is>
      </c>
      <c r="D176" s="38" t="inlineStr">
        <is>
          <t>ArrowRight opens nested submenu from submenu</t>
        </is>
      </c>
      <c r="E176" s="37" t="inlineStr">
        <is>
          <t>yes</t>
        </is>
      </c>
      <c r="F176" s="37" t="inlineStr">
        <is>
          <t>yes</t>
        </is>
      </c>
      <c r="G176" s="37" t="inlineStr">
        <is>
          <t>pass</t>
        </is>
      </c>
      <c r="H176" s="37" t="inlineStr">
        <is>
          <t>covered</t>
        </is>
      </c>
      <c r="I176" s="38" t="inlineStr">
        <is>
          <t>DropdownMenu playground manual verification.</t>
        </is>
      </c>
      <c r="J176" s="38" t="inlineStr">
        <is>
          <t>Complete.</t>
        </is>
      </c>
      <c r="K176" s="39">
        <f>IF(AND(E176="yes",F176="yes",H176="covered"),1,IF(H176="partial",0.5,0))</f>
        <v/>
      </c>
    </row>
    <row r="177" ht="32" customHeight="1" s="60">
      <c r="A177" s="37" t="n">
        <v>169</v>
      </c>
      <c r="B177" s="38" t="inlineStr">
        <is>
          <t>Pointer</t>
        </is>
      </c>
      <c r="C177" s="38" t="inlineStr">
        <is>
          <t>Highlight</t>
        </is>
      </c>
      <c r="D177" s="38" t="inlineStr">
        <is>
          <t>pointer enter highlights item</t>
        </is>
      </c>
      <c r="E177" s="37" t="inlineStr">
        <is>
          <t>yes</t>
        </is>
      </c>
      <c r="F177" s="37" t="inlineStr">
        <is>
          <t>yes</t>
        </is>
      </c>
      <c r="G177" s="37" t="inlineStr">
        <is>
          <t>pass</t>
        </is>
      </c>
      <c r="H177" s="37" t="inlineStr">
        <is>
          <t>covered</t>
        </is>
      </c>
      <c r="I177" s="38" t="inlineStr">
        <is>
          <t>DropdownMenu playground manual verification.</t>
        </is>
      </c>
      <c r="J177" s="38" t="inlineStr">
        <is>
          <t>Complete.</t>
        </is>
      </c>
      <c r="K177" s="39">
        <f>IF(AND(E177="yes",F177="yes",H177="covered"),1,IF(H177="partial",0.5,0))</f>
        <v/>
      </c>
    </row>
    <row r="178" ht="32" customHeight="1" s="60">
      <c r="A178" s="37" t="n">
        <v>170</v>
      </c>
      <c r="B178" s="38" t="inlineStr">
        <is>
          <t>Pointer</t>
        </is>
      </c>
      <c r="C178" s="38" t="inlineStr">
        <is>
          <t>Highlight</t>
        </is>
      </c>
      <c r="D178" s="38" t="inlineStr">
        <is>
          <t>pointer leave clears highlight</t>
        </is>
      </c>
      <c r="E178" s="37" t="inlineStr">
        <is>
          <t>yes</t>
        </is>
      </c>
      <c r="F178" s="37" t="inlineStr">
        <is>
          <t>yes</t>
        </is>
      </c>
      <c r="G178" s="37" t="inlineStr">
        <is>
          <t>pass</t>
        </is>
      </c>
      <c r="H178" s="37" t="inlineStr">
        <is>
          <t>covered</t>
        </is>
      </c>
      <c r="I178" s="38" t="inlineStr">
        <is>
          <t>DropdownMenu playground manual verification.</t>
        </is>
      </c>
      <c r="J178" s="38" t="inlineStr">
        <is>
          <t>Complete.</t>
        </is>
      </c>
      <c r="K178" s="39">
        <f>IF(AND(E178="yes",F178="yes",H178="covered"),1,IF(H178="partial",0.5,0))</f>
        <v/>
      </c>
    </row>
    <row r="179" ht="32" customHeight="1" s="60">
      <c r="A179" s="37" t="n">
        <v>171</v>
      </c>
      <c r="B179" s="38" t="inlineStr">
        <is>
          <t>Pointer</t>
        </is>
      </c>
      <c r="C179" s="38" t="inlineStr">
        <is>
          <t>Highlight</t>
        </is>
      </c>
      <c r="D179" s="38" t="inlineStr">
        <is>
          <t>pointer-opened menu does not pre-highlight first item</t>
        </is>
      </c>
      <c r="E179" s="37" t="inlineStr">
        <is>
          <t>yes</t>
        </is>
      </c>
      <c r="F179" s="37" t="inlineStr">
        <is>
          <t>yes</t>
        </is>
      </c>
      <c r="G179" s="37" t="inlineStr">
        <is>
          <t>pass</t>
        </is>
      </c>
      <c r="H179" s="37" t="inlineStr">
        <is>
          <t>covered</t>
        </is>
      </c>
      <c r="I179" s="38" t="inlineStr">
        <is>
          <t>DropdownMenu playground manual verification.</t>
        </is>
      </c>
      <c r="J179" s="38" t="inlineStr">
        <is>
          <t>Complete.</t>
        </is>
      </c>
      <c r="K179" s="39">
        <f>IF(AND(E179="yes",F179="yes",H179="covered"),1,IF(H179="partial",0.5,0))</f>
        <v/>
      </c>
    </row>
    <row r="180" ht="32" customHeight="1" s="60">
      <c r="A180" s="37" t="n">
        <v>172</v>
      </c>
      <c r="B180" s="38" t="inlineStr">
        <is>
          <t>Pointer</t>
        </is>
      </c>
      <c r="C180" s="38" t="inlineStr">
        <is>
          <t>Highlight</t>
        </is>
      </c>
      <c r="D180" s="38" t="inlineStr">
        <is>
          <t>hovering group labels or gaps does not reset initial highlight</t>
        </is>
      </c>
      <c r="E180" s="37" t="inlineStr">
        <is>
          <t>yes</t>
        </is>
      </c>
      <c r="F180" s="37" t="inlineStr">
        <is>
          <t>yes</t>
        </is>
      </c>
      <c r="G180" s="37" t="inlineStr">
        <is>
          <t>pass</t>
        </is>
      </c>
      <c r="H180" s="37" t="inlineStr">
        <is>
          <t>covered</t>
        </is>
      </c>
      <c r="I180" s="38" t="inlineStr">
        <is>
          <t>DropdownMenu playground manual verification.</t>
        </is>
      </c>
      <c r="J180" s="38" t="inlineStr">
        <is>
          <t>Complete.</t>
        </is>
      </c>
      <c r="K180" s="39">
        <f>IF(AND(E180="yes",F180="yes",H180="covered"),1,IF(H180="partial",0.5,0))</f>
        <v/>
      </c>
    </row>
    <row r="181" ht="32" customHeight="1" s="60">
      <c r="A181" s="37" t="n">
        <v>173</v>
      </c>
      <c r="B181" s="38" t="inlineStr">
        <is>
          <t>Pointer</t>
        </is>
      </c>
      <c r="C181" s="38" t="inlineStr">
        <is>
          <t>Highlight</t>
        </is>
      </c>
      <c r="D181" s="38" t="inlineStr">
        <is>
          <t>hovering item closes previously open submenu</t>
        </is>
      </c>
      <c r="E181" s="37" t="inlineStr">
        <is>
          <t>yes</t>
        </is>
      </c>
      <c r="F181" s="37" t="inlineStr">
        <is>
          <t>yes</t>
        </is>
      </c>
      <c r="G181" s="37" t="inlineStr">
        <is>
          <t>pass</t>
        </is>
      </c>
      <c r="H181" s="37" t="inlineStr">
        <is>
          <t>covered</t>
        </is>
      </c>
      <c r="I181" s="38" t="inlineStr">
        <is>
          <t>DropdownMenu playground manual verification.</t>
        </is>
      </c>
      <c r="J181" s="38" t="inlineStr">
        <is>
          <t>Complete.</t>
        </is>
      </c>
      <c r="K181" s="39">
        <f>IF(AND(E181="yes",F181="yes",H181="covered"),1,IF(H181="partial",0.5,0))</f>
        <v/>
      </c>
    </row>
    <row r="182" ht="32" customHeight="1" s="60">
      <c r="A182" s="37" t="n">
        <v>174</v>
      </c>
      <c r="B182" s="38" t="inlineStr">
        <is>
          <t>Pointer</t>
        </is>
      </c>
      <c r="C182" s="38" t="inlineStr">
        <is>
          <t>Highlight</t>
        </is>
      </c>
      <c r="D182" s="38" t="inlineStr">
        <is>
          <t>disabled item hover does not highlight</t>
        </is>
      </c>
      <c r="E182" s="37" t="inlineStr">
        <is>
          <t>yes</t>
        </is>
      </c>
      <c r="F182" s="37" t="inlineStr">
        <is>
          <t>yes</t>
        </is>
      </c>
      <c r="G182" s="37" t="inlineStr">
        <is>
          <t>pass</t>
        </is>
      </c>
      <c r="H182" s="37" t="inlineStr">
        <is>
          <t>covered</t>
        </is>
      </c>
      <c r="I182" s="38" t="inlineStr">
        <is>
          <t>DropdownMenu playground manual verification.</t>
        </is>
      </c>
      <c r="J182" s="38" t="inlineStr">
        <is>
          <t>Complete.</t>
        </is>
      </c>
      <c r="K182" s="39">
        <f>IF(AND(E182="yes",F182="yes",H182="covered"),1,IF(H182="partial",0.5,0))</f>
        <v/>
      </c>
    </row>
    <row r="183" ht="32" customHeight="1" s="60">
      <c r="A183" s="37" t="n">
        <v>175</v>
      </c>
      <c r="B183" s="38" t="inlineStr">
        <is>
          <t>Accessibility</t>
        </is>
      </c>
      <c r="C183" s="38" t="inlineStr">
        <is>
          <t>Relationships</t>
        </is>
      </c>
      <c r="D183" s="38" t="inlineStr">
        <is>
          <t>trigger has accessible text</t>
        </is>
      </c>
      <c r="E183" s="37" t="inlineStr">
        <is>
          <t>yes</t>
        </is>
      </c>
      <c r="F183" s="37" t="inlineStr">
        <is>
          <t>yes</t>
        </is>
      </c>
      <c r="G183" s="37" t="inlineStr">
        <is>
          <t>pass</t>
        </is>
      </c>
      <c r="H183" s="37" t="inlineStr">
        <is>
          <t>covered</t>
        </is>
      </c>
      <c r="I183" s="38" t="inlineStr">
        <is>
          <t>DropdownMenu playground manual verification.</t>
        </is>
      </c>
      <c r="J183" s="38" t="inlineStr">
        <is>
          <t>Complete.</t>
        </is>
      </c>
      <c r="K183" s="39">
        <f>IF(AND(E183="yes",F183="yes",H183="covered"),1,IF(H183="partial",0.5,0))</f>
        <v/>
      </c>
    </row>
    <row r="184" ht="32" customHeight="1" s="60">
      <c r="A184" s="37" t="n">
        <v>176</v>
      </c>
      <c r="B184" s="38" t="inlineStr">
        <is>
          <t>Accessibility</t>
        </is>
      </c>
      <c r="C184" s="38" t="inlineStr">
        <is>
          <t>Relationships</t>
        </is>
      </c>
      <c r="D184" s="38" t="inlineStr">
        <is>
          <t>trigger controls content by id</t>
        </is>
      </c>
      <c r="E184" s="37" t="inlineStr">
        <is>
          <t>yes</t>
        </is>
      </c>
      <c r="F184" s="37" t="inlineStr">
        <is>
          <t>yes</t>
        </is>
      </c>
      <c r="G184" s="37" t="inlineStr">
        <is>
          <t>pass</t>
        </is>
      </c>
      <c r="H184" s="37" t="inlineStr">
        <is>
          <t>covered</t>
        </is>
      </c>
      <c r="I184" s="38" t="inlineStr">
        <is>
          <t>DropdownMenu playground manual verification.</t>
        </is>
      </c>
      <c r="J184" s="38" t="inlineStr">
        <is>
          <t>Complete.</t>
        </is>
      </c>
      <c r="K184" s="39">
        <f>IF(AND(E184="yes",F184="yes",H184="covered"),1,IF(H184="partial",0.5,0))</f>
        <v/>
      </c>
    </row>
    <row r="185" ht="32" customHeight="1" s="60">
      <c r="A185" s="37" t="n">
        <v>177</v>
      </c>
      <c r="B185" s="38" t="inlineStr">
        <is>
          <t>Accessibility</t>
        </is>
      </c>
      <c r="C185" s="38" t="inlineStr">
        <is>
          <t>Relationships</t>
        </is>
      </c>
      <c r="D185" s="38" t="inlineStr">
        <is>
          <t>content has accessible name</t>
        </is>
      </c>
      <c r="E185" s="37" t="inlineStr">
        <is>
          <t>yes</t>
        </is>
      </c>
      <c r="F185" s="37" t="inlineStr">
        <is>
          <t>yes</t>
        </is>
      </c>
      <c r="G185" s="37" t="inlineStr">
        <is>
          <t>pass</t>
        </is>
      </c>
      <c r="H185" s="37" t="inlineStr">
        <is>
          <t>covered</t>
        </is>
      </c>
      <c r="I185" s="38" t="inlineStr">
        <is>
          <t>DropdownMenu playground manual verification.</t>
        </is>
      </c>
      <c r="J185" s="38" t="inlineStr">
        <is>
          <t>Complete.</t>
        </is>
      </c>
      <c r="K185" s="39">
        <f>IF(AND(E185="yes",F185="yes",H185="covered"),1,IF(H185="partial",0.5,0))</f>
        <v/>
      </c>
    </row>
    <row r="186" ht="32" customHeight="1" s="60">
      <c r="A186" s="37" t="n">
        <v>178</v>
      </c>
      <c r="B186" s="38" t="inlineStr">
        <is>
          <t>Accessibility</t>
        </is>
      </c>
      <c r="C186" s="38" t="inlineStr">
        <is>
          <t>Relationships</t>
        </is>
      </c>
      <c r="D186" s="38" t="inlineStr">
        <is>
          <t>content references trigger when unnamed</t>
        </is>
      </c>
      <c r="E186" s="37" t="inlineStr">
        <is>
          <t>yes</t>
        </is>
      </c>
      <c r="F186" s="37" t="inlineStr">
        <is>
          <t>yes</t>
        </is>
      </c>
      <c r="G186" s="37" t="inlineStr">
        <is>
          <t>pass</t>
        </is>
      </c>
      <c r="H186" s="37" t="inlineStr">
        <is>
          <t>covered</t>
        </is>
      </c>
      <c r="I186" s="38" t="inlineStr">
        <is>
          <t>DropdownMenu playground manual verification.</t>
        </is>
      </c>
      <c r="J186" s="38" t="inlineStr">
        <is>
          <t>Complete.</t>
        </is>
      </c>
      <c r="K186" s="39">
        <f>IF(AND(E186="yes",F186="yes",H186="covered"),1,IF(H186="partial",0.5,0))</f>
        <v/>
      </c>
    </row>
    <row r="187" ht="32" customHeight="1" s="60">
      <c r="A187" s="37" t="n">
        <v>179</v>
      </c>
      <c r="B187" s="38" t="inlineStr">
        <is>
          <t>Accessibility</t>
        </is>
      </c>
      <c r="C187" s="38" t="inlineStr">
        <is>
          <t>Relationships</t>
        </is>
      </c>
      <c r="D187" s="38" t="inlineStr">
        <is>
          <t>sub content references sub trigger when unnamed</t>
        </is>
      </c>
      <c r="E187" s="37" t="inlineStr">
        <is>
          <t>yes</t>
        </is>
      </c>
      <c r="F187" s="37" t="inlineStr">
        <is>
          <t>yes</t>
        </is>
      </c>
      <c r="G187" s="37" t="inlineStr">
        <is>
          <t>pass</t>
        </is>
      </c>
      <c r="H187" s="37" t="inlineStr">
        <is>
          <t>covered</t>
        </is>
      </c>
      <c r="I187" s="38" t="inlineStr">
        <is>
          <t>DropdownMenu playground manual verification.</t>
        </is>
      </c>
      <c r="J187" s="38" t="inlineStr">
        <is>
          <t>Complete.</t>
        </is>
      </c>
      <c r="K187" s="39">
        <f>IF(AND(E187="yes",F187="yes",H187="covered"),1,IF(H187="partial",0.5,0))</f>
        <v/>
      </c>
    </row>
    <row r="188" ht="32" customHeight="1" s="60">
      <c r="A188" s="37" t="n">
        <v>180</v>
      </c>
      <c r="B188" s="38" t="inlineStr">
        <is>
          <t>Accessibility</t>
        </is>
      </c>
      <c r="C188" s="38" t="inlineStr">
        <is>
          <t>Relationships</t>
        </is>
      </c>
      <c r="D188" s="38" t="inlineStr">
        <is>
          <t>checked states are exposed through aria-checked</t>
        </is>
      </c>
      <c r="E188" s="37" t="inlineStr">
        <is>
          <t>yes</t>
        </is>
      </c>
      <c r="F188" s="37" t="inlineStr">
        <is>
          <t>yes</t>
        </is>
      </c>
      <c r="G188" s="37" t="inlineStr">
        <is>
          <t>pass</t>
        </is>
      </c>
      <c r="H188" s="37" t="inlineStr">
        <is>
          <t>covered</t>
        </is>
      </c>
      <c r="I188" s="38" t="inlineStr">
        <is>
          <t>DropdownMenu playground manual verification.</t>
        </is>
      </c>
      <c r="J188" s="38" t="inlineStr">
        <is>
          <t>Complete.</t>
        </is>
      </c>
      <c r="K188" s="39">
        <f>IF(AND(E188="yes",F188="yes",H188="covered"),1,IF(H188="partial",0.5,0))</f>
        <v/>
      </c>
    </row>
    <row r="189" ht="32" customHeight="1" s="60">
      <c r="A189" s="37" t="n">
        <v>181</v>
      </c>
      <c r="B189" s="38" t="inlineStr">
        <is>
          <t>Accessibility</t>
        </is>
      </c>
      <c r="C189" s="38" t="inlineStr">
        <is>
          <t>Relationships</t>
        </is>
      </c>
      <c r="D189" s="38" t="inlineStr">
        <is>
          <t>disabled states are exposed through aria-disabled</t>
        </is>
      </c>
      <c r="E189" s="37" t="inlineStr">
        <is>
          <t>yes</t>
        </is>
      </c>
      <c r="F189" s="37" t="inlineStr">
        <is>
          <t>yes</t>
        </is>
      </c>
      <c r="G189" s="37" t="inlineStr">
        <is>
          <t>pass</t>
        </is>
      </c>
      <c r="H189" s="37" t="inlineStr">
        <is>
          <t>covered</t>
        </is>
      </c>
      <c r="I189" s="38" t="inlineStr">
        <is>
          <t>DropdownMenu playground manual verification.</t>
        </is>
      </c>
      <c r="J189" s="38" t="inlineStr">
        <is>
          <t>Complete.</t>
        </is>
      </c>
      <c r="K189" s="39">
        <f>IF(AND(E189="yes",F189="yes",H189="covered"),1,IF(H189="partial",0.5,0))</f>
        <v/>
      </c>
    </row>
    <row r="190" ht="32" customHeight="1" s="60">
      <c r="A190" s="37" t="n">
        <v>182</v>
      </c>
      <c r="B190" s="38" t="inlineStr">
        <is>
          <t>Accessibility</t>
        </is>
      </c>
      <c r="C190" s="38" t="inlineStr">
        <is>
          <t>Relationships</t>
        </is>
      </c>
      <c r="D190" s="38" t="inlineStr">
        <is>
          <t>focus stays inside modal parent when opened inside Dialog</t>
        </is>
      </c>
      <c r="E190" s="37" t="inlineStr">
        <is>
          <t>yes</t>
        </is>
      </c>
      <c r="F190" s="37" t="inlineStr">
        <is>
          <t>yes</t>
        </is>
      </c>
      <c r="G190" s="37" t="inlineStr">
        <is>
          <t>pass</t>
        </is>
      </c>
      <c r="H190" s="37" t="inlineStr">
        <is>
          <t>covered</t>
        </is>
      </c>
      <c r="I190" s="38" t="inlineStr">
        <is>
          <t>DropdownMenu playground manual verification.</t>
        </is>
      </c>
      <c r="J190" s="38" t="inlineStr">
        <is>
          <t>Complete.</t>
        </is>
      </c>
      <c r="K190" s="39">
        <f>IF(AND(E190="yes",F190="yes",H190="covered"),1,IF(H190="partial",0.5,0))</f>
        <v/>
      </c>
    </row>
    <row r="191" ht="32" customHeight="1" s="60">
      <c r="A191" s="37" t="n">
        <v>183</v>
      </c>
      <c r="B191" s="38" t="inlineStr">
        <is>
          <t>Accessibility</t>
        </is>
      </c>
      <c r="C191" s="38" t="inlineStr">
        <is>
          <t>Relationships</t>
        </is>
      </c>
      <c r="D191" s="38" t="inlineStr">
        <is>
          <t>portalled dropdown registers with parent modal focus scope</t>
        </is>
      </c>
      <c r="E191" s="37" t="inlineStr">
        <is>
          <t>yes</t>
        </is>
      </c>
      <c r="F191" s="37" t="inlineStr">
        <is>
          <t>yes</t>
        </is>
      </c>
      <c r="G191" s="37" t="inlineStr">
        <is>
          <t>pass</t>
        </is>
      </c>
      <c r="H191" s="37" t="inlineStr">
        <is>
          <t>covered</t>
        </is>
      </c>
      <c r="I191" s="38" t="inlineStr">
        <is>
          <t>DropdownMenu playground manual verification.</t>
        </is>
      </c>
      <c r="J191" s="38" t="inlineStr">
        <is>
          <t>Complete.</t>
        </is>
      </c>
      <c r="K191" s="39">
        <f>IF(AND(E191="yes",F191="yes",H191="covered"),1,IF(H191="partial",0.5,0))</f>
        <v/>
      </c>
    </row>
    <row r="192" ht="32" customHeight="1" s="60">
      <c r="A192" s="37" t="n">
        <v>184</v>
      </c>
      <c r="B192" s="38" t="inlineStr">
        <is>
          <t>Accessibility</t>
        </is>
      </c>
      <c r="C192" s="38" t="inlineStr">
        <is>
          <t>Relationships</t>
        </is>
      </c>
      <c r="D192" s="38" t="inlineStr">
        <is>
          <t>nested dropdown Escape does not close parent overlay</t>
        </is>
      </c>
      <c r="E192" s="37" t="inlineStr">
        <is>
          <t>yes</t>
        </is>
      </c>
      <c r="F192" s="37" t="inlineStr">
        <is>
          <t>yes</t>
        </is>
      </c>
      <c r="G192" s="37" t="inlineStr">
        <is>
          <t>pass</t>
        </is>
      </c>
      <c r="H192" s="37" t="inlineStr">
        <is>
          <t>covered</t>
        </is>
      </c>
      <c r="I192" s="38" t="inlineStr">
        <is>
          <t>DropdownMenu playground manual verification.</t>
        </is>
      </c>
      <c r="J192" s="38" t="inlineStr">
        <is>
          <t>Complete.</t>
        </is>
      </c>
      <c r="K192" s="39">
        <f>IF(AND(E192="yes",F192="yes",H192="covered"),1,IF(H192="partial",0.5,0))</f>
        <v/>
      </c>
    </row>
    <row r="193" ht="32" customHeight="1" s="60">
      <c r="A193" s="37" t="n">
        <v>185</v>
      </c>
      <c r="B193" s="38" t="inlineStr">
        <is>
          <t>Composition</t>
        </is>
      </c>
      <c r="C193" s="38" t="inlineStr">
        <is>
          <t>Trigger Composition</t>
        </is>
      </c>
      <c r="D193" s="38" t="inlineStr">
        <is>
          <t>trigger asChild preserves child content</t>
        </is>
      </c>
      <c r="E193" s="37" t="inlineStr">
        <is>
          <t>yes</t>
        </is>
      </c>
      <c r="F193" s="37" t="inlineStr">
        <is>
          <t>yes</t>
        </is>
      </c>
      <c r="G193" s="37" t="inlineStr">
        <is>
          <t>pass</t>
        </is>
      </c>
      <c r="H193" s="37" t="inlineStr">
        <is>
          <t>covered</t>
        </is>
      </c>
      <c r="I193" s="38" t="inlineStr">
        <is>
          <t>DropdownMenu playground manual verification.</t>
        </is>
      </c>
      <c r="J193" s="38" t="inlineStr">
        <is>
          <t>Complete.</t>
        </is>
      </c>
      <c r="K193" s="39">
        <f>IF(AND(E193="yes",F193="yes",H193="covered"),1,IF(H193="partial",0.5,0))</f>
        <v/>
      </c>
    </row>
    <row r="194" ht="32" customHeight="1" s="60">
      <c r="A194" s="37" t="n">
        <v>186</v>
      </c>
      <c r="B194" s="38" t="inlineStr">
        <is>
          <t>Composition</t>
        </is>
      </c>
      <c r="C194" s="38" t="inlineStr">
        <is>
          <t>Trigger Composition</t>
        </is>
      </c>
      <c r="D194" s="38" t="inlineStr">
        <is>
          <t>trigger render preserves child content</t>
        </is>
      </c>
      <c r="E194" s="37" t="inlineStr">
        <is>
          <t>yes</t>
        </is>
      </c>
      <c r="F194" s="37" t="inlineStr">
        <is>
          <t>yes</t>
        </is>
      </c>
      <c r="G194" s="37" t="inlineStr">
        <is>
          <t>pass</t>
        </is>
      </c>
      <c r="H194" s="37" t="inlineStr">
        <is>
          <t>covered</t>
        </is>
      </c>
      <c r="I194" s="38" t="inlineStr">
        <is>
          <t>DropdownMenu playground manual verification.</t>
        </is>
      </c>
      <c r="J194" s="38" t="inlineStr">
        <is>
          <t>Complete.</t>
        </is>
      </c>
      <c r="K194" s="39">
        <f>IF(AND(E194="yes",F194="yes",H194="covered"),1,IF(H194="partial",0.5,0))</f>
        <v/>
      </c>
    </row>
    <row r="195" ht="32" customHeight="1" s="60">
      <c r="A195" s="37" t="n">
        <v>187</v>
      </c>
      <c r="B195" s="38" t="inlineStr">
        <is>
          <t>Composition</t>
        </is>
      </c>
      <c r="C195" s="38" t="inlineStr">
        <is>
          <t>Trigger Composition</t>
        </is>
      </c>
      <c r="D195" s="38" t="inlineStr">
        <is>
          <t>trigger consumer event can block open</t>
        </is>
      </c>
      <c r="E195" s="37" t="inlineStr">
        <is>
          <t>yes</t>
        </is>
      </c>
      <c r="F195" s="37" t="inlineStr">
        <is>
          <t>yes</t>
        </is>
      </c>
      <c r="G195" s="37" t="inlineStr">
        <is>
          <t>pass</t>
        </is>
      </c>
      <c r="H195" s="37" t="inlineStr">
        <is>
          <t>covered</t>
        </is>
      </c>
      <c r="I195" s="38" t="inlineStr">
        <is>
          <t>DropdownMenu playground manual verification.</t>
        </is>
      </c>
      <c r="J195" s="38" t="inlineStr">
        <is>
          <t>Complete.</t>
        </is>
      </c>
      <c r="K195" s="39">
        <f>IF(AND(E195="yes",F195="yes",H195="covered"),1,IF(H195="partial",0.5,0))</f>
        <v/>
      </c>
    </row>
    <row r="196" ht="32" customHeight="1" s="60">
      <c r="A196" s="37" t="n">
        <v>188</v>
      </c>
      <c r="B196" s="38" t="inlineStr">
        <is>
          <t>Composition</t>
        </is>
      </c>
      <c r="C196" s="38" t="inlineStr">
        <is>
          <t>Item Composition</t>
        </is>
      </c>
      <c r="D196" s="38" t="inlineStr">
        <is>
          <t>Item asChild preserves child content</t>
        </is>
      </c>
      <c r="E196" s="37" t="inlineStr">
        <is>
          <t>yes</t>
        </is>
      </c>
      <c r="F196" s="37" t="inlineStr">
        <is>
          <t>yes</t>
        </is>
      </c>
      <c r="G196" s="37" t="inlineStr">
        <is>
          <t>pass</t>
        </is>
      </c>
      <c r="H196" s="37" t="inlineStr">
        <is>
          <t>covered</t>
        </is>
      </c>
      <c r="I196" s="38" t="inlineStr">
        <is>
          <t>DropdownMenu playground manual verification.</t>
        </is>
      </c>
      <c r="J196" s="38" t="inlineStr">
        <is>
          <t>Complete.</t>
        </is>
      </c>
      <c r="K196" s="39">
        <f>IF(AND(E196="yes",F196="yes",H196="covered"),1,IF(H196="partial",0.5,0))</f>
        <v/>
      </c>
    </row>
    <row r="197" ht="32" customHeight="1" s="60">
      <c r="A197" s="37" t="n">
        <v>189</v>
      </c>
      <c r="B197" s="38" t="inlineStr">
        <is>
          <t>Composition</t>
        </is>
      </c>
      <c r="C197" s="38" t="inlineStr">
        <is>
          <t>Item Composition</t>
        </is>
      </c>
      <c r="D197" s="38" t="inlineStr">
        <is>
          <t>Item render preserves child content</t>
        </is>
      </c>
      <c r="E197" s="37" t="inlineStr">
        <is>
          <t>yes</t>
        </is>
      </c>
      <c r="F197" s="37" t="inlineStr">
        <is>
          <t>yes</t>
        </is>
      </c>
      <c r="G197" s="37" t="inlineStr">
        <is>
          <t>pass</t>
        </is>
      </c>
      <c r="H197" s="37" t="inlineStr">
        <is>
          <t>covered</t>
        </is>
      </c>
      <c r="I197" s="38" t="inlineStr">
        <is>
          <t>DropdownMenu playground manual verification.</t>
        </is>
      </c>
      <c r="J197" s="38" t="inlineStr">
        <is>
          <t>Complete.</t>
        </is>
      </c>
      <c r="K197" s="39">
        <f>IF(AND(E197="yes",F197="yes",H197="covered"),1,IF(H197="partial",0.5,0))</f>
        <v/>
      </c>
    </row>
    <row r="198" ht="32" customHeight="1" s="60">
      <c r="A198" s="37" t="n">
        <v>190</v>
      </c>
      <c r="B198" s="38" t="inlineStr">
        <is>
          <t>Composition</t>
        </is>
      </c>
      <c r="C198" s="38" t="inlineStr">
        <is>
          <t>Item Composition</t>
        </is>
      </c>
      <c r="D198" s="38" t="inlineStr">
        <is>
          <t>Item consumer event can block selection</t>
        </is>
      </c>
      <c r="E198" s="37" t="inlineStr">
        <is>
          <t>yes</t>
        </is>
      </c>
      <c r="F198" s="37" t="inlineStr">
        <is>
          <t>yes</t>
        </is>
      </c>
      <c r="G198" s="37" t="inlineStr">
        <is>
          <t>pass</t>
        </is>
      </c>
      <c r="H198" s="37" t="inlineStr">
        <is>
          <t>covered</t>
        </is>
      </c>
      <c r="I198" s="38" t="inlineStr">
        <is>
          <t>DropdownMenu playground manual verification.</t>
        </is>
      </c>
      <c r="J198" s="38" t="inlineStr">
        <is>
          <t>Complete.</t>
        </is>
      </c>
      <c r="K198" s="39">
        <f>IF(AND(E198="yes",F198="yes",H198="covered"),1,IF(H198="partial",0.5,0))</f>
        <v/>
      </c>
    </row>
    <row r="199" ht="32" customHeight="1" s="60">
      <c r="A199" s="37" t="n">
        <v>191</v>
      </c>
      <c r="B199" s="38" t="inlineStr">
        <is>
          <t>Composition</t>
        </is>
      </c>
      <c r="C199" s="38" t="inlineStr">
        <is>
          <t>Native Props</t>
        </is>
      </c>
      <c r="D199" s="38" t="inlineStr">
        <is>
          <t>Trigger native props pass through</t>
        </is>
      </c>
      <c r="E199" s="37" t="inlineStr">
        <is>
          <t>yes</t>
        </is>
      </c>
      <c r="F199" s="37" t="inlineStr">
        <is>
          <t>yes</t>
        </is>
      </c>
      <c r="G199" s="37" t="inlineStr">
        <is>
          <t>pass</t>
        </is>
      </c>
      <c r="H199" s="37" t="inlineStr">
        <is>
          <t>covered</t>
        </is>
      </c>
      <c r="I199" s="38" t="inlineStr">
        <is>
          <t>DropdownMenu playground manual verification.</t>
        </is>
      </c>
      <c r="J199" s="38" t="inlineStr">
        <is>
          <t>Complete.</t>
        </is>
      </c>
      <c r="K199" s="39">
        <f>IF(AND(E199="yes",F199="yes",H199="covered"),1,IF(H199="partial",0.5,0))</f>
        <v/>
      </c>
    </row>
    <row r="200" ht="32" customHeight="1" s="60">
      <c r="A200" s="37" t="n">
        <v>192</v>
      </c>
      <c r="B200" s="38" t="inlineStr">
        <is>
          <t>Composition</t>
        </is>
      </c>
      <c r="C200" s="38" t="inlineStr">
        <is>
          <t>Native Props</t>
        </is>
      </c>
      <c r="D200" s="38" t="inlineStr">
        <is>
          <t>Content native props pass through</t>
        </is>
      </c>
      <c r="E200" s="37" t="inlineStr">
        <is>
          <t>yes</t>
        </is>
      </c>
      <c r="F200" s="37" t="inlineStr">
        <is>
          <t>yes</t>
        </is>
      </c>
      <c r="G200" s="37" t="inlineStr">
        <is>
          <t>pass</t>
        </is>
      </c>
      <c r="H200" s="37" t="inlineStr">
        <is>
          <t>covered</t>
        </is>
      </c>
      <c r="I200" s="38" t="inlineStr">
        <is>
          <t>DropdownMenu playground manual verification.</t>
        </is>
      </c>
      <c r="J200" s="38" t="inlineStr">
        <is>
          <t>Complete.</t>
        </is>
      </c>
      <c r="K200" s="39">
        <f>IF(AND(E200="yes",F200="yes",H200="covered"),1,IF(H200="partial",0.5,0))</f>
        <v/>
      </c>
    </row>
    <row r="201" ht="32" customHeight="1" s="60">
      <c r="A201" s="37" t="n">
        <v>193</v>
      </c>
      <c r="B201" s="38" t="inlineStr">
        <is>
          <t>Composition</t>
        </is>
      </c>
      <c r="C201" s="38" t="inlineStr">
        <is>
          <t>Native Props</t>
        </is>
      </c>
      <c r="D201" s="38" t="inlineStr">
        <is>
          <t>CheckboxItem native props pass through</t>
        </is>
      </c>
      <c r="E201" s="37" t="inlineStr">
        <is>
          <t>yes</t>
        </is>
      </c>
      <c r="F201" s="37" t="inlineStr">
        <is>
          <t>yes</t>
        </is>
      </c>
      <c r="G201" s="37" t="inlineStr">
        <is>
          <t>pass</t>
        </is>
      </c>
      <c r="H201" s="37" t="inlineStr">
        <is>
          <t>covered</t>
        </is>
      </c>
      <c r="I201" s="38" t="inlineStr">
        <is>
          <t>DropdownMenu playground manual verification.</t>
        </is>
      </c>
      <c r="J201" s="38" t="inlineStr">
        <is>
          <t>Complete.</t>
        </is>
      </c>
      <c r="K201" s="39">
        <f>IF(AND(E201="yes",F201="yes",H201="covered"),1,IF(H201="partial",0.5,0))</f>
        <v/>
      </c>
    </row>
    <row r="202" ht="32" customHeight="1" s="60">
      <c r="A202" s="37" t="n">
        <v>194</v>
      </c>
      <c r="B202" s="38" t="inlineStr">
        <is>
          <t>Composition</t>
        </is>
      </c>
      <c r="C202" s="38" t="inlineStr">
        <is>
          <t>Native Props</t>
        </is>
      </c>
      <c r="D202" s="38" t="inlineStr">
        <is>
          <t>RadioItem native props pass through</t>
        </is>
      </c>
      <c r="E202" s="37" t="inlineStr">
        <is>
          <t>yes</t>
        </is>
      </c>
      <c r="F202" s="37" t="inlineStr">
        <is>
          <t>yes</t>
        </is>
      </c>
      <c r="G202" s="37" t="inlineStr">
        <is>
          <t>pass</t>
        </is>
      </c>
      <c r="H202" s="37" t="inlineStr">
        <is>
          <t>covered</t>
        </is>
      </c>
      <c r="I202" s="38" t="inlineStr">
        <is>
          <t>DropdownMenu playground manual verification.</t>
        </is>
      </c>
      <c r="J202" s="38" t="inlineStr">
        <is>
          <t>Complete.</t>
        </is>
      </c>
      <c r="K202" s="39">
        <f>IF(AND(E202="yes",F202="yes",H202="covered"),1,IF(H202="partial",0.5,0))</f>
        <v/>
      </c>
    </row>
    <row r="203" ht="32" customHeight="1" s="60">
      <c r="A203" s="37" t="n">
        <v>195</v>
      </c>
      <c r="B203" s="38" t="inlineStr">
        <is>
          <t>Composition</t>
        </is>
      </c>
      <c r="C203" s="38" t="inlineStr">
        <is>
          <t>Native Props</t>
        </is>
      </c>
      <c r="D203" s="38" t="inlineStr">
        <is>
          <t>SubContent native props pass through</t>
        </is>
      </c>
      <c r="E203" s="37" t="inlineStr">
        <is>
          <t>yes</t>
        </is>
      </c>
      <c r="F203" s="37" t="inlineStr">
        <is>
          <t>yes</t>
        </is>
      </c>
      <c r="G203" s="37" t="inlineStr">
        <is>
          <t>pass</t>
        </is>
      </c>
      <c r="H203" s="37" t="inlineStr">
        <is>
          <t>covered</t>
        </is>
      </c>
      <c r="I203" s="38" t="inlineStr">
        <is>
          <t>DropdownMenu playground manual verification.</t>
        </is>
      </c>
      <c r="J203" s="38" t="inlineStr">
        <is>
          <t>Complete.</t>
        </is>
      </c>
      <c r="K203" s="39">
        <f>IF(AND(E203="yes",F203="yes",H203="covered"),1,IF(H203="partial",0.5,0))</f>
        <v/>
      </c>
    </row>
    <row r="204" ht="32" customHeight="1" s="60">
      <c r="A204" s="37" t="n">
        <v>196</v>
      </c>
      <c r="B204" s="38" t="inlineStr">
        <is>
          <t>Styling Hooks</t>
        </is>
      </c>
      <c r="C204" s="38" t="inlineStr">
        <is>
          <t>Data Attributes</t>
        </is>
      </c>
      <c r="D204" s="38" t="inlineStr">
        <is>
          <t>trigger open state visible through data-state</t>
        </is>
      </c>
      <c r="E204" s="37" t="inlineStr">
        <is>
          <t>yes</t>
        </is>
      </c>
      <c r="F204" s="37" t="inlineStr">
        <is>
          <t>yes</t>
        </is>
      </c>
      <c r="G204" s="37" t="inlineStr">
        <is>
          <t>pass</t>
        </is>
      </c>
      <c r="H204" s="37" t="inlineStr">
        <is>
          <t>covered</t>
        </is>
      </c>
      <c r="I204" s="38" t="inlineStr">
        <is>
          <t>DropdownMenu playground manual verification.</t>
        </is>
      </c>
      <c r="J204" s="38" t="inlineStr">
        <is>
          <t>Complete.</t>
        </is>
      </c>
      <c r="K204" s="39">
        <f>IF(AND(E204="yes",F204="yes",H204="covered"),1,IF(H204="partial",0.5,0))</f>
        <v/>
      </c>
    </row>
    <row r="205" ht="32" customHeight="1" s="60">
      <c r="A205" s="37" t="n">
        <v>197</v>
      </c>
      <c r="B205" s="38" t="inlineStr">
        <is>
          <t>Styling Hooks</t>
        </is>
      </c>
      <c r="C205" s="38" t="inlineStr">
        <is>
          <t>Data Attributes</t>
        </is>
      </c>
      <c r="D205" s="38" t="inlineStr">
        <is>
          <t>content open state visible through data-state</t>
        </is>
      </c>
      <c r="E205" s="37" t="inlineStr">
        <is>
          <t>yes</t>
        </is>
      </c>
      <c r="F205" s="37" t="inlineStr">
        <is>
          <t>yes</t>
        </is>
      </c>
      <c r="G205" s="37" t="inlineStr">
        <is>
          <t>pass</t>
        </is>
      </c>
      <c r="H205" s="37" t="inlineStr">
        <is>
          <t>covered</t>
        </is>
      </c>
      <c r="I205" s="38" t="inlineStr">
        <is>
          <t>DropdownMenu playground manual verification.</t>
        </is>
      </c>
      <c r="J205" s="38" t="inlineStr">
        <is>
          <t>Complete.</t>
        </is>
      </c>
      <c r="K205" s="39">
        <f>IF(AND(E205="yes",F205="yes",H205="covered"),1,IF(H205="partial",0.5,0))</f>
        <v/>
      </c>
    </row>
    <row r="206" ht="32" customHeight="1" s="60">
      <c r="A206" s="37" t="n">
        <v>198</v>
      </c>
      <c r="B206" s="38" t="inlineStr">
        <is>
          <t>Styling Hooks</t>
        </is>
      </c>
      <c r="C206" s="38" t="inlineStr">
        <is>
          <t>Data Attributes</t>
        </is>
      </c>
      <c r="D206" s="38" t="inlineStr">
        <is>
          <t>highlighted item visible through data-highlighted</t>
        </is>
      </c>
      <c r="E206" s="37" t="inlineStr">
        <is>
          <t>yes</t>
        </is>
      </c>
      <c r="F206" s="37" t="inlineStr">
        <is>
          <t>yes</t>
        </is>
      </c>
      <c r="G206" s="37" t="inlineStr">
        <is>
          <t>pass</t>
        </is>
      </c>
      <c r="H206" s="37" t="inlineStr">
        <is>
          <t>covered</t>
        </is>
      </c>
      <c r="I206" s="38" t="inlineStr">
        <is>
          <t>DropdownMenu playground manual verification.</t>
        </is>
      </c>
      <c r="J206" s="38" t="inlineStr">
        <is>
          <t>Complete.</t>
        </is>
      </c>
      <c r="K206" s="39">
        <f>IF(AND(E206="yes",F206="yes",H206="covered"),1,IF(H206="partial",0.5,0))</f>
        <v/>
      </c>
    </row>
    <row r="207" ht="32" customHeight="1" s="60">
      <c r="A207" s="37" t="n">
        <v>199</v>
      </c>
      <c r="B207" s="38" t="inlineStr">
        <is>
          <t>Styling Hooks</t>
        </is>
      </c>
      <c r="C207" s="38" t="inlineStr">
        <is>
          <t>Data Attributes</t>
        </is>
      </c>
      <c r="D207" s="38" t="inlineStr">
        <is>
          <t>disabled trigger visible through data-disabled</t>
        </is>
      </c>
      <c r="E207" s="37" t="inlineStr">
        <is>
          <t>yes</t>
        </is>
      </c>
      <c r="F207" s="37" t="inlineStr">
        <is>
          <t>yes</t>
        </is>
      </c>
      <c r="G207" s="37" t="inlineStr">
        <is>
          <t>pass</t>
        </is>
      </c>
      <c r="H207" s="37" t="inlineStr">
        <is>
          <t>covered</t>
        </is>
      </c>
      <c r="I207" s="38" t="inlineStr">
        <is>
          <t>DropdownMenu playground manual verification.</t>
        </is>
      </c>
      <c r="J207" s="38" t="inlineStr">
        <is>
          <t>Complete.</t>
        </is>
      </c>
      <c r="K207" s="39">
        <f>IF(AND(E207="yes",F207="yes",H207="covered"),1,IF(H207="partial",0.5,0))</f>
        <v/>
      </c>
    </row>
    <row r="208" ht="32" customHeight="1" s="60">
      <c r="A208" s="37" t="n">
        <v>200</v>
      </c>
      <c r="B208" s="38" t="inlineStr">
        <is>
          <t>Styling Hooks</t>
        </is>
      </c>
      <c r="C208" s="38" t="inlineStr">
        <is>
          <t>Data Attributes</t>
        </is>
      </c>
      <c r="D208" s="38" t="inlineStr">
        <is>
          <t>disabled item visible through data-disabled</t>
        </is>
      </c>
      <c r="E208" s="37" t="inlineStr">
        <is>
          <t>yes</t>
        </is>
      </c>
      <c r="F208" s="37" t="inlineStr">
        <is>
          <t>yes</t>
        </is>
      </c>
      <c r="G208" s="37" t="inlineStr">
        <is>
          <t>pass</t>
        </is>
      </c>
      <c r="H208" s="37" t="inlineStr">
        <is>
          <t>covered</t>
        </is>
      </c>
      <c r="I208" s="38" t="inlineStr">
        <is>
          <t>DropdownMenu playground manual verification.</t>
        </is>
      </c>
      <c r="J208" s="38" t="inlineStr">
        <is>
          <t>Complete.</t>
        </is>
      </c>
      <c r="K208" s="39">
        <f>IF(AND(E208="yes",F208="yes",H208="covered"),1,IF(H208="partial",0.5,0))</f>
        <v/>
      </c>
    </row>
    <row r="209" ht="32" customHeight="1" s="60">
      <c r="A209" s="37" t="n">
        <v>201</v>
      </c>
      <c r="B209" s="38" t="inlineStr">
        <is>
          <t>Styling Hooks</t>
        </is>
      </c>
      <c r="C209" s="38" t="inlineStr">
        <is>
          <t>Data Attributes</t>
        </is>
      </c>
      <c r="D209" s="38" t="inlineStr">
        <is>
          <t>checked item visible through data-checked</t>
        </is>
      </c>
      <c r="E209" s="37" t="inlineStr">
        <is>
          <t>yes</t>
        </is>
      </c>
      <c r="F209" s="37" t="inlineStr">
        <is>
          <t>yes</t>
        </is>
      </c>
      <c r="G209" s="37" t="inlineStr">
        <is>
          <t>pass</t>
        </is>
      </c>
      <c r="H209" s="37" t="inlineStr">
        <is>
          <t>covered</t>
        </is>
      </c>
      <c r="I209" s="38" t="inlineStr">
        <is>
          <t>DropdownMenu playground manual verification.</t>
        </is>
      </c>
      <c r="J209" s="38" t="inlineStr">
        <is>
          <t>Complete.</t>
        </is>
      </c>
      <c r="K209" s="39">
        <f>IF(AND(E209="yes",F209="yes",H209="covered"),1,IF(H209="partial",0.5,0))</f>
        <v/>
      </c>
    </row>
    <row r="210" ht="32" customHeight="1" s="60">
      <c r="A210" s="37" t="n">
        <v>202</v>
      </c>
      <c r="B210" s="38" t="inlineStr">
        <is>
          <t>Styling Hooks</t>
        </is>
      </c>
      <c r="C210" s="38" t="inlineStr">
        <is>
          <t>Data Attributes</t>
        </is>
      </c>
      <c r="D210" s="38" t="inlineStr">
        <is>
          <t>placement visible through data-side and data-align</t>
        </is>
      </c>
      <c r="E210" s="37" t="inlineStr">
        <is>
          <t>yes</t>
        </is>
      </c>
      <c r="F210" s="37" t="inlineStr">
        <is>
          <t>yes</t>
        </is>
      </c>
      <c r="G210" s="37" t="inlineStr">
        <is>
          <t>pass</t>
        </is>
      </c>
      <c r="H210" s="37" t="inlineStr">
        <is>
          <t>covered</t>
        </is>
      </c>
      <c r="I210" s="38" t="inlineStr">
        <is>
          <t>DropdownMenu playground manual verification.</t>
        </is>
      </c>
      <c r="J210" s="38" t="inlineStr">
        <is>
          <t>Complete.</t>
        </is>
      </c>
      <c r="K210" s="39">
        <f>IF(AND(E210="yes",F210="yes",H210="covered"),1,IF(H210="partial",0.5,0))</f>
        <v/>
      </c>
    </row>
    <row r="211" ht="32" customHeight="1" s="60">
      <c r="A211" s="37" t="n">
        <v>203</v>
      </c>
      <c r="B211" s="38" t="inlineStr">
        <is>
          <t>Styling Hooks</t>
        </is>
      </c>
      <c r="C211" s="38" t="inlineStr">
        <is>
          <t>Data Attributes</t>
        </is>
      </c>
      <c r="D211" s="38" t="inlineStr">
        <is>
          <t>positioned state visible through data-positioned</t>
        </is>
      </c>
      <c r="E211" s="37" t="inlineStr">
        <is>
          <t>yes</t>
        </is>
      </c>
      <c r="F211" s="37" t="inlineStr">
        <is>
          <t>yes</t>
        </is>
      </c>
      <c r="G211" s="37" t="inlineStr">
        <is>
          <t>pass</t>
        </is>
      </c>
      <c r="H211" s="37" t="inlineStr">
        <is>
          <t>covered</t>
        </is>
      </c>
      <c r="I211" s="38" t="inlineStr">
        <is>
          <t>DropdownMenu playground manual verification.</t>
        </is>
      </c>
      <c r="J211" s="38" t="inlineStr">
        <is>
          <t>Complete.</t>
        </is>
      </c>
      <c r="K211" s="39">
        <f>IF(AND(E211="yes",F211="yes",H211="covered"),1,IF(H211="partial",0.5,0))</f>
        <v/>
      </c>
    </row>
    <row r="212" ht="32" customHeight="1" s="60">
      <c r="A212" s="37" t="n">
        <v>204</v>
      </c>
      <c r="B212" s="38" t="inlineStr">
        <is>
          <t>Portal And Positioning</t>
        </is>
      </c>
      <c r="C212" s="38" t="inlineStr">
        <is>
          <t>Portal</t>
        </is>
      </c>
      <c r="D212" s="38" t="inlineStr">
        <is>
          <t>content portals to body</t>
        </is>
      </c>
      <c r="E212" s="37" t="inlineStr">
        <is>
          <t>yes</t>
        </is>
      </c>
      <c r="F212" s="37" t="inlineStr">
        <is>
          <t>yes</t>
        </is>
      </c>
      <c r="G212" s="37" t="inlineStr">
        <is>
          <t>pass</t>
        </is>
      </c>
      <c r="H212" s="37" t="inlineStr">
        <is>
          <t>covered</t>
        </is>
      </c>
      <c r="I212" s="38" t="inlineStr">
        <is>
          <t>DropdownMenu playground manual verification.</t>
        </is>
      </c>
      <c r="J212" s="38" t="inlineStr">
        <is>
          <t>Complete.</t>
        </is>
      </c>
      <c r="K212" s="39">
        <f>IF(AND(E212="yes",F212="yes",H212="covered"),1,IF(H212="partial",0.5,0))</f>
        <v/>
      </c>
    </row>
    <row r="213" ht="32" customHeight="1" s="60">
      <c r="A213" s="37" t="n">
        <v>205</v>
      </c>
      <c r="B213" s="38" t="inlineStr">
        <is>
          <t>Portal And Positioning</t>
        </is>
      </c>
      <c r="C213" s="38" t="inlineStr">
        <is>
          <t>Portal</t>
        </is>
      </c>
      <c r="D213" s="38" t="inlineStr">
        <is>
          <t>sub content portals to body</t>
        </is>
      </c>
      <c r="E213" s="37" t="inlineStr">
        <is>
          <t>yes</t>
        </is>
      </c>
      <c r="F213" s="37" t="inlineStr">
        <is>
          <t>yes</t>
        </is>
      </c>
      <c r="G213" s="37" t="inlineStr">
        <is>
          <t>pass</t>
        </is>
      </c>
      <c r="H213" s="37" t="inlineStr">
        <is>
          <t>covered</t>
        </is>
      </c>
      <c r="I213" s="38" t="inlineStr">
        <is>
          <t>DropdownMenu playground manual verification.</t>
        </is>
      </c>
      <c r="J213" s="38" t="inlineStr">
        <is>
          <t>Complete.</t>
        </is>
      </c>
      <c r="K213" s="39">
        <f>IF(AND(E213="yes",F213="yes",H213="covered"),1,IF(H213="partial",0.5,0))</f>
        <v/>
      </c>
    </row>
    <row r="214" ht="32" customHeight="1" s="60">
      <c r="A214" s="37" t="n">
        <v>206</v>
      </c>
      <c r="B214" s="38" t="inlineStr">
        <is>
          <t>Portal And Positioning</t>
        </is>
      </c>
      <c r="C214" s="38" t="inlineStr">
        <is>
          <t>Portal</t>
        </is>
      </c>
      <c r="D214" s="38" t="inlineStr">
        <is>
          <t>content positions relative to trigger</t>
        </is>
      </c>
      <c r="E214" s="37" t="inlineStr">
        <is>
          <t>yes</t>
        </is>
      </c>
      <c r="F214" s="37" t="inlineStr">
        <is>
          <t>yes</t>
        </is>
      </c>
      <c r="G214" s="37" t="inlineStr">
        <is>
          <t>pass</t>
        </is>
      </c>
      <c r="H214" s="37" t="inlineStr">
        <is>
          <t>covered</t>
        </is>
      </c>
      <c r="I214" s="38" t="inlineStr">
        <is>
          <t>DropdownMenu playground manual verification.</t>
        </is>
      </c>
      <c r="J214" s="38" t="inlineStr">
        <is>
          <t>Complete.</t>
        </is>
      </c>
      <c r="K214" s="39">
        <f>IF(AND(E214="yes",F214="yes",H214="covered"),1,IF(H214="partial",0.5,0))</f>
        <v/>
      </c>
    </row>
    <row r="215" ht="32" customHeight="1" s="60">
      <c r="A215" s="37" t="n">
        <v>207</v>
      </c>
      <c r="B215" s="38" t="inlineStr">
        <is>
          <t>Portal And Positioning</t>
        </is>
      </c>
      <c r="C215" s="38" t="inlineStr">
        <is>
          <t>Portal</t>
        </is>
      </c>
      <c r="D215" s="38" t="inlineStr">
        <is>
          <t>placement flips or shifts near viewport edge</t>
        </is>
      </c>
      <c r="E215" s="37" t="inlineStr">
        <is>
          <t>yes</t>
        </is>
      </c>
      <c r="F215" s="37" t="inlineStr">
        <is>
          <t>yes</t>
        </is>
      </c>
      <c r="G215" s="37" t="inlineStr">
        <is>
          <t>pass</t>
        </is>
      </c>
      <c r="H215" s="37" t="inlineStr">
        <is>
          <t>covered</t>
        </is>
      </c>
      <c r="I215" s="38" t="inlineStr">
        <is>
          <t>DropdownMenu playground manual verification.</t>
        </is>
      </c>
      <c r="J215" s="38" t="inlineStr">
        <is>
          <t>Complete.</t>
        </is>
      </c>
      <c r="K215" s="39">
        <f>IF(AND(E215="yes",F215="yes",H215="covered"),1,IF(H215="partial",0.5,0))</f>
        <v/>
      </c>
    </row>
    <row r="216" ht="32" customHeight="1" s="60">
      <c r="A216" s="37" t="n">
        <v>208</v>
      </c>
      <c r="B216" s="38" t="inlineStr">
        <is>
          <t>Portal And Positioning</t>
        </is>
      </c>
      <c r="C216" s="38" t="inlineStr">
        <is>
          <t>Portal</t>
        </is>
      </c>
      <c r="D216" s="38" t="inlineStr">
        <is>
          <t>dropdown works inside Dialog without focus escape</t>
        </is>
      </c>
      <c r="E216" s="37" t="inlineStr">
        <is>
          <t>yes</t>
        </is>
      </c>
      <c r="F216" s="37" t="inlineStr">
        <is>
          <t>yes</t>
        </is>
      </c>
      <c r="G216" s="37" t="inlineStr">
        <is>
          <t>pass</t>
        </is>
      </c>
      <c r="H216" s="37" t="inlineStr">
        <is>
          <t>covered</t>
        </is>
      </c>
      <c r="I216" s="38" t="inlineStr">
        <is>
          <t>DropdownMenu playground manual verification.</t>
        </is>
      </c>
      <c r="J216" s="38" t="inlineStr">
        <is>
          <t>Complete.</t>
        </is>
      </c>
      <c r="K216" s="39">
        <f>IF(AND(E216="yes",F216="yes",H216="covered"),1,IF(H216="partial",0.5,0))</f>
        <v/>
      </c>
    </row>
    <row r="217" ht="32" customHeight="1" s="60">
      <c r="A217" s="37" t="n">
        <v>209</v>
      </c>
      <c r="B217" s="38" t="inlineStr">
        <is>
          <t>Portal And Positioning</t>
        </is>
      </c>
      <c r="C217" s="38" t="inlineStr">
        <is>
          <t>Portal</t>
        </is>
      </c>
      <c r="D217" s="38" t="inlineStr">
        <is>
          <t>dropdown inside Dialog closes before Dialog on Escape</t>
        </is>
      </c>
      <c r="E217" s="37" t="inlineStr">
        <is>
          <t>yes</t>
        </is>
      </c>
      <c r="F217" s="37" t="inlineStr">
        <is>
          <t>yes</t>
        </is>
      </c>
      <c r="G217" s="37" t="inlineStr">
        <is>
          <t>pass</t>
        </is>
      </c>
      <c r="H217" s="37" t="inlineStr">
        <is>
          <t>covered</t>
        </is>
      </c>
      <c r="I217" s="38" t="inlineStr">
        <is>
          <t>DropdownMenu playground manual verification.</t>
        </is>
      </c>
      <c r="J217" s="38" t="inlineStr">
        <is>
          <t>Complete.</t>
        </is>
      </c>
      <c r="K217" s="39">
        <f>IF(AND(E217="yes",F217="yes",H217="covered"),1,IF(H217="partial",0.5,0))</f>
        <v/>
      </c>
    </row>
    <row r="218" ht="32" customHeight="1" s="60">
      <c r="A218" s="37" t="n">
        <v>210</v>
      </c>
      <c r="B218" s="38" t="inlineStr">
        <is>
          <t>Regression</t>
        </is>
      </c>
      <c r="C218" s="38" t="inlineStr">
        <is>
          <t>Recent Fixes</t>
        </is>
      </c>
      <c r="D218" s="38" t="inlineStr">
        <is>
          <t>Escape closes topmost dropdown before parent overlay</t>
        </is>
      </c>
      <c r="E218" s="37" t="inlineStr">
        <is>
          <t>yes</t>
        </is>
      </c>
      <c r="F218" s="37" t="inlineStr">
        <is>
          <t>yes</t>
        </is>
      </c>
      <c r="G218" s="37" t="inlineStr">
        <is>
          <t>pass</t>
        </is>
      </c>
      <c r="H218" s="37" t="inlineStr">
        <is>
          <t>covered</t>
        </is>
      </c>
      <c r="I218" s="38" t="inlineStr">
        <is>
          <t>DropdownMenu playground manual verification.</t>
        </is>
      </c>
      <c r="J218" s="38" t="inlineStr">
        <is>
          <t>Complete.</t>
        </is>
      </c>
      <c r="K218" s="39">
        <f>IF(AND(E218="yes",F218="yes",H218="covered"),1,IF(H218="partial",0.5,0))</f>
        <v/>
      </c>
    </row>
    <row r="219" ht="32" customHeight="1" s="60">
      <c r="A219" s="37" t="n">
        <v>211</v>
      </c>
      <c r="B219" s="38" t="inlineStr">
        <is>
          <t>Regression</t>
        </is>
      </c>
      <c r="C219" s="38" t="inlineStr">
        <is>
          <t>Recent Fixes</t>
        </is>
      </c>
      <c r="D219" s="38" t="inlineStr">
        <is>
          <t>portalled dropdown remains valid focus target inside Dialog</t>
        </is>
      </c>
      <c r="E219" s="37" t="inlineStr">
        <is>
          <t>yes</t>
        </is>
      </c>
      <c r="F219" s="37" t="inlineStr">
        <is>
          <t>yes</t>
        </is>
      </c>
      <c r="G219" s="37" t="inlineStr">
        <is>
          <t>pass</t>
        </is>
      </c>
      <c r="H219" s="37" t="inlineStr">
        <is>
          <t>covered</t>
        </is>
      </c>
      <c r="I219" s="38" t="inlineStr">
        <is>
          <t>DropdownMenu playground manual verification.</t>
        </is>
      </c>
      <c r="J219" s="38" t="inlineStr">
        <is>
          <t>Complete.</t>
        </is>
      </c>
      <c r="K219" s="39">
        <f>IF(AND(E219="yes",F219="yes",H219="covered"),1,IF(H219="partial",0.5,0))</f>
        <v/>
      </c>
    </row>
    <row r="220" ht="32" customHeight="1" s="60">
      <c r="A220" s="37" t="n">
        <v>212</v>
      </c>
      <c r="B220" s="38" t="inlineStr">
        <is>
          <t>Regression</t>
        </is>
      </c>
      <c r="C220" s="38" t="inlineStr">
        <is>
          <t>Recent Fixes</t>
        </is>
      </c>
      <c r="D220" s="38" t="inlineStr">
        <is>
          <t>trigger disabled click does not open menu</t>
        </is>
      </c>
      <c r="E220" s="37" t="inlineStr">
        <is>
          <t>yes</t>
        </is>
      </c>
      <c r="F220" s="37" t="inlineStr">
        <is>
          <t>yes</t>
        </is>
      </c>
      <c r="G220" s="37" t="inlineStr">
        <is>
          <t>pass</t>
        </is>
      </c>
      <c r="H220" s="37" t="inlineStr">
        <is>
          <t>covered</t>
        </is>
      </c>
      <c r="I220" s="38" t="inlineStr">
        <is>
          <t>DropdownMenu playground manual verification.</t>
        </is>
      </c>
      <c r="J220" s="38" t="inlineStr">
        <is>
          <t>Complete.</t>
        </is>
      </c>
      <c r="K220" s="39">
        <f>IF(AND(E220="yes",F220="yes",H220="covered"),1,IF(H220="partial",0.5,0))</f>
        <v/>
      </c>
    </row>
    <row r="221" ht="32" customHeight="1" s="60">
      <c r="A221" s="37" t="n">
        <v>213</v>
      </c>
      <c r="B221" s="38" t="inlineStr">
        <is>
          <t>Regression</t>
        </is>
      </c>
      <c r="C221" s="38" t="inlineStr">
        <is>
          <t>Recent Fixes</t>
        </is>
      </c>
      <c r="D221" s="38" t="inlineStr">
        <is>
          <t>trigger disabled asChild is removed from tab order</t>
        </is>
      </c>
      <c r="E221" s="37" t="inlineStr">
        <is>
          <t>yes</t>
        </is>
      </c>
      <c r="F221" s="37" t="inlineStr">
        <is>
          <t>yes</t>
        </is>
      </c>
      <c r="G221" s="37" t="inlineStr">
        <is>
          <t>pass</t>
        </is>
      </c>
      <c r="H221" s="37" t="inlineStr">
        <is>
          <t>covered</t>
        </is>
      </c>
      <c r="I221" s="38" t="inlineStr">
        <is>
          <t>DropdownMenu playground manual verification.</t>
        </is>
      </c>
      <c r="J221" s="38" t="inlineStr">
        <is>
          <t>Complete.</t>
        </is>
      </c>
      <c r="K221" s="39">
        <f>IF(AND(E221="yes",F221="yes",H221="covered"),1,IF(H221="partial",0.5,0))</f>
        <v/>
      </c>
    </row>
    <row r="222" ht="32" customHeight="1" s="60">
      <c r="A222" s="37" t="n">
        <v>214</v>
      </c>
      <c r="B222" s="38" t="inlineStr">
        <is>
          <t>Regression</t>
        </is>
      </c>
      <c r="C222" s="38" t="inlineStr">
        <is>
          <t>Recent Fixes</t>
        </is>
      </c>
      <c r="D222" s="38" t="inlineStr">
        <is>
          <t>pointer-opened menu does not preselect first item</t>
        </is>
      </c>
      <c r="E222" s="37" t="inlineStr">
        <is>
          <t>yes</t>
        </is>
      </c>
      <c r="F222" s="37" t="inlineStr">
        <is>
          <t>yes</t>
        </is>
      </c>
      <c r="G222" s="37" t="inlineStr">
        <is>
          <t>pass</t>
        </is>
      </c>
      <c r="H222" s="37" t="inlineStr">
        <is>
          <t>covered</t>
        </is>
      </c>
      <c r="I222" s="38" t="inlineStr">
        <is>
          <t>DropdownMenu playground manual verification.</t>
        </is>
      </c>
      <c r="J222" s="38" t="inlineStr">
        <is>
          <t>Complete.</t>
        </is>
      </c>
      <c r="K222" s="39">
        <f>IF(AND(E222="yes",F222="yes",H222="covered"),1,IF(H222="partial",0.5,0))</f>
        <v/>
      </c>
    </row>
    <row r="223" ht="32" customHeight="1" s="60">
      <c r="A223" s="37" t="n">
        <v>215</v>
      </c>
      <c r="B223" s="38" t="inlineStr">
        <is>
          <t>Regression</t>
        </is>
      </c>
      <c r="C223" s="38" t="inlineStr">
        <is>
          <t>Recent Fixes</t>
        </is>
      </c>
      <c r="D223" s="38" t="inlineStr">
        <is>
          <t>keyboard-opened menu highlights expected first or last item</t>
        </is>
      </c>
      <c r="E223" s="37" t="inlineStr">
        <is>
          <t>yes</t>
        </is>
      </c>
      <c r="F223" s="37" t="inlineStr">
        <is>
          <t>yes</t>
        </is>
      </c>
      <c r="G223" s="37" t="inlineStr">
        <is>
          <t>pass</t>
        </is>
      </c>
      <c r="H223" s="37" t="inlineStr">
        <is>
          <t>covered</t>
        </is>
      </c>
      <c r="I223" s="38" t="inlineStr">
        <is>
          <t>DropdownMenu playground manual verification.</t>
        </is>
      </c>
      <c r="J223" s="38" t="inlineStr">
        <is>
          <t>Complete.</t>
        </is>
      </c>
      <c r="K223" s="39">
        <f>IF(AND(E223="yes",F223="yes",H223="covered"),1,IF(H223="partial",0.5,0))</f>
        <v/>
      </c>
    </row>
    <row r="224" ht="32" customHeight="1" s="60">
      <c r="A224" s="37" t="n">
        <v>216</v>
      </c>
      <c r="B224" s="38" t="inlineStr">
        <is>
          <t>Regression</t>
        </is>
      </c>
      <c r="C224" s="38" t="inlineStr">
        <is>
          <t>Recent Fixes</t>
        </is>
      </c>
      <c r="D224" s="38" t="inlineStr">
        <is>
          <t>radio groups with duplicate values highlight independently</t>
        </is>
      </c>
      <c r="E224" s="37" t="inlineStr">
        <is>
          <t>yes</t>
        </is>
      </c>
      <c r="F224" s="37" t="inlineStr">
        <is>
          <t>yes</t>
        </is>
      </c>
      <c r="G224" s="37" t="inlineStr">
        <is>
          <t>pass</t>
        </is>
      </c>
      <c r="H224" s="37" t="inlineStr">
        <is>
          <t>covered</t>
        </is>
      </c>
      <c r="I224" s="38" t="inlineStr">
        <is>
          <t>DropdownMenu playground manual verification.</t>
        </is>
      </c>
      <c r="J224" s="38" t="inlineStr">
        <is>
          <t>Complete.</t>
        </is>
      </c>
      <c r="K224" s="39">
        <f>IF(AND(E224="yes",F224="yes",H224="covered"),1,IF(H224="partial",0.5,0))</f>
        <v/>
      </c>
    </row>
    <row r="225" ht="32" customHeight="1" s="60">
      <c r="A225" s="37" t="n">
        <v>217</v>
      </c>
      <c r="B225" s="38" t="inlineStr">
        <is>
          <t>Regression</t>
        </is>
      </c>
      <c r="C225" s="38" t="inlineStr">
        <is>
          <t>Recent Fixes</t>
        </is>
      </c>
      <c r="D225" s="38" t="inlineStr">
        <is>
          <t>hovering non-item content does not reset highlight to first item</t>
        </is>
      </c>
      <c r="E225" s="37" t="inlineStr">
        <is>
          <t>yes</t>
        </is>
      </c>
      <c r="F225" s="37" t="inlineStr">
        <is>
          <t>yes</t>
        </is>
      </c>
      <c r="G225" s="37" t="inlineStr">
        <is>
          <t>pass</t>
        </is>
      </c>
      <c r="H225" s="37" t="inlineStr">
        <is>
          <t>covered</t>
        </is>
      </c>
      <c r="I225" s="38" t="inlineStr">
        <is>
          <t>DropdownMenu playground manual verification.</t>
        </is>
      </c>
      <c r="J225" s="38" t="inlineStr">
        <is>
          <t>Complete.</t>
        </is>
      </c>
      <c r="K225" s="39">
        <f>IF(AND(E225="yes",F225="yes",H225="covered"),1,IF(H225="partial",0.5,0))</f>
        <v/>
      </c>
    </row>
    <row r="226" ht="32" customHeight="1" s="60">
      <c r="A226" s="37" t="n">
        <v>218</v>
      </c>
      <c r="B226" s="38" t="inlineStr">
        <is>
          <t>Regression</t>
        </is>
      </c>
      <c r="C226" s="38" t="inlineStr">
        <is>
          <t>Recent Fixes</t>
        </is>
      </c>
      <c r="D226" s="38" t="inlineStr">
        <is>
          <t>outside click closes portalled dropdown</t>
        </is>
      </c>
      <c r="E226" s="37" t="inlineStr">
        <is>
          <t>yes</t>
        </is>
      </c>
      <c r="F226" s="37" t="inlineStr">
        <is>
          <t>yes</t>
        </is>
      </c>
      <c r="G226" s="37" t="inlineStr">
        <is>
          <t>pass</t>
        </is>
      </c>
      <c r="H226" s="37" t="inlineStr">
        <is>
          <t>covered</t>
        </is>
      </c>
      <c r="I226" s="38" t="inlineStr">
        <is>
          <t>DropdownMenu playground manual verification.</t>
        </is>
      </c>
      <c r="J226" s="38" t="inlineStr">
        <is>
          <t>Complete.</t>
        </is>
      </c>
      <c r="K226" s="39">
        <f>IF(AND(E226="yes",F226="yes",H226="covered"),1,IF(H226="partial",0.5,0))</f>
        <v/>
      </c>
    </row>
    <row r="227" ht="32" customHeight="1" s="60">
      <c r="A227" s="37" t="n">
        <v>219</v>
      </c>
      <c r="B227" s="38" t="inlineStr">
        <is>
          <t>Regression</t>
        </is>
      </c>
      <c r="C227" s="38" t="inlineStr">
        <is>
          <t>Recent Fixes</t>
        </is>
      </c>
      <c r="D227" s="38" t="inlineStr">
        <is>
          <t>submenu focus returns to parent content on close</t>
        </is>
      </c>
      <c r="E227" s="37" t="inlineStr">
        <is>
          <t>yes</t>
        </is>
      </c>
      <c r="F227" s="37" t="inlineStr">
        <is>
          <t>yes</t>
        </is>
      </c>
      <c r="G227" s="37" t="inlineStr">
        <is>
          <t>pass</t>
        </is>
      </c>
      <c r="H227" s="37" t="inlineStr">
        <is>
          <t>covered</t>
        </is>
      </c>
      <c r="I227" s="38" t="inlineStr">
        <is>
          <t>DropdownMenu playground manual verification.</t>
        </is>
      </c>
      <c r="J227" s="38" t="inlineStr">
        <is>
          <t>Complete.</t>
        </is>
      </c>
      <c r="K227" s="39">
        <f>IF(AND(E227="yes",F227="yes",H227="covered"),1,IF(H227="partial",0.5,0))</f>
        <v/>
      </c>
    </row>
    <row r="228" ht="32" customHeight="1" s="60">
      <c r="A228" s="37" t="n">
        <v>220</v>
      </c>
      <c r="B228" s="38" t="inlineStr">
        <is>
          <t>Mobile</t>
        </is>
      </c>
      <c r="C228" s="38" t="inlineStr">
        <is>
          <t>Touch</t>
        </is>
      </c>
      <c r="D228" s="38" t="inlineStr">
        <is>
          <t>touch trigger opens dropdown</t>
        </is>
      </c>
      <c r="E228" s="37" t="inlineStr">
        <is>
          <t>yes</t>
        </is>
      </c>
      <c r="F228" s="37" t="inlineStr">
        <is>
          <t>yes</t>
        </is>
      </c>
      <c r="G228" s="37" t="inlineStr">
        <is>
          <t>pass</t>
        </is>
      </c>
      <c r="H228" s="37" t="inlineStr">
        <is>
          <t>covered</t>
        </is>
      </c>
      <c r="I228" s="38" t="inlineStr">
        <is>
          <t>DropdownMenu playground manual verification.</t>
        </is>
      </c>
      <c r="J228" s="38" t="inlineStr">
        <is>
          <t>Complete.</t>
        </is>
      </c>
      <c r="K228" s="39">
        <f>IF(AND(E228="yes",F228="yes",H228="covered"),1,IF(H228="partial",0.5,0))</f>
        <v/>
      </c>
    </row>
    <row r="229" ht="32" customHeight="1" s="60">
      <c r="A229" s="37" t="n">
        <v>221</v>
      </c>
      <c r="B229" s="38" t="inlineStr">
        <is>
          <t>Mobile</t>
        </is>
      </c>
      <c r="C229" s="38" t="inlineStr">
        <is>
          <t>Touch</t>
        </is>
      </c>
      <c r="D229" s="38" t="inlineStr">
        <is>
          <t>touch trigger closes open dropdown</t>
        </is>
      </c>
      <c r="E229" s="37" t="inlineStr">
        <is>
          <t>yes</t>
        </is>
      </c>
      <c r="F229" s="37" t="inlineStr">
        <is>
          <t>yes</t>
        </is>
      </c>
      <c r="G229" s="37" t="inlineStr">
        <is>
          <t>pass</t>
        </is>
      </c>
      <c r="H229" s="37" t="inlineStr">
        <is>
          <t>covered</t>
        </is>
      </c>
      <c r="I229" s="38" t="inlineStr">
        <is>
          <t>DropdownMenu playground manual verification.</t>
        </is>
      </c>
      <c r="J229" s="38" t="inlineStr">
        <is>
          <t>Complete.</t>
        </is>
      </c>
      <c r="K229" s="39">
        <f>IF(AND(E229="yes",F229="yes",H229="covered"),1,IF(H229="partial",0.5,0))</f>
        <v/>
      </c>
    </row>
    <row r="230" ht="32" customHeight="1" s="60">
      <c r="A230" s="37" t="n">
        <v>222</v>
      </c>
      <c r="B230" s="38" t="inlineStr">
        <is>
          <t>Mobile</t>
        </is>
      </c>
      <c r="C230" s="38" t="inlineStr">
        <is>
          <t>Touch</t>
        </is>
      </c>
      <c r="D230" s="38" t="inlineStr">
        <is>
          <t>touch selects action item</t>
        </is>
      </c>
      <c r="E230" s="37" t="inlineStr">
        <is>
          <t>yes</t>
        </is>
      </c>
      <c r="F230" s="37" t="inlineStr">
        <is>
          <t>yes</t>
        </is>
      </c>
      <c r="G230" s="37" t="inlineStr">
        <is>
          <t>pass</t>
        </is>
      </c>
      <c r="H230" s="37" t="inlineStr">
        <is>
          <t>covered</t>
        </is>
      </c>
      <c r="I230" s="38" t="inlineStr">
        <is>
          <t>DropdownMenu playground manual verification.</t>
        </is>
      </c>
      <c r="J230" s="38" t="inlineStr">
        <is>
          <t>Complete.</t>
        </is>
      </c>
      <c r="K230" s="39">
        <f>IF(AND(E230="yes",F230="yes",H230="covered"),1,IF(H230="partial",0.5,0))</f>
        <v/>
      </c>
    </row>
    <row r="231" ht="32" customHeight="1" s="60">
      <c r="A231" s="37" t="n">
        <v>223</v>
      </c>
      <c r="B231" s="38" t="inlineStr">
        <is>
          <t>Mobile</t>
        </is>
      </c>
      <c r="C231" s="38" t="inlineStr">
        <is>
          <t>Touch</t>
        </is>
      </c>
      <c r="D231" s="38" t="inlineStr">
        <is>
          <t>touch toggles checkbox item</t>
        </is>
      </c>
      <c r="E231" s="37" t="inlineStr">
        <is>
          <t>yes</t>
        </is>
      </c>
      <c r="F231" s="37" t="inlineStr">
        <is>
          <t>yes</t>
        </is>
      </c>
      <c r="G231" s="37" t="inlineStr">
        <is>
          <t>pass</t>
        </is>
      </c>
      <c r="H231" s="37" t="inlineStr">
        <is>
          <t>covered</t>
        </is>
      </c>
      <c r="I231" s="38" t="inlineStr">
        <is>
          <t>DropdownMenu playground manual verification.</t>
        </is>
      </c>
      <c r="J231" s="38" t="inlineStr">
        <is>
          <t>Complete.</t>
        </is>
      </c>
      <c r="K231" s="39">
        <f>IF(AND(E231="yes",F231="yes",H231="covered"),1,IF(H231="partial",0.5,0))</f>
        <v/>
      </c>
    </row>
    <row r="232" ht="32" customHeight="1" s="60">
      <c r="A232" s="37" t="n">
        <v>224</v>
      </c>
      <c r="B232" s="38" t="inlineStr">
        <is>
          <t>Mobile</t>
        </is>
      </c>
      <c r="C232" s="38" t="inlineStr">
        <is>
          <t>Touch</t>
        </is>
      </c>
      <c r="D232" s="38" t="inlineStr">
        <is>
          <t>touch selects radio item</t>
        </is>
      </c>
      <c r="E232" s="37" t="inlineStr">
        <is>
          <t>yes</t>
        </is>
      </c>
      <c r="F232" s="37" t="inlineStr">
        <is>
          <t>yes</t>
        </is>
      </c>
      <c r="G232" s="37" t="inlineStr">
        <is>
          <t>pass</t>
        </is>
      </c>
      <c r="H232" s="37" t="inlineStr">
        <is>
          <t>covered</t>
        </is>
      </c>
      <c r="I232" s="38" t="inlineStr">
        <is>
          <t>DropdownMenu playground manual verification.</t>
        </is>
      </c>
      <c r="J232" s="38" t="inlineStr">
        <is>
          <t>Complete.</t>
        </is>
      </c>
      <c r="K232" s="39">
        <f>IF(AND(E232="yes",F232="yes",H232="covered"),1,IF(H232="partial",0.5,0))</f>
        <v/>
      </c>
    </row>
    <row r="233" ht="30" customHeight="1" s="60">
      <c r="A233" s="37" t="n">
        <v>225</v>
      </c>
      <c r="B233" s="38" t="inlineStr">
        <is>
          <t>Mobile</t>
        </is>
      </c>
      <c r="C233" s="38" t="inlineStr">
        <is>
          <t>Touch</t>
        </is>
      </c>
      <c r="D233" s="38" t="inlineStr">
        <is>
          <t>touch opens submenu</t>
        </is>
      </c>
      <c r="E233" s="37" t="inlineStr">
        <is>
          <t>yes</t>
        </is>
      </c>
      <c r="F233" s="37" t="inlineStr">
        <is>
          <t>yes</t>
        </is>
      </c>
      <c r="G233" s="37" t="inlineStr">
        <is>
          <t>pass</t>
        </is>
      </c>
      <c r="H233" s="37" t="inlineStr">
        <is>
          <t>covered</t>
        </is>
      </c>
      <c r="I233" s="38" t="inlineStr">
        <is>
          <t>DropdownMenu playground manual verification.</t>
        </is>
      </c>
      <c r="J233" s="38" t="inlineStr">
        <is>
          <t>Complete.</t>
        </is>
      </c>
      <c r="K233" s="39">
        <f>IF(AND(E233="yes",F233="yes",H233="covered"),1,IF(H233="partial",0.5,0))</f>
        <v/>
      </c>
    </row>
    <row r="234" ht="30" customHeight="1" s="60">
      <c r="A234" s="37" t="n">
        <v>226</v>
      </c>
      <c r="B234" s="38" t="inlineStr">
        <is>
          <t>Mobile</t>
        </is>
      </c>
      <c r="C234" s="38" t="inlineStr">
        <is>
          <t>Touch</t>
        </is>
      </c>
      <c r="D234" s="38" t="inlineStr">
        <is>
          <t>outside touch closes dropdown</t>
        </is>
      </c>
      <c r="E234" s="37" t="inlineStr">
        <is>
          <t>yes</t>
        </is>
      </c>
      <c r="F234" s="37" t="inlineStr">
        <is>
          <t>yes</t>
        </is>
      </c>
      <c r="G234" s="37" t="inlineStr">
        <is>
          <t>pass</t>
        </is>
      </c>
      <c r="H234" s="37" t="inlineStr">
        <is>
          <t>covered</t>
        </is>
      </c>
      <c r="I234" s="38" t="inlineStr">
        <is>
          <t>DropdownMenu playground manual verification.</t>
        </is>
      </c>
      <c r="J234" s="38" t="inlineStr">
        <is>
          <t>Complete.</t>
        </is>
      </c>
      <c r="K234" s="39">
        <f>IF(AND(E234="yes",F234="yes",H234="covered"),1,IF(H234="partial",0.5,0))</f>
        <v/>
      </c>
    </row>
    <row r="235" ht="30" customHeight="1" s="60">
      <c r="A235" s="37" t="n">
        <v>227</v>
      </c>
      <c r="B235" s="38" t="inlineStr">
        <is>
          <t>Keyboard</t>
        </is>
      </c>
      <c r="C235" s="38" t="inlineStr">
        <is>
          <t>Typeahead</t>
        </is>
      </c>
      <c r="D235" s="38" t="inlineStr">
        <is>
          <t>single-character typeahead cycles from current matching item after buffer reset</t>
        </is>
      </c>
      <c r="E235" s="37" t="inlineStr">
        <is>
          <t>yes</t>
        </is>
      </c>
      <c r="F235" s="37" t="inlineStr">
        <is>
          <t>yes</t>
        </is>
      </c>
      <c r="G235" s="37" t="inlineStr">
        <is>
          <t>pass</t>
        </is>
      </c>
      <c r="H235" s="37" t="inlineStr">
        <is>
          <t>covered</t>
        </is>
      </c>
      <c r="I235" s="38" t="inlineStr">
        <is>
          <t>DropdownMenu playground manual verification.</t>
        </is>
      </c>
      <c r="J235" s="38" t="inlineStr">
        <is>
          <t>Complete.</t>
        </is>
      </c>
      <c r="K235" s="39">
        <f>IF(AND(E235="yes",F235="yes",H235="covered"),1,IF(H235="partial",0.5,0))</f>
        <v/>
      </c>
    </row>
    <row r="236" ht="30" customHeight="1" s="60">
      <c r="A236" s="37" t="n">
        <v>228</v>
      </c>
      <c r="B236" s="38" t="inlineStr">
        <is>
          <t>Direction</t>
        </is>
      </c>
      <c r="C236" s="38" t="inlineStr">
        <is>
          <t>Submenu</t>
        </is>
      </c>
      <c r="D236" s="38" t="inlineStr">
        <is>
          <t>reads Direction.Provider context for submenu keyboard behavior</t>
        </is>
      </c>
      <c r="E236" s="37" t="inlineStr">
        <is>
          <t>yes</t>
        </is>
      </c>
      <c r="F236" s="37" t="inlineStr">
        <is>
          <t>yes</t>
        </is>
      </c>
      <c r="G236" s="37" t="inlineStr">
        <is>
          <t>pass</t>
        </is>
      </c>
      <c r="H236" s="37" t="inlineStr">
        <is>
          <t>covered</t>
        </is>
      </c>
      <c r="I236" s="38" t="inlineStr">
        <is>
          <t>DropdownMenu playground manual verification.</t>
        </is>
      </c>
      <c r="J236" s="38" t="inlineStr">
        <is>
          <t>Complete.</t>
        </is>
      </c>
      <c r="K236" s="39">
        <f>IF(AND(E236="yes",F236="yes",H236="covered"),1,IF(H236="partial",0.5,0))</f>
        <v/>
      </c>
    </row>
    <row r="237" ht="30" customHeight="1" s="60">
      <c r="A237" s="37" t="n">
        <v>229</v>
      </c>
      <c r="B237" s="38" t="inlineStr">
        <is>
          <t>Direction</t>
        </is>
      </c>
      <c r="C237" s="38" t="inlineStr">
        <is>
          <t>Submenu</t>
        </is>
      </c>
      <c r="D237" s="38" t="inlineStr">
        <is>
          <t>RTL mirrors submenu ArrowLeft and ArrowRight open/close behavior</t>
        </is>
      </c>
      <c r="E237" s="37" t="inlineStr">
        <is>
          <t>yes</t>
        </is>
      </c>
      <c r="F237" s="37" t="inlineStr">
        <is>
          <t>yes</t>
        </is>
      </c>
      <c r="G237" s="37" t="inlineStr">
        <is>
          <t>pass</t>
        </is>
      </c>
      <c r="H237" s="37" t="inlineStr">
        <is>
          <t>covered</t>
        </is>
      </c>
      <c r="I237" s="38" t="inlineStr">
        <is>
          <t>DropdownMenu playground manual verification.</t>
        </is>
      </c>
      <c r="J237" s="38" t="inlineStr">
        <is>
          <t>Complete.</t>
        </is>
      </c>
      <c r="K237" s="39">
        <f>IF(AND(E237="yes",F237="yes",H237="covered"),1,IF(H237="partial",0.5,0))</f>
        <v/>
      </c>
    </row>
    <row r="238" ht="30" customHeight="1" s="60">
      <c r="A238" s="37" t="n">
        <v>230</v>
      </c>
      <c r="B238" s="38" t="inlineStr">
        <is>
          <t>Playground</t>
        </is>
      </c>
      <c r="C238" s="38" t="inlineStr">
        <is>
          <t>Direction controls</t>
        </is>
      </c>
      <c r="D238" s="38" t="inlineStr">
        <is>
          <t>scenario exposes provider direction controls</t>
        </is>
      </c>
      <c r="E238" s="37" t="inlineStr">
        <is>
          <t>yes</t>
        </is>
      </c>
      <c r="F238" s="37" t="inlineStr">
        <is>
          <t>yes</t>
        </is>
      </c>
      <c r="G238" s="37" t="inlineStr">
        <is>
          <t>pass</t>
        </is>
      </c>
      <c r="H238" s="37" t="inlineStr">
        <is>
          <t>covered</t>
        </is>
      </c>
      <c r="I238" s="38" t="inlineStr">
        <is>
          <t>DropdownMenu playground manual verification.</t>
        </is>
      </c>
      <c r="J238" s="38" t="inlineStr">
        <is>
          <t>Complete.</t>
        </is>
      </c>
      <c r="K238" s="39">
        <f>IF(AND(E238="yes",F238="yes",H238="covered"),1,IF(H238="partial",0.5,0))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6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Feed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>
        <is>
          <t>Manual Test Protocol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>
        <is>
          <t>Manual Test Protocol passed.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Feed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Feed playground scenario.</t>
        </is>
      </c>
      <c r="J11" s="5" t="inlineStr">
        <is>
          <t>Manual Test Protocol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Feed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Feed playground scenario.</t>
        </is>
      </c>
      <c r="J12" s="5" t="inlineStr">
        <is>
          <t>Manual Test Protocol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Feed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Feed playground scenario.</t>
        </is>
      </c>
      <c r="J13" s="5" t="inlineStr">
        <is>
          <t>Manual Test Protocol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Feed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Feed playground scenario.</t>
        </is>
      </c>
      <c r="J14" s="5" t="inlineStr">
        <is>
          <t>Manual Test Protocol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Feed</t>
        </is>
      </c>
      <c r="D15" s="5" t="inlineStr">
        <is>
          <t>Implements `role="feed"` and `role="article"`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Feed playground scenario.</t>
        </is>
      </c>
      <c r="J15" s="5" t="inlineStr">
        <is>
          <t>Manual Test Protocol passed.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Feed</t>
        </is>
      </c>
      <c r="D16" s="5" t="inlineStr">
        <is>
          <t>Supports known and unknown feed sizes with `aria-setsize`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Feed playground scenario.</t>
        </is>
      </c>
      <c r="J16" s="5" t="inlineStr">
        <is>
          <t>Manual Test Protocol passed.</t>
        </is>
      </c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Feed</t>
        </is>
      </c>
      <c r="D17" s="5" t="inlineStr">
        <is>
          <t>Supports article position announcements with `aria-posinset`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Feed playground scenario.</t>
        </is>
      </c>
      <c r="J17" s="5" t="inlineStr">
        <is>
          <t>Manual Test Protocol passed.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Feed</t>
        </is>
      </c>
      <c r="D18" s="5" t="inlineStr">
        <is>
          <t>Supports feed loading state with `aria-busy`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Feed playground scenario.</t>
        </is>
      </c>
      <c r="J18" s="5" t="inlineStr">
        <is>
          <t>Manual Test Protocol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Feed</t>
        </is>
      </c>
      <c r="D19" s="5" t="inlineStr">
        <is>
          <t>Implements Page Up, Page Down, Control/Command + Home, and Control/Command + End feed keyboard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Feed playground scenario.</t>
        </is>
      </c>
      <c r="J19" s="5" t="inlineStr">
        <is>
          <t>Manual Test Protocol passed.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Feed</t>
        </is>
      </c>
      <c r="D20" s="5" t="inlineStr">
        <is>
          <t>Keeps layout, fetching, virtualization, and item rendering outside the primitive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verified by Source and Canvas boundaries</t>
        </is>
      </c>
      <c r="H20" s="9" t="inlineStr">
        <is>
          <t>covered</t>
        </is>
      </c>
      <c r="I20" s="5" t="inlineStr">
        <is>
          <t>Feed playground scenario.</t>
        </is>
      </c>
      <c r="J20" s="5" t="inlineStr">
        <is>
          <t>Primitive stays headless; layout and scrolling remain playground-owned.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Feed playground scenario.</t>
        </is>
      </c>
      <c r="J21" s="5" t="inlineStr">
        <is>
          <t>Manual Test Protocol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Feed playground scenario.</t>
        </is>
      </c>
      <c r="J22" s="5" t="inlineStr">
        <is>
          <t>Manual Test Protocol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Feed playground scenario.</t>
        </is>
      </c>
      <c r="J23" s="5" t="inlineStr">
        <is>
          <t>Manual Test Protocol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Feed playground scenario.</t>
        </is>
      </c>
      <c r="J24" s="5" t="inlineStr">
        <is>
          <t>Manual Test Protocol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Feed playground scenario.</t>
        </is>
      </c>
      <c r="J25" s="5" t="inlineStr">
        <is>
          <t>Manual Test Protocol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Feed playground scenario.</t>
        </is>
      </c>
      <c r="J26" s="5" t="inlineStr">
        <is>
          <t>Manual Test Protocol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busy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Feed playground scenario.</t>
        </is>
      </c>
      <c r="J27" s="5" t="inlineStr">
        <is>
          <t>Manual Test Protocol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setSize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Feed playground scenario.</t>
        </is>
      </c>
      <c r="J28" s="5" t="inlineStr">
        <is>
          <t>Manual Test Protocol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asChild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Feed playground scenario.</t>
        </is>
      </c>
      <c r="J29" s="5" t="inlineStr">
        <is>
          <t>Manual Test Protocol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Composition</t>
        </is>
      </c>
      <c r="C30" s="5" t="inlineStr">
        <is>
          <t>Root</t>
        </is>
      </c>
      <c r="D30" s="5" t="inlineStr">
        <is>
          <t>render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Feed playground scenario.</t>
        </is>
      </c>
      <c r="J30" s="5" t="inlineStr">
        <is>
          <t>Manual Test Protocol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Feed playground scenario.</t>
        </is>
      </c>
      <c r="J31" s="5" t="inlineStr">
        <is>
          <t>Manual Test Protocol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[data-busy]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Feed playground scenario.</t>
        </is>
      </c>
      <c r="J32" s="5" t="inlineStr">
        <is>
          <t>Manual Test Protocol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Anatomy</t>
        </is>
      </c>
      <c r="C33" s="5" t="inlineStr">
        <is>
          <t>Item</t>
        </is>
      </c>
      <c r="D33" s="5" t="inlineStr">
        <is>
          <t>renders correct part when expected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Feed playground scenario.</t>
        </is>
      </c>
      <c r="J33" s="5" t="inlineStr">
        <is>
          <t>Manual Test Protocol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Item</t>
        </is>
      </c>
      <c r="D34" s="5" t="inlineStr">
        <is>
          <t>appears in documented order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Feed playground scenario.</t>
        </is>
      </c>
      <c r="J34" s="5" t="inlineStr">
        <is>
          <t>Manual Test Protocol passed.</t>
        </is>
      </c>
      <c r="K34" s="6">
        <f>IF(AND(E34="yes",F34="yes",H34="covered"),1,IF(H34="partial",0.5,0))</f>
        <v/>
      </c>
    </row>
    <row r="35" ht="30" customHeight="1" s="60">
      <c r="A35" s="4" t="n">
        <v>27</v>
      </c>
      <c r="B35" s="5" t="inlineStr">
        <is>
          <t>Identity</t>
        </is>
      </c>
      <c r="C35" s="5" t="inlineStr">
        <is>
          <t>Item</t>
        </is>
      </c>
      <c r="D35" s="5" t="inlineStr">
        <is>
          <t>default tag is visible in Anatomy/Inspector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Feed playground scenario.</t>
        </is>
      </c>
      <c r="J35" s="5" t="inlineStr">
        <is>
          <t>Manual Test Protocol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Identity</t>
        </is>
      </c>
      <c r="C36" s="5" t="inlineStr">
        <is>
          <t>Item</t>
        </is>
      </c>
      <c r="D36" s="5" t="inlineStr">
        <is>
          <t>data-slot is present and correct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Feed playground scenario.</t>
        </is>
      </c>
      <c r="J36" s="5" t="inlineStr">
        <is>
          <t>Manual Test Protocol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Props</t>
        </is>
      </c>
      <c r="C37" s="5" t="inlineStr">
        <is>
          <t>Item</t>
        </is>
      </c>
      <c r="D37" s="5" t="inlineStr">
        <is>
          <t>non-Atom native props pass through with data-prop-check marker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Feed playground scenario.</t>
        </is>
      </c>
      <c r="J37" s="5" t="inlineStr">
        <is>
          <t>Manual Test Protocol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Refs</t>
        </is>
      </c>
      <c r="C38" s="5" t="inlineStr">
        <is>
          <t>Item</t>
        </is>
      </c>
      <c r="D38" s="5" t="inlineStr">
        <is>
          <t>consumer ref receives the rendered element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Feed playground scenario.</t>
        </is>
      </c>
      <c r="J38" s="5" t="inlineStr">
        <is>
          <t>Manual Test Protocol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Item</t>
        </is>
      </c>
      <c r="D39" s="5" t="inlineStr">
        <is>
          <t>position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Feed playground scenario.</t>
        </is>
      </c>
      <c r="J39" s="5" t="inlineStr">
        <is>
          <t>Manual Test Protocol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Item</t>
        </is>
      </c>
      <c r="D40" s="5" t="inlineStr">
        <is>
          <t>index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Feed playground scenario.</t>
        </is>
      </c>
      <c r="J40" s="5" t="inlineStr">
        <is>
          <t>Manual Test Protocol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Item</t>
        </is>
      </c>
      <c r="D41" s="5" t="inlineStr">
        <is>
          <t>setSize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Feed playground scenario.</t>
        </is>
      </c>
      <c r="J41" s="5" t="inlineStr">
        <is>
          <t>Manual Test Protocol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Item</t>
        </is>
      </c>
      <c r="D42" s="5" t="inlineStr">
        <is>
          <t>asChild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Feed playground scenario.</t>
        </is>
      </c>
      <c r="J42" s="5" t="inlineStr">
        <is>
          <t>Manual Test Protocol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Item</t>
        </is>
      </c>
      <c r="D43" s="5" t="inlineStr">
        <is>
          <t>render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Feed playground scenario.</t>
        </is>
      </c>
      <c r="J43" s="5" t="inlineStr">
        <is>
          <t>Manual Test Protocol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Item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Feed playground scenario.</t>
        </is>
      </c>
      <c r="J44" s="5" t="inlineStr">
        <is>
          <t>Manual Test Protocol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Item</t>
        </is>
      </c>
      <c r="D45" s="5" t="inlineStr">
        <is>
          <t>[data-position]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Feed playground scenario.</t>
        </is>
      </c>
      <c r="J45" s="5" t="inlineStr">
        <is>
          <t>Manual Test Protocol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Item</t>
        </is>
      </c>
      <c r="D46" s="5" t="inlineStr">
        <is>
          <t>[data-setsize]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Feed playground scenario.</t>
        </is>
      </c>
      <c r="J46" s="5" t="inlineStr">
        <is>
          <t>Manual Test Protocol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ARIA</t>
        </is>
      </c>
      <c r="C47" s="5" t="inlineStr">
        <is>
          <t>Live DOM</t>
        </is>
      </c>
      <c r="D47" s="5" t="inlineStr">
        <is>
          <t>aria-busy is present at the correct time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Feed playground scenario.</t>
        </is>
      </c>
      <c r="J47" s="5" t="inlineStr">
        <is>
          <t>Manual Test Protocol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ARIA</t>
        </is>
      </c>
      <c r="C48" s="5" t="inlineStr">
        <is>
          <t>Live DOM</t>
        </is>
      </c>
      <c r="D48" s="5" t="inlineStr">
        <is>
          <t>aria-posinset is present at the correct time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Feed playground scenario.</t>
        </is>
      </c>
      <c r="J48" s="5" t="inlineStr">
        <is>
          <t>Manual Test Protocol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ARIA</t>
        </is>
      </c>
      <c r="C49" s="5" t="inlineStr">
        <is>
          <t>Live DOM</t>
        </is>
      </c>
      <c r="D49" s="5" t="inlineStr">
        <is>
          <t>aria-setsize is present at the correct time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Feed playground scenario.</t>
        </is>
      </c>
      <c r="J49" s="5" t="inlineStr">
        <is>
          <t>Manual Test Protocol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Data</t>
        </is>
      </c>
      <c r="C50" s="5" t="inlineStr">
        <is>
          <t>Live DOM</t>
        </is>
      </c>
      <c r="D50" s="5" t="inlineStr">
        <is>
          <t>data-busy is present at the correct time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Feed playground scenario.</t>
        </is>
      </c>
      <c r="J50" s="5" t="inlineStr">
        <is>
          <t>Manual Test Protocol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Data</t>
        </is>
      </c>
      <c r="C51" s="5" t="inlineStr">
        <is>
          <t>Live DOM</t>
        </is>
      </c>
      <c r="D51" s="5" t="inlineStr">
        <is>
          <t>data-position is present at the correct time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Feed playground scenario.</t>
        </is>
      </c>
      <c r="J51" s="5" t="inlineStr">
        <is>
          <t>Manual Test Protocol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Data</t>
        </is>
      </c>
      <c r="C52" s="5" t="inlineStr">
        <is>
          <t>Live DOM</t>
        </is>
      </c>
      <c r="D52" s="5" t="inlineStr">
        <is>
          <t>data-setsize is present at the correct time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Feed playground scenario.</t>
        </is>
      </c>
      <c r="J52" s="5" t="inlineStr">
        <is>
          <t>Manual Test Protocol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Data</t>
        </is>
      </c>
      <c r="C53" s="5" t="inlineStr">
        <is>
          <t>Live DOM</t>
        </is>
      </c>
      <c r="D53" s="5" t="inlineStr">
        <is>
          <t>data-slot is present at the correct time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Feed playground scenario.</t>
        </is>
      </c>
      <c r="J53" s="5" t="inlineStr">
        <is>
          <t>Manual Test Protocol passed.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Composition</t>
        </is>
      </c>
      <c r="C54" s="5" t="inlineStr">
        <is>
          <t>Feed</t>
        </is>
      </c>
      <c r="D54" s="5" t="inlineStr">
        <is>
          <t>asChild preserves child content without double nesting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Feed playground scenario.</t>
        </is>
      </c>
      <c r="J54" s="5" t="inlineStr">
        <is>
          <t>Manual Test Protocol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Feed</t>
        </is>
      </c>
      <c r="D55" s="5" t="inlineStr">
        <is>
          <t>asChild merges Atom props and consumer props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Feed playground scenario.</t>
        </is>
      </c>
      <c r="J55" s="5" t="inlineStr">
        <is>
          <t>Manual Test Protocol passed.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Composition</t>
        </is>
      </c>
      <c r="C56" s="5" t="inlineStr">
        <is>
          <t>Feed</t>
        </is>
      </c>
      <c r="D56" s="5" t="inlineStr">
        <is>
          <t>asChild lets preventDefault block Atom behavior where supported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Feed playground scenario.</t>
        </is>
      </c>
      <c r="J56" s="5" t="inlineStr">
        <is>
          <t>Manual Test Protocol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Composition</t>
        </is>
      </c>
      <c r="C57" s="5" t="inlineStr">
        <is>
          <t>Feed</t>
        </is>
      </c>
      <c r="D57" s="5" t="inlineStr">
        <is>
          <t>render prop renders custom element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Feed playground scenario.</t>
        </is>
      </c>
      <c r="J57" s="5" t="inlineStr">
        <is>
          <t>Manual Test Protocol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Feed</t>
        </is>
      </c>
      <c r="D58" s="5" t="inlineStr">
        <is>
          <t>render prop preserves refs and behavior props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Feed playground scenario.</t>
        </is>
      </c>
      <c r="J58" s="5" t="inlineStr">
        <is>
          <t>Manual Test Protocol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Keyboard</t>
        </is>
      </c>
      <c r="C59" s="5" t="inlineStr">
        <is>
          <t>Feed</t>
        </is>
      </c>
      <c r="D59" s="5" t="inlineStr">
        <is>
          <t>Ctrl/Cmd+End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Feed playground scenario.</t>
        </is>
      </c>
      <c r="J59" s="5" t="inlineStr">
        <is>
          <t>Manual Test Protocol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Keyboard</t>
        </is>
      </c>
      <c r="C60" s="5" t="inlineStr">
        <is>
          <t>Feed</t>
        </is>
      </c>
      <c r="D60" s="5" t="inlineStr">
        <is>
          <t>Ctrl/Cmd+Home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Feed playground scenario.</t>
        </is>
      </c>
      <c r="J60" s="5" t="inlineStr">
        <is>
          <t>Manual Test Protocol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Keyboard</t>
        </is>
      </c>
      <c r="C61" s="5" t="inlineStr">
        <is>
          <t>Feed</t>
        </is>
      </c>
      <c r="D61" s="5" t="inlineStr">
        <is>
          <t>PageDown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Feed playground scenario.</t>
        </is>
      </c>
      <c r="J61" s="5" t="inlineStr">
        <is>
          <t>Manual Test Protocol passed.</t>
        </is>
      </c>
      <c r="K61" s="6">
        <f>IF(AND(E61="yes",F61="yes",H61="covered"),1,IF(H61="partial",0.5,0))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Field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Field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60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Field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Field playground scenario.</t>
        </is>
      </c>
      <c r="J11" s="5" t="inlineStr">
        <is>
          <t>Manual verification completed in Field playground batch.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Field playground scenario.</t>
        </is>
      </c>
      <c r="J12" s="5" t="inlineStr">
        <is>
          <t>Manual verification completed in Field playground batch.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Field playground page uses shared Canvas/Source, Anatomy, Inspector, and Log infrastructure.</t>
        </is>
      </c>
      <c r="J13" s="5" t="inlineStr">
        <is>
          <t>Manual verification completed in Field playground batch.</t>
        </is>
      </c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Field playground scenario.</t>
        </is>
      </c>
      <c r="J14" s="5" t="inlineStr">
        <is>
          <t>Manual verification completed in Field playground batch.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Field</t>
        </is>
      </c>
      <c r="D15" s="5" t="inlineStr">
        <is>
          <t>Generates stable IDs for label, control, description, and error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Field playground scenario.</t>
        </is>
      </c>
      <c r="J15" s="5" t="inlineStr">
        <is>
          <t>Manual verification completed in Field playground batch.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Field</t>
        </is>
      </c>
      <c r="D16" s="5" t="inlineStr">
        <is>
          <t>Wires Field-aware controls to descriptions and visible errors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Field playground scenario.</t>
        </is>
      </c>
      <c r="J16" s="5" t="inlineStr">
        <is>
          <t>Manual verification completed in Field playground batch.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Field</t>
        </is>
      </c>
      <c r="D17" s="5" t="inlineStr">
        <is>
          <t>Shares disabled, required, readonly, and invalid state with child controls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Field playground scenario.</t>
        </is>
      </c>
      <c r="J17" s="5" t="inlineStr">
        <is>
          <t>Manual verification completed in Field playground batch.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Field</t>
        </is>
      </c>
      <c r="D18" s="5" t="inlineStr">
        <is>
          <t>Supports required and optional label indicators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Field playground scenario.</t>
        </is>
      </c>
      <c r="J18" s="5" t="inlineStr">
        <is>
          <t>Manual verification completed in Field playground batch.</t>
        </is>
      </c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Field</t>
        </is>
      </c>
      <c r="D19" s="5" t="inlineStr">
        <is>
          <t>Keeps layout outside Atom through `data-orientation`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Field playground scenario.</t>
        </is>
      </c>
      <c r="J19" s="5" t="inlineStr">
        <is>
          <t>Manual verification completed in Field playground batch.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Field playground scenario.</t>
        </is>
      </c>
      <c r="J20" s="5" t="inlineStr">
        <is>
          <t>Manual verification completed in Field playground batch.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Field form-field playground page exposes this part/prop in Anatomy, Inspector, Source, or toolbar controls.</t>
        </is>
      </c>
      <c r="J21" s="5" t="inlineStr">
        <is>
          <t>Manual verification completed in Field playground batch.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Field source/anatomy documents whether Root renders DOM; Inspector verifies rendered descendants.</t>
        </is>
      </c>
      <c r="J22" s="5" t="inlineStr">
        <is>
          <t>Manual verification completed in Field playground batch.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Field playground scenario.</t>
        </is>
      </c>
      <c r="J23" s="5" t="inlineStr">
        <is>
          <t>Manual verification completed in Field playground batch.</t>
        </is>
      </c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Field playground scenario.</t>
        </is>
      </c>
      <c r="J24" s="5" t="inlineStr">
        <is>
          <t>Manual verification completed in Field playground batch.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Field playground scenario.</t>
        </is>
      </c>
      <c r="J25" s="5" t="inlineStr">
        <is>
          <t>Manual verification completed in Field playground batch.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id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Field form-field playground page exposes this part/prop in Anatomy, Inspector, Source, or toolbar controls.</t>
        </is>
      </c>
      <c r="J26" s="5" t="inlineStr">
        <is>
          <t>Manual verification completed in Field playground batch.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Field playground scenario.</t>
        </is>
      </c>
      <c r="J27" s="5" t="inlineStr">
        <is>
          <t>Manual verification completed in Field playground batch.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Field playground scenario.</t>
        </is>
      </c>
      <c r="J28" s="5" t="inlineStr">
        <is>
          <t>Manual verification completed in Field playground batch.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readOnly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Field playground scenario.</t>
        </is>
      </c>
      <c r="J29" s="5" t="inlineStr">
        <is>
          <t>Manual verification completed in Field playground batch.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invalid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Field playground scenario.</t>
        </is>
      </c>
      <c r="J30" s="5" t="inlineStr">
        <is>
          <t>Manual verification completed in Field playground batch.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orientation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Field playground scenario.</t>
        </is>
      </c>
      <c r="J31" s="5" t="inlineStr">
        <is>
          <t>Manual verification completed in Field playground batch.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Composition</t>
        </is>
      </c>
      <c r="C32" s="5" t="inlineStr">
        <is>
          <t>Root</t>
        </is>
      </c>
      <c r="D32" s="5" t="inlineStr">
        <is>
          <t>asChild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Field playground scenario.</t>
        </is>
      </c>
      <c r="J32" s="5" t="inlineStr">
        <is>
          <t>Manual verification completed in Field playground batch.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Composition</t>
        </is>
      </c>
      <c r="C33" s="5" t="inlineStr">
        <is>
          <t>Root</t>
        </is>
      </c>
      <c r="D33" s="5" t="inlineStr">
        <is>
          <t>render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Field playground scenario.</t>
        </is>
      </c>
      <c r="J33" s="5" t="inlineStr">
        <is>
          <t>Manual verification completed in Field playground batch.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[data-slot]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Field playground scenario.</t>
        </is>
      </c>
      <c r="J34" s="5" t="inlineStr">
        <is>
          <t>Manual verification completed in Field playground batch.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[data-orientation]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Field playground scenario.</t>
        </is>
      </c>
      <c r="J35" s="5" t="inlineStr">
        <is>
          <t>Manual verification completed in Field playground batch.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[data-disabled]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Field playground scenario.</t>
        </is>
      </c>
      <c r="J36" s="5" t="inlineStr">
        <is>
          <t>Manual verification completed in Field playground batch.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[data-required]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Field playground scenario.</t>
        </is>
      </c>
      <c r="J37" s="5" t="inlineStr">
        <is>
          <t>Manual verification completed in Field playground batch.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[data-readonly]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Field playground scenario.</t>
        </is>
      </c>
      <c r="J38" s="5" t="inlineStr">
        <is>
          <t>Manual verification completed in Field playground batch.</t>
        </is>
      </c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[data-invalid]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Field playground scenario.</t>
        </is>
      </c>
      <c r="J39" s="5" t="inlineStr">
        <is>
          <t>Manual verification completed in Field playground batch.</t>
        </is>
      </c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Anatomy</t>
        </is>
      </c>
      <c r="C40" s="5" t="inlineStr">
        <is>
          <t>Label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Field playground scenario.</t>
        </is>
      </c>
      <c r="J40" s="5" t="inlineStr">
        <is>
          <t>Manual verification completed in Field playground batch.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Label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Field form-field playground page exposes this part/prop in Anatomy, Inspector, Source, or toolbar controls.</t>
        </is>
      </c>
      <c r="J41" s="5" t="inlineStr">
        <is>
          <t>Manual verification completed in Field playground batch.</t>
        </is>
      </c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Label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Field form-field playground page exposes this part/prop in Anatomy, Inspector, Source, or toolbar controls.</t>
        </is>
      </c>
      <c r="J42" s="5" t="inlineStr">
        <is>
          <t>Manual verification completed in Field playground batch.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Label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Field playground scenario.</t>
        </is>
      </c>
      <c r="J43" s="5" t="inlineStr">
        <is>
          <t>Manual verification completed in Field playground batch.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Label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Field playground scenario.</t>
        </is>
      </c>
      <c r="J44" s="5" t="inlineStr">
        <is>
          <t>Manual verification completed in Field playground batch.</t>
        </is>
      </c>
      <c r="K44" s="6">
        <f>IF(AND(E44="yes",F44="yes",H44="covered"),1,IF(H44="partial",0.5,0))</f>
        <v/>
      </c>
    </row>
    <row r="45" ht="45" customHeight="1" s="60">
      <c r="A45" s="4" t="n">
        <v>37</v>
      </c>
      <c r="B45" s="5" t="inlineStr">
        <is>
          <t>Refs</t>
        </is>
      </c>
      <c r="C45" s="5" t="inlineStr">
        <is>
          <t>Label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Field playground scenario.</t>
        </is>
      </c>
      <c r="J45" s="5" t="inlineStr">
        <is>
          <t>Manual verification completed in Field playground batch.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Label</t>
        </is>
      </c>
      <c r="D46" s="5" t="inlineStr">
        <is>
          <t>requiredIndicator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Field playground scenario.</t>
        </is>
      </c>
      <c r="J46" s="5" t="inlineStr">
        <is>
          <t>Manual verification completed in Field playground batch.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Label</t>
        </is>
      </c>
      <c r="D47" s="5" t="inlineStr">
        <is>
          <t>optionalIndicator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Field form-field playground page exposes this part/prop in Anatomy, Inspector, Source, or toolbar controls.</t>
        </is>
      </c>
      <c r="J47" s="5" t="inlineStr">
        <is>
          <t>Manual verification completed in Field playground batch.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Label</t>
        </is>
      </c>
      <c r="D48" s="5" t="inlineStr">
        <is>
          <t>disabled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Field playground scenario.</t>
        </is>
      </c>
      <c r="J48" s="5" t="inlineStr">
        <is>
          <t>Manual verification completed in Field playground batch.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Label</t>
        </is>
      </c>
      <c r="D49" s="5" t="inlineStr">
        <is>
          <t>required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Field playground scenario.</t>
        </is>
      </c>
      <c r="J49" s="5" t="inlineStr">
        <is>
          <t>Manual verification completed in Field playground batch.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Label</t>
        </is>
      </c>
      <c r="D50" s="5" t="inlineStr">
        <is>
          <t>readOnly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Field playground scenario.</t>
        </is>
      </c>
      <c r="J50" s="5" t="inlineStr">
        <is>
          <t>Manual verification completed in Field playground batch.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Label</t>
        </is>
      </c>
      <c r="D51" s="5" t="inlineStr">
        <is>
          <t>invalid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Field playground scenario.</t>
        </is>
      </c>
      <c r="J51" s="5" t="inlineStr">
        <is>
          <t>Manual verification completed in Field playground batch.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Label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Field playground scenario.</t>
        </is>
      </c>
      <c r="J52" s="5" t="inlineStr">
        <is>
          <t>Manual verification completed in Field playground batch.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Label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Field playground scenario.</t>
        </is>
      </c>
      <c r="J53" s="5" t="inlineStr">
        <is>
          <t>Manual verification completed in Field playground batch.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Label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Field playground scenario.</t>
        </is>
      </c>
      <c r="J54" s="5" t="inlineStr">
        <is>
          <t>Manual verification completed in Field playground batch.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Label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Field playground scenario.</t>
        </is>
      </c>
      <c r="J55" s="5" t="inlineStr">
        <is>
          <t>Manual verification completed in Field playground batch.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Label</t>
        </is>
      </c>
      <c r="D56" s="5" t="inlineStr">
        <is>
          <t>[data-required]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Field playground scenario.</t>
        </is>
      </c>
      <c r="J56" s="5" t="inlineStr">
        <is>
          <t>Manual verification completed in Field playground batch.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State</t>
        </is>
      </c>
      <c r="C57" s="5" t="inlineStr">
        <is>
          <t>Label</t>
        </is>
      </c>
      <c r="D57" s="5" t="inlineStr">
        <is>
          <t>[data-readonly]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Field playground scenario.</t>
        </is>
      </c>
      <c r="J57" s="5" t="inlineStr">
        <is>
          <t>Manual verification completed in Field playground batch.</t>
        </is>
      </c>
      <c r="K57" s="6">
        <f>IF(AND(E57="yes",F57="yes",H57="covered"),1,IF(H57="partial",0.5,0))</f>
        <v/>
      </c>
    </row>
    <row r="58" ht="45" customHeight="1" s="60">
      <c r="A58" s="4" t="n">
        <v>50</v>
      </c>
      <c r="B58" s="5" t="inlineStr">
        <is>
          <t>State</t>
        </is>
      </c>
      <c r="C58" s="5" t="inlineStr">
        <is>
          <t>Label</t>
        </is>
      </c>
      <c r="D58" s="5" t="inlineStr">
        <is>
          <t>[data-invalid]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Field playground scenario.</t>
        </is>
      </c>
      <c r="J58" s="5" t="inlineStr">
        <is>
          <t>Manual verification completed in Field playground batch.</t>
        </is>
      </c>
      <c r="K58" s="6">
        <f>IF(AND(E58="yes",F58="yes",H58="covered"),1,IF(H58="partial",0.5,0))</f>
        <v/>
      </c>
    </row>
    <row r="59" ht="45" customHeight="1" s="60">
      <c r="A59" s="4" t="n">
        <v>51</v>
      </c>
      <c r="B59" s="5" t="inlineStr">
        <is>
          <t>Anatomy</t>
        </is>
      </c>
      <c r="C59" s="5" t="inlineStr">
        <is>
          <t>Description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Field playground scenario.</t>
        </is>
      </c>
      <c r="J59" s="5" t="inlineStr">
        <is>
          <t>Manual verification completed in Field playground batch.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Anatomy</t>
        </is>
      </c>
      <c r="C60" s="5" t="inlineStr">
        <is>
          <t>Description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Field form-field playground page exposes this part/prop in Anatomy, Inspector, Source, or toolbar controls.</t>
        </is>
      </c>
      <c r="J60" s="5" t="inlineStr">
        <is>
          <t>Manual verification completed in Field playground batch.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Identity</t>
        </is>
      </c>
      <c r="C61" s="5" t="inlineStr">
        <is>
          <t>Description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Field form-field playground page exposes this part/prop in Anatomy, Inspector, Source, or toolbar controls.</t>
        </is>
      </c>
      <c r="J61" s="5" t="inlineStr">
        <is>
          <t>Manual verification completed in Field playground batch.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Description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Field playground scenario.</t>
        </is>
      </c>
      <c r="J62" s="5" t="inlineStr">
        <is>
          <t>Manual verification completed in Field playground batch.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Description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Field playground scenario.</t>
        </is>
      </c>
      <c r="J63" s="5" t="inlineStr">
        <is>
          <t>Manual verification completed in Field playground batch.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Refs</t>
        </is>
      </c>
      <c r="C64" s="5" t="inlineStr">
        <is>
          <t>Description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Field playground scenario.</t>
        </is>
      </c>
      <c r="J64" s="5" t="inlineStr">
        <is>
          <t>Manual verification completed in Field playground batch.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Description</t>
        </is>
      </c>
      <c r="D65" s="5" t="inlineStr">
        <is>
          <t>asChild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Field playground scenario.</t>
        </is>
      </c>
      <c r="J65" s="5" t="inlineStr">
        <is>
          <t>Manual verification completed in Field playground batch.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Description</t>
        </is>
      </c>
      <c r="D66" s="5" t="inlineStr">
        <is>
          <t>render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Field playground scenario.</t>
        </is>
      </c>
      <c r="J66" s="5" t="inlineStr">
        <is>
          <t>Manual verification completed in Field playground batch.</t>
        </is>
      </c>
      <c r="K66" s="6">
        <f>IF(AND(E66="yes",F66="yes",H66="covered"),1,IF(H66="partial",0.5,0))</f>
        <v/>
      </c>
    </row>
    <row r="67" ht="45" customHeight="1" s="60">
      <c r="A67" s="4" t="n">
        <v>59</v>
      </c>
      <c r="B67" s="5" t="inlineStr">
        <is>
          <t>Public API</t>
        </is>
      </c>
      <c r="C67" s="5" t="inlineStr">
        <is>
          <t>Description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Field playground scenario.</t>
        </is>
      </c>
      <c r="J67" s="5" t="inlineStr">
        <is>
          <t>Manual verification completed in Field playground batch.</t>
        </is>
      </c>
      <c r="K67" s="6">
        <f>IF(AND(E67="yes",F67="yes",H67="covered"),1,IF(H67="partial",0.5,0))</f>
        <v/>
      </c>
    </row>
    <row r="68" ht="45" customHeight="1" s="60">
      <c r="A68" s="4" t="n">
        <v>60</v>
      </c>
      <c r="B68" s="5" t="inlineStr">
        <is>
          <t>Anatomy</t>
        </is>
      </c>
      <c r="C68" s="5" t="inlineStr">
        <is>
          <t>Error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Field playground scenario.</t>
        </is>
      </c>
      <c r="J68" s="5" t="inlineStr">
        <is>
          <t>Manual verification completed in Field playground batch.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Error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Field form-field playground page exposes this part/prop in Anatomy, Inspector, Source, or toolbar controls.</t>
        </is>
      </c>
      <c r="J69" s="5" t="inlineStr">
        <is>
          <t>Manual verification completed in Field playground batch.</t>
        </is>
      </c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Identity</t>
        </is>
      </c>
      <c r="C70" s="5" t="inlineStr">
        <is>
          <t>Error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Field form-field playground page exposes this part/prop in Anatomy, Inspector, Source, or toolbar controls.</t>
        </is>
      </c>
      <c r="J70" s="5" t="inlineStr">
        <is>
          <t>Manual verification completed in Field playground batch.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Error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Field playground scenario.</t>
        </is>
      </c>
      <c r="J71" s="5" t="inlineStr">
        <is>
          <t>Manual verification completed in Field playground batch.</t>
        </is>
      </c>
      <c r="K71" s="6">
        <f>IF(AND(E71="yes",F71="yes",H71="covered"),1,IF(H71="partial",0.5,0))</f>
        <v/>
      </c>
    </row>
    <row r="72" ht="45" customHeight="1" s="60">
      <c r="A72" s="4" t="n">
        <v>64</v>
      </c>
      <c r="B72" s="5" t="inlineStr">
        <is>
          <t>Props</t>
        </is>
      </c>
      <c r="C72" s="5" t="inlineStr">
        <is>
          <t>Error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Field playground scenario.</t>
        </is>
      </c>
      <c r="J72" s="5" t="inlineStr">
        <is>
          <t>Manual verification completed in Field playground batch.</t>
        </is>
      </c>
      <c r="K72" s="6">
        <f>IF(AND(E72="yes",F72="yes",H72="covered"),1,IF(H72="partial",0.5,0))</f>
        <v/>
      </c>
    </row>
    <row r="73" ht="45" customHeight="1" s="60">
      <c r="A73" s="4" t="n">
        <v>65</v>
      </c>
      <c r="B73" s="5" t="inlineStr">
        <is>
          <t>Refs</t>
        </is>
      </c>
      <c r="C73" s="5" t="inlineStr">
        <is>
          <t>Error</t>
        </is>
      </c>
      <c r="D73" s="5" t="inlineStr">
        <is>
          <t>consumer ref receives the rendered element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Field playground scenario.</t>
        </is>
      </c>
      <c r="J73" s="5" t="inlineStr">
        <is>
          <t>Manual verification completed in Field playground batch.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Error</t>
        </is>
      </c>
      <c r="D74" s="5" t="inlineStr">
        <is>
          <t>match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Field form-field playground page exposes this part/prop in Anatomy, Inspector, Source, or toolbar controls.</t>
        </is>
      </c>
      <c r="J74" s="5" t="inlineStr">
        <is>
          <t>Manual verification completed in Field playground batch.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Error</t>
        </is>
      </c>
      <c r="D75" s="5" t="inlineStr">
        <is>
          <t>forceMatch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Field form-field playground page exposes this part/prop in Anatomy, Inspector, Source, or toolbar controls.</t>
        </is>
      </c>
      <c r="J75" s="5" t="inlineStr">
        <is>
          <t>Manual verification completed in Field playground batch.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Error</t>
        </is>
      </c>
      <c r="D76" s="5" t="inlineStr">
        <is>
          <t>asChild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Field playground scenario.</t>
        </is>
      </c>
      <c r="J76" s="5" t="inlineStr">
        <is>
          <t>Manual verification completed in Field playground batch.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Error</t>
        </is>
      </c>
      <c r="D77" s="5" t="inlineStr">
        <is>
          <t>render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Field playground scenario.</t>
        </is>
      </c>
      <c r="J77" s="5" t="inlineStr">
        <is>
          <t>Manual verification completed in Field playground batch.</t>
        </is>
      </c>
      <c r="K77" s="6">
        <f>IF(AND(E77="yes",F77="yes",H77="covered"),1,IF(H77="partial",0.5,0))</f>
        <v/>
      </c>
    </row>
    <row r="78" ht="45" customHeight="1" s="60">
      <c r="A78" s="4" t="n">
        <v>70</v>
      </c>
      <c r="B78" s="5" t="inlineStr">
        <is>
          <t>Public API</t>
        </is>
      </c>
      <c r="C78" s="5" t="inlineStr">
        <is>
          <t>Error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Field playground scenario.</t>
        </is>
      </c>
      <c r="J78" s="5" t="inlineStr">
        <is>
          <t>Manual verification completed in Field playground batch.</t>
        </is>
      </c>
      <c r="K78" s="6">
        <f>IF(AND(E78="yes",F78="yes",H78="covered"),1,IF(H78="partial",0.5,0))</f>
        <v/>
      </c>
    </row>
    <row r="79" ht="45" customHeight="1" s="60">
      <c r="A79" s="4" t="n">
        <v>71</v>
      </c>
      <c r="B79" s="5" t="inlineStr">
        <is>
          <t>Anatomy</t>
        </is>
      </c>
      <c r="C79" s="5" t="inlineStr">
        <is>
          <t>RequiredIndicator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Field playground scenario.</t>
        </is>
      </c>
      <c r="J79" s="5" t="inlineStr">
        <is>
          <t>Manual verification completed in Field playground batch.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RequiredIndicator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Field form-field playground page exposes this part/prop in Anatomy, Inspector, Source, or toolbar controls.</t>
        </is>
      </c>
      <c r="J80" s="5" t="inlineStr">
        <is>
          <t>Manual verification completed in Field playground batch.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RequiredIndicator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Field form-field playground page exposes this part/prop in Anatomy, Inspector, Source, or toolbar controls.</t>
        </is>
      </c>
      <c r="J81" s="5" t="inlineStr">
        <is>
          <t>Manual verification completed in Field playground batch.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RequiredIndicator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Field playground scenario.</t>
        </is>
      </c>
      <c r="J82" s="5" t="inlineStr">
        <is>
          <t>Manual verification completed in Field playground batch.</t>
        </is>
      </c>
      <c r="K82" s="6">
        <f>IF(AND(E82="yes",F82="yes",H82="covered"),1,IF(H82="partial",0.5,0))</f>
        <v/>
      </c>
    </row>
    <row r="83" ht="45" customHeight="1" s="60">
      <c r="A83" s="4" t="n">
        <v>75</v>
      </c>
      <c r="B83" s="5" t="inlineStr">
        <is>
          <t>Props</t>
        </is>
      </c>
      <c r="C83" s="5" t="inlineStr">
        <is>
          <t>RequiredIndicator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Field playground scenario.</t>
        </is>
      </c>
      <c r="J83" s="5" t="inlineStr">
        <is>
          <t>Manual verification completed in Field playground batch.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RequiredIndicator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Field playground scenario.</t>
        </is>
      </c>
      <c r="J84" s="5" t="inlineStr">
        <is>
          <t>Manual verification completed in Field playground batch.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RequiredIndicator</t>
        </is>
      </c>
      <c r="D85" s="5" t="inlineStr">
        <is>
          <t>fallback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Field form-field playground page exposes this part/prop in Anatomy, Inspector, Source, or toolbar controls.</t>
        </is>
      </c>
      <c r="J85" s="5" t="inlineStr">
        <is>
          <t>Manual verification completed in Field playground batch.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RequiredIndicator</t>
        </is>
      </c>
      <c r="D86" s="5" t="inlineStr">
        <is>
          <t>asChild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Field playground scenario.</t>
        </is>
      </c>
      <c r="J86" s="5" t="inlineStr">
        <is>
          <t>Manual verification completed in Field playground batch.</t>
        </is>
      </c>
      <c r="K86" s="6">
        <f>IF(AND(E86="yes",F86="yes",H86="covered"),1,IF(H86="partial",0.5,0))</f>
        <v/>
      </c>
    </row>
    <row r="87" ht="30" customHeight="1" s="60">
      <c r="A87" s="4" t="n">
        <v>79</v>
      </c>
      <c r="B87" s="5" t="inlineStr">
        <is>
          <t>Composition</t>
        </is>
      </c>
      <c r="C87" s="5" t="inlineStr">
        <is>
          <t>RequiredIndicator</t>
        </is>
      </c>
      <c r="D87" s="5" t="inlineStr">
        <is>
          <t>render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Field playground scenario.</t>
        </is>
      </c>
      <c r="J87" s="5" t="inlineStr">
        <is>
          <t>Manual verification completed in Field playground batch.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RequiredIndicator</t>
        </is>
      </c>
      <c r="D88" s="5" t="inlineStr">
        <is>
          <t>[data-slot]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Field playground scenario.</t>
        </is>
      </c>
      <c r="J88" s="5" t="inlineStr">
        <is>
          <t>Manual verification completed in Field playground batch.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Shared Anatomy/Inspector expose live ARIA/data attributes for Field when the part is rendered.</t>
        </is>
      </c>
      <c r="J89" s="5" t="inlineStr">
        <is>
          <t>Manual verification completed in Field playground batch.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data-disabled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Field playground scenario.</t>
        </is>
      </c>
      <c r="J90" s="5" t="inlineStr">
        <is>
          <t>Manual verification completed in Field playground batch.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data-invalid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Field playground scenario.</t>
        </is>
      </c>
      <c r="J91" s="5" t="inlineStr">
        <is>
          <t>Manual verification completed in Field playground batch.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data-orientation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Field playground scenario.</t>
        </is>
      </c>
      <c r="J92" s="5" t="inlineStr">
        <is>
          <t>Manual verification completed in Field playground batch.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data-readonly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Field playground scenario.</t>
        </is>
      </c>
      <c r="J93" s="5" t="inlineStr">
        <is>
          <t>Manual verification completed in Field playground batch.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Live DOM</t>
        </is>
      </c>
      <c r="D94" s="5" t="inlineStr">
        <is>
          <t>data-required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Field playground scenario.</t>
        </is>
      </c>
      <c r="J94" s="5" t="inlineStr">
        <is>
          <t>Manual verification completed in Field playground batch.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Data</t>
        </is>
      </c>
      <c r="C95" s="5" t="inlineStr">
        <is>
          <t>Live DOM</t>
        </is>
      </c>
      <c r="D95" s="5" t="inlineStr">
        <is>
          <t>data-slot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Field playground scenario.</t>
        </is>
      </c>
      <c r="J95" s="5" t="inlineStr">
        <is>
          <t>Manual verification completed in Field playground batch.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Composition</t>
        </is>
      </c>
      <c r="C96" s="5" t="inlineStr">
        <is>
          <t>Field</t>
        </is>
      </c>
      <c r="D96" s="5" t="inlineStr">
        <is>
          <t>asChild preserves child content without double nesting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Field playground scenario.</t>
        </is>
      </c>
      <c r="J96" s="5" t="inlineStr">
        <is>
          <t>Manual verification completed in Field playground batch.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Composition</t>
        </is>
      </c>
      <c r="C97" s="5" t="inlineStr">
        <is>
          <t>Field</t>
        </is>
      </c>
      <c r="D97" s="5" t="inlineStr">
        <is>
          <t>asChild merges Atom props and consumer props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Field playground scenario.</t>
        </is>
      </c>
      <c r="J97" s="5" t="inlineStr">
        <is>
          <t>Manual verification completed in Field playground batch.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Composition</t>
        </is>
      </c>
      <c r="C98" s="5" t="inlineStr">
        <is>
          <t>Field</t>
        </is>
      </c>
      <c r="D98" s="5" t="inlineStr">
        <is>
          <t>asChild lets preventDefault block Atom behavior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Field playground scenario.</t>
        </is>
      </c>
      <c r="J98" s="5" t="inlineStr">
        <is>
          <t>Manual verification completed in Field playground batch.</t>
        </is>
      </c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Composition</t>
        </is>
      </c>
      <c r="C99" s="5" t="inlineStr">
        <is>
          <t>Field</t>
        </is>
      </c>
      <c r="D99" s="5" t="inlineStr">
        <is>
          <t>render prop renders custom element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Field playground scenario.</t>
        </is>
      </c>
      <c r="J99" s="5" t="inlineStr">
        <is>
          <t>Manual verification completed in Field playground batch.</t>
        </is>
      </c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Composition</t>
        </is>
      </c>
      <c r="C100" s="5" t="inlineStr">
        <is>
          <t>Field</t>
        </is>
      </c>
      <c r="D100" s="5" t="inlineStr">
        <is>
          <t>render prop preserves refs and behavior props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Field playground scenario.</t>
        </is>
      </c>
      <c r="J100" s="5" t="inlineStr">
        <is>
          <t>Manual verification completed in Field playground batch.</t>
        </is>
      </c>
      <c r="K100" s="6">
        <f>IF(AND(E100="yes",F100="yes",H100="covered"),1,IF(H100="partial",0.5,0))</f>
        <v/>
      </c>
    </row>
    <row r="101" ht="30" customHeight="1" s="60">
      <c r="A101" s="4" t="n">
        <v>93</v>
      </c>
      <c r="B101" s="5" t="inlineStr">
        <is>
          <t>State</t>
        </is>
      </c>
      <c r="C101" s="5" t="inlineStr">
        <is>
          <t>Field</t>
        </is>
      </c>
      <c r="D101" s="5" t="inlineStr">
        <is>
          <t>disabled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Field playground scenario.</t>
        </is>
      </c>
      <c r="J101" s="5" t="inlineStr">
        <is>
          <t>Manual verification completed in Field playground batch.</t>
        </is>
      </c>
      <c r="K101" s="6">
        <f>IF(AND(E101="yes",F101="yes",H101="covered"),1,IF(H101="partial",0.5,0))</f>
        <v/>
      </c>
    </row>
    <row r="102" ht="30" customHeight="1" s="60">
      <c r="A102" s="4" t="n">
        <v>94</v>
      </c>
      <c r="B102" s="5" t="inlineStr">
        <is>
          <t>State</t>
        </is>
      </c>
      <c r="C102" s="5" t="inlineStr">
        <is>
          <t>Field</t>
        </is>
      </c>
      <c r="D102" s="5" t="inlineStr">
        <is>
          <t>readonly/readOnly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Field playground scenario.</t>
        </is>
      </c>
      <c r="J102" s="5" t="inlineStr">
        <is>
          <t>Manual verification completed in Field playground batch.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Field</t>
        </is>
      </c>
      <c r="D103" s="5" t="inlineStr">
        <is>
          <t>required state blocks or exposes behavior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Field playground scenario.</t>
        </is>
      </c>
      <c r="J103" s="5" t="inlineStr">
        <is>
          <t>Manual verification completed in Field playground batch.</t>
        </is>
      </c>
      <c r="K103" s="6">
        <f>IF(AND(E103="yes",F103="yes",H103="covered"),1,IF(H103="partial",0.5,0))</f>
        <v/>
      </c>
    </row>
    <row r="104" ht="30" customHeight="1" s="60">
      <c r="A104" s="4" t="n">
        <v>96</v>
      </c>
      <c r="B104" s="5" t="inlineStr">
        <is>
          <t>State</t>
        </is>
      </c>
      <c r="C104" s="5" t="inlineStr">
        <is>
          <t>Field</t>
        </is>
      </c>
      <c r="D104" s="5" t="inlineStr">
        <is>
          <t>invalid state blocks or exposes behavior correctly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Field playground scenario.</t>
        </is>
      </c>
      <c r="J104" s="5" t="inlineStr">
        <is>
          <t>Manual verification completed in Field playground batch.</t>
        </is>
      </c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Forms</t>
        </is>
      </c>
      <c r="C105" s="5" t="inlineStr">
        <is>
          <t>Field</t>
        </is>
      </c>
      <c r="D105" s="5" t="inlineStr">
        <is>
          <t>form value participates correctly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Field playground scenario.</t>
        </is>
      </c>
      <c r="J105" s="5" t="inlineStr">
        <is>
          <t>Manual verification completed in Field playground batch.</t>
        </is>
      </c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Forms</t>
        </is>
      </c>
      <c r="C106" s="5" t="inlineStr">
        <is>
          <t>Field</t>
        </is>
      </c>
      <c r="D106" s="5" t="inlineStr">
        <is>
          <t>hidden input mirrors value/checked/disabled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Field playground scenario.</t>
        </is>
      </c>
      <c r="J106" s="5" t="inlineStr">
        <is>
          <t>Manual verification completed in Field playground batch.</t>
        </is>
      </c>
      <c r="K106" s="6">
        <f>IF(AND(E106="yes",F106="yes",H106="covered"),1,IF(H106="partial",0.5,0))</f>
        <v/>
      </c>
    </row>
    <row r="107">
      <c r="A107" t="n">
        <v>99</v>
      </c>
      <c r="B107" t="inlineStr">
        <is>
          <t>Integration</t>
        </is>
      </c>
      <c r="C107" t="inlineStr">
        <is>
          <t>Native control</t>
        </is>
      </c>
      <c r="D107" t="inlineStr">
        <is>
          <t>Field.Root wires Label, Description, Error, and state to a native input control</t>
        </is>
      </c>
      <c r="E107" t="inlineStr">
        <is>
          <t>yes</t>
        </is>
      </c>
      <c r="F107" t="inlineStr">
        <is>
          <t>yes</t>
        </is>
      </c>
      <c r="G107" t="inlineStr">
        <is>
          <t>tested</t>
        </is>
      </c>
      <c r="H107" t="inlineStr">
        <is>
          <t>covered</t>
        </is>
      </c>
      <c r="I107" t="inlineStr">
        <is>
          <t>Field Content &gt; Control: Native.</t>
        </is>
      </c>
      <c r="J107" t="inlineStr">
        <is>
          <t>Manual test passed.</t>
        </is>
      </c>
      <c r="K107">
        <f>IF(AND(E107="yes",F107="yes",H107="covered"),1,IF(H107="partial",0.5,0))</f>
        <v/>
      </c>
    </row>
    <row r="108">
      <c r="A108" t="n">
        <v>100</v>
      </c>
      <c r="B108" t="inlineStr">
        <is>
          <t>Integration</t>
        </is>
      </c>
      <c r="C108" t="inlineStr">
        <is>
          <t>Atom control</t>
        </is>
      </c>
      <c r="D108" t="inlineStr">
        <is>
          <t>Field.Root wires Label, Description, Error, and state to Atom Input.Root</t>
        </is>
      </c>
      <c r="E108" t="inlineStr">
        <is>
          <t>yes</t>
        </is>
      </c>
      <c r="F108" t="inlineStr">
        <is>
          <t>yes</t>
        </is>
      </c>
      <c r="G108" t="inlineStr">
        <is>
          <t>tested</t>
        </is>
      </c>
      <c r="H108" t="inlineStr">
        <is>
          <t>covered</t>
        </is>
      </c>
      <c r="I108" t="inlineStr">
        <is>
          <t>Field Content &gt; Control: Atom.</t>
        </is>
      </c>
      <c r="J108" t="inlineStr">
        <is>
          <t>Manual test passed.</t>
        </is>
      </c>
      <c r="K108">
        <f>IF(AND(E108="yes",F108="yes",H108="covered"),1,IF(H108="partial",0.5,0))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8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Fieldset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Fieldset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60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Fieldset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Fieldset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Fieldset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Fieldset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Fieldset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Fieldset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Fieldset playground scenario.</t>
        </is>
      </c>
      <c r="J13" s="5" t="n"/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Fieldset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Fieldset playground scenario.</t>
        </is>
      </c>
      <c r="J14" s="5" t="n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Fieldset</t>
        </is>
      </c>
      <c r="D15" s="5" t="inlineStr">
        <is>
          <t>Renders native `&lt;fieldset&gt;` and `&lt;legend&gt;` semantics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Fieldset playground scenario.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Fieldset</t>
        </is>
      </c>
      <c r="D16" s="5" t="inlineStr">
        <is>
          <t>Shares disabled, required, and invalid state across grouped controls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Fieldset playground scenario.</t>
        </is>
      </c>
      <c r="J16" s="5" t="n"/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Fieldset</t>
        </is>
      </c>
      <c r="D17" s="5" t="inlineStr">
        <is>
          <t>Wires description and visible error content with `aria-describedby`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Fieldset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Fieldset</t>
        </is>
      </c>
      <c r="D18" s="5" t="inlineStr">
        <is>
          <t>Supports required and optional legend indicators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Fieldset playground scenario.</t>
        </is>
      </c>
      <c r="J18" s="5" t="n"/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Fieldset</t>
        </is>
      </c>
      <c r="D19" s="5" t="inlineStr">
        <is>
          <t>Keeps visual layout outside Atom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Fieldset form-field playground page exposes this part/prop in Anatomy, Inspector, Source, or toolbar controls.</t>
        </is>
      </c>
      <c r="J19" s="5" t="n"/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Fieldset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Fieldset form-field playground page exposes this part/prop in Anatomy, Inspector, Source, or toolbar controls.</t>
        </is>
      </c>
      <c r="J21" s="5" t="n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Fieldset source/anatomy documents whether Root renders DOM; Inspector verifies rendered descendants.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Fieldset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Fieldset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Fieldset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Fieldset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required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Fieldset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invalid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Fieldset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asChild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Fieldset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Composition</t>
        </is>
      </c>
      <c r="C30" s="5" t="inlineStr">
        <is>
          <t>Root</t>
        </is>
      </c>
      <c r="D30" s="5" t="inlineStr">
        <is>
          <t>render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Fieldset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Fieldset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[data-disabled]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Fieldset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[data-required]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Fieldset playground scenario.</t>
        </is>
      </c>
      <c r="J33" s="5" t="n"/>
      <c r="K33" s="6">
        <f>IF(AND(E33="yes",F33="yes",H33="covered"),1,IF(H33="partial",0.5,0))</f>
        <v/>
      </c>
    </row>
    <row r="34" ht="4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[data-invalid]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Fieldset playground scenario.</t>
        </is>
      </c>
      <c r="J34" s="5" t="n"/>
      <c r="K34" s="6">
        <f>IF(AND(E34="yes",F34="yes",H34="covered"),1,IF(H34="partial",0.5,0))</f>
        <v/>
      </c>
    </row>
    <row r="35" ht="45" customHeight="1" s="60">
      <c r="A35" s="4" t="n">
        <v>27</v>
      </c>
      <c r="B35" s="5" t="inlineStr">
        <is>
          <t>Anatomy</t>
        </is>
      </c>
      <c r="C35" s="5" t="inlineStr">
        <is>
          <t>Description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Fieldset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Description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Fieldset form-field playground page exposes this part/prop in Anatomy, Inspector, Source, or toolbar controls.</t>
        </is>
      </c>
      <c r="J36" s="5" t="n"/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Description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Fieldset form-field playground page exposes this part/prop in Anatomy, Inspector, Source, or toolbar controls.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Description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Fieldset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Description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Fieldset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Description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Fieldset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Description</t>
        </is>
      </c>
      <c r="D41" s="5" t="inlineStr">
        <is>
          <t>asChild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Fieldset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Description</t>
        </is>
      </c>
      <c r="D42" s="5" t="inlineStr">
        <is>
          <t>render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Fieldset playground scenario.</t>
        </is>
      </c>
      <c r="J42" s="5" t="n"/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Public API</t>
        </is>
      </c>
      <c r="C43" s="5" t="inlineStr">
        <is>
          <t>Description</t>
        </is>
      </c>
      <c r="D43" s="5" t="inlineStr">
        <is>
          <t>[data-slot]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Fieldset playground scenario.</t>
        </is>
      </c>
      <c r="J43" s="5" t="n"/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Anatomy</t>
        </is>
      </c>
      <c r="C44" s="5" t="inlineStr">
        <is>
          <t>Error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Fieldset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Error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Fieldset form-field playground page exposes this part/prop in Anatomy, Inspector, Source, or toolbar controls.</t>
        </is>
      </c>
      <c r="J45" s="5" t="n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Error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Fieldset form-field playground page exposes this part/prop in Anatomy, Inspector, Source, or toolbar controls.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Error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Fieldset playground scenario.</t>
        </is>
      </c>
      <c r="J47" s="5" t="n"/>
      <c r="K47" s="6">
        <f>IF(AND(E47="yes",F47="yes",H47="covered"),1,IF(H47="partial",0.5,0))</f>
        <v/>
      </c>
    </row>
    <row r="48" ht="45" customHeight="1" s="60">
      <c r="A48" s="4" t="n">
        <v>40</v>
      </c>
      <c r="B48" s="5" t="inlineStr">
        <is>
          <t>Props</t>
        </is>
      </c>
      <c r="C48" s="5" t="inlineStr">
        <is>
          <t>Error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Fieldset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Error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Fieldset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Error</t>
        </is>
      </c>
      <c r="D50" s="5" t="inlineStr">
        <is>
          <t>forceMatch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Fieldset form-field playground page exposes this part/prop in Anatomy, Inspector, Source, or toolbar controls.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Error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Fieldset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Error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Fieldset playground scenario.</t>
        </is>
      </c>
      <c r="J52" s="5" t="n"/>
      <c r="K52" s="6">
        <f>IF(AND(E52="yes",F52="yes",H52="covered"),1,IF(H52="partial",0.5,0))</f>
        <v/>
      </c>
    </row>
    <row r="53" ht="45" customHeight="1" s="60">
      <c r="A53" s="4" t="n">
        <v>45</v>
      </c>
      <c r="B53" s="5" t="inlineStr">
        <is>
          <t>Public API</t>
        </is>
      </c>
      <c r="C53" s="5" t="inlineStr">
        <is>
          <t>Error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Fieldset playground scenario.</t>
        </is>
      </c>
      <c r="J53" s="5" t="n"/>
      <c r="K53" s="6">
        <f>IF(AND(E53="yes",F53="yes",H53="covered"),1,IF(H53="partial",0.5,0))</f>
        <v/>
      </c>
    </row>
    <row r="54" ht="45" customHeight="1" s="60">
      <c r="A54" s="4" t="n">
        <v>46</v>
      </c>
      <c r="B54" s="5" t="inlineStr">
        <is>
          <t>Anatomy</t>
        </is>
      </c>
      <c r="C54" s="5" t="inlineStr">
        <is>
          <t>Legend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Fieldset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Legend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Fieldset form-field playground page exposes this part/prop in Anatomy, Inspector, Source, or toolbar controls.</t>
        </is>
      </c>
      <c r="J55" s="5" t="n"/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Identity</t>
        </is>
      </c>
      <c r="C56" s="5" t="inlineStr">
        <is>
          <t>Legend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Fieldset form-field playground page exposes this part/prop in Anatomy, Inspector, Source, or toolbar controls.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Identity</t>
        </is>
      </c>
      <c r="C57" s="5" t="inlineStr">
        <is>
          <t>Legend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Fieldset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Props</t>
        </is>
      </c>
      <c r="C58" s="5" t="inlineStr">
        <is>
          <t>Legend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Fieldset playground scenario.</t>
        </is>
      </c>
      <c r="J58" s="5" t="n"/>
      <c r="K58" s="6">
        <f>IF(AND(E58="yes",F58="yes",H58="covered"),1,IF(H58="partial",0.5,0))</f>
        <v/>
      </c>
    </row>
    <row r="59" ht="45" customHeight="1" s="60">
      <c r="A59" s="4" t="n">
        <v>51</v>
      </c>
      <c r="B59" s="5" t="inlineStr">
        <is>
          <t>Refs</t>
        </is>
      </c>
      <c r="C59" s="5" t="inlineStr">
        <is>
          <t>Legend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Fieldset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State</t>
        </is>
      </c>
      <c r="C60" s="5" t="inlineStr">
        <is>
          <t>Legend</t>
        </is>
      </c>
      <c r="D60" s="5" t="inlineStr">
        <is>
          <t>requiredIndicator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Fieldset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Legend</t>
        </is>
      </c>
      <c r="D61" s="5" t="inlineStr">
        <is>
          <t>optionalIndicator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Fieldset form-field playground page exposes this part/prop in Anatomy, Inspector, Source, or toolbar controls.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Legend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Fieldset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Legend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Fieldset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Legend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Fieldset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Legend</t>
        </is>
      </c>
      <c r="D65" s="5" t="inlineStr">
        <is>
          <t>[data-disabled]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Fieldset playground scenario.</t>
        </is>
      </c>
      <c r="J65" s="5" t="n"/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State</t>
        </is>
      </c>
      <c r="C66" s="5" t="inlineStr">
        <is>
          <t>Legend</t>
        </is>
      </c>
      <c r="D66" s="5" t="inlineStr">
        <is>
          <t>[data-required]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Fieldset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ARIA</t>
        </is>
      </c>
      <c r="C67" s="5" t="inlineStr">
        <is>
          <t>Live DOM</t>
        </is>
      </c>
      <c r="D67" s="5" t="inlineStr">
        <is>
          <t>aria-describedby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Fieldset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ARIA</t>
        </is>
      </c>
      <c r="C68" s="5" t="inlineStr">
        <is>
          <t>Live DOM</t>
        </is>
      </c>
      <c r="D68" s="5" t="inlineStr">
        <is>
          <t>aria-hidden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Shared Anatomy/Inspector expose live ARIA/data attributes for Fieldset when the part is rendered.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ARIA</t>
        </is>
      </c>
      <c r="C69" s="5" t="inlineStr">
        <is>
          <t>Live DOM</t>
        </is>
      </c>
      <c r="D69" s="5" t="inlineStr">
        <is>
          <t>aria-invalid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Fieldset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aria-required is absent from Fieldset.Root when required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Fieldset required toggle, Inspector, and axe verification.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data-disabled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Fieldset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data-invalid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Fieldset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Data</t>
        </is>
      </c>
      <c r="C73" s="5" t="inlineStr">
        <is>
          <t>Live DOM</t>
        </is>
      </c>
      <c r="D73" s="5" t="inlineStr">
        <is>
          <t>data-required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Fieldset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Data</t>
        </is>
      </c>
      <c r="C74" s="5" t="inlineStr">
        <is>
          <t>Live DOM</t>
        </is>
      </c>
      <c r="D74" s="5" t="inlineStr">
        <is>
          <t>data-slot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Fieldset playground scenario.</t>
        </is>
      </c>
      <c r="J74" s="5" t="n"/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Composition</t>
        </is>
      </c>
      <c r="C75" s="5" t="inlineStr">
        <is>
          <t>Fieldset</t>
        </is>
      </c>
      <c r="D75" s="5" t="inlineStr">
        <is>
          <t>asChild preserves child content without double nesting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Fieldset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Fieldset</t>
        </is>
      </c>
      <c r="D76" s="5" t="inlineStr">
        <is>
          <t>asChild merges Atom props and consumer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Fieldset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Fieldset</t>
        </is>
      </c>
      <c r="D77" s="5" t="inlineStr">
        <is>
          <t>render prop renders custom element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Fieldset playground scenario.</t>
        </is>
      </c>
      <c r="J77" s="5" t="n"/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Composition</t>
        </is>
      </c>
      <c r="C78" s="5" t="inlineStr">
        <is>
          <t>Fieldset</t>
        </is>
      </c>
      <c r="D78" s="5" t="inlineStr">
        <is>
          <t>render prop preserves refs and behavior props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Fieldset playground scenario.</t>
        </is>
      </c>
      <c r="J78" s="5" t="n"/>
      <c r="K78" s="6">
        <f>IF(AND(E78="yes",F78="yes",H78="covered"),1,IF(H78="partial",0.5,0))</f>
        <v/>
      </c>
    </row>
    <row r="79" ht="30" customHeight="1" s="60">
      <c r="A79" s="4" t="n">
        <v>71</v>
      </c>
      <c r="B79" s="5" t="inlineStr">
        <is>
          <t>Integration</t>
        </is>
      </c>
      <c r="C79" s="5" t="inlineStr">
        <is>
          <t>Native controls</t>
        </is>
      </c>
      <c r="D79" s="5" t="inlineStr">
        <is>
          <t>native radio controls work inside Fieldset with shared required, invalid, and disabled state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Fieldset Content &gt; Controls: Native.</t>
        </is>
      </c>
      <c r="J79" s="5" t="n"/>
      <c r="K79" s="6">
        <f>IF(AND(E79="yes",F79="yes",H79="covered"),1,IF(H79="partial",0.5,0))</f>
        <v/>
      </c>
    </row>
    <row r="80" ht="30" customHeight="1" s="60">
      <c r="A80" s="4" t="n">
        <v>72</v>
      </c>
      <c r="B80" s="5" t="inlineStr">
        <is>
          <t>Integration</t>
        </is>
      </c>
      <c r="C80" s="5" t="inlineStr">
        <is>
          <t>Atom controls</t>
        </is>
      </c>
      <c r="D80" s="5" t="inlineStr">
        <is>
          <t>Atom RadioGroup works inside Fieldset with shared required, invalid, and disabled state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Fieldset Content &gt; Controls: Atom.</t>
        </is>
      </c>
      <c r="J80" s="5" t="n"/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State</t>
        </is>
      </c>
      <c r="C81" s="5" t="inlineStr">
        <is>
          <t>Fieldset</t>
        </is>
      </c>
      <c r="D81" s="5" t="inlineStr">
        <is>
          <t>invalid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Fieldset playground scenario.</t>
        </is>
      </c>
      <c r="J81" s="5" t="n"/>
      <c r="K81" s="6">
        <f>IF(AND(E81="yes",F81="yes",H81="covered"),1,IF(H81="partial",0.5,0))</f>
        <v/>
      </c>
    </row>
    <row r="82" ht="30" customHeight="1" s="60"/>
    <row r="8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18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FileUpload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FileUpload playground scenario.</t>
        </is>
      </c>
      <c r="J9" s="5" t="inlineStr">
        <is>
          <t>391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FileUpload playground scenario.</t>
        </is>
      </c>
      <c r="J10" s="5" t="inlineStr">
        <is>
          <t>391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FileUpload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FileUpload playground scenario.</t>
        </is>
      </c>
      <c r="J11" s="5" t="inlineStr">
        <is>
          <t>391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FileUpload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FileUpload playground scenario.</t>
        </is>
      </c>
      <c r="J12" s="5" t="inlineStr">
        <is>
          <t>391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FileUpload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FileUpload playground scenario.</t>
        </is>
      </c>
      <c r="J13" s="5" t="inlineStr">
        <is>
          <t>391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FileUpload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FileUpload playground scenario.</t>
        </is>
      </c>
      <c r="J14" s="5" t="inlineStr">
        <is>
          <t>391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FileUpload</t>
        </is>
      </c>
      <c r="D15" s="5" t="inlineStr">
        <is>
          <t>Controlled and uncontrolled file list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FileUpload playground scenario.</t>
        </is>
      </c>
      <c r="J15" s="5" t="inlineStr">
        <is>
          <t>391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FileUpload</t>
        </is>
      </c>
      <c r="D16" s="5" t="inlineStr">
        <is>
          <t>Native hidden file input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FileUpload playground scenario.</t>
        </is>
      </c>
      <c r="J16" s="5" t="inlineStr">
        <is>
          <t>391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FileUpload</t>
        </is>
      </c>
      <c r="D17" s="5" t="inlineStr">
        <is>
          <t>Picker trigger and drag-and-drop dropzone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FileUpload playground scenario.</t>
        </is>
      </c>
      <c r="J17" s="5" t="inlineStr">
        <is>
          <t>391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FileUpload</t>
        </is>
      </c>
      <c r="D18" s="5" t="inlineStr">
        <is>
          <t>Accept, max file count, max file size, and custom file validation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FileUpload playground scenario.</t>
        </is>
      </c>
      <c r="J18" s="5" t="inlineStr">
        <is>
          <t>391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FileUpload</t>
        </is>
      </c>
      <c r="D19" s="5" t="inlineStr">
        <is>
          <t>Multiple-file append or replace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FileUpload playground scenario.</t>
        </is>
      </c>
      <c r="J19" s="5" t="inlineStr">
        <is>
          <t>391</t>
        </is>
      </c>
      <c r="K19" s="6">
        <f>IF(AND(E19="yes",F19="yes",H19="covered"),1,IF(H19="partial",0.5,0))</f>
        <v/>
      </c>
    </row>
    <row r="20" ht="30" customHeight="1" s="60">
      <c r="A20" s="4" t="n">
        <v>12</v>
      </c>
      <c r="B20" s="5" t="inlineStr">
        <is>
          <t>Feature</t>
        </is>
      </c>
      <c r="C20" s="5" t="inlineStr">
        <is>
          <t>FileUpload</t>
        </is>
      </c>
      <c r="D20" s="5" t="inlineStr">
        <is>
          <t>Rejected file reporting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FileUpload playground scenario.</t>
        </is>
      </c>
      <c r="J20" s="5" t="inlineStr">
        <is>
          <t>391</t>
        </is>
      </c>
      <c r="K20" s="6">
        <f>IF(AND(E20="yes",F20="yes",H20="covered"),1,IF(H20="partial",0.5,0))</f>
        <v/>
      </c>
    </row>
    <row r="21" ht="30" customHeight="1" s="60">
      <c r="A21" s="4" t="n">
        <v>13</v>
      </c>
      <c r="B21" s="5" t="inlineStr">
        <is>
          <t>Feature</t>
        </is>
      </c>
      <c r="C21" s="5" t="inlineStr">
        <is>
          <t>FileUpload</t>
        </is>
      </c>
      <c r="D21" s="5" t="inlineStr">
        <is>
          <t>Item group and item metadata parts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FileUpload playground scenario.</t>
        </is>
      </c>
      <c r="J21" s="5" t="inlineStr">
        <is>
          <t>391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FileUpload</t>
        </is>
      </c>
      <c r="D22" s="5" t="inlineStr">
        <is>
          <t>Same-file re-selection support after removing or clearing files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FileUpload playground scenario.</t>
        </is>
      </c>
      <c r="J22" s="5" t="inlineStr">
        <is>
          <t>391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Feature</t>
        </is>
      </c>
      <c r="C23" s="5" t="inlineStr">
        <is>
          <t>FileUpload</t>
        </is>
      </c>
      <c r="D23" s="5" t="inlineStr">
        <is>
          <t>Field context integration for ID, description, required, disabled, read-only, and invalid state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FileUpload playground scenario.</t>
        </is>
      </c>
      <c r="J23" s="5" t="inlineStr">
        <is>
          <t>391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renders correct part when expected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FileUpload playground scenario.</t>
        </is>
      </c>
      <c r="J24" s="5" t="inlineStr">
        <is>
          <t>391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Anatomy</t>
        </is>
      </c>
      <c r="C25" s="5" t="inlineStr">
        <is>
          <t>Root</t>
        </is>
      </c>
      <c r="D25" s="5" t="inlineStr">
        <is>
          <t>appears in documented order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FileUpload playground scenario.</t>
        </is>
      </c>
      <c r="J25" s="5" t="inlineStr">
        <is>
          <t>391</t>
        </is>
      </c>
      <c r="K25" s="6">
        <f>IF(AND(E25="yes",F25="yes",H25="covered"),1,IF(H25="partial",0.5,0))</f>
        <v/>
      </c>
    </row>
    <row r="26" ht="30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default tag is visible in Anatomy/Inspector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FileUpload playground scenario.</t>
        </is>
      </c>
      <c r="J26" s="5" t="inlineStr">
        <is>
          <t>391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Identity</t>
        </is>
      </c>
      <c r="C27" s="5" t="inlineStr">
        <is>
          <t>Root</t>
        </is>
      </c>
      <c r="D27" s="5" t="inlineStr">
        <is>
          <t>data-slot is present and correct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FileUpload playground scenario.</t>
        </is>
      </c>
      <c r="J27" s="5" t="inlineStr">
        <is>
          <t>391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Props</t>
        </is>
      </c>
      <c r="C28" s="5" t="inlineStr">
        <is>
          <t>Root</t>
        </is>
      </c>
      <c r="D28" s="5" t="inlineStr">
        <is>
          <t>non-Atom native props pass through with data-prop-check marker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FileUpload playground scenario.</t>
        </is>
      </c>
      <c r="J28" s="5" t="inlineStr">
        <is>
          <t>391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Refs</t>
        </is>
      </c>
      <c r="C29" s="5" t="inlineStr">
        <is>
          <t>Root</t>
        </is>
      </c>
      <c r="D29" s="5" t="inlineStr">
        <is>
          <t>consumer ref receives the rendered element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FileUpload playground scenario.</t>
        </is>
      </c>
      <c r="J29" s="5" t="inlineStr">
        <is>
          <t>391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files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FileUpload playground scenario.</t>
        </is>
      </c>
      <c r="J30" s="5" t="inlineStr">
        <is>
          <t>391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defaultFiles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FileUpload playground scenario.</t>
        </is>
      </c>
      <c r="J31" s="5" t="inlineStr">
        <is>
          <t>391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onFilesChange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FileUpload playground scenario.</t>
        </is>
      </c>
      <c r="J32" s="5" t="inlineStr">
        <is>
          <t>391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onRejectedFilesChange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FileUpload playground scenario.</t>
        </is>
      </c>
      <c r="J33" s="5" t="inlineStr">
        <is>
          <t>391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accept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FileUpload playground scenario.</t>
        </is>
      </c>
      <c r="J34" s="5" t="inlineStr">
        <is>
          <t>391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multiple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FileUpload playground scenario.</t>
        </is>
      </c>
      <c r="J35" s="5" t="inlineStr">
        <is>
          <t>391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appendFiles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FileUpload playground scenario.</t>
        </is>
      </c>
      <c r="J36" s="5" t="inlineStr">
        <is>
          <t>391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maxFiles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FileUpload playground scenario.</t>
        </is>
      </c>
      <c r="J37" s="5" t="inlineStr">
        <is>
          <t>391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maxSize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FileUpload playground scenario.</t>
        </is>
      </c>
      <c r="J38" s="5" t="inlineStr">
        <is>
          <t>391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validateFile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FileUpload playground scenario.</t>
        </is>
      </c>
      <c r="J39" s="5" t="inlineStr">
        <is>
          <t>391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name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FileUpload playground scenario.</t>
        </is>
      </c>
      <c r="J40" s="5" t="inlineStr">
        <is>
          <t>391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form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FileUpload playground scenario.</t>
        </is>
      </c>
      <c r="J41" s="5" t="inlineStr">
        <is>
          <t>391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disabled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FileUpload playground scenario.</t>
        </is>
      </c>
      <c r="J42" s="5" t="inlineStr">
        <is>
          <t>391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required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FileUpload playground scenario.</t>
        </is>
      </c>
      <c r="J43" s="5" t="inlineStr">
        <is>
          <t>391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readOnly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FileUpload playground scenario.</t>
        </is>
      </c>
      <c r="J44" s="5" t="inlineStr">
        <is>
          <t>391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invalid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FileUpload playground scenario.</t>
        </is>
      </c>
      <c r="J45" s="5" t="inlineStr">
        <is>
          <t>391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Root</t>
        </is>
      </c>
      <c r="D46" s="5" t="inlineStr">
        <is>
          <t>asChild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FileUpload playground scenario.</t>
        </is>
      </c>
      <c r="J46" s="5" t="inlineStr">
        <is>
          <t>391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Composition</t>
        </is>
      </c>
      <c r="C47" s="5" t="inlineStr">
        <is>
          <t>Root</t>
        </is>
      </c>
      <c r="D47" s="5" t="inlineStr">
        <is>
          <t>render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FileUpload playground scenario.</t>
        </is>
      </c>
      <c r="J47" s="5" t="inlineStr">
        <is>
          <t>391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Root</t>
        </is>
      </c>
      <c r="D48" s="5" t="inlineStr">
        <is>
          <t>data-slot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FileUpload playground scenario.</t>
        </is>
      </c>
      <c r="J48" s="5" t="inlineStr">
        <is>
          <t>391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Root</t>
        </is>
      </c>
      <c r="D49" s="5" t="inlineStr">
        <is>
          <t>[data-slot]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FileUpload playground scenario.</t>
        </is>
      </c>
      <c r="J49" s="5" t="inlineStr">
        <is>
          <t>391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Root</t>
        </is>
      </c>
      <c r="D50" s="5" t="inlineStr">
        <is>
          <t>[data-state]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FileUpload playground scenario.</t>
        </is>
      </c>
      <c r="J50" s="5" t="inlineStr">
        <is>
          <t>391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Root</t>
        </is>
      </c>
      <c r="D51" s="5" t="inlineStr">
        <is>
          <t>[data-drag]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FileUpload playground scenario.</t>
        </is>
      </c>
      <c r="J51" s="5" t="inlineStr">
        <is>
          <t>391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Root</t>
        </is>
      </c>
      <c r="D52" s="5" t="inlineStr">
        <is>
          <t>[data-filled]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FileUpload playground scenario.</t>
        </is>
      </c>
      <c r="J52" s="5" t="inlineStr">
        <is>
          <t>391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Root</t>
        </is>
      </c>
      <c r="D53" s="5" t="inlineStr">
        <is>
          <t>[data-rejected]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FileUpload playground scenario.</t>
        </is>
      </c>
      <c r="J53" s="5" t="inlineStr">
        <is>
          <t>391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Root</t>
        </is>
      </c>
      <c r="D54" s="5" t="inlineStr">
        <is>
          <t>[data-disabled]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FileUpload playground scenario.</t>
        </is>
      </c>
      <c r="J54" s="5" t="inlineStr">
        <is>
          <t>391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Root</t>
        </is>
      </c>
      <c r="D55" s="5" t="inlineStr">
        <is>
          <t>[data-readonly]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FileUpload playground scenario.</t>
        </is>
      </c>
      <c r="J55" s="5" t="inlineStr">
        <is>
          <t>391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Root</t>
        </is>
      </c>
      <c r="D56" s="5" t="inlineStr">
        <is>
          <t>[data-required]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FileUpload playground scenario.</t>
        </is>
      </c>
      <c r="J56" s="5" t="inlineStr">
        <is>
          <t>391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State</t>
        </is>
      </c>
      <c r="C57" s="5" t="inlineStr">
        <is>
          <t>Root</t>
        </is>
      </c>
      <c r="D57" s="5" t="inlineStr">
        <is>
          <t>[data-invalid]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FileUpload playground scenario.</t>
        </is>
      </c>
      <c r="J57" s="5" t="inlineStr">
        <is>
          <t>391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Trigger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FileUpload playground scenario.</t>
        </is>
      </c>
      <c r="J58" s="5" t="inlineStr">
        <is>
          <t>391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Trigger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FileUpload playground scenario.</t>
        </is>
      </c>
      <c r="J59" s="5" t="inlineStr">
        <is>
          <t>391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Trigger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FileUpload playground scenario.</t>
        </is>
      </c>
      <c r="J60" s="5" t="inlineStr">
        <is>
          <t>391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Trigger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FileUpload playground scenario.</t>
        </is>
      </c>
      <c r="J61" s="5" t="inlineStr">
        <is>
          <t>391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Trigger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FileUpload playground scenario.</t>
        </is>
      </c>
      <c r="J62" s="5" t="inlineStr">
        <is>
          <t>391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Trigger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FileUpload playground scenario.</t>
        </is>
      </c>
      <c r="J63" s="5" t="inlineStr">
        <is>
          <t>391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Trigger</t>
        </is>
      </c>
      <c r="D64" s="5" t="inlineStr">
        <is>
          <t>asChild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FileUpload playground scenario.</t>
        </is>
      </c>
      <c r="J64" s="5" t="inlineStr">
        <is>
          <t>391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Trigger</t>
        </is>
      </c>
      <c r="D65" s="5" t="inlineStr">
        <is>
          <t>render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FileUpload playground scenario.</t>
        </is>
      </c>
      <c r="J65" s="5" t="inlineStr">
        <is>
          <t>391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Trigger</t>
        </is>
      </c>
      <c r="D66" s="5" t="inlineStr">
        <is>
          <t>data-slot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FileUpload playground scenario.</t>
        </is>
      </c>
      <c r="J66" s="5" t="inlineStr">
        <is>
          <t>391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Trigger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FileUpload playground scenario.</t>
        </is>
      </c>
      <c r="J67" s="5" t="inlineStr">
        <is>
          <t>391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Trigger</t>
        </is>
      </c>
      <c r="D68" s="5" t="inlineStr">
        <is>
          <t>[data-disabled]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FileUpload playground scenario.</t>
        </is>
      </c>
      <c r="J68" s="5" t="inlineStr">
        <is>
          <t>391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Trigger</t>
        </is>
      </c>
      <c r="D69" s="5" t="inlineStr">
        <is>
          <t>[data-readonly]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FileUpload playground scenario.</t>
        </is>
      </c>
      <c r="J69" s="5" t="inlineStr">
        <is>
          <t>391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Content</t>
        </is>
      </c>
      <c r="C70" s="5" t="inlineStr">
        <is>
          <t>Trigger</t>
        </is>
      </c>
      <c r="D70" s="5" t="inlineStr">
        <is>
          <t>visible trigger text is shown in Anatomy and 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FileUpload playground scenario.</t>
        </is>
      </c>
      <c r="J70" s="5" t="inlineStr">
        <is>
          <t>391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Item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FileUpload playground scenario.</t>
        </is>
      </c>
      <c r="J71" s="5" t="inlineStr">
        <is>
          <t>391</t>
        </is>
      </c>
      <c r="K71" s="6">
        <f>IF(AND(E71="yes",F71="yes",H71="covered"),1,IF(H71="partial",0.5,0))</f>
        <v/>
      </c>
    </row>
    <row r="72" ht="30" customHeight="1" s="60">
      <c r="A72" s="4" t="n">
        <v>64</v>
      </c>
      <c r="B72" s="5" t="inlineStr">
        <is>
          <t>Anatomy</t>
        </is>
      </c>
      <c r="C72" s="5" t="inlineStr">
        <is>
          <t>Item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FileUpload playground scenario.</t>
        </is>
      </c>
      <c r="J72" s="5" t="inlineStr">
        <is>
          <t>391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Item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FileUpload playground scenario.</t>
        </is>
      </c>
      <c r="J73" s="5" t="inlineStr">
        <is>
          <t>391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Item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FileUpload playground scenario.</t>
        </is>
      </c>
      <c r="J74" s="5" t="inlineStr">
        <is>
          <t>391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Item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FileUpload playground scenario.</t>
        </is>
      </c>
      <c r="J75" s="5" t="inlineStr">
        <is>
          <t>391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Item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FileUpload playground scenario.</t>
        </is>
      </c>
      <c r="J76" s="5" t="inlineStr">
        <is>
          <t>391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Item</t>
        </is>
      </c>
      <c r="D77" s="5" t="inlineStr">
        <is>
          <t>file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FileUpload playground scenario.</t>
        </is>
      </c>
      <c r="J77" s="5" t="inlineStr">
        <is>
          <t>391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Item</t>
        </is>
      </c>
      <c r="D78" s="5" t="inlineStr">
        <is>
          <t>asChild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FileUpload playground scenario.</t>
        </is>
      </c>
      <c r="J78" s="5" t="inlineStr">
        <is>
          <t>391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Composition</t>
        </is>
      </c>
      <c r="C79" s="5" t="inlineStr">
        <is>
          <t>Item</t>
        </is>
      </c>
      <c r="D79" s="5" t="inlineStr">
        <is>
          <t>render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FileUpload playground scenario.</t>
        </is>
      </c>
      <c r="J79" s="5" t="inlineStr">
        <is>
          <t>391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Item</t>
        </is>
      </c>
      <c r="D80" s="5" t="inlineStr">
        <is>
          <t>data-slot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FileUpload playground scenario.</t>
        </is>
      </c>
      <c r="J80" s="5" t="inlineStr">
        <is>
          <t>391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Public API</t>
        </is>
      </c>
      <c r="C81" s="5" t="inlineStr">
        <is>
          <t>Item</t>
        </is>
      </c>
      <c r="D81" s="5" t="inlineStr">
        <is>
          <t>[data-slot] prop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FileUpload playground scenario.</t>
        </is>
      </c>
      <c r="J81" s="5" t="inlineStr">
        <is>
          <t>391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Public API</t>
        </is>
      </c>
      <c r="C82" s="5" t="inlineStr">
        <is>
          <t>Item</t>
        </is>
      </c>
      <c r="D82" s="5" t="inlineStr">
        <is>
          <t>[data-name] prop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FileUpload playground scenario.</t>
        </is>
      </c>
      <c r="J82" s="5" t="inlineStr">
        <is>
          <t>391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Item</t>
        </is>
      </c>
      <c r="D83" s="5" t="inlineStr">
        <is>
          <t>[data-size] prop behavior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FileUpload playground scenario.</t>
        </is>
      </c>
      <c r="J83" s="5" t="inlineStr">
        <is>
          <t>391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Anatomy</t>
        </is>
      </c>
      <c r="C84" s="5" t="inlineStr">
        <is>
          <t>Dropzone</t>
        </is>
      </c>
      <c r="D84" s="5" t="inlineStr">
        <is>
          <t>renders correct part when expected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FileUpload playground scenario.</t>
        </is>
      </c>
      <c r="J84" s="5" t="inlineStr">
        <is>
          <t>391</t>
        </is>
      </c>
      <c r="K84" s="6">
        <f>IF(AND(E84="yes",F84="yes",H84="covered"),1,IF(H84="partial",0.5,0))</f>
        <v/>
      </c>
    </row>
    <row r="85" ht="30" customHeight="1" s="60">
      <c r="A85" s="4" t="n">
        <v>77</v>
      </c>
      <c r="B85" s="5" t="inlineStr">
        <is>
          <t>Anatomy</t>
        </is>
      </c>
      <c r="C85" s="5" t="inlineStr">
        <is>
          <t>Dropzone</t>
        </is>
      </c>
      <c r="D85" s="5" t="inlineStr">
        <is>
          <t>appears in documented order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FileUpload playground scenario.</t>
        </is>
      </c>
      <c r="J85" s="5" t="inlineStr">
        <is>
          <t>391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Identity</t>
        </is>
      </c>
      <c r="C86" s="5" t="inlineStr">
        <is>
          <t>Dropzone</t>
        </is>
      </c>
      <c r="D86" s="5" t="inlineStr">
        <is>
          <t>default tag is visible in Anatomy/Inspector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FileUpload playground scenario.</t>
        </is>
      </c>
      <c r="J86" s="5" t="inlineStr">
        <is>
          <t>391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Identity</t>
        </is>
      </c>
      <c r="C87" s="5" t="inlineStr">
        <is>
          <t>Dropzone</t>
        </is>
      </c>
      <c r="D87" s="5" t="inlineStr">
        <is>
          <t>data-slot is present and correct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FileUpload playground scenario.</t>
        </is>
      </c>
      <c r="J87" s="5" t="inlineStr">
        <is>
          <t>391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Props</t>
        </is>
      </c>
      <c r="C88" s="5" t="inlineStr">
        <is>
          <t>Dropzone</t>
        </is>
      </c>
      <c r="D88" s="5" t="inlineStr">
        <is>
          <t>non-Atom native props pass through with data-prop-check marker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FileUpload playground scenario.</t>
        </is>
      </c>
      <c r="J88" s="5" t="inlineStr">
        <is>
          <t>391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Refs</t>
        </is>
      </c>
      <c r="C89" s="5" t="inlineStr">
        <is>
          <t>Dropzone</t>
        </is>
      </c>
      <c r="D89" s="5" t="inlineStr">
        <is>
          <t>consumer ref receives the rendered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FileUpload playground scenario.</t>
        </is>
      </c>
      <c r="J89" s="5" t="inlineStr">
        <is>
          <t>391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Content</t>
        </is>
      </c>
      <c r="C90" s="5" t="inlineStr">
        <is>
          <t>Dropzone</t>
        </is>
      </c>
      <c r="D90" s="5" t="inlineStr">
        <is>
          <t>visible dropzone text is shown in Anatomy and Inspector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FileUpload playground scenario.</t>
        </is>
      </c>
      <c r="J90" s="5" t="inlineStr">
        <is>
          <t>391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Dropzone</t>
        </is>
      </c>
      <c r="D91" s="5" t="inlineStr">
        <is>
          <t>Enter prop behavior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FileUpload playground scenario.</t>
        </is>
      </c>
      <c r="J91" s="5" t="inlineStr">
        <is>
          <t>391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Public API</t>
        </is>
      </c>
      <c r="C92" s="5" t="inlineStr">
        <is>
          <t>Dropzone</t>
        </is>
      </c>
      <c r="D92" s="5" t="inlineStr">
        <is>
          <t>Space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FileUpload playground scenario.</t>
        </is>
      </c>
      <c r="J92" s="5" t="inlineStr">
        <is>
          <t>391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Dropzone</t>
        </is>
      </c>
      <c r="D93" s="5" t="inlineStr">
        <is>
          <t>Tab prop behavior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FileUpload playground scenario.</t>
        </is>
      </c>
      <c r="J93" s="5" t="inlineStr">
        <is>
          <t>391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Anatomy</t>
        </is>
      </c>
      <c r="C94" s="5" t="inlineStr">
        <is>
          <t>HiddenInput</t>
        </is>
      </c>
      <c r="D94" s="5" t="inlineStr">
        <is>
          <t>renders correct part when expected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FileUpload playground scenario.</t>
        </is>
      </c>
      <c r="J94" s="5" t="inlineStr">
        <is>
          <t>391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Anatomy</t>
        </is>
      </c>
      <c r="C95" s="5" t="inlineStr">
        <is>
          <t>HiddenInput</t>
        </is>
      </c>
      <c r="D95" s="5" t="inlineStr">
        <is>
          <t>appears in documented order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FileUpload playground scenario.</t>
        </is>
      </c>
      <c r="J95" s="5" t="inlineStr">
        <is>
          <t>391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Identity</t>
        </is>
      </c>
      <c r="C96" s="5" t="inlineStr">
        <is>
          <t>HiddenInput</t>
        </is>
      </c>
      <c r="D96" s="5" t="inlineStr">
        <is>
          <t>default tag is visible in Anatomy/Inspector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FileUpload playground scenario.</t>
        </is>
      </c>
      <c r="J96" s="5" t="inlineStr">
        <is>
          <t>391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Identity</t>
        </is>
      </c>
      <c r="C97" s="5" t="inlineStr">
        <is>
          <t>HiddenInput</t>
        </is>
      </c>
      <c r="D97" s="5" t="inlineStr">
        <is>
          <t>data-slot is present and correct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FileUpload playground scenario.</t>
        </is>
      </c>
      <c r="J97" s="5" t="inlineStr">
        <is>
          <t>391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Props</t>
        </is>
      </c>
      <c r="C98" s="5" t="inlineStr">
        <is>
          <t>HiddenInput</t>
        </is>
      </c>
      <c r="D98" s="5" t="inlineStr">
        <is>
          <t>non-Atom native props pass through with data-prop-check marker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FileUpload playground scenario.</t>
        </is>
      </c>
      <c r="J98" s="5" t="inlineStr">
        <is>
          <t>391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Refs</t>
        </is>
      </c>
      <c r="C99" s="5" t="inlineStr">
        <is>
          <t>HiddenInput</t>
        </is>
      </c>
      <c r="D99" s="5" t="inlineStr">
        <is>
          <t>consumer ref receives the rendered element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FileUpload playground scenario.</t>
        </is>
      </c>
      <c r="J99" s="5" t="inlineStr">
        <is>
          <t>391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Native Attrs</t>
        </is>
      </c>
      <c r="C100" s="5" t="inlineStr">
        <is>
          <t>HiddenInput</t>
        </is>
      </c>
      <c r="D100" s="5" t="inlineStr">
        <is>
          <t>accept mirrors Root accept on the native file input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FileUpload playground scenario.</t>
        </is>
      </c>
      <c r="J100" s="5" t="inlineStr">
        <is>
          <t>391</t>
        </is>
      </c>
      <c r="K100" s="6">
        <f>IF(AND(E100="yes",F100="yes",H100="covered"),1,IF(H100="partial",0.5,0))</f>
        <v/>
      </c>
    </row>
    <row r="101" ht="30" customHeight="1" s="60">
      <c r="A101" s="4" t="n">
        <v>93</v>
      </c>
      <c r="B101" s="5" t="inlineStr">
        <is>
          <t>Native Attrs</t>
        </is>
      </c>
      <c r="C101" s="5" t="inlineStr">
        <is>
          <t>HiddenInput</t>
        </is>
      </c>
      <c r="D101" s="5" t="inlineStr">
        <is>
          <t>multiple mirrors Root multiple on the native file input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FileUpload playground scenario.</t>
        </is>
      </c>
      <c r="J101" s="5" t="inlineStr">
        <is>
          <t>391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Native Attrs</t>
        </is>
      </c>
      <c r="C102" s="5" t="inlineStr">
        <is>
          <t>HiddenInput</t>
        </is>
      </c>
      <c r="D102" s="5" t="inlineStr">
        <is>
          <t>name mirrors Root name on the native file input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FileUpload playground scenario.</t>
        </is>
      </c>
      <c r="J102" s="5" t="inlineStr">
        <is>
          <t>391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Native Attrs</t>
        </is>
      </c>
      <c r="C103" s="5" t="inlineStr">
        <is>
          <t>HiddenInput</t>
        </is>
      </c>
      <c r="D103" s="5" t="inlineStr">
        <is>
          <t>form mirrors Root form on the native file input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FileUpload playground scenario.</t>
        </is>
      </c>
      <c r="J103" s="5" t="inlineStr">
        <is>
          <t>391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Native Attrs</t>
        </is>
      </c>
      <c r="C104" s="5" t="inlineStr">
        <is>
          <t>HiddenInput</t>
        </is>
      </c>
      <c r="D104" s="5" t="inlineStr">
        <is>
          <t>required mirrors Root or Field required on the native file input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FileUpload playground scenario.</t>
        </is>
      </c>
      <c r="J104" s="5" t="inlineStr">
        <is>
          <t>391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Native Attrs</t>
        </is>
      </c>
      <c r="C105" s="5" t="inlineStr">
        <is>
          <t>HiddenInput</t>
        </is>
      </c>
      <c r="D105" s="5" t="inlineStr">
        <is>
          <t>disabled mirrors Root or Field disabled on the native file input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FileUpload playground scenario.</t>
        </is>
      </c>
      <c r="J105" s="5" t="inlineStr">
        <is>
          <t>391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ARIA</t>
        </is>
      </c>
      <c r="C106" s="5" t="inlineStr">
        <is>
          <t>HiddenInput</t>
        </is>
      </c>
      <c r="D106" s="5" t="inlineStr">
        <is>
          <t>aria-describedby mirrors Field description and error ids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FileUpload playground scenario.</t>
        </is>
      </c>
      <c r="J106" s="5" t="inlineStr">
        <is>
          <t>391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ARIA</t>
        </is>
      </c>
      <c r="C107" s="5" t="inlineStr">
        <is>
          <t>HiddenInput</t>
        </is>
      </c>
      <c r="D107" s="5" t="inlineStr">
        <is>
          <t>aria-invalid mirrors Root or Field invalid state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FileUpload playground scenario.</t>
        </is>
      </c>
      <c r="J107" s="5" t="inlineStr">
        <is>
          <t>391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HiddenInput</t>
        </is>
      </c>
      <c r="D108" s="5" t="inlineStr">
        <is>
          <t>data-slot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FileUpload playground scenario.</t>
        </is>
      </c>
      <c r="J108" s="5" t="inlineStr">
        <is>
          <t>391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Anatomy</t>
        </is>
      </c>
      <c r="C109" s="5" t="inlineStr">
        <is>
          <t>ItemDeleteTrigger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FileUpload playground scenario.</t>
        </is>
      </c>
      <c r="J109" s="5" t="inlineStr">
        <is>
          <t>391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ItemDeleteTrigger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FileUpload playground scenario.</t>
        </is>
      </c>
      <c r="J110" s="5" t="inlineStr">
        <is>
          <t>391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Identity</t>
        </is>
      </c>
      <c r="C111" s="5" t="inlineStr">
        <is>
          <t>ItemDeleteTrigger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FileUpload playground scenario.</t>
        </is>
      </c>
      <c r="J111" s="5" t="inlineStr">
        <is>
          <t>391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ItemDeleteTrigger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FileUpload playground scenario.</t>
        </is>
      </c>
      <c r="J112" s="5" t="inlineStr">
        <is>
          <t>391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Props</t>
        </is>
      </c>
      <c r="C113" s="5" t="inlineStr">
        <is>
          <t>ItemDeleteTrigger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FileUpload playground scenario.</t>
        </is>
      </c>
      <c r="J113" s="5" t="inlineStr">
        <is>
          <t>391</t>
        </is>
      </c>
      <c r="K113" s="6">
        <f>IF(AND(E113="yes",F113="yes",H113="covered"),1,IF(H113="partial",0.5,0))</f>
        <v/>
      </c>
    </row>
    <row r="114" ht="30" customHeight="1" s="60">
      <c r="A114" s="4" t="n">
        <v>106</v>
      </c>
      <c r="B114" s="5" t="inlineStr">
        <is>
          <t>Refs</t>
        </is>
      </c>
      <c r="C114" s="5" t="inlineStr">
        <is>
          <t>ItemDeleteTrigger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FileUpload playground scenario.</t>
        </is>
      </c>
      <c r="J114" s="5" t="inlineStr">
        <is>
          <t>391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Composition</t>
        </is>
      </c>
      <c r="C115" s="5" t="inlineStr">
        <is>
          <t>ItemDeleteTrigger</t>
        </is>
      </c>
      <c r="D115" s="5" t="inlineStr">
        <is>
          <t>asChild prop behavior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FileUpload playground scenario.</t>
        </is>
      </c>
      <c r="J115" s="5" t="inlineStr">
        <is>
          <t>391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Composition</t>
        </is>
      </c>
      <c r="C116" s="5" t="inlineStr">
        <is>
          <t>ItemDeleteTrigger</t>
        </is>
      </c>
      <c r="D116" s="5" t="inlineStr">
        <is>
          <t>render prop behavior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FileUpload playground scenario.</t>
        </is>
      </c>
      <c r="J116" s="5" t="inlineStr">
        <is>
          <t>391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Accessibility</t>
        </is>
      </c>
      <c r="C117" s="5" t="inlineStr">
        <is>
          <t>ItemDeleteTrigger</t>
        </is>
      </c>
      <c r="D117" s="5" t="inlineStr">
        <is>
          <t>aria-label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FileUpload playground scenario.</t>
        </is>
      </c>
      <c r="J117" s="5" t="inlineStr">
        <is>
          <t>391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Public API</t>
        </is>
      </c>
      <c r="C118" s="5" t="inlineStr">
        <is>
          <t>ItemDeleteTrigger</t>
        </is>
      </c>
      <c r="D118" s="5" t="inlineStr">
        <is>
          <t>data-slot prop behavior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FileUpload playground scenario.</t>
        </is>
      </c>
      <c r="J118" s="5" t="inlineStr">
        <is>
          <t>391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Public API</t>
        </is>
      </c>
      <c r="C119" s="5" t="inlineStr">
        <is>
          <t>ItemDeleteTrigger</t>
        </is>
      </c>
      <c r="D119" s="5" t="inlineStr">
        <is>
          <t>[data-slot] prop behavior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FileUpload playground scenario.</t>
        </is>
      </c>
      <c r="J119" s="5" t="inlineStr">
        <is>
          <t>391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State</t>
        </is>
      </c>
      <c r="C120" s="5" t="inlineStr">
        <is>
          <t>ItemDeleteTrigger</t>
        </is>
      </c>
      <c r="D120" s="5" t="inlineStr">
        <is>
          <t>[data-disabled] prop behavior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FileUpload playground scenario.</t>
        </is>
      </c>
      <c r="J120" s="5" t="inlineStr">
        <is>
          <t>391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State</t>
        </is>
      </c>
      <c r="C121" s="5" t="inlineStr">
        <is>
          <t>ItemDeleteTrigger</t>
        </is>
      </c>
      <c r="D121" s="5" t="inlineStr">
        <is>
          <t>[data-readonly] prop behavior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FileUpload playground scenario.</t>
        </is>
      </c>
      <c r="J121" s="5" t="inlineStr">
        <is>
          <t>391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Content</t>
        </is>
      </c>
      <c r="C122" s="5" t="inlineStr">
        <is>
          <t>ItemDeleteTrigger</t>
        </is>
      </c>
      <c r="D122" s="5" t="inlineStr">
        <is>
          <t>visible delete trigger text is shown in Anatomy and Inspector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FileUpload playground scenario.</t>
        </is>
      </c>
      <c r="J122" s="5" t="inlineStr">
        <is>
          <t>391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Anatomy</t>
        </is>
      </c>
      <c r="C123" s="5" t="inlineStr">
        <is>
          <t>ItemGroup</t>
        </is>
      </c>
      <c r="D123" s="5" t="inlineStr">
        <is>
          <t>renders correct part when expected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FileUpload playground scenario.</t>
        </is>
      </c>
      <c r="J123" s="5" t="inlineStr">
        <is>
          <t>391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Anatomy</t>
        </is>
      </c>
      <c r="C124" s="5" t="inlineStr">
        <is>
          <t>ItemGroup</t>
        </is>
      </c>
      <c r="D124" s="5" t="inlineStr">
        <is>
          <t>appears in documented order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FileUpload playground scenario.</t>
        </is>
      </c>
      <c r="J124" s="5" t="inlineStr">
        <is>
          <t>391</t>
        </is>
      </c>
      <c r="K124" s="6">
        <f>IF(AND(E124="yes",F124="yes",H124="covered"),1,IF(H124="partial",0.5,0))</f>
        <v/>
      </c>
    </row>
    <row r="125" ht="30" customHeight="1" s="60">
      <c r="A125" s="4" t="n">
        <v>117</v>
      </c>
      <c r="B125" s="5" t="inlineStr">
        <is>
          <t>Identity</t>
        </is>
      </c>
      <c r="C125" s="5" t="inlineStr">
        <is>
          <t>ItemGroup</t>
        </is>
      </c>
      <c r="D125" s="5" t="inlineStr">
        <is>
          <t>default tag is visible in Anatomy/Inspector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FileUpload playground scenario.</t>
        </is>
      </c>
      <c r="J125" s="5" t="inlineStr">
        <is>
          <t>391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Identity</t>
        </is>
      </c>
      <c r="C126" s="5" t="inlineStr">
        <is>
          <t>ItemGroup</t>
        </is>
      </c>
      <c r="D126" s="5" t="inlineStr">
        <is>
          <t>data-slot is present and correct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9" t="inlineStr">
        <is>
          <t>covered</t>
        </is>
      </c>
      <c r="I126" s="5" t="inlineStr">
        <is>
          <t>FileUpload playground scenario.</t>
        </is>
      </c>
      <c r="J126" s="5" t="inlineStr">
        <is>
          <t>391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Props</t>
        </is>
      </c>
      <c r="C127" s="5" t="inlineStr">
        <is>
          <t>ItemGroup</t>
        </is>
      </c>
      <c r="D127" s="5" t="inlineStr">
        <is>
          <t>non-Atom native props pass through with data-prop-check marker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9" t="inlineStr">
        <is>
          <t>covered</t>
        </is>
      </c>
      <c r="I127" s="5" t="inlineStr">
        <is>
          <t>FileUpload playground scenario.</t>
        </is>
      </c>
      <c r="J127" s="5" t="inlineStr">
        <is>
          <t>391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Refs</t>
        </is>
      </c>
      <c r="C128" s="5" t="inlineStr">
        <is>
          <t>ItemGroup</t>
        </is>
      </c>
      <c r="D128" s="5" t="inlineStr">
        <is>
          <t>consumer ref receives the rendered element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9" t="inlineStr">
        <is>
          <t>covered</t>
        </is>
      </c>
      <c r="I128" s="5" t="inlineStr">
        <is>
          <t>FileUpload playground scenario.</t>
        </is>
      </c>
      <c r="J128" s="5" t="inlineStr">
        <is>
          <t>391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Composition</t>
        </is>
      </c>
      <c r="C129" s="5" t="inlineStr">
        <is>
          <t>ItemGroup</t>
        </is>
      </c>
      <c r="D129" s="5" t="inlineStr">
        <is>
          <t>asChild prop behavior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</t>
        </is>
      </c>
      <c r="H129" s="9" t="inlineStr">
        <is>
          <t>covered</t>
        </is>
      </c>
      <c r="I129" s="5" t="inlineStr">
        <is>
          <t>FileUpload playground scenario.</t>
        </is>
      </c>
      <c r="J129" s="5" t="inlineStr">
        <is>
          <t>391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Composition</t>
        </is>
      </c>
      <c r="C130" s="5" t="inlineStr">
        <is>
          <t>ItemGroup</t>
        </is>
      </c>
      <c r="D130" s="5" t="inlineStr">
        <is>
          <t>render prop behavior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</t>
        </is>
      </c>
      <c r="H130" s="9" t="inlineStr">
        <is>
          <t>covered</t>
        </is>
      </c>
      <c r="I130" s="5" t="inlineStr">
        <is>
          <t>FileUpload playground scenario.</t>
        </is>
      </c>
      <c r="J130" s="5" t="inlineStr">
        <is>
          <t>391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Public API</t>
        </is>
      </c>
      <c r="C131" s="5" t="inlineStr">
        <is>
          <t>ItemGroup</t>
        </is>
      </c>
      <c r="D131" s="5" t="inlineStr">
        <is>
          <t>data-slot prop behavior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</t>
        </is>
      </c>
      <c r="H131" s="9" t="inlineStr">
        <is>
          <t>covered</t>
        </is>
      </c>
      <c r="I131" s="5" t="inlineStr">
        <is>
          <t>FileUpload playground scenario.</t>
        </is>
      </c>
      <c r="J131" s="5" t="inlineStr">
        <is>
          <t>391</t>
        </is>
      </c>
      <c r="K131" s="6">
        <f>IF(AND(E131="yes",F131="yes",H131="covered"),1,IF(H131="partial",0.5,0))</f>
        <v/>
      </c>
    </row>
    <row r="132" ht="30" customHeight="1" s="60">
      <c r="A132" s="4" t="n">
        <v>124</v>
      </c>
      <c r="B132" s="5" t="inlineStr">
        <is>
          <t>Public API</t>
        </is>
      </c>
      <c r="C132" s="5" t="inlineStr">
        <is>
          <t>ItemGroup</t>
        </is>
      </c>
      <c r="D132" s="5" t="inlineStr">
        <is>
          <t>[data-slot] prop behavior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</t>
        </is>
      </c>
      <c r="H132" s="9" t="inlineStr">
        <is>
          <t>covered</t>
        </is>
      </c>
      <c r="I132" s="5" t="inlineStr">
        <is>
          <t>FileUpload playground scenario.</t>
        </is>
      </c>
      <c r="J132" s="5" t="inlineStr">
        <is>
          <t>391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Public API</t>
        </is>
      </c>
      <c r="C133" s="5" t="inlineStr">
        <is>
          <t>ItemGroup</t>
        </is>
      </c>
      <c r="D133" s="5" t="inlineStr">
        <is>
          <t>[data-count] prop behavior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</t>
        </is>
      </c>
      <c r="H133" s="9" t="inlineStr">
        <is>
          <t>covered</t>
        </is>
      </c>
      <c r="I133" s="5" t="inlineStr">
        <is>
          <t>FileUpload playground scenario.</t>
        </is>
      </c>
      <c r="J133" s="5" t="inlineStr">
        <is>
          <t>391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Anatomy</t>
        </is>
      </c>
      <c r="C134" s="5" t="inlineStr">
        <is>
          <t>ItemName</t>
        </is>
      </c>
      <c r="D134" s="5" t="inlineStr">
        <is>
          <t>renders correct part when expected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</t>
        </is>
      </c>
      <c r="H134" s="9" t="inlineStr">
        <is>
          <t>covered</t>
        </is>
      </c>
      <c r="I134" s="5" t="inlineStr">
        <is>
          <t>FileUpload playground scenario.</t>
        </is>
      </c>
      <c r="J134" s="5" t="inlineStr">
        <is>
          <t>391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Anatomy</t>
        </is>
      </c>
      <c r="C135" s="5" t="inlineStr">
        <is>
          <t>ItemName</t>
        </is>
      </c>
      <c r="D135" s="5" t="inlineStr">
        <is>
          <t>appears in documented order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</t>
        </is>
      </c>
      <c r="H135" s="9" t="inlineStr">
        <is>
          <t>covered</t>
        </is>
      </c>
      <c r="I135" s="5" t="inlineStr">
        <is>
          <t>FileUpload playground scenario.</t>
        </is>
      </c>
      <c r="J135" s="5" t="inlineStr">
        <is>
          <t>391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Identity</t>
        </is>
      </c>
      <c r="C136" s="5" t="inlineStr">
        <is>
          <t>ItemName</t>
        </is>
      </c>
      <c r="D136" s="5" t="inlineStr">
        <is>
          <t>default tag is visible in Anatomy/Inspector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</t>
        </is>
      </c>
      <c r="H136" s="9" t="inlineStr">
        <is>
          <t>covered</t>
        </is>
      </c>
      <c r="I136" s="5" t="inlineStr">
        <is>
          <t>FileUpload playground scenario.</t>
        </is>
      </c>
      <c r="J136" s="5" t="inlineStr">
        <is>
          <t>391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Identity</t>
        </is>
      </c>
      <c r="C137" s="5" t="inlineStr">
        <is>
          <t>ItemName</t>
        </is>
      </c>
      <c r="D137" s="5" t="inlineStr">
        <is>
          <t>data-slot is present and correct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</t>
        </is>
      </c>
      <c r="H137" s="9" t="inlineStr">
        <is>
          <t>covered</t>
        </is>
      </c>
      <c r="I137" s="5" t="inlineStr">
        <is>
          <t>FileUpload playground scenario.</t>
        </is>
      </c>
      <c r="J137" s="5" t="inlineStr">
        <is>
          <t>391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Props</t>
        </is>
      </c>
      <c r="C138" s="5" t="inlineStr">
        <is>
          <t>ItemName</t>
        </is>
      </c>
      <c r="D138" s="5" t="inlineStr">
        <is>
          <t>non-Atom native props pass through with data-prop-check marker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</t>
        </is>
      </c>
      <c r="H138" s="9" t="inlineStr">
        <is>
          <t>covered</t>
        </is>
      </c>
      <c r="I138" s="5" t="inlineStr">
        <is>
          <t>FileUpload playground scenario.</t>
        </is>
      </c>
      <c r="J138" s="5" t="inlineStr">
        <is>
          <t>391</t>
        </is>
      </c>
      <c r="K138" s="6">
        <f>IF(AND(E138="yes",F138="yes",H138="covered"),1,IF(H138="partial",0.5,0))</f>
        <v/>
      </c>
    </row>
    <row r="139" ht="30" customHeight="1" s="60">
      <c r="A139" s="4" t="n">
        <v>131</v>
      </c>
      <c r="B139" s="5" t="inlineStr">
        <is>
          <t>Refs</t>
        </is>
      </c>
      <c r="C139" s="5" t="inlineStr">
        <is>
          <t>ItemName</t>
        </is>
      </c>
      <c r="D139" s="5" t="inlineStr">
        <is>
          <t>consumer ref receives the rendered element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</t>
        </is>
      </c>
      <c r="H139" s="9" t="inlineStr">
        <is>
          <t>covered</t>
        </is>
      </c>
      <c r="I139" s="5" t="inlineStr">
        <is>
          <t>FileUpload playground scenario.</t>
        </is>
      </c>
      <c r="J139" s="5" t="inlineStr">
        <is>
          <t>391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Public API</t>
        </is>
      </c>
      <c r="C140" s="5" t="inlineStr">
        <is>
          <t>ItemName</t>
        </is>
      </c>
      <c r="D140" s="5" t="inlineStr">
        <is>
          <t>[data-slot] prop behavior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</t>
        </is>
      </c>
      <c r="H140" s="9" t="inlineStr">
        <is>
          <t>covered</t>
        </is>
      </c>
      <c r="I140" s="5" t="inlineStr">
        <is>
          <t>FileUpload playground scenario.</t>
        </is>
      </c>
      <c r="J140" s="5" t="inlineStr">
        <is>
          <t>391</t>
        </is>
      </c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Anatomy</t>
        </is>
      </c>
      <c r="C141" s="5" t="inlineStr">
        <is>
          <t>ItemSize</t>
        </is>
      </c>
      <c r="D141" s="5" t="inlineStr">
        <is>
          <t>renders correct part when expected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</t>
        </is>
      </c>
      <c r="H141" s="9" t="inlineStr">
        <is>
          <t>covered</t>
        </is>
      </c>
      <c r="I141" s="5" t="inlineStr">
        <is>
          <t>FileUpload playground scenario.</t>
        </is>
      </c>
      <c r="J141" s="5" t="inlineStr">
        <is>
          <t>391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Anatomy</t>
        </is>
      </c>
      <c r="C142" s="5" t="inlineStr">
        <is>
          <t>ItemSize</t>
        </is>
      </c>
      <c r="D142" s="5" t="inlineStr">
        <is>
          <t>appears in documented order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</t>
        </is>
      </c>
      <c r="H142" s="9" t="inlineStr">
        <is>
          <t>covered</t>
        </is>
      </c>
      <c r="I142" s="5" t="inlineStr">
        <is>
          <t>FileUpload playground scenario.</t>
        </is>
      </c>
      <c r="J142" s="5" t="inlineStr">
        <is>
          <t>391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Identity</t>
        </is>
      </c>
      <c r="C143" s="5" t="inlineStr">
        <is>
          <t>ItemSize</t>
        </is>
      </c>
      <c r="D143" s="5" t="inlineStr">
        <is>
          <t>default tag is visible in Anatomy/Inspector</t>
        </is>
      </c>
      <c r="E143" s="7" t="inlineStr">
        <is>
          <t>yes</t>
        </is>
      </c>
      <c r="F143" s="8" t="inlineStr">
        <is>
          <t>yes</t>
        </is>
      </c>
      <c r="G143" s="4" t="inlineStr">
        <is>
          <t>passed</t>
        </is>
      </c>
      <c r="H143" s="9" t="inlineStr">
        <is>
          <t>covered</t>
        </is>
      </c>
      <c r="I143" s="5" t="inlineStr">
        <is>
          <t>FileUpload playground scenario.</t>
        </is>
      </c>
      <c r="J143" s="5" t="inlineStr">
        <is>
          <t>391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Identity</t>
        </is>
      </c>
      <c r="C144" s="5" t="inlineStr">
        <is>
          <t>ItemSize</t>
        </is>
      </c>
      <c r="D144" s="5" t="inlineStr">
        <is>
          <t>data-slot is present and correct</t>
        </is>
      </c>
      <c r="E144" s="7" t="inlineStr">
        <is>
          <t>yes</t>
        </is>
      </c>
      <c r="F144" s="8" t="inlineStr">
        <is>
          <t>yes</t>
        </is>
      </c>
      <c r="G144" s="4" t="inlineStr">
        <is>
          <t>passed</t>
        </is>
      </c>
      <c r="H144" s="9" t="inlineStr">
        <is>
          <t>covered</t>
        </is>
      </c>
      <c r="I144" s="5" t="inlineStr">
        <is>
          <t>FileUpload playground scenario.</t>
        </is>
      </c>
      <c r="J144" s="5" t="inlineStr">
        <is>
          <t>391</t>
        </is>
      </c>
      <c r="K144" s="6">
        <f>IF(AND(E144="yes",F144="yes",H144="covered"),1,IF(H144="partial",0.5,0))</f>
        <v/>
      </c>
    </row>
    <row r="145" ht="30" customHeight="1" s="60">
      <c r="A145" s="4" t="n">
        <v>137</v>
      </c>
      <c r="B145" s="5" t="inlineStr">
        <is>
          <t>Props</t>
        </is>
      </c>
      <c r="C145" s="5" t="inlineStr">
        <is>
          <t>ItemSize</t>
        </is>
      </c>
      <c r="D145" s="5" t="inlineStr">
        <is>
          <t>non-Atom native props pass through with data-prop-check marker</t>
        </is>
      </c>
      <c r="E145" s="7" t="inlineStr">
        <is>
          <t>yes</t>
        </is>
      </c>
      <c r="F145" s="8" t="inlineStr">
        <is>
          <t>yes</t>
        </is>
      </c>
      <c r="G145" s="4" t="inlineStr">
        <is>
          <t>passed</t>
        </is>
      </c>
      <c r="H145" s="9" t="inlineStr">
        <is>
          <t>covered</t>
        </is>
      </c>
      <c r="I145" s="5" t="inlineStr">
        <is>
          <t>FileUpload playground scenario.</t>
        </is>
      </c>
      <c r="J145" s="5" t="inlineStr">
        <is>
          <t>391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Refs</t>
        </is>
      </c>
      <c r="C146" s="5" t="inlineStr">
        <is>
          <t>ItemSize</t>
        </is>
      </c>
      <c r="D146" s="5" t="inlineStr">
        <is>
          <t>consumer ref receives the rendered element</t>
        </is>
      </c>
      <c r="E146" s="7" t="inlineStr">
        <is>
          <t>yes</t>
        </is>
      </c>
      <c r="F146" s="8" t="inlineStr">
        <is>
          <t>yes</t>
        </is>
      </c>
      <c r="G146" s="4" t="inlineStr">
        <is>
          <t>passed</t>
        </is>
      </c>
      <c r="H146" s="9" t="inlineStr">
        <is>
          <t>covered</t>
        </is>
      </c>
      <c r="I146" s="5" t="inlineStr">
        <is>
          <t>FileUpload playground scenario.</t>
        </is>
      </c>
      <c r="J146" s="5" t="inlineStr">
        <is>
          <t>391</t>
        </is>
      </c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Public API</t>
        </is>
      </c>
      <c r="C147" s="5" t="inlineStr">
        <is>
          <t>ItemSize</t>
        </is>
      </c>
      <c r="D147" s="5" t="inlineStr">
        <is>
          <t>[data-slot] prop behavior</t>
        </is>
      </c>
      <c r="E147" s="7" t="inlineStr">
        <is>
          <t>yes</t>
        </is>
      </c>
      <c r="F147" s="8" t="inlineStr">
        <is>
          <t>yes</t>
        </is>
      </c>
      <c r="G147" s="4" t="inlineStr">
        <is>
          <t>passed</t>
        </is>
      </c>
      <c r="H147" s="9" t="inlineStr">
        <is>
          <t>covered</t>
        </is>
      </c>
      <c r="I147" s="5" t="inlineStr">
        <is>
          <t>FileUpload playground scenario.</t>
        </is>
      </c>
      <c r="J147" s="5" t="inlineStr">
        <is>
          <t>391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aria-describedby is present at the correct time</t>
        </is>
      </c>
      <c r="E148" s="7" t="inlineStr">
        <is>
          <t>yes</t>
        </is>
      </c>
      <c r="F148" s="8" t="inlineStr">
        <is>
          <t>yes</t>
        </is>
      </c>
      <c r="G148" s="4" t="inlineStr">
        <is>
          <t>passed</t>
        </is>
      </c>
      <c r="H148" s="9" t="inlineStr">
        <is>
          <t>covered</t>
        </is>
      </c>
      <c r="I148" s="5" t="inlineStr">
        <is>
          <t>FileUpload playground scenario.</t>
        </is>
      </c>
      <c r="J148" s="5" t="inlineStr">
        <is>
          <t>391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aria-disabled is present at the correct time</t>
        </is>
      </c>
      <c r="E149" s="7" t="inlineStr">
        <is>
          <t>yes</t>
        </is>
      </c>
      <c r="F149" s="8" t="inlineStr">
        <is>
          <t>yes</t>
        </is>
      </c>
      <c r="G149" s="4" t="inlineStr">
        <is>
          <t>passed</t>
        </is>
      </c>
      <c r="H149" s="9" t="inlineStr">
        <is>
          <t>covered</t>
        </is>
      </c>
      <c r="I149" s="5" t="inlineStr">
        <is>
          <t>FileUpload playground scenario.</t>
        </is>
      </c>
      <c r="J149" s="5" t="inlineStr">
        <is>
          <t>391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aria-invalid is present at the correct time</t>
        </is>
      </c>
      <c r="E150" s="7" t="inlineStr">
        <is>
          <t>yes</t>
        </is>
      </c>
      <c r="F150" s="8" t="inlineStr">
        <is>
          <t>yes</t>
        </is>
      </c>
      <c r="G150" s="4" t="inlineStr">
        <is>
          <t>passed</t>
        </is>
      </c>
      <c r="H150" s="9" t="inlineStr">
        <is>
          <t>covered</t>
        </is>
      </c>
      <c r="I150" s="5" t="inlineStr">
        <is>
          <t>FileUpload playground scenario.</t>
        </is>
      </c>
      <c r="J150" s="5" t="inlineStr">
        <is>
          <t>391</t>
        </is>
      </c>
      <c r="K150" s="6">
        <f>IF(AND(E150="yes",F150="yes",H150="covered"),1,IF(H150="partial",0.5,0))</f>
        <v/>
      </c>
    </row>
    <row r="151" ht="30" customHeight="1" s="60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aria-label is present at the correct time</t>
        </is>
      </c>
      <c r="E151" s="7" t="inlineStr">
        <is>
          <t>yes</t>
        </is>
      </c>
      <c r="F151" s="8" t="inlineStr">
        <is>
          <t>yes</t>
        </is>
      </c>
      <c r="G151" s="4" t="inlineStr">
        <is>
          <t>passed</t>
        </is>
      </c>
      <c r="H151" s="9" t="inlineStr">
        <is>
          <t>covered</t>
        </is>
      </c>
      <c r="I151" s="5" t="inlineStr">
        <is>
          <t>FileUpload playground scenario.</t>
        </is>
      </c>
      <c r="J151" s="5" t="inlineStr">
        <is>
          <t>391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Data</t>
        </is>
      </c>
      <c r="C152" s="5" t="inlineStr">
        <is>
          <t>Live DOM</t>
        </is>
      </c>
      <c r="D152" s="5" t="inlineStr">
        <is>
          <t>data-count is present at the correct time</t>
        </is>
      </c>
      <c r="E152" s="7" t="inlineStr">
        <is>
          <t>yes</t>
        </is>
      </c>
      <c r="F152" s="8" t="inlineStr">
        <is>
          <t>yes</t>
        </is>
      </c>
      <c r="G152" s="4" t="inlineStr">
        <is>
          <t>passed</t>
        </is>
      </c>
      <c r="H152" s="9" t="inlineStr">
        <is>
          <t>covered</t>
        </is>
      </c>
      <c r="I152" s="5" t="inlineStr">
        <is>
          <t>FileUpload playground scenario.</t>
        </is>
      </c>
      <c r="J152" s="5" t="inlineStr">
        <is>
          <t>391</t>
        </is>
      </c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Data</t>
        </is>
      </c>
      <c r="C153" s="5" t="inlineStr">
        <is>
          <t>Live DOM</t>
        </is>
      </c>
      <c r="D153" s="5" t="inlineStr">
        <is>
          <t>data-disabled is present at the correct time</t>
        </is>
      </c>
      <c r="E153" s="7" t="inlineStr">
        <is>
          <t>yes</t>
        </is>
      </c>
      <c r="F153" s="8" t="inlineStr">
        <is>
          <t>yes</t>
        </is>
      </c>
      <c r="G153" s="4" t="inlineStr">
        <is>
          <t>passed</t>
        </is>
      </c>
      <c r="H153" s="9" t="inlineStr">
        <is>
          <t>covered</t>
        </is>
      </c>
      <c r="I153" s="5" t="inlineStr">
        <is>
          <t>FileUpload playground scenario.</t>
        </is>
      </c>
      <c r="J153" s="5" t="inlineStr">
        <is>
          <t>391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Data</t>
        </is>
      </c>
      <c r="C154" s="5" t="inlineStr">
        <is>
          <t>Live DOM</t>
        </is>
      </c>
      <c r="D154" s="5" t="inlineStr">
        <is>
          <t>data-drag is present at the correct time</t>
        </is>
      </c>
      <c r="E154" s="7" t="inlineStr">
        <is>
          <t>yes</t>
        </is>
      </c>
      <c r="F154" s="8" t="inlineStr">
        <is>
          <t>yes</t>
        </is>
      </c>
      <c r="G154" s="4" t="inlineStr">
        <is>
          <t>passed</t>
        </is>
      </c>
      <c r="H154" s="9" t="inlineStr">
        <is>
          <t>covered</t>
        </is>
      </c>
      <c r="I154" s="5" t="inlineStr">
        <is>
          <t>FileUpload playground scenario.</t>
        </is>
      </c>
      <c r="J154" s="5" t="inlineStr">
        <is>
          <t>391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data-filled is present at the correct time</t>
        </is>
      </c>
      <c r="E155" s="7" t="inlineStr">
        <is>
          <t>yes</t>
        </is>
      </c>
      <c r="F155" s="8" t="inlineStr">
        <is>
          <t>yes</t>
        </is>
      </c>
      <c r="G155" s="4" t="inlineStr">
        <is>
          <t>passed</t>
        </is>
      </c>
      <c r="H155" s="9" t="inlineStr">
        <is>
          <t>covered</t>
        </is>
      </c>
      <c r="I155" s="5" t="inlineStr">
        <is>
          <t>FileUpload playground scenario.</t>
        </is>
      </c>
      <c r="J155" s="5" t="inlineStr">
        <is>
          <t>391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data-invalid is present at the correct time</t>
        </is>
      </c>
      <c r="E156" s="7" t="inlineStr">
        <is>
          <t>yes</t>
        </is>
      </c>
      <c r="F156" s="8" t="inlineStr">
        <is>
          <t>yes</t>
        </is>
      </c>
      <c r="G156" s="4" t="inlineStr">
        <is>
          <t>passed</t>
        </is>
      </c>
      <c r="H156" s="9" t="inlineStr">
        <is>
          <t>covered</t>
        </is>
      </c>
      <c r="I156" s="5" t="inlineStr">
        <is>
          <t>FileUpload playground scenario.</t>
        </is>
      </c>
      <c r="J156" s="5" t="inlineStr">
        <is>
          <t>391</t>
        </is>
      </c>
      <c r="K156" s="6">
        <f>IF(AND(E156="yes",F156="yes",H156="covered"),1,IF(H156="partial",0.5,0))</f>
        <v/>
      </c>
    </row>
    <row r="157" ht="30" customHeight="1" s="60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data-name is present at the correct time</t>
        </is>
      </c>
      <c r="E157" s="7" t="inlineStr">
        <is>
          <t>yes</t>
        </is>
      </c>
      <c r="F157" s="8" t="inlineStr">
        <is>
          <t>yes</t>
        </is>
      </c>
      <c r="G157" s="4" t="inlineStr">
        <is>
          <t>passed</t>
        </is>
      </c>
      <c r="H157" s="9" t="inlineStr">
        <is>
          <t>covered</t>
        </is>
      </c>
      <c r="I157" s="5" t="inlineStr">
        <is>
          <t>FileUpload playground scenario.</t>
        </is>
      </c>
      <c r="J157" s="5" t="inlineStr">
        <is>
          <t>391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data-readonly is present at the correct time</t>
        </is>
      </c>
      <c r="E158" s="7" t="inlineStr">
        <is>
          <t>yes</t>
        </is>
      </c>
      <c r="F158" s="8" t="inlineStr">
        <is>
          <t>yes</t>
        </is>
      </c>
      <c r="G158" s="4" t="inlineStr">
        <is>
          <t>passed</t>
        </is>
      </c>
      <c r="H158" s="9" t="inlineStr">
        <is>
          <t>covered</t>
        </is>
      </c>
      <c r="I158" s="5" t="inlineStr">
        <is>
          <t>FileUpload playground scenario.</t>
        </is>
      </c>
      <c r="J158" s="5" t="inlineStr">
        <is>
          <t>391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data-rejected is present at the correct time</t>
        </is>
      </c>
      <c r="E159" s="7" t="inlineStr">
        <is>
          <t>yes</t>
        </is>
      </c>
      <c r="F159" s="8" t="inlineStr">
        <is>
          <t>yes</t>
        </is>
      </c>
      <c r="G159" s="4" t="inlineStr">
        <is>
          <t>passed</t>
        </is>
      </c>
      <c r="H159" s="9" t="inlineStr">
        <is>
          <t>covered</t>
        </is>
      </c>
      <c r="I159" s="5" t="inlineStr">
        <is>
          <t>FileUpload playground scenario.</t>
        </is>
      </c>
      <c r="J159" s="5" t="inlineStr">
        <is>
          <t>391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data-required is present at the correct time</t>
        </is>
      </c>
      <c r="E160" s="7" t="inlineStr">
        <is>
          <t>yes</t>
        </is>
      </c>
      <c r="F160" s="8" t="inlineStr">
        <is>
          <t>yes</t>
        </is>
      </c>
      <c r="G160" s="4" t="inlineStr">
        <is>
          <t>passed</t>
        </is>
      </c>
      <c r="H160" s="9" t="inlineStr">
        <is>
          <t>covered</t>
        </is>
      </c>
      <c r="I160" s="5" t="inlineStr">
        <is>
          <t>FileUpload playground scenario.</t>
        </is>
      </c>
      <c r="J160" s="5" t="inlineStr">
        <is>
          <t>391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data-size is present at the correct time</t>
        </is>
      </c>
      <c r="E161" s="7" t="inlineStr">
        <is>
          <t>yes</t>
        </is>
      </c>
      <c r="F161" s="8" t="inlineStr">
        <is>
          <t>yes</t>
        </is>
      </c>
      <c r="G161" s="4" t="inlineStr">
        <is>
          <t>passed</t>
        </is>
      </c>
      <c r="H161" s="9" t="inlineStr">
        <is>
          <t>covered</t>
        </is>
      </c>
      <c r="I161" s="5" t="inlineStr">
        <is>
          <t>FileUpload playground scenario.</t>
        </is>
      </c>
      <c r="J161" s="5" t="inlineStr">
        <is>
          <t>391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data-slot is present at the correct time</t>
        </is>
      </c>
      <c r="E162" s="7" t="inlineStr">
        <is>
          <t>yes</t>
        </is>
      </c>
      <c r="F162" s="8" t="inlineStr">
        <is>
          <t>yes</t>
        </is>
      </c>
      <c r="G162" s="4" t="inlineStr">
        <is>
          <t>passed</t>
        </is>
      </c>
      <c r="H162" s="9" t="inlineStr">
        <is>
          <t>covered</t>
        </is>
      </c>
      <c r="I162" s="5" t="inlineStr">
        <is>
          <t>FileUpload playground scenario.</t>
        </is>
      </c>
      <c r="J162" s="5" t="inlineStr">
        <is>
          <t>391</t>
        </is>
      </c>
      <c r="K162" s="6">
        <f>IF(AND(E162="yes",F162="yes",H162="covered"),1,IF(H162="partial",0.5,0))</f>
        <v/>
      </c>
    </row>
    <row r="163" ht="30" customHeight="1" s="60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data-state is present at the correct time</t>
        </is>
      </c>
      <c r="E163" s="7" t="inlineStr">
        <is>
          <t>yes</t>
        </is>
      </c>
      <c r="F163" s="8" t="inlineStr">
        <is>
          <t>yes</t>
        </is>
      </c>
      <c r="G163" s="4" t="inlineStr">
        <is>
          <t>passed</t>
        </is>
      </c>
      <c r="H163" s="9" t="inlineStr">
        <is>
          <t>covered</t>
        </is>
      </c>
      <c r="I163" s="5" t="inlineStr">
        <is>
          <t>FileUpload playground scenario.</t>
        </is>
      </c>
      <c r="J163" s="5" t="inlineStr">
        <is>
          <t>391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Composition</t>
        </is>
      </c>
      <c r="C164" s="5" t="inlineStr">
        <is>
          <t>FileUpload</t>
        </is>
      </c>
      <c r="D164" s="5" t="inlineStr">
        <is>
          <t>asChild preserves child content without double nesting</t>
        </is>
      </c>
      <c r="E164" s="7" t="inlineStr">
        <is>
          <t>yes</t>
        </is>
      </c>
      <c r="F164" s="8" t="inlineStr">
        <is>
          <t>yes</t>
        </is>
      </c>
      <c r="G164" s="4" t="inlineStr">
        <is>
          <t>passed</t>
        </is>
      </c>
      <c r="H164" s="9" t="inlineStr">
        <is>
          <t>covered</t>
        </is>
      </c>
      <c r="I164" s="5" t="inlineStr">
        <is>
          <t>FileUpload playground scenario.</t>
        </is>
      </c>
      <c r="J164" s="5" t="inlineStr">
        <is>
          <t>391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Composition</t>
        </is>
      </c>
      <c r="C165" s="5" t="inlineStr">
        <is>
          <t>FileUpload</t>
        </is>
      </c>
      <c r="D165" s="5" t="inlineStr">
        <is>
          <t>asChild merges Atom props and consumer props</t>
        </is>
      </c>
      <c r="E165" s="7" t="inlineStr">
        <is>
          <t>yes</t>
        </is>
      </c>
      <c r="F165" s="8" t="inlineStr">
        <is>
          <t>yes</t>
        </is>
      </c>
      <c r="G165" s="4" t="inlineStr">
        <is>
          <t>passed</t>
        </is>
      </c>
      <c r="H165" s="9" t="inlineStr">
        <is>
          <t>covered</t>
        </is>
      </c>
      <c r="I165" s="5" t="inlineStr">
        <is>
          <t>FileUpload playground scenario.</t>
        </is>
      </c>
      <c r="J165" s="5" t="inlineStr">
        <is>
          <t>391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Composition</t>
        </is>
      </c>
      <c r="C166" s="5" t="inlineStr">
        <is>
          <t>FileUpload</t>
        </is>
      </c>
      <c r="D166" s="5" t="inlineStr">
        <is>
          <t>asChild lets preventDefault block Atom behavior where supported</t>
        </is>
      </c>
      <c r="E166" s="7" t="inlineStr">
        <is>
          <t>yes</t>
        </is>
      </c>
      <c r="F166" s="8" t="inlineStr">
        <is>
          <t>yes</t>
        </is>
      </c>
      <c r="G166" s="4" t="inlineStr">
        <is>
          <t>passed</t>
        </is>
      </c>
      <c r="H166" s="9" t="inlineStr">
        <is>
          <t>covered</t>
        </is>
      </c>
      <c r="I166" s="5" t="inlineStr">
        <is>
          <t>FileUpload playground scenario.</t>
        </is>
      </c>
      <c r="J166" s="5" t="inlineStr">
        <is>
          <t>391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Composition</t>
        </is>
      </c>
      <c r="C167" s="5" t="inlineStr">
        <is>
          <t>FileUpload</t>
        </is>
      </c>
      <c r="D167" s="5" t="inlineStr">
        <is>
          <t>render prop renders custom element</t>
        </is>
      </c>
      <c r="E167" s="7" t="inlineStr">
        <is>
          <t>yes</t>
        </is>
      </c>
      <c r="F167" s="8" t="inlineStr">
        <is>
          <t>yes</t>
        </is>
      </c>
      <c r="G167" s="4" t="inlineStr">
        <is>
          <t>passed</t>
        </is>
      </c>
      <c r="H167" s="9" t="inlineStr">
        <is>
          <t>covered</t>
        </is>
      </c>
      <c r="I167" s="5" t="inlineStr">
        <is>
          <t>FileUpload playground scenario.</t>
        </is>
      </c>
      <c r="J167" s="5" t="inlineStr">
        <is>
          <t>391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Composition</t>
        </is>
      </c>
      <c r="C168" s="5" t="inlineStr">
        <is>
          <t>FileUpload</t>
        </is>
      </c>
      <c r="D168" s="5" t="inlineStr">
        <is>
          <t>render prop preserves refs and behavior props</t>
        </is>
      </c>
      <c r="E168" s="7" t="inlineStr">
        <is>
          <t>yes</t>
        </is>
      </c>
      <c r="F168" s="8" t="inlineStr">
        <is>
          <t>yes</t>
        </is>
      </c>
      <c r="G168" s="4" t="inlineStr">
        <is>
          <t>passed</t>
        </is>
      </c>
      <c r="H168" s="9" t="inlineStr">
        <is>
          <t>covered</t>
        </is>
      </c>
      <c r="I168" s="5" t="inlineStr">
        <is>
          <t>FileUpload playground scenario.</t>
        </is>
      </c>
      <c r="J168" s="5" t="inlineStr">
        <is>
          <t>391</t>
        </is>
      </c>
      <c r="K168" s="6">
        <f>IF(AND(E168="yes",F168="yes",H168="covered"),1,IF(H168="partial",0.5,0))</f>
        <v/>
      </c>
    </row>
    <row r="169" ht="30" customHeight="1" s="60">
      <c r="A169" s="4" t="n">
        <v>161</v>
      </c>
      <c r="B169" s="5" t="inlineStr">
        <is>
          <t>State</t>
        </is>
      </c>
      <c r="C169" s="5" t="inlineStr">
        <is>
          <t>Root</t>
        </is>
      </c>
      <c r="D169" s="5" t="inlineStr">
        <is>
          <t>controlled state path</t>
        </is>
      </c>
      <c r="E169" s="7" t="inlineStr">
        <is>
          <t>yes</t>
        </is>
      </c>
      <c r="F169" s="8" t="inlineStr">
        <is>
          <t>yes</t>
        </is>
      </c>
      <c r="G169" s="4" t="inlineStr">
        <is>
          <t>passed</t>
        </is>
      </c>
      <c r="H169" s="9" t="inlineStr">
        <is>
          <t>covered</t>
        </is>
      </c>
      <c r="I169" s="5" t="inlineStr">
        <is>
          <t>FileUpload playground scenario.</t>
        </is>
      </c>
      <c r="J169" s="5" t="inlineStr">
        <is>
          <t>391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State</t>
        </is>
      </c>
      <c r="C170" s="5" t="inlineStr">
        <is>
          <t>Root</t>
        </is>
      </c>
      <c r="D170" s="5" t="inlineStr">
        <is>
          <t>uncontrolled default state path</t>
        </is>
      </c>
      <c r="E170" s="7" t="inlineStr">
        <is>
          <t>yes</t>
        </is>
      </c>
      <c r="F170" s="8" t="inlineStr">
        <is>
          <t>yes</t>
        </is>
      </c>
      <c r="G170" s="4" t="inlineStr">
        <is>
          <t>passed</t>
        </is>
      </c>
      <c r="H170" s="9" t="inlineStr">
        <is>
          <t>covered</t>
        </is>
      </c>
      <c r="I170" s="5" t="inlineStr">
        <is>
          <t>FileUpload playground scenario.</t>
        </is>
      </c>
      <c r="J170" s="5" t="inlineStr">
        <is>
          <t>391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State</t>
        </is>
      </c>
      <c r="C171" s="5" t="inlineStr">
        <is>
          <t>Root</t>
        </is>
      </c>
      <c r="D171" s="5" t="inlineStr">
        <is>
          <t>state change callback fires once with correct value</t>
        </is>
      </c>
      <c r="E171" s="7" t="inlineStr">
        <is>
          <t>yes</t>
        </is>
      </c>
      <c r="F171" s="8" t="inlineStr">
        <is>
          <t>yes</t>
        </is>
      </c>
      <c r="G171" s="4" t="inlineStr">
        <is>
          <t>passed</t>
        </is>
      </c>
      <c r="H171" s="9" t="inlineStr">
        <is>
          <t>covered</t>
        </is>
      </c>
      <c r="I171" s="5" t="inlineStr">
        <is>
          <t>FileUpload playground scenario.</t>
        </is>
      </c>
      <c r="J171" s="5" t="inlineStr">
        <is>
          <t>391</t>
        </is>
      </c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State</t>
        </is>
      </c>
      <c r="C172" s="5" t="inlineStr">
        <is>
          <t>FileUpload</t>
        </is>
      </c>
      <c r="D172" s="5" t="inlineStr">
        <is>
          <t>disabled state blocks or exposes behavior correctly where supported</t>
        </is>
      </c>
      <c r="E172" s="7" t="inlineStr">
        <is>
          <t>yes</t>
        </is>
      </c>
      <c r="F172" s="8" t="inlineStr">
        <is>
          <t>yes</t>
        </is>
      </c>
      <c r="G172" s="4" t="inlineStr">
        <is>
          <t>passed</t>
        </is>
      </c>
      <c r="H172" s="9" t="inlineStr">
        <is>
          <t>covered</t>
        </is>
      </c>
      <c r="I172" s="5" t="inlineStr">
        <is>
          <t>FileUpload playground scenario.</t>
        </is>
      </c>
      <c r="J172" s="5" t="inlineStr">
        <is>
          <t>391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State</t>
        </is>
      </c>
      <c r="C173" s="5" t="inlineStr">
        <is>
          <t>FileUpload</t>
        </is>
      </c>
      <c r="D173" s="5" t="inlineStr">
        <is>
          <t>readonly/readOnly state blocks or exposes behavior correctly where supported</t>
        </is>
      </c>
      <c r="E173" s="7" t="inlineStr">
        <is>
          <t>yes</t>
        </is>
      </c>
      <c r="F173" s="8" t="inlineStr">
        <is>
          <t>yes</t>
        </is>
      </c>
      <c r="G173" s="4" t="inlineStr">
        <is>
          <t>passed</t>
        </is>
      </c>
      <c r="H173" s="9" t="inlineStr">
        <is>
          <t>covered</t>
        </is>
      </c>
      <c r="I173" s="5" t="inlineStr">
        <is>
          <t>FileUpload playground scenario.</t>
        </is>
      </c>
      <c r="J173" s="5" t="inlineStr">
        <is>
          <t>391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State</t>
        </is>
      </c>
      <c r="C174" s="5" t="inlineStr">
        <is>
          <t>FileUpload</t>
        </is>
      </c>
      <c r="D174" s="5" t="inlineStr">
        <is>
          <t>required state blocks or exposes behavior correctly where supported</t>
        </is>
      </c>
      <c r="E174" s="7" t="inlineStr">
        <is>
          <t>yes</t>
        </is>
      </c>
      <c r="F174" s="8" t="inlineStr">
        <is>
          <t>yes</t>
        </is>
      </c>
      <c r="G174" s="4" t="inlineStr">
        <is>
          <t>passed</t>
        </is>
      </c>
      <c r="H174" s="9" t="inlineStr">
        <is>
          <t>covered</t>
        </is>
      </c>
      <c r="I174" s="5" t="inlineStr">
        <is>
          <t>FileUpload playground scenario.</t>
        </is>
      </c>
      <c r="J174" s="5" t="inlineStr">
        <is>
          <t>391</t>
        </is>
      </c>
      <c r="K174" s="6">
        <f>IF(AND(E174="yes",F174="yes",H174="covered"),1,IF(H174="partial",0.5,0))</f>
        <v/>
      </c>
    </row>
    <row r="175" ht="30" customHeight="1" s="60">
      <c r="A175" s="4" t="n">
        <v>167</v>
      </c>
      <c r="B175" s="5" t="inlineStr">
        <is>
          <t>State</t>
        </is>
      </c>
      <c r="C175" s="5" t="inlineStr">
        <is>
          <t>FileUpload</t>
        </is>
      </c>
      <c r="D175" s="5" t="inlineStr">
        <is>
          <t>invalid state blocks or exposes behavior correctly where supported</t>
        </is>
      </c>
      <c r="E175" s="7" t="inlineStr">
        <is>
          <t>yes</t>
        </is>
      </c>
      <c r="F175" s="8" t="inlineStr">
        <is>
          <t>yes</t>
        </is>
      </c>
      <c r="G175" s="4" t="inlineStr">
        <is>
          <t>passed</t>
        </is>
      </c>
      <c r="H175" s="9" t="inlineStr">
        <is>
          <t>covered</t>
        </is>
      </c>
      <c r="I175" s="5" t="inlineStr">
        <is>
          <t>FileUpload playground scenario.</t>
        </is>
      </c>
      <c r="J175" s="5" t="inlineStr">
        <is>
          <t>391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Forms</t>
        </is>
      </c>
      <c r="C176" s="5" t="inlineStr">
        <is>
          <t>FileUpload</t>
        </is>
      </c>
      <c r="D176" s="5" t="inlineStr">
        <is>
          <t>form value participates correctly where supported</t>
        </is>
      </c>
      <c r="E176" s="7" t="inlineStr">
        <is>
          <t>yes</t>
        </is>
      </c>
      <c r="F176" s="8" t="inlineStr">
        <is>
          <t>yes</t>
        </is>
      </c>
      <c r="G176" s="4" t="inlineStr">
        <is>
          <t>passed</t>
        </is>
      </c>
      <c r="H176" s="9" t="inlineStr">
        <is>
          <t>covered</t>
        </is>
      </c>
      <c r="I176" s="5" t="inlineStr">
        <is>
          <t>FileUpload playground scenario.</t>
        </is>
      </c>
      <c r="J176" s="5" t="inlineStr">
        <is>
          <t>391</t>
        </is>
      </c>
      <c r="K176" s="6">
        <f>IF(AND(E176="yes",F176="yes",H176="covered"),1,IF(H176="partial",0.5,0))</f>
        <v/>
      </c>
    </row>
    <row r="177" ht="15" customHeight="1" s="60">
      <c r="A177" s="4" t="n">
        <v>169</v>
      </c>
      <c r="B177" s="5" t="inlineStr">
        <is>
          <t>Forms</t>
        </is>
      </c>
      <c r="C177" s="5" t="inlineStr">
        <is>
          <t>FileUpload</t>
        </is>
      </c>
      <c r="D177" s="5" t="inlineStr">
        <is>
          <t>hidden input mirrors value/checked/disabled where supported</t>
        </is>
      </c>
      <c r="E177" s="7" t="inlineStr">
        <is>
          <t>yes</t>
        </is>
      </c>
      <c r="F177" s="8" t="inlineStr">
        <is>
          <t>yes</t>
        </is>
      </c>
      <c r="G177" s="4" t="inlineStr">
        <is>
          <t>passed</t>
        </is>
      </c>
      <c r="H177" s="9" t="inlineStr">
        <is>
          <t>covered</t>
        </is>
      </c>
      <c r="I177" s="5" t="inlineStr">
        <is>
          <t>FileUpload playground scenario.</t>
        </is>
      </c>
      <c r="J177" s="5" t="inlineStr">
        <is>
          <t>391</t>
        </is>
      </c>
      <c r="K177" s="6">
        <f>IF(AND(E177="yes",F177="yes",H177="covered"),1,IF(H177="partial",0.5,0))</f>
        <v/>
      </c>
    </row>
    <row r="178" ht="15" customHeight="1" s="60">
      <c r="A178" s="4" t="n">
        <v>170</v>
      </c>
      <c r="B178" s="5" t="inlineStr">
        <is>
          <t>Interaction</t>
        </is>
      </c>
      <c r="C178" s="5" t="inlineStr">
        <is>
          <t>Trigger</t>
        </is>
      </c>
      <c r="D178" s="5" t="inlineStr">
        <is>
          <t>mouse click or pointer activation</t>
        </is>
      </c>
      <c r="E178" s="7" t="inlineStr">
        <is>
          <t>yes</t>
        </is>
      </c>
      <c r="F178" s="8" t="inlineStr">
        <is>
          <t>yes</t>
        </is>
      </c>
      <c r="G178" s="4" t="inlineStr">
        <is>
          <t>passed</t>
        </is>
      </c>
      <c r="H178" s="9" t="inlineStr">
        <is>
          <t>covered</t>
        </is>
      </c>
      <c r="I178" s="5" t="inlineStr">
        <is>
          <t>FileUpload playground scenario.</t>
        </is>
      </c>
      <c r="J178" s="5" t="inlineStr">
        <is>
          <t>391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Interaction</t>
        </is>
      </c>
      <c r="C179" s="5" t="inlineStr">
        <is>
          <t>Trigger</t>
        </is>
      </c>
      <c r="D179" s="5" t="inlineStr">
        <is>
          <t>Enter key activation</t>
        </is>
      </c>
      <c r="E179" s="7" t="inlineStr">
        <is>
          <t>yes</t>
        </is>
      </c>
      <c r="F179" s="8" t="inlineStr">
        <is>
          <t>yes</t>
        </is>
      </c>
      <c r="G179" s="4" t="inlineStr">
        <is>
          <t>passed</t>
        </is>
      </c>
      <c r="H179" s="9" t="inlineStr">
        <is>
          <t>covered</t>
        </is>
      </c>
      <c r="I179" s="5" t="inlineStr">
        <is>
          <t>FileUpload playground scenario.</t>
        </is>
      </c>
      <c r="J179" s="5" t="inlineStr">
        <is>
          <t>391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Interaction</t>
        </is>
      </c>
      <c r="C180" s="5" t="inlineStr">
        <is>
          <t>Trigger</t>
        </is>
      </c>
      <c r="D180" s="5" t="inlineStr">
        <is>
          <t>Space key activation</t>
        </is>
      </c>
      <c r="E180" s="7" t="inlineStr">
        <is>
          <t>yes</t>
        </is>
      </c>
      <c r="F180" s="8" t="inlineStr">
        <is>
          <t>yes</t>
        </is>
      </c>
      <c r="G180" s="4" t="inlineStr">
        <is>
          <t>passed</t>
        </is>
      </c>
      <c r="H180" s="9" t="inlineStr">
        <is>
          <t>covered</t>
        </is>
      </c>
      <c r="I180" s="5" t="inlineStr">
        <is>
          <t>FileUpload playground scenario.</t>
        </is>
      </c>
      <c r="J180" s="5" t="inlineStr">
        <is>
          <t>391</t>
        </is>
      </c>
      <c r="K180" s="6">
        <f>IF(AND(E180="yes",F180="yes",H180="covered"),1,IF(H180="partial",0.5,0))</f>
        <v/>
      </c>
    </row>
    <row r="181" ht="30" customHeight="1" s="60">
      <c r="A181" s="4" t="n">
        <v>173</v>
      </c>
      <c r="B181" s="5" t="inlineStr">
        <is>
          <t>Interaction</t>
        </is>
      </c>
      <c r="C181" s="5" t="inlineStr">
        <is>
          <t>Trigger</t>
        </is>
      </c>
      <c r="D181" s="5" t="inlineStr">
        <is>
          <t>disabled trigger blocks pointer and keyboard</t>
        </is>
      </c>
      <c r="E181" s="7" t="inlineStr">
        <is>
          <t>yes</t>
        </is>
      </c>
      <c r="F181" s="8" t="inlineStr">
        <is>
          <t>yes</t>
        </is>
      </c>
      <c r="G181" s="4" t="inlineStr">
        <is>
          <t>passed</t>
        </is>
      </c>
      <c r="H181" s="9" t="inlineStr">
        <is>
          <t>covered</t>
        </is>
      </c>
      <c r="I181" s="5" t="inlineStr">
        <is>
          <t>FileUpload playground scenario.</t>
        </is>
      </c>
      <c r="J181" s="5" t="inlineStr">
        <is>
          <t>391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Focus</t>
        </is>
      </c>
      <c r="C182" s="5" t="inlineStr">
        <is>
          <t>Trigger</t>
        </is>
      </c>
      <c r="D182" s="5" t="inlineStr">
        <is>
          <t>focus ring and focus restoration are correct</t>
        </is>
      </c>
      <c r="E182" s="7" t="inlineStr">
        <is>
          <t>yes</t>
        </is>
      </c>
      <c r="F182" s="8" t="inlineStr">
        <is>
          <t>yes</t>
        </is>
      </c>
      <c r="G182" s="4" t="inlineStr">
        <is>
          <t>passed</t>
        </is>
      </c>
      <c r="H182" s="9" t="inlineStr">
        <is>
          <t>covered</t>
        </is>
      </c>
      <c r="I182" s="5" t="inlineStr">
        <is>
          <t>FileUpload playground scenario.</t>
        </is>
      </c>
      <c r="J182" s="5" t="inlineStr">
        <is>
          <t>391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Keyboard</t>
        </is>
      </c>
      <c r="C183" s="5" t="inlineStr">
        <is>
          <t>FileUpload</t>
        </is>
      </c>
      <c r="D183" s="5" t="inlineStr">
        <is>
          <t xml:space="preserve">  behavior</t>
        </is>
      </c>
      <c r="E183" s="7" t="inlineStr">
        <is>
          <t>yes</t>
        </is>
      </c>
      <c r="F183" s="8" t="inlineStr">
        <is>
          <t>yes</t>
        </is>
      </c>
      <c r="G183" s="4" t="inlineStr">
        <is>
          <t>passed</t>
        </is>
      </c>
      <c r="H183" s="9" t="inlineStr">
        <is>
          <t>covered</t>
        </is>
      </c>
      <c r="I183" s="5" t="inlineStr">
        <is>
          <t>FileUpload playground scenario.</t>
        </is>
      </c>
      <c r="J183" s="5" t="inlineStr">
        <is>
          <t>391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Keyboard</t>
        </is>
      </c>
      <c r="C184" s="5" t="inlineStr">
        <is>
          <t>FileUpload</t>
        </is>
      </c>
      <c r="D184" s="5" t="inlineStr">
        <is>
          <t>Enter behavior</t>
        </is>
      </c>
      <c r="E184" s="7" t="inlineStr">
        <is>
          <t>yes</t>
        </is>
      </c>
      <c r="F184" s="8" t="inlineStr">
        <is>
          <t>yes</t>
        </is>
      </c>
      <c r="G184" s="4" t="inlineStr">
        <is>
          <t>passed</t>
        </is>
      </c>
      <c r="H184" s="9" t="inlineStr">
        <is>
          <t>covered</t>
        </is>
      </c>
      <c r="I184" s="5" t="inlineStr">
        <is>
          <t>FileUpload playground scenario.</t>
        </is>
      </c>
      <c r="J184" s="5" t="inlineStr">
        <is>
          <t>391</t>
        </is>
      </c>
      <c r="K184" s="6">
        <f>IF(AND(E184="yes",F184="yes",H184="covered"),1,IF(H184="partial",0.5,0))</f>
        <v/>
      </c>
    </row>
    <row r="185" ht="15" customHeight="1" s="60"/>
    <row r="186" ht="15" customHeight="1" s="60"/>
    <row r="187" ht="15" customHeight="1" s="60"/>
    <row r="188" ht="15" customHeight="1" s="60"/>
    <row r="189" ht="15" customHeight="1" s="60"/>
    <row r="190" ht="15" customHeight="1" s="60"/>
    <row r="191" ht="15" customHeight="1" s="60"/>
    <row r="192" ht="15" customHeight="1" s="60"/>
    <row r="193" ht="15" customHeight="1" s="60"/>
    <row r="194" ht="15" customHeight="1" s="60"/>
    <row r="195" ht="15" customHeight="1" s="60"/>
    <row r="196" ht="15" customHeight="1" s="60"/>
    <row r="197" ht="15" customHeight="1" s="60"/>
    <row r="198" ht="15" customHeight="1" s="60"/>
    <row r="199" ht="15" customHeight="1" s="60"/>
    <row r="200" ht="15" customHeight="1" s="60"/>
    <row r="201" ht="15" customHeight="1" s="60"/>
    <row r="202" ht="15" customHeight="1" s="60"/>
    <row r="203" ht="15" customHeight="1" s="60"/>
    <row r="204" ht="30" customHeight="1" s="60"/>
    <row r="205" ht="15" customHeight="1" s="60"/>
    <row r="206" ht="15" customHeight="1" s="60"/>
    <row r="207" ht="15" customHeight="1" s="60"/>
    <row r="208" ht="15" customHeight="1" s="60"/>
    <row r="209" ht="15" customHeight="1" s="60"/>
    <row r="210" ht="30" customHeight="1" s="60"/>
    <row r="211" ht="30" customHeight="1" s="60"/>
    <row r="212" ht="30" customHeight="1" s="60"/>
    <row r="213" ht="30" customHeight="1" s="60"/>
    <row r="214" ht="15" customHeight="1" s="60"/>
    <row r="215" ht="30" customHeight="1" s="60"/>
    <row r="216" ht="15" customHeight="1" s="60"/>
    <row r="217" ht="15" customHeight="1" s="60"/>
    <row r="218" ht="15" customHeight="1" s="60"/>
    <row r="219" ht="15" customHeight="1" s="60"/>
    <row r="220" ht="15" customHeight="1" s="60"/>
    <row r="221" ht="15" customHeight="1" s="60"/>
    <row r="222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Form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Form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60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Form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Form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</t>
        </is>
      </c>
      <c r="H11" s="9" t="inlineStr">
        <is>
          <t>covered</t>
        </is>
      </c>
      <c r="I11" s="5" t="inlineStr">
        <is>
          <t>Form playground manual verification.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Form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</t>
        </is>
      </c>
      <c r="H12" s="9" t="inlineStr">
        <is>
          <t>covered</t>
        </is>
      </c>
      <c r="I12" s="5" t="inlineStr">
        <is>
          <t>Form playground manual verification.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Form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</t>
        </is>
      </c>
      <c r="H13" s="9" t="inlineStr">
        <is>
          <t>covered</t>
        </is>
      </c>
      <c r="I13" s="5" t="inlineStr">
        <is>
          <t>Form playground manual verification.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Form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</t>
        </is>
      </c>
      <c r="H14" s="9" t="inlineStr">
        <is>
          <t>covered</t>
        </is>
      </c>
      <c r="I14" s="5" t="inlineStr">
        <is>
          <t>Form playground manual verification.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Root</t>
        </is>
      </c>
      <c r="D15" s="5" t="inlineStr">
        <is>
          <t>renders a native form by default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</t>
        </is>
      </c>
      <c r="H15" s="9" t="inlineStr">
        <is>
          <t>covered</t>
        </is>
      </c>
      <c r="I15" s="5" t="inlineStr">
        <is>
          <t>Form playground manual verification.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Root</t>
        </is>
      </c>
      <c r="D16" s="5" t="inlineStr">
        <is>
          <t>composes native onSubmit and onReset handlers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</t>
        </is>
      </c>
      <c r="H16" s="9" t="inlineStr">
        <is>
          <t>covered</t>
        </is>
      </c>
      <c r="I16" s="5" t="inlineStr">
        <is>
          <t>Form playground manual verification.</t>
        </is>
      </c>
      <c r="J16" s="5" t="n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Root</t>
        </is>
      </c>
      <c r="D17" s="5" t="inlineStr">
        <is>
          <t>supports optional preventDefaultOnSubmit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</t>
        </is>
      </c>
      <c r="H17" s="9" t="inlineStr">
        <is>
          <t>covered</t>
        </is>
      </c>
      <c r="I17" s="5" t="inlineStr">
        <is>
          <t>Form playground manual verification.</t>
        </is>
      </c>
      <c r="J17" s="5" t="n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Root</t>
        </is>
      </c>
      <c r="D18" s="5" t="inlineStr">
        <is>
          <t>supports no validation, passing validation, and failing validation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</t>
        </is>
      </c>
      <c r="H18" s="9" t="inlineStr">
        <is>
          <t>covered</t>
        </is>
      </c>
      <c r="I18" s="5" t="inlineStr">
        <is>
          <t>Form playground manual verification.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Root</t>
        </is>
      </c>
      <c r="D19" s="5" t="inlineStr">
        <is>
          <t>supports async submit validation while exposing pending state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</t>
        </is>
      </c>
      <c r="H19" s="9" t="inlineStr">
        <is>
          <t>covered</t>
        </is>
      </c>
      <c r="I19" s="5" t="inlineStr">
        <is>
          <t>Form playground manual verification.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Root</t>
        </is>
      </c>
      <c r="D20" s="5" t="inlineStr">
        <is>
          <t>exposes submitting, submitted, and invalid state through data attributes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</t>
        </is>
      </c>
      <c r="H20" s="9" t="inlineStr">
        <is>
          <t>covered</t>
        </is>
      </c>
      <c r="I20" s="5" t="inlineStr">
        <is>
          <t>Form playground manual verification.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</t>
        </is>
      </c>
      <c r="H21" s="9" t="inlineStr">
        <is>
          <t>covered</t>
        </is>
      </c>
      <c r="I21" s="5" t="inlineStr">
        <is>
          <t>Form playground manual verification.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is the only Form anatomy part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</t>
        </is>
      </c>
      <c r="H22" s="9" t="inlineStr">
        <is>
          <t>covered</t>
        </is>
      </c>
      <c r="I22" s="5" t="inlineStr">
        <is>
          <t>Form playground manual verification.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form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</t>
        </is>
      </c>
      <c r="H23" s="9" t="inlineStr">
        <is>
          <t>covered</t>
        </is>
      </c>
      <c r="I23" s="5" t="inlineStr">
        <is>
          <t>Form playground manual verification.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ref target is form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</t>
        </is>
      </c>
      <c r="H24" s="9" t="inlineStr">
        <is>
          <t>covered</t>
        </is>
      </c>
      <c r="I24" s="5" t="inlineStr">
        <is>
          <t>Form playground manual verification.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data-slot is form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</t>
        </is>
      </c>
      <c r="H25" s="9" t="inlineStr">
        <is>
          <t>covered</t>
        </is>
      </c>
      <c r="I25" s="5" t="inlineStr">
        <is>
          <t>Form playground manual verification.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non-Atom native props pass through with data-prop-check marker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</t>
        </is>
      </c>
      <c r="H26" s="9" t="inlineStr">
        <is>
          <t>covered</t>
        </is>
      </c>
      <c r="I26" s="5" t="inlineStr">
        <is>
          <t>Form playground manual verification.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preventDefaultOnSubmit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</t>
        </is>
      </c>
      <c r="H27" s="9" t="inlineStr">
        <is>
          <t>covered</t>
        </is>
      </c>
      <c r="I27" s="5" t="inlineStr">
        <is>
          <t>Form playground manual verification.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validateOnSubmit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</t>
        </is>
      </c>
      <c r="H28" s="9" t="inlineStr">
        <is>
          <t>covered</t>
        </is>
      </c>
      <c r="I28" s="5" t="inlineStr">
        <is>
          <t>Form playground manual verification.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onSubmit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</t>
        </is>
      </c>
      <c r="H29" s="9" t="inlineStr">
        <is>
          <t>covered</t>
        </is>
      </c>
      <c r="I29" s="5" t="inlineStr">
        <is>
          <t>Form playground manual verification.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onReset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</t>
        </is>
      </c>
      <c r="H30" s="9" t="inlineStr">
        <is>
          <t>covered</t>
        </is>
      </c>
      <c r="I30" s="5" t="inlineStr">
        <is>
          <t>Form playground manual verification.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Composition</t>
        </is>
      </c>
      <c r="C31" s="5" t="inlineStr">
        <is>
          <t>Root</t>
        </is>
      </c>
      <c r="D31" s="5" t="inlineStr">
        <is>
          <t>asChild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</t>
        </is>
      </c>
      <c r="H31" s="9" t="inlineStr">
        <is>
          <t>covered</t>
        </is>
      </c>
      <c r="I31" s="5" t="inlineStr">
        <is>
          <t>Form playground manual verification.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Composition</t>
        </is>
      </c>
      <c r="C32" s="5" t="inlineStr">
        <is>
          <t>Root</t>
        </is>
      </c>
      <c r="D32" s="5" t="inlineStr">
        <is>
          <t>render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</t>
        </is>
      </c>
      <c r="H32" s="9" t="inlineStr">
        <is>
          <t>covered</t>
        </is>
      </c>
      <c r="I32" s="5" t="inlineStr">
        <is>
          <t>Form playground manual verification.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Data</t>
        </is>
      </c>
      <c r="C33" s="5" t="inlineStr">
        <is>
          <t>Root</t>
        </is>
      </c>
      <c r="D33" s="5" t="inlineStr">
        <is>
          <t>data-slot is present at the correct time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</t>
        </is>
      </c>
      <c r="H33" s="9" t="inlineStr">
        <is>
          <t>covered</t>
        </is>
      </c>
      <c r="I33" s="5" t="inlineStr">
        <is>
          <t>Form playground manual verification.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Data</t>
        </is>
      </c>
      <c r="C34" s="5" t="inlineStr">
        <is>
          <t>Root</t>
        </is>
      </c>
      <c r="D34" s="5" t="inlineStr">
        <is>
          <t>data-submitting is present during async submit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</t>
        </is>
      </c>
      <c r="H34" s="9" t="inlineStr">
        <is>
          <t>covered</t>
        </is>
      </c>
      <c r="I34" s="5" t="inlineStr">
        <is>
          <t>Form playground manual verification.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Data</t>
        </is>
      </c>
      <c r="C35" s="5" t="inlineStr">
        <is>
          <t>Root</t>
        </is>
      </c>
      <c r="D35" s="5" t="inlineStr">
        <is>
          <t>data-submitted is present after successful submit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</t>
        </is>
      </c>
      <c r="H35" s="9" t="inlineStr">
        <is>
          <t>covered</t>
        </is>
      </c>
      <c r="I35" s="5" t="inlineStr">
        <is>
          <t>Form playground manual verification.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Data</t>
        </is>
      </c>
      <c r="C36" s="5" t="inlineStr">
        <is>
          <t>Root</t>
        </is>
      </c>
      <c r="D36" s="5" t="inlineStr">
        <is>
          <t>data-invalid is present after failed validation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</t>
        </is>
      </c>
      <c r="H36" s="9" t="inlineStr">
        <is>
          <t>covered</t>
        </is>
      </c>
      <c r="I36" s="5" t="inlineStr">
        <is>
          <t>Form playground manual verification.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Data</t>
        </is>
      </c>
      <c r="C37" s="5" t="inlineStr">
        <is>
          <t>Live DOM</t>
        </is>
      </c>
      <c r="D37" s="5" t="inlineStr">
        <is>
          <t>data-slot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</t>
        </is>
      </c>
      <c r="H37" s="9" t="inlineStr">
        <is>
          <t>covered</t>
        </is>
      </c>
      <c r="I37" s="5" t="inlineStr">
        <is>
          <t>Form playground manual verification.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Data</t>
        </is>
      </c>
      <c r="C38" s="5" t="inlineStr">
        <is>
          <t>Live DOM</t>
        </is>
      </c>
      <c r="D38" s="5" t="inlineStr">
        <is>
          <t>data-submitting is visible in Anatomy/Inspector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</t>
        </is>
      </c>
      <c r="H38" s="9" t="inlineStr">
        <is>
          <t>covered</t>
        </is>
      </c>
      <c r="I38" s="5" t="inlineStr">
        <is>
          <t>Form playground manual verification.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Data</t>
        </is>
      </c>
      <c r="C39" s="5" t="inlineStr">
        <is>
          <t>Live DOM</t>
        </is>
      </c>
      <c r="D39" s="5" t="inlineStr">
        <is>
          <t>data-submitted is visible in Anatomy/Inspector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</t>
        </is>
      </c>
      <c r="H39" s="9" t="inlineStr">
        <is>
          <t>covered</t>
        </is>
      </c>
      <c r="I39" s="5" t="inlineStr">
        <is>
          <t>Form playground manual verification.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Data</t>
        </is>
      </c>
      <c r="C40" s="5" t="inlineStr">
        <is>
          <t>Live DOM</t>
        </is>
      </c>
      <c r="D40" s="5" t="inlineStr">
        <is>
          <t>data-invalid is visible in Anatomy/Inspector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</t>
        </is>
      </c>
      <c r="H40" s="9" t="inlineStr">
        <is>
          <t>covered</t>
        </is>
      </c>
      <c r="I40" s="5" t="inlineStr">
        <is>
          <t>Form playground manual verification.</t>
        </is>
      </c>
      <c r="J40" s="5" t="n"/>
      <c r="K40" s="6">
        <f>IF(AND(E40="yes",F40="yes",H40="covered"),1,IF(H40="partial",0.5,0))</f>
        <v/>
      </c>
    </row>
    <row r="41" ht="30" customHeight="1" s="60">
      <c r="A41" s="4" t="n">
        <v>33</v>
      </c>
      <c r="B41" s="5" t="inlineStr">
        <is>
          <t>Composition</t>
        </is>
      </c>
      <c r="C41" s="5" t="inlineStr">
        <is>
          <t>Root</t>
        </is>
      </c>
      <c r="D41" s="5" t="inlineStr">
        <is>
          <t>asChild preserves child form content without double nesting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</t>
        </is>
      </c>
      <c r="H41" s="9" t="inlineStr">
        <is>
          <t>covered</t>
        </is>
      </c>
      <c r="I41" s="5" t="inlineStr">
        <is>
          <t>Form playground manual verification.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Root</t>
        </is>
      </c>
      <c r="D42" s="5" t="inlineStr">
        <is>
          <t>asChild merges Atom props and consumer props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</t>
        </is>
      </c>
      <c r="H42" s="9" t="inlineStr">
        <is>
          <t>covered</t>
        </is>
      </c>
      <c r="I42" s="5" t="inlineStr">
        <is>
          <t>Form playground manual verification.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Root</t>
        </is>
      </c>
      <c r="D43" s="5" t="inlineStr">
        <is>
          <t>asChild preserves submit/reset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</t>
        </is>
      </c>
      <c r="H43" s="9" t="inlineStr">
        <is>
          <t>covered</t>
        </is>
      </c>
      <c r="I43" s="5" t="inlineStr">
        <is>
          <t>Form playground manual verification.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Root</t>
        </is>
      </c>
      <c r="D44" s="5" t="inlineStr">
        <is>
          <t>render prop renders custom form element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</t>
        </is>
      </c>
      <c r="H44" s="9" t="inlineStr">
        <is>
          <t>covered</t>
        </is>
      </c>
      <c r="I44" s="5" t="inlineStr">
        <is>
          <t>Form playground manual verification.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Root</t>
        </is>
      </c>
      <c r="D45" s="5" t="inlineStr">
        <is>
          <t>render prop preserves refs and behavior props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</t>
        </is>
      </c>
      <c r="H45" s="9" t="inlineStr">
        <is>
          <t>covered</t>
        </is>
      </c>
      <c r="I45" s="5" t="inlineStr">
        <is>
          <t>Form playground manual verification.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reset clears submitted, submitting, and invalid state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</t>
        </is>
      </c>
      <c r="H46" s="9" t="inlineStr">
        <is>
          <t>covered</t>
        </is>
      </c>
      <c r="I46" s="5" t="inlineStr">
        <is>
          <t>Form playground manual verification.</t>
        </is>
      </c>
      <c r="J46" s="5" t="n"/>
      <c r="K46" s="6">
        <f>IF(AND(E46="yes",F46="yes",H46="covered"),1,IF(H46="partial",0.5,0))</f>
        <v/>
      </c>
    </row>
    <row r="47" ht="30" customHeight="1" s="60">
      <c r="A47" s="4" t="n">
        <v>39</v>
      </c>
      <c r="B47" s="5" t="inlineStr">
        <is>
          <t>Log</t>
        </is>
      </c>
      <c r="C47" s="5" t="inlineStr">
        <is>
          <t>Root</t>
        </is>
      </c>
      <c r="D47" s="5" t="inlineStr">
        <is>
          <t>logs validation, submit, reset, and navigation prevention clearly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</t>
        </is>
      </c>
      <c r="H47" s="9" t="inlineStr">
        <is>
          <t>covered</t>
        </is>
      </c>
      <c r="I47" s="5" t="inlineStr">
        <is>
          <t>Form playground manual verification.</t>
        </is>
      </c>
      <c r="J47" s="5" t="n"/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Integration</t>
        </is>
      </c>
      <c r="C48" s="5" t="inlineStr">
        <is>
          <t>Native control</t>
        </is>
      </c>
      <c r="D48" s="5" t="inlineStr">
        <is>
          <t>Form.Root submits and resets with a native input control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Form State &gt; Control: Native.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Integration</t>
        </is>
      </c>
      <c r="C49" s="5" t="inlineStr">
        <is>
          <t>Atom control</t>
        </is>
      </c>
      <c r="D49" s="5" t="inlineStr">
        <is>
          <t>Form.Root submits and resets with Atom Input.Root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Form State &gt; Control: Atom.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30" customHeight="1" s="60">
      <c r="A50" s="4" t="n"/>
      <c r="B50" s="5" t="n"/>
      <c r="C50" s="5" t="n"/>
      <c r="D50" s="5" t="n"/>
      <c r="E50" s="7" t="n"/>
      <c r="F50" s="8" t="n"/>
      <c r="G50" s="4" t="n"/>
      <c r="H50" s="9" t="n"/>
      <c r="I50" s="5" t="n"/>
      <c r="J50" s="5" t="n"/>
      <c r="K50" s="6" t="n"/>
    </row>
    <row r="51" ht="15" customHeight="1" s="60">
      <c r="A51" s="4" t="n"/>
      <c r="B51" s="5" t="n"/>
      <c r="C51" s="5" t="n"/>
      <c r="D51" s="5" t="n"/>
      <c r="E51" s="7" t="n"/>
      <c r="F51" s="8" t="n"/>
      <c r="G51" s="4" t="n"/>
      <c r="H51" s="9" t="n"/>
      <c r="I51" s="5" t="n"/>
      <c r="J51" s="5" t="n"/>
      <c r="K51" s="6" t="n"/>
    </row>
    <row r="52" ht="30" customHeight="1" s="60">
      <c r="A52" s="4" t="n"/>
      <c r="B52" s="5" t="n"/>
      <c r="C52" s="5" t="n"/>
      <c r="D52" s="5" t="n"/>
      <c r="E52" s="7" t="n"/>
      <c r="F52" s="8" t="n"/>
      <c r="G52" s="4" t="n"/>
      <c r="H52" s="9" t="n"/>
      <c r="I52" s="5" t="n"/>
      <c r="J52" s="5" t="n"/>
      <c r="K52" s="6" t="n"/>
    </row>
    <row r="53">
      <c r="A53" s="4" t="n"/>
      <c r="B53" s="5" t="n"/>
      <c r="C53" s="5" t="n"/>
      <c r="D53" s="5" t="n"/>
      <c r="E53" s="7" t="n"/>
      <c r="F53" s="8" t="n"/>
      <c r="G53" s="4" t="n"/>
      <c r="H53" s="9" t="n"/>
      <c r="I53" s="5" t="n"/>
      <c r="J53" s="5" t="n"/>
      <c r="K53" s="6" t="n"/>
    </row>
    <row r="54">
      <c r="A54" s="4" t="n"/>
      <c r="B54" s="5" t="n"/>
      <c r="C54" s="5" t="n"/>
      <c r="D54" s="5" t="n"/>
      <c r="E54" s="7" t="n"/>
      <c r="F54" s="8" t="n"/>
      <c r="G54" s="4" t="n"/>
      <c r="H54" s="9" t="n"/>
      <c r="I54" s="5" t="n"/>
      <c r="J54" s="5" t="n"/>
      <c r="K54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5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HoverCard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HoverCard Manual Test Protocol</t>
        </is>
      </c>
      <c r="J9" s="5" t="inlineStr">
        <is>
          <t>Props toolbar toggles Prop Check for Trigger, Content, and Arrow; verified in Anatomy and Inspector Data.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HoverCard Manual Test Protocol</t>
        </is>
      </c>
      <c r="J10" s="5" t="inlineStr">
        <is>
          <t>Custom slot toggles verified for Trigger, Content, and Arrow.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HoverCard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HoverCard Manual Test Protocol</t>
        </is>
      </c>
      <c r="J11" s="5" t="inlineStr">
        <is>
          <t>Scenario reached from the top menu and rendered in the workbench.</t>
        </is>
      </c>
      <c r="K11" s="6">
        <f>IF(AND(E11="yes",F11="yes",H11="covered"),1,IF(H11="partial",0.5,0))</f>
        <v/>
      </c>
    </row>
    <row r="12" ht="45" customHeight="1" s="60">
      <c r="A12" s="4" t="n">
        <v>4</v>
      </c>
      <c r="B12" s="5" t="inlineStr">
        <is>
          <t>Playground</t>
        </is>
      </c>
      <c r="C12" s="5" t="inlineStr">
        <is>
          <t>HoverCard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HoverCard Manual Test Protocol</t>
        </is>
      </c>
      <c r="J12" s="5" t="inlineStr">
        <is>
          <t>Source verified for state, portal, composition, props, slots, and Arrow size toggles.</t>
        </is>
      </c>
      <c r="K12" s="6">
        <f>IF(AND(E12="yes",F12="yes",H12="covered"),1,IF(H12="partial",0.5,0))</f>
        <v/>
      </c>
    </row>
    <row r="13" ht="45" customHeight="1" s="60">
      <c r="A13" s="4" t="n">
        <v>5</v>
      </c>
      <c r="B13" s="5" t="inlineStr">
        <is>
          <t>Playground</t>
        </is>
      </c>
      <c r="C13" s="5" t="inlineStr">
        <is>
          <t>HoverCard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HoverCard Manual Test Protocol</t>
        </is>
      </c>
      <c r="J13" s="5" t="inlineStr">
        <is>
          <t>Anatomy verified for public parts in documented order with raw DOM evidence.</t>
        </is>
      </c>
      <c r="K13" s="6">
        <f>IF(AND(E13="yes",F13="yes",H13="covered"),1,IF(H13="partial",0.5,0))</f>
        <v/>
      </c>
    </row>
    <row r="14" ht="45" customHeight="1" s="60">
      <c r="A14" s="4" t="n">
        <v>6</v>
      </c>
      <c r="B14" s="5" t="inlineStr">
        <is>
          <t>Playground</t>
        </is>
      </c>
      <c r="C14" s="5" t="inlineStr">
        <is>
          <t>HoverCard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HoverCard Manual Test Protocol</t>
        </is>
      </c>
      <c r="J14" s="5" t="inlineStr">
        <is>
          <t>Selected, Focused, and Logs verified independently.</t>
        </is>
      </c>
      <c r="K14" s="6">
        <f>IF(AND(E14="yes",F14="yes",H14="covered"),1,IF(H14="partial",0.5,0))</f>
        <v/>
      </c>
    </row>
    <row r="15" ht="45" customHeight="1" s="60">
      <c r="A15" s="4" t="n">
        <v>7</v>
      </c>
      <c r="B15" s="5" t="inlineStr">
        <is>
          <t>Feature</t>
        </is>
      </c>
      <c r="C15" s="5" t="inlineStr">
        <is>
          <t>HoverCard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HoverCard Manual Test Protocol</t>
        </is>
      </c>
      <c r="J15" s="5" t="inlineStr">
        <is>
          <t>Controlled open buttons, uncontrolled hover/focus, and defaultOpen verified.</t>
        </is>
      </c>
      <c r="K15" s="6">
        <f>IF(AND(E15="yes",F15="yes",H15="covered"),1,IF(H15="partial",0.5,0))</f>
        <v/>
      </c>
    </row>
    <row r="16" ht="45" customHeight="1" s="60">
      <c r="A16" s="4" t="n">
        <v>8</v>
      </c>
      <c r="B16" s="5" t="inlineStr">
        <is>
          <t>Feature</t>
        </is>
      </c>
      <c r="C16" s="5" t="inlineStr">
        <is>
          <t>HoverCard</t>
        </is>
      </c>
      <c r="D16" s="5" t="inlineStr">
        <is>
          <t>Opens from hover and keyboard focus-visible trigger interactions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HoverCard Manual Test Protocol</t>
        </is>
      </c>
      <c r="J16" s="5" t="inlineStr">
        <is>
          <t>Hover and keyboard Tab focus-visible open verified; mouse click focus is not expected to open.</t>
        </is>
      </c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HoverCard</t>
        </is>
      </c>
      <c r="D17" s="5" t="inlineStr">
        <is>
          <t>Configurable open and close delays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HoverCard Manual Test Protocol</t>
        </is>
      </c>
      <c r="J17" s="5" t="inlineStr">
        <is>
          <t>openDelay 0/150/700 and closeDelay 0/150/300 exposed; defaults match package source.</t>
        </is>
      </c>
      <c r="K17" s="6">
        <f>IF(AND(E17="yes",F17="yes",H17="covered"),1,IF(H17="partial",0.5,0))</f>
        <v/>
      </c>
    </row>
    <row r="18" ht="45" customHeight="1" s="60">
      <c r="A18" s="4" t="n">
        <v>10</v>
      </c>
      <c r="B18" s="5" t="inlineStr">
        <is>
          <t>Feature</t>
        </is>
      </c>
      <c r="C18" s="5" t="inlineStr">
        <is>
          <t>HoverCard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HoverCard Manual Test Protocol</t>
        </is>
      </c>
      <c r="J18" s="5" t="inlineStr">
        <is>
          <t>Side, align, offset, data-side, and data-positioned verified; collision may flip side.</t>
        </is>
      </c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HoverCard</t>
        </is>
      </c>
      <c r="D19" s="5" t="inlineStr">
        <is>
          <t>Portal and arrow parts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HoverCard Manual Test Protocol</t>
        </is>
      </c>
      <c r="J19" s="5" t="inlineStr">
        <is>
          <t>Portal body/container/disabled and Arrow DOM evidence verified.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HoverCard</t>
        </is>
      </c>
      <c r="D20" s="5" t="inlineStr">
        <is>
          <t>Headless only: no card styling, shadows, animation, or layout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HoverCard Manual Test Protocol</t>
        </is>
      </c>
      <c r="J20" s="5" t="inlineStr">
        <is>
          <t>Scenario styling is playground-only; Source omits classes and layout plumbing.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 and exposes feature-wide state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HoverCard Manual Test Protocol</t>
        </is>
      </c>
      <c r="J21" s="5" t="inlineStr">
        <is>
          <t>Root is non-DOM; Anatomy shows controlled/defaultOpen/open/delay/disabled state.</t>
        </is>
      </c>
      <c r="K21" s="6">
        <f>IF(AND(E21="yes",F21="yes",H21="covered"),1,IF(H21="partial",0.5,0))</f>
        <v/>
      </c>
    </row>
    <row r="22" ht="45" customHeight="1" s="60">
      <c r="A22" s="4" t="n">
        <v>14</v>
      </c>
      <c r="B22" s="5" t="inlineStr">
        <is>
          <t>State</t>
        </is>
      </c>
      <c r="C22" s="5" t="inlineStr">
        <is>
          <t>Root</t>
        </is>
      </c>
      <c r="D22" s="5" t="inlineStr">
        <is>
          <t>open prop behavior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HoverCard Manual Test Protocol</t>
        </is>
      </c>
      <c r="J22" s="5" t="inlineStr">
        <is>
          <t>Controlled open prop path verified with Open controlled and Close controlled buttons.</t>
        </is>
      </c>
      <c r="K22" s="6">
        <f>IF(AND(E22="yes",F22="yes",H22="covered"),1,IF(H22="partial",0.5,0))</f>
        <v/>
      </c>
    </row>
    <row r="23" ht="45" customHeight="1" s="60">
      <c r="A23" s="4" t="n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defaultOpen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HoverCard Manual Test Protocol</t>
        </is>
      </c>
      <c r="J23" s="5" t="inlineStr">
        <is>
          <t>Default Open toolbar starts uncontrolled content open and Source shows defaultOpen.</t>
        </is>
      </c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onOpenChange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HoverCard Manual Test Protocol</t>
        </is>
      </c>
      <c r="J24" s="5" t="inlineStr">
        <is>
          <t>Logs record opened/closed changes from HoverCard behavior and external controls.</t>
        </is>
      </c>
      <c r="K24" s="6">
        <f>IF(AND(E24="yes",F24="yes",H24="covered"),1,IF(H24="partial",0.5,0))</f>
        <v/>
      </c>
    </row>
    <row r="25" ht="4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openDelay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HoverCard Manual Test Protocol</t>
        </is>
      </c>
      <c r="J25" s="5" t="inlineStr">
        <is>
          <t>Open delay values verified; Source omits default 700 and shows non-default values.</t>
        </is>
      </c>
      <c r="K25" s="6">
        <f>IF(AND(E25="yes",F25="yes",H25="covered"),1,IF(H25="partial",0.5,0))</f>
        <v/>
      </c>
    </row>
    <row r="26" ht="4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closeDelay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HoverCard Manual Test Protocol</t>
        </is>
      </c>
      <c r="J26" s="5" t="inlineStr">
        <is>
          <t>Close delay default 300 verified; Source omits default 300 and shows non-default values.</t>
        </is>
      </c>
      <c r="K26" s="6">
        <f>IF(AND(E26="yes",F26="yes",H26="covered"),1,IF(H26="partial",0.5,0))</f>
        <v/>
      </c>
    </row>
    <row r="27" ht="4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HoverCard Manual Test Protocol</t>
        </is>
      </c>
      <c r="J27" s="5" t="inlineStr">
        <is>
          <t>Disabled prevents hover and focus-visible open.</t>
        </is>
      </c>
      <c r="K27" s="6">
        <f>IF(AND(E27="yes",F27="yes",H27="covered"),1,IF(H27="partial",0.5,0))</f>
        <v/>
      </c>
    </row>
    <row r="28" ht="45" customHeight="1" s="60">
      <c r="A28" s="4" t="n">
        <v>20</v>
      </c>
      <c r="B28" s="5" t="inlineStr">
        <is>
          <t>Anatomy</t>
        </is>
      </c>
      <c r="C28" s="5" t="inlineStr">
        <is>
          <t>Trigger</t>
        </is>
      </c>
      <c r="D28" s="5" t="inlineStr">
        <is>
          <t>renders correct part in documented order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HoverCard Manual Test Protocol</t>
        </is>
      </c>
      <c r="J28" s="5" t="inlineStr">
        <is>
          <t>Trigger appears after Root in Anatomy and remains inspectable.</t>
        </is>
      </c>
      <c r="K28" s="6">
        <f>IF(AND(E28="yes",F28="yes",H28="covered"),1,IF(H28="partial",0.5,0))</f>
        <v/>
      </c>
    </row>
    <row r="29" ht="45" customHeight="1" s="60">
      <c r="A29" s="4" t="n">
        <v>21</v>
      </c>
      <c r="B29" s="5" t="inlineStr">
        <is>
          <t>Identity</t>
        </is>
      </c>
      <c r="C29" s="5" t="inlineStr">
        <is>
          <t>Trigger</t>
        </is>
      </c>
      <c r="D29" s="5" t="inlineStr">
        <is>
          <t>default tag is span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HoverCard Manual Test Protocol</t>
        </is>
      </c>
      <c r="J29" s="5" t="inlineStr">
        <is>
          <t>Default Trigger tag verified as span.</t>
        </is>
      </c>
      <c r="K29" s="6">
        <f>IF(AND(E29="yes",F29="yes",H29="covered"),1,IF(H29="partial",0.5,0))</f>
        <v/>
      </c>
    </row>
    <row r="30" ht="45" customHeight="1" s="60">
      <c r="A30" s="4" t="n">
        <v>22</v>
      </c>
      <c r="B30" s="5" t="inlineStr">
        <is>
          <t>Data</t>
        </is>
      </c>
      <c r="C30" s="5" t="inlineStr">
        <is>
          <t>Trigger</t>
        </is>
      </c>
      <c r="D30" s="5" t="inlineStr">
        <is>
          <t>data-slot and data-state are present and correct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HoverCard Manual Test Protocol</t>
        </is>
      </c>
      <c r="J30" s="5" t="inlineStr">
        <is>
          <t>Default data-slot hover-card-trigger and data-state open/closed verified.</t>
        </is>
      </c>
      <c r="K30" s="6">
        <f>IF(AND(E30="yes",F30="yes",H30="covered"),1,IF(H30="partial",0.5,0))</f>
        <v/>
      </c>
    </row>
    <row r="31" ht="45" customHeight="1" s="60">
      <c r="A31" s="4" t="n">
        <v>23</v>
      </c>
      <c r="B31" s="5" t="inlineStr">
        <is>
          <t>Props</t>
        </is>
      </c>
      <c r="C31" s="5" t="inlineStr">
        <is>
          <t>Trigger</t>
        </is>
      </c>
      <c r="D31" s="5" t="inlineStr">
        <is>
          <t>native/data props pass through with data-prop-check marker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HoverCard Manual Test Protocol</t>
        </is>
      </c>
      <c r="J31" s="5" t="inlineStr">
        <is>
          <t>data-prop-check="trigger" verified through raw Data.</t>
        </is>
      </c>
      <c r="K31" s="6">
        <f>IF(AND(E31="yes",F31="yes",H31="covered"),1,IF(H31="partial",0.5,0))</f>
        <v/>
      </c>
    </row>
    <row r="32" ht="45" customHeight="1" s="60">
      <c r="A32" s="4" t="n">
        <v>24</v>
      </c>
      <c r="B32" s="5" t="inlineStr">
        <is>
          <t>Slots</t>
        </is>
      </c>
      <c r="C32" s="5" t="inlineStr">
        <is>
          <t>Trigger</t>
        </is>
      </c>
      <c r="D32" s="5" t="inlineStr">
        <is>
          <t>custom data-slot override is applied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HoverCard Manual Test Protocol</t>
        </is>
      </c>
      <c r="J32" s="5" t="inlineStr">
        <is>
          <t>data-slot="hover-card-trigger-custom" verified when Trigger Slot is enabled.</t>
        </is>
      </c>
      <c r="K32" s="6">
        <f>IF(AND(E32="yes",F32="yes",H32="covered"),1,IF(H32="partial",0.5,0))</f>
        <v/>
      </c>
    </row>
    <row r="33" ht="45" customHeight="1" s="60">
      <c r="A33" s="4" t="n">
        <v>25</v>
      </c>
      <c r="B33" s="5" t="inlineStr">
        <is>
          <t>Composition</t>
        </is>
      </c>
      <c r="C33" s="5" t="inlineStr">
        <is>
          <t>Trigger</t>
        </is>
      </c>
      <c r="D33" s="5" t="inlineStr">
        <is>
          <t>asChild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HoverCard Manual Test Protocol</t>
        </is>
      </c>
      <c r="J33" s="5" t="inlineStr">
        <is>
          <t>asChild preserves child content and HoverCard props on the child span.</t>
        </is>
      </c>
      <c r="K33" s="6">
        <f>IF(AND(E33="yes",F33="yes",H33="covered"),1,IF(H33="partial",0.5,0))</f>
        <v/>
      </c>
    </row>
    <row r="34" ht="45" customHeight="1" s="60">
      <c r="A34" s="4" t="n">
        <v>26</v>
      </c>
      <c r="B34" s="5" t="inlineStr">
        <is>
          <t>Composition</t>
        </is>
      </c>
      <c r="C34" s="5" t="inlineStr">
        <is>
          <t>Trigger</t>
        </is>
      </c>
      <c r="D34" s="5" t="inlineStr">
        <is>
          <t>render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HoverCard Manual Test Protocol</t>
        </is>
      </c>
      <c r="J34" s="5" t="inlineStr">
        <is>
          <t>render={(props) =&gt; &lt;section {...props} /&gt;} renders section and preserves behavior/positioning.</t>
        </is>
      </c>
      <c r="K34" s="6">
        <f>IF(AND(E34="yes",F34="yes",H34="covered"),1,IF(H34="partial",0.5,0))</f>
        <v/>
      </c>
    </row>
    <row r="35" ht="45" customHeight="1" s="60">
      <c r="A35" s="4" t="n">
        <v>27</v>
      </c>
      <c r="B35" s="5" t="inlineStr">
        <is>
          <t>Interaction</t>
        </is>
      </c>
      <c r="C35" s="5" t="inlineStr">
        <is>
          <t>Trigger</t>
        </is>
      </c>
      <c r="D35" s="5" t="inlineStr">
        <is>
          <t>hover opens and mouse leave closes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HoverCard Manual Test Protocol</t>
        </is>
      </c>
      <c r="J35" s="5" t="inlineStr">
        <is>
          <t>Hover opens and leave closes after close delay; logs record events.</t>
        </is>
      </c>
      <c r="K35" s="6">
        <f>IF(AND(E35="yes",F35="yes",H35="covered"),1,IF(H35="partial",0.5,0))</f>
        <v/>
      </c>
    </row>
    <row r="36" ht="45" customHeight="1" s="60">
      <c r="A36" s="4" t="n">
        <v>28</v>
      </c>
      <c r="B36" s="5" t="inlineStr">
        <is>
          <t>Focus</t>
        </is>
      </c>
      <c r="C36" s="5" t="inlineStr">
        <is>
          <t>Trigger</t>
        </is>
      </c>
      <c r="D36" s="5" t="inlineStr">
        <is>
          <t>keyboard Tab focus-visible opens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HoverCard Manual Test Protocol</t>
        </is>
      </c>
      <c r="J36" s="5" t="inlineStr">
        <is>
          <t>Keyboard Tab focus opens Content and keeps focus on Trigger.</t>
        </is>
      </c>
      <c r="K36" s="6">
        <f>IF(AND(E36="yes",F36="yes",H36="covered"),1,IF(H36="partial",0.5,0))</f>
        <v/>
      </c>
    </row>
    <row r="37" ht="45" customHeight="1" s="60">
      <c r="A37" s="4" t="n">
        <v>29</v>
      </c>
      <c r="B37" s="5" t="inlineStr">
        <is>
          <t>Anatomy</t>
        </is>
      </c>
      <c r="C37" s="5" t="inlineStr">
        <is>
          <t>Portal</t>
        </is>
      </c>
      <c r="D37" s="5" t="inlineStr">
        <is>
          <t>body, custom container, and disabled portal paths work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HoverCard Manual Test Protocol</t>
        </is>
      </c>
      <c r="J37" s="5" t="inlineStr">
        <is>
          <t>Portal body/container/disabled modes verified through parent, inside-canvas, and custom target evidence.</t>
        </is>
      </c>
      <c r="K37" s="6">
        <f>IF(AND(E37="yes",F37="yes",H37="covered"),1,IF(H37="partial",0.5,0))</f>
        <v/>
      </c>
    </row>
    <row r="38" ht="45" customHeight="1" s="60">
      <c r="A38" s="4" t="n">
        <v>30</v>
      </c>
      <c r="B38" s="5" t="inlineStr">
        <is>
          <t>Portal</t>
        </is>
      </c>
      <c r="C38" s="5" t="inlineStr">
        <is>
          <t>Portal</t>
        </is>
      </c>
      <c r="D38" s="5" t="inlineStr">
        <is>
          <t>portal renders in body by default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HoverCard Manual Test Protocol</t>
        </is>
      </c>
      <c r="J38" s="5" t="inlineStr">
        <is>
          <t>Body mode renders Content under body and outside Canvas.</t>
        </is>
      </c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Portal</t>
        </is>
      </c>
      <c r="C39" s="5" t="inlineStr">
        <is>
          <t>Portal</t>
        </is>
      </c>
      <c r="D39" s="5" t="inlineStr">
        <is>
          <t>custom container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HoverCard Manual Test Protocol</t>
        </is>
      </c>
      <c r="J39" s="5" t="inlineStr">
        <is>
          <t>Container mode renders Content in the playground portal target.</t>
        </is>
      </c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Portal</t>
        </is>
      </c>
      <c r="C40" s="5" t="inlineStr">
        <is>
          <t>Portal</t>
        </is>
      </c>
      <c r="D40" s="5" t="inlineStr">
        <is>
          <t>disabled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HoverCard Manual Test Protocol</t>
        </is>
      </c>
      <c r="J40" s="5" t="inlineStr">
        <is>
          <t>Disabled mode renders Content inline inside Canvas.</t>
        </is>
      </c>
      <c r="K40" s="6">
        <f>IF(AND(E40="yes",F40="yes",H40="covered"),1,IF(H40="partial",0.5,0))</f>
        <v/>
      </c>
    </row>
    <row r="41" ht="45" customHeight="1" s="60">
      <c r="A41" s="4" t="n">
        <v>33</v>
      </c>
      <c r="B41" s="5" t="inlineStr">
        <is>
          <t>Anatomy</t>
        </is>
      </c>
      <c r="C41" s="5" t="inlineStr">
        <is>
          <t>Content</t>
        </is>
      </c>
      <c r="D41" s="5" t="inlineStr">
        <is>
          <t>renders correct part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HoverCard Manual Test Protocol</t>
        </is>
      </c>
      <c r="J41" s="5" t="inlineStr">
        <is>
          <t>Content appears after Portal in Anatomy when open.</t>
        </is>
      </c>
      <c r="K41" s="6">
        <f>IF(AND(E41="yes",F41="yes",H41="covered"),1,IF(H41="partial",0.5,0))</f>
        <v/>
      </c>
    </row>
    <row r="42" ht="45" customHeight="1" s="60">
      <c r="A42" s="4" t="n">
        <v>34</v>
      </c>
      <c r="B42" s="5" t="inlineStr">
        <is>
          <t>Identity</t>
        </is>
      </c>
      <c r="C42" s="5" t="inlineStr">
        <is>
          <t>Content</t>
        </is>
      </c>
      <c r="D42" s="5" t="inlineStr">
        <is>
          <t>default tag is div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HoverCard Manual Test Protocol</t>
        </is>
      </c>
      <c r="J42" s="5" t="inlineStr">
        <is>
          <t>Content tag verified as div.</t>
        </is>
      </c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Data</t>
        </is>
      </c>
      <c r="C43" s="5" t="inlineStr">
        <is>
          <t>Content</t>
        </is>
      </c>
      <c r="D43" s="5" t="inlineStr">
        <is>
          <t>data-slot, data-state, data-side, and data-positioned are present at the correct time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HoverCard Manual Test Protocol</t>
        </is>
      </c>
      <c r="J43" s="5" t="inlineStr">
        <is>
          <t>Raw Data verified while open; data-side may reflect collision-adjusted placement.</t>
        </is>
      </c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ARIA</t>
        </is>
      </c>
      <c r="C44" s="5" t="inlineStr">
        <is>
          <t>Content</t>
        </is>
      </c>
      <c r="D44" s="5" t="inlineStr">
        <is>
          <t>ariaLabel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HoverCard Manual Test Protocol</t>
        </is>
      </c>
      <c r="J44" s="5" t="inlineStr">
        <is>
          <t>aria-label="Contributor preview" present when enabled and removed when disabled.</t>
        </is>
      </c>
      <c r="K44" s="6">
        <f>IF(AND(E44="yes",F44="yes",H44="covered"),1,IF(H44="partial",0.5,0))</f>
        <v/>
      </c>
    </row>
    <row r="45" ht="45" customHeight="1" s="60">
      <c r="A45" s="4" t="n">
        <v>37</v>
      </c>
      <c r="B45" s="5" t="inlineStr">
        <is>
          <t>Props</t>
        </is>
      </c>
      <c r="C45" s="5" t="inlineStr">
        <is>
          <t>Content</t>
        </is>
      </c>
      <c r="D45" s="5" t="inlineStr">
        <is>
          <t>native/data props pass through with data-prop-check marker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HoverCard Manual Test Protocol</t>
        </is>
      </c>
      <c r="J45" s="5" t="inlineStr">
        <is>
          <t>data-prop-check="content" verified through raw Data.</t>
        </is>
      </c>
      <c r="K45" s="6">
        <f>IF(AND(E45="yes",F45="yes",H45="covered"),1,IF(H45="partial",0.5,0))</f>
        <v/>
      </c>
    </row>
    <row r="46" ht="45" customHeight="1" s="60">
      <c r="A46" s="4" t="n">
        <v>38</v>
      </c>
      <c r="B46" s="5" t="inlineStr">
        <is>
          <t>Slots</t>
        </is>
      </c>
      <c r="C46" s="5" t="inlineStr">
        <is>
          <t>Content</t>
        </is>
      </c>
      <c r="D46" s="5" t="inlineStr">
        <is>
          <t>custom data-slot override is applied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HoverCard Manual Test Protocol</t>
        </is>
      </c>
      <c r="J46" s="5" t="inlineStr">
        <is>
          <t>data-slot="hover-card-content-custom" verified when Content Slot is enabled.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Positioning</t>
        </is>
      </c>
      <c r="C47" s="5" t="inlineStr">
        <is>
          <t>Content</t>
        </is>
      </c>
      <c r="D47" s="5" t="inlineStr">
        <is>
          <t>side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HoverCard Manual Test Protocol</t>
        </is>
      </c>
      <c r="J47" s="5" t="inlineStr">
        <is>
          <t>Non-default side values update Source and placement evidence; default bottom omitted from Source.</t>
        </is>
      </c>
      <c r="K47" s="6">
        <f>IF(AND(E47="yes",F47="yes",H47="covered"),1,IF(H47="partial",0.5,0))</f>
        <v/>
      </c>
    </row>
    <row r="48" ht="45" customHeight="1" s="60">
      <c r="A48" s="4" t="n">
        <v>40</v>
      </c>
      <c r="B48" s="5" t="inlineStr">
        <is>
          <t>Positioning</t>
        </is>
      </c>
      <c r="C48" s="5" t="inlineStr">
        <is>
          <t>Content</t>
        </is>
      </c>
      <c r="D48" s="5" t="inlineStr">
        <is>
          <t>align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HoverCard Manual Test Protocol</t>
        </is>
      </c>
      <c r="J48" s="5" t="inlineStr">
        <is>
          <t>Non-default align values update Source and placement behavior; default center omitted from Source.</t>
        </is>
      </c>
      <c r="K48" s="6">
        <f>IF(AND(E48="yes",F48="yes",H48="covered"),1,IF(H48="partial",0.5,0))</f>
        <v/>
      </c>
    </row>
    <row r="49" ht="45" customHeight="1" s="60">
      <c r="A49" s="4" t="n">
        <v>41</v>
      </c>
      <c r="B49" s="5" t="inlineStr">
        <is>
          <t>Positioning</t>
        </is>
      </c>
      <c r="C49" s="5" t="inlineStr">
        <is>
          <t>Content</t>
        </is>
      </c>
      <c r="D49" s="5" t="inlineStr">
        <is>
          <t>sideOffset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HoverCard Manual Test Protocol</t>
        </is>
      </c>
      <c r="J49" s="5" t="inlineStr">
        <is>
          <t>Non-default offset values update Source and visible spacing; default 8 omitted from Source.</t>
        </is>
      </c>
      <c r="K49" s="6">
        <f>IF(AND(E49="yes",F49="yes",H49="covered"),1,IF(H49="partial",0.5,0))</f>
        <v/>
      </c>
    </row>
    <row r="50" ht="45" customHeight="1" s="60">
      <c r="A50" s="4" t="n">
        <v>42</v>
      </c>
      <c r="B50" s="5" t="inlineStr">
        <is>
          <t>Anatomy</t>
        </is>
      </c>
      <c r="C50" s="5" t="inlineStr">
        <is>
          <t>Arrow</t>
        </is>
      </c>
      <c r="D50" s="5" t="inlineStr">
        <is>
          <t>renders correct part in documented order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HoverCard Manual Test Protocol</t>
        </is>
      </c>
      <c r="J50" s="5" t="inlineStr">
        <is>
          <t>Arrow appears inside Content in Anatomy when open.</t>
        </is>
      </c>
      <c r="K50" s="6">
        <f>IF(AND(E50="yes",F50="yes",H50="covered"),1,IF(H50="partial",0.5,0))</f>
        <v/>
      </c>
    </row>
    <row r="51" ht="45" customHeight="1" s="60">
      <c r="A51" s="4" t="n">
        <v>43</v>
      </c>
      <c r="B51" s="5" t="inlineStr">
        <is>
          <t>Identity</t>
        </is>
      </c>
      <c r="C51" s="5" t="inlineStr">
        <is>
          <t>Arrow</t>
        </is>
      </c>
      <c r="D51" s="5" t="inlineStr">
        <is>
          <t>default tag is svg and aria-hidden is true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HoverCard Manual Test Protocol</t>
        </is>
      </c>
      <c r="J51" s="5" t="inlineStr">
        <is>
          <t>Arrow tag svg and aria-hidden=true verified.</t>
        </is>
      </c>
      <c r="K51" s="6">
        <f>IF(AND(E51="yes",F51="yes",H51="covered"),1,IF(H51="partial",0.5,0))</f>
        <v/>
      </c>
    </row>
    <row r="52" ht="45" customHeight="1" s="60">
      <c r="A52" s="4" t="n">
        <v>44</v>
      </c>
      <c r="B52" s="5" t="inlineStr">
        <is>
          <t>Data</t>
        </is>
      </c>
      <c r="C52" s="5" t="inlineStr">
        <is>
          <t>Arrow</t>
        </is>
      </c>
      <c r="D52" s="5" t="inlineStr">
        <is>
          <t>data-slot and data-side are present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HoverCard Manual Test Protocol</t>
        </is>
      </c>
      <c r="J52" s="5" t="inlineStr">
        <is>
          <t>Default data-slot hover-card-arrow and current data-side verified.</t>
        </is>
      </c>
      <c r="K52" s="6">
        <f>IF(AND(E52="yes",F52="yes",H52="covered"),1,IF(H52="partial",0.5,0))</f>
        <v/>
      </c>
    </row>
    <row r="53" ht="45" customHeight="1" s="60">
      <c r="A53" s="4" t="n">
        <v>45</v>
      </c>
      <c r="B53" s="5" t="inlineStr">
        <is>
          <t>Props</t>
        </is>
      </c>
      <c r="C53" s="5" t="inlineStr">
        <is>
          <t>Arrow</t>
        </is>
      </c>
      <c r="D53" s="5" t="inlineStr">
        <is>
          <t>native/data props pass through with data-prop-check marker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HoverCard Manual Test Protocol</t>
        </is>
      </c>
      <c r="J53" s="5" t="inlineStr">
        <is>
          <t>data-prop-check="arrow" verified through raw Data.</t>
        </is>
      </c>
      <c r="K53" s="6">
        <f>IF(AND(E53="yes",F53="yes",H53="covered"),1,IF(H53="partial",0.5,0))</f>
        <v/>
      </c>
    </row>
    <row r="54" ht="45" customHeight="1" s="60">
      <c r="A54" s="4" t="n">
        <v>46</v>
      </c>
      <c r="B54" s="5" t="inlineStr">
        <is>
          <t>Slots</t>
        </is>
      </c>
      <c r="C54" s="5" t="inlineStr">
        <is>
          <t>Arrow</t>
        </is>
      </c>
      <c r="D54" s="5" t="inlineStr">
        <is>
          <t>custom data-slot override is applied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HoverCard Manual Test Protocol</t>
        </is>
      </c>
      <c r="J54" s="5" t="inlineStr">
        <is>
          <t>data-slot="hover-card-arrow-custom" verified when Arrow Slot is enabled.</t>
        </is>
      </c>
      <c r="K54" s="6">
        <f>IF(AND(E54="yes",F54="yes",H54="covered"),1,IF(H54="partial",0.5,0))</f>
        <v/>
      </c>
    </row>
    <row r="55" ht="45" customHeight="1" s="60">
      <c r="A55" s="4" t="n">
        <v>47</v>
      </c>
      <c r="B55" s="5" t="inlineStr">
        <is>
          <t>Public API</t>
        </is>
      </c>
      <c r="C55" s="5" t="inlineStr">
        <is>
          <t>Arrow</t>
        </is>
      </c>
      <c r="D55" s="5" t="inlineStr">
        <is>
          <t>width and height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HoverCard Manual Test Protocol</t>
        </is>
      </c>
      <c r="J55" s="5" t="inlineStr">
        <is>
          <t>Default width=10 height=5 and wide override width=18 height=9 verified through DOM attributes.</t>
        </is>
      </c>
      <c r="K55" s="6">
        <f>IF(AND(E55="yes",F55="yes",H55="covered"),1,IF(H55="partial",0.5,0))</f>
        <v/>
      </c>
    </row>
    <row r="56" ht="45" customHeight="1" s="60">
      <c r="A56" s="4" t="n">
        <v>48</v>
      </c>
      <c r="B56" s="5" t="inlineStr">
        <is>
          <t>Source</t>
        </is>
      </c>
      <c r="C56" s="5" t="inlineStr">
        <is>
          <t>HoverCard</t>
        </is>
      </c>
      <c r="D56" s="5" t="inlineStr">
        <is>
          <t>Source omits playground-only plumbing and default props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HoverCard Manual Test Protocol</t>
        </is>
      </c>
      <c r="J56" s="5" t="inlineStr">
        <is>
          <t>Source omits data-playground-inspect, classes, default delays, default side/align/offset, and default false props.</t>
        </is>
      </c>
      <c r="K56" s="6">
        <f>IF(AND(E56="yes",F56="yes",H56="covered"),1,IF(H56="partial",0.5,0))</f>
        <v/>
      </c>
    </row>
    <row r="57" ht="45" customHeight="1" s="60">
      <c r="A57" s="4" t="n">
        <v>49</v>
      </c>
      <c r="B57" s="5" t="inlineStr">
        <is>
          <t>Source</t>
        </is>
      </c>
      <c r="C57" s="5" t="inlineStr">
        <is>
          <t>HoverCard</t>
        </is>
      </c>
      <c r="D57" s="5" t="inlineStr">
        <is>
          <t>Source reflects controlled/defaultOpen state, portal mode, composition, props, slots, and Arrow size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HoverCard Manual Test Protocol</t>
        </is>
      </c>
      <c r="J57" s="5" t="inlineStr">
        <is>
          <t>Source verified across all protocol toggles.</t>
        </is>
      </c>
      <c r="K57" s="6">
        <f>IF(AND(E57="yes",F57="yes",H57="covered"),1,IF(H57="partial",0.5,0))</f>
        <v/>
      </c>
    </row>
    <row r="58" ht="45" customHeight="1" s="60">
      <c r="A58" s="4" t="n">
        <v>50</v>
      </c>
      <c r="B58" s="5" t="inlineStr">
        <is>
          <t>Inspector</t>
        </is>
      </c>
      <c r="C58" s="5" t="inlineStr">
        <is>
          <t>HoverCard</t>
        </is>
      </c>
      <c r="D58" s="5" t="inlineStr">
        <is>
          <t>Selected and Focused evidence update independently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HoverCard Manual Test Protocol</t>
        </is>
      </c>
      <c r="J58" s="5" t="inlineStr">
        <is>
          <t>Selected and Focused tabs verified for Trigger, Content, and Arrow.</t>
        </is>
      </c>
      <c r="K58" s="6">
        <f>IF(AND(E58="yes",F58="yes",H58="covered"),1,IF(H58="partial",0.5,0))</f>
        <v/>
      </c>
    </row>
    <row r="59" ht="45" customHeight="1" s="60">
      <c r="A59" s="4" t="n">
        <v>51</v>
      </c>
      <c r="B59" s="5" t="inlineStr">
        <is>
          <t>Logs</t>
        </is>
      </c>
      <c r="C59" s="5" t="inlineStr">
        <is>
          <t>HoverCard</t>
        </is>
      </c>
      <c r="D59" s="5" t="inlineStr">
        <is>
          <t>interaction logs remain visible after close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HoverCard Manual Test Protocol</t>
        </is>
      </c>
      <c r="J59" s="5" t="inlineStr">
        <is>
          <t>Logs record mouseenter, mouseleave, focus, Escape, opened, and closed events as applicable.</t>
        </is>
      </c>
      <c r="K59" s="6">
        <f>IF(AND(E59="yes",F59="yes",H59="covered"),1,IF(H59="partial",0.5,0))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7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Input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tested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>
        <is>
          <t>Manual test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tested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>
        <is>
          <t>Manual test passed.</t>
        </is>
      </c>
      <c r="K10" s="6">
        <f>IF(AND(E10="yes",F10="yes",H10="covered"),1,IF(H10="partial",0.5,0))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Input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tested</t>
        </is>
      </c>
      <c r="H11" s="9" t="inlineStr">
        <is>
          <t>covered</t>
        </is>
      </c>
      <c r="I11" s="5" t="inlineStr">
        <is>
          <t>Input playground scenario.</t>
        </is>
      </c>
      <c r="J11" s="5" t="inlineStr">
        <is>
          <t>Manual test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Input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tested</t>
        </is>
      </c>
      <c r="H12" s="9" t="inlineStr">
        <is>
          <t>covered</t>
        </is>
      </c>
      <c r="I12" s="5" t="inlineStr">
        <is>
          <t>Input playground scenario.</t>
        </is>
      </c>
      <c r="J12" s="5" t="inlineStr">
        <is>
          <t>Manual test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Input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tested</t>
        </is>
      </c>
      <c r="H13" s="9" t="inlineStr">
        <is>
          <t>covered</t>
        </is>
      </c>
      <c r="I13" s="5" t="inlineStr">
        <is>
          <t>Input playground page uses shared Canvas/Source, Anatomy, Inspector, and Log infrastructure.</t>
        </is>
      </c>
      <c r="J13" s="5" t="inlineStr">
        <is>
          <t>Manual test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Input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tested</t>
        </is>
      </c>
      <c r="H14" s="9" t="inlineStr">
        <is>
          <t>covered</t>
        </is>
      </c>
      <c r="I14" s="5" t="inlineStr">
        <is>
          <t>Input playground scenario.</t>
        </is>
      </c>
      <c r="J14" s="5" t="inlineStr">
        <is>
          <t>Manual test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Input</t>
        </is>
      </c>
      <c r="D15" s="5" t="inlineStr">
        <is>
          <t>Renders a native `&lt;input&gt;`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tested</t>
        </is>
      </c>
      <c r="H15" s="9" t="inlineStr">
        <is>
          <t>covered</t>
        </is>
      </c>
      <c r="I15" s="5" t="inlineStr">
        <is>
          <t>Input playground scenario.</t>
        </is>
      </c>
      <c r="J15" s="5" t="inlineStr">
        <is>
          <t>Manual test passed.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Input</t>
        </is>
      </c>
      <c r="D16" s="5" t="inlineStr">
        <is>
          <t>Supports controlled and uncontrolled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tested</t>
        </is>
      </c>
      <c r="H16" s="9" t="inlineStr">
        <is>
          <t>covered</t>
        </is>
      </c>
      <c r="I16" s="5" t="inlineStr">
        <is>
          <t>Input playground scenario.</t>
        </is>
      </c>
      <c r="J16" s="5" t="inlineStr">
        <is>
          <t>Manual test passed.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Input</t>
        </is>
      </c>
      <c r="D17" s="5" t="inlineStr">
        <is>
          <t>Integrates with `Field.Root` for IDs, descriptions, errors, and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tested</t>
        </is>
      </c>
      <c r="H17" s="9" t="inlineStr">
        <is>
          <t>covered</t>
        </is>
      </c>
      <c r="I17" s="5" t="inlineStr">
        <is>
          <t>Input playground scenario.</t>
        </is>
      </c>
      <c r="J17" s="5" t="inlineStr">
        <is>
          <t>Manual test passed.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Input</t>
        </is>
      </c>
      <c r="D18" s="5" t="inlineStr">
        <is>
          <t>Exposes filled, focused, disabled, readonly, and invalid state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tested</t>
        </is>
      </c>
      <c r="H18" s="9" t="inlineStr">
        <is>
          <t>covered</t>
        </is>
      </c>
      <c r="I18" s="5" t="inlineStr">
        <is>
          <t>Input playground scenario.</t>
        </is>
      </c>
      <c r="J18" s="5" t="inlineStr">
        <is>
          <t>Manual test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Input</t>
        </is>
      </c>
      <c r="D19" s="5" t="inlineStr">
        <is>
          <t>Includes an optional clear button that clears and refocuses the input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tested</t>
        </is>
      </c>
      <c r="H19" s="9" t="inlineStr">
        <is>
          <t>covered</t>
        </is>
      </c>
      <c r="I19" s="5" t="inlineStr">
        <is>
          <t>Input playground scenario.</t>
        </is>
      </c>
      <c r="J19" s="5" t="inlineStr">
        <is>
          <t>Manual test passed.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Input</t>
        </is>
      </c>
      <c r="D20" s="5" t="inlineStr">
        <is>
          <t>Preserves native input props and event handlers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tested</t>
        </is>
      </c>
      <c r="H20" s="9" t="inlineStr">
        <is>
          <t>covered</t>
        </is>
      </c>
      <c r="I20" s="5" t="inlineStr">
        <is>
          <t>Input playground scenario.</t>
        </is>
      </c>
      <c r="J20" s="5" t="inlineStr">
        <is>
          <t>Manual test passed.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tested</t>
        </is>
      </c>
      <c r="H21" s="9" t="inlineStr">
        <is>
          <t>covered</t>
        </is>
      </c>
      <c r="I21" s="5" t="inlineStr">
        <is>
          <t>Input playground scenario.</t>
        </is>
      </c>
      <c r="J21" s="5" t="inlineStr">
        <is>
          <t>Manual test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tested</t>
        </is>
      </c>
      <c r="H22" s="9" t="inlineStr">
        <is>
          <t>covered</t>
        </is>
      </c>
      <c r="I22" s="5" t="inlineStr">
        <is>
          <t>Input form-field playground page exposes this part/prop in Anatomy, Inspector, Source, or toolbar controls.</t>
        </is>
      </c>
      <c r="J22" s="5" t="inlineStr">
        <is>
          <t>Manual test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tested</t>
        </is>
      </c>
      <c r="H23" s="9" t="inlineStr">
        <is>
          <t>covered</t>
        </is>
      </c>
      <c r="I23" s="5" t="inlineStr">
        <is>
          <t>Input source/anatomy documents whether Root renders DOM; Inspector verifies rendered descendants.</t>
        </is>
      </c>
      <c r="J23" s="5" t="inlineStr">
        <is>
          <t>Manual test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tested</t>
        </is>
      </c>
      <c r="H24" s="9" t="inlineStr">
        <is>
          <t>covered</t>
        </is>
      </c>
      <c r="I24" s="5" t="inlineStr">
        <is>
          <t>Input playground scenario.</t>
        </is>
      </c>
      <c r="J24" s="5" t="inlineStr">
        <is>
          <t>Manual test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tested</t>
        </is>
      </c>
      <c r="H25" s="9" t="inlineStr">
        <is>
          <t>covered</t>
        </is>
      </c>
      <c r="I25" s="5" t="inlineStr">
        <is>
          <t>Input playground scenario.</t>
        </is>
      </c>
      <c r="J25" s="5" t="inlineStr">
        <is>
          <t>Manual test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tested</t>
        </is>
      </c>
      <c r="H26" s="9" t="inlineStr">
        <is>
          <t>covered</t>
        </is>
      </c>
      <c r="I26" s="5" t="inlineStr">
        <is>
          <t>Input playground scenario.</t>
        </is>
      </c>
      <c r="J26" s="5" t="inlineStr">
        <is>
          <t>Manual test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tested</t>
        </is>
      </c>
      <c r="H27" s="9" t="inlineStr">
        <is>
          <t>covered</t>
        </is>
      </c>
      <c r="I27" s="5" t="inlineStr">
        <is>
          <t>Input playground scenario.</t>
        </is>
      </c>
      <c r="J27" s="5" t="inlineStr">
        <is>
          <t>Manual test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tested</t>
        </is>
      </c>
      <c r="H28" s="9" t="inlineStr">
        <is>
          <t>covered</t>
        </is>
      </c>
      <c r="I28" s="5" t="inlineStr">
        <is>
          <t>Input playground scenario.</t>
        </is>
      </c>
      <c r="J28" s="5" t="inlineStr">
        <is>
          <t>Manual test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tested</t>
        </is>
      </c>
      <c r="H29" s="9" t="inlineStr">
        <is>
          <t>covered</t>
        </is>
      </c>
      <c r="I29" s="5" t="inlineStr">
        <is>
          <t>Input playground scenario.</t>
        </is>
      </c>
      <c r="J29" s="5" t="inlineStr">
        <is>
          <t>Manual test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disabled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tested</t>
        </is>
      </c>
      <c r="H30" s="9" t="inlineStr">
        <is>
          <t>covered</t>
        </is>
      </c>
      <c r="I30" s="5" t="inlineStr">
        <is>
          <t>Input playground scenario.</t>
        </is>
      </c>
      <c r="J30" s="5" t="inlineStr">
        <is>
          <t>Manual test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required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tested</t>
        </is>
      </c>
      <c r="H31" s="9" t="inlineStr">
        <is>
          <t>covered</t>
        </is>
      </c>
      <c r="I31" s="5" t="inlineStr">
        <is>
          <t>Input playground scenario.</t>
        </is>
      </c>
      <c r="J31" s="5" t="inlineStr">
        <is>
          <t>Manual test passed.</t>
        </is>
      </c>
      <c r="K31" s="6">
        <f>IF(AND(E31="yes",F31="yes",H31="covered"),1,IF(H31="partial",0.5,0))</f>
        <v/>
      </c>
    </row>
    <row r="32" ht="4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readOnly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tested</t>
        </is>
      </c>
      <c r="H32" s="9" t="inlineStr">
        <is>
          <t>covered</t>
        </is>
      </c>
      <c r="I32" s="5" t="inlineStr">
        <is>
          <t>Input playground scenario.</t>
        </is>
      </c>
      <c r="J32" s="5" t="inlineStr">
        <is>
          <t>Manual test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invalid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tested</t>
        </is>
      </c>
      <c r="H33" s="9" t="inlineStr">
        <is>
          <t>covered</t>
        </is>
      </c>
      <c r="I33" s="5" t="inlineStr">
        <is>
          <t>Input playground scenario.</t>
        </is>
      </c>
      <c r="J33" s="5" t="inlineStr">
        <is>
          <t>Manual test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tested</t>
        </is>
      </c>
      <c r="H34" s="9" t="inlineStr">
        <is>
          <t>covered</t>
        </is>
      </c>
      <c r="I34" s="5" t="inlineStr">
        <is>
          <t>Input form-field playground page exposes this part/prop in Anatomy, Inspector, Source, or toolbar controls.</t>
        </is>
      </c>
      <c r="J34" s="5" t="inlineStr">
        <is>
          <t>Manual test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[data-slot]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tested</t>
        </is>
      </c>
      <c r="H35" s="9" t="inlineStr">
        <is>
          <t>covered</t>
        </is>
      </c>
      <c r="I35" s="5" t="inlineStr">
        <is>
          <t>Input playground scenario.</t>
        </is>
      </c>
      <c r="J35" s="5" t="inlineStr">
        <is>
          <t>Manual test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[data-filled]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tested</t>
        </is>
      </c>
      <c r="H36" s="9" t="inlineStr">
        <is>
          <t>covered</t>
        </is>
      </c>
      <c r="I36" s="5" t="inlineStr">
        <is>
          <t>Input playground scenario.</t>
        </is>
      </c>
      <c r="J36" s="5" t="inlineStr">
        <is>
          <t>Manual test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[data-focused]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tested</t>
        </is>
      </c>
      <c r="H37" s="9" t="inlineStr">
        <is>
          <t>covered</t>
        </is>
      </c>
      <c r="I37" s="5" t="inlineStr">
        <is>
          <t>Input playground scenario.</t>
        </is>
      </c>
      <c r="J37" s="5" t="inlineStr">
        <is>
          <t>Manual test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[data-disabled]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tested</t>
        </is>
      </c>
      <c r="H38" s="9" t="inlineStr">
        <is>
          <t>covered</t>
        </is>
      </c>
      <c r="I38" s="5" t="inlineStr">
        <is>
          <t>Input playground scenario.</t>
        </is>
      </c>
      <c r="J38" s="5" t="inlineStr">
        <is>
          <t>Manual test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[data-required]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tested</t>
        </is>
      </c>
      <c r="H39" s="9" t="inlineStr">
        <is>
          <t>covered</t>
        </is>
      </c>
      <c r="I39" s="5" t="inlineStr">
        <is>
          <t>Input playground scenario.</t>
        </is>
      </c>
      <c r="J39" s="5" t="inlineStr">
        <is>
          <t>Manual test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[data-readonly]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tested</t>
        </is>
      </c>
      <c r="H40" s="9" t="inlineStr">
        <is>
          <t>covered</t>
        </is>
      </c>
      <c r="I40" s="5" t="inlineStr">
        <is>
          <t>Input playground scenario.</t>
        </is>
      </c>
      <c r="J40" s="5" t="inlineStr">
        <is>
          <t>Manual test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[data-invalid]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tested</t>
        </is>
      </c>
      <c r="H41" s="9" t="inlineStr">
        <is>
          <t>covered</t>
        </is>
      </c>
      <c r="I41" s="5" t="inlineStr">
        <is>
          <t>Input playground scenario.</t>
        </is>
      </c>
      <c r="J41" s="5" t="inlineStr">
        <is>
          <t>Manual test passed.</t>
        </is>
      </c>
      <c r="K41" s="6">
        <f>IF(AND(E41="yes",F41="yes",H41="covered"),1,IF(H41="partial",0.5,0))</f>
        <v/>
      </c>
    </row>
    <row r="42" ht="45" customHeight="1" s="60">
      <c r="A42" s="4" t="n">
        <v>34</v>
      </c>
      <c r="B42" s="5" t="inlineStr">
        <is>
          <t>Anatomy</t>
        </is>
      </c>
      <c r="C42" s="5" t="inlineStr">
        <is>
          <t>Clear</t>
        </is>
      </c>
      <c r="D42" s="5" t="inlineStr">
        <is>
          <t>renders correct part when expected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tested</t>
        </is>
      </c>
      <c r="H42" s="9" t="inlineStr">
        <is>
          <t>covered</t>
        </is>
      </c>
      <c r="I42" s="5" t="inlineStr">
        <is>
          <t>Input playground scenario.</t>
        </is>
      </c>
      <c r="J42" s="5" t="inlineStr">
        <is>
          <t>Manual test passed.</t>
        </is>
      </c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Anatomy</t>
        </is>
      </c>
      <c r="C43" s="5" t="inlineStr">
        <is>
          <t>Clear</t>
        </is>
      </c>
      <c r="D43" s="5" t="inlineStr">
        <is>
          <t>appears in documented order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tested</t>
        </is>
      </c>
      <c r="H43" s="9" t="inlineStr">
        <is>
          <t>covered</t>
        </is>
      </c>
      <c r="I43" s="5" t="inlineStr">
        <is>
          <t>Input form-field playground page exposes this part/prop in Anatomy, Inspector, Source, or toolbar controls.</t>
        </is>
      </c>
      <c r="J43" s="5" t="inlineStr">
        <is>
          <t>Manual test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Clear</t>
        </is>
      </c>
      <c r="D44" s="5" t="inlineStr">
        <is>
          <t>default tag is visible in Anatomy/Inspector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tested</t>
        </is>
      </c>
      <c r="H44" s="9" t="inlineStr">
        <is>
          <t>covered</t>
        </is>
      </c>
      <c r="I44" s="5" t="inlineStr">
        <is>
          <t>Input form-field playground page exposes this part/prop in Anatomy, Inspector, Source, or toolbar controls.</t>
        </is>
      </c>
      <c r="J44" s="5" t="inlineStr">
        <is>
          <t>Manual test passed.</t>
        </is>
      </c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Clear</t>
        </is>
      </c>
      <c r="D45" s="5" t="inlineStr">
        <is>
          <t>data-slot is present and correct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tested</t>
        </is>
      </c>
      <c r="H45" s="9" t="inlineStr">
        <is>
          <t>covered</t>
        </is>
      </c>
      <c r="I45" s="5" t="inlineStr">
        <is>
          <t>Input playground scenario.</t>
        </is>
      </c>
      <c r="J45" s="5" t="inlineStr">
        <is>
          <t>Manual test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Props</t>
        </is>
      </c>
      <c r="C46" s="5" t="inlineStr">
        <is>
          <t>Clear</t>
        </is>
      </c>
      <c r="D46" s="5" t="inlineStr">
        <is>
          <t>non-Atom native props pass through with data-prop-check marker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tested</t>
        </is>
      </c>
      <c r="H46" s="9" t="inlineStr">
        <is>
          <t>covered</t>
        </is>
      </c>
      <c r="I46" s="5" t="inlineStr">
        <is>
          <t>Input playground scenario.</t>
        </is>
      </c>
      <c r="J46" s="5" t="inlineStr">
        <is>
          <t>Manual test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Refs</t>
        </is>
      </c>
      <c r="C47" s="5" t="inlineStr">
        <is>
          <t>Clear</t>
        </is>
      </c>
      <c r="D47" s="5" t="inlineStr">
        <is>
          <t>consumer ref receives the rendered element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tested</t>
        </is>
      </c>
      <c r="H47" s="9" t="inlineStr">
        <is>
          <t>covered</t>
        </is>
      </c>
      <c r="I47" s="5" t="inlineStr">
        <is>
          <t>Input playground scenario.</t>
        </is>
      </c>
      <c r="J47" s="5" t="inlineStr">
        <is>
          <t>Manual test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Clear</t>
        </is>
      </c>
      <c r="D48" s="5" t="inlineStr">
        <is>
          <t>onClear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Input playground scenario.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Clear</t>
        </is>
      </c>
      <c r="D49" s="5" t="inlineStr">
        <is>
          <t>asChild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Input playground scenario.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Clear</t>
        </is>
      </c>
      <c r="D50" s="5" t="inlineStr">
        <is>
          <t>render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tested</t>
        </is>
      </c>
      <c r="H50" s="9" t="inlineStr">
        <is>
          <t>covered</t>
        </is>
      </c>
      <c r="I50" s="5" t="inlineStr">
        <is>
          <t>Input playground scenario.</t>
        </is>
      </c>
      <c r="J50" s="5" t="inlineStr">
        <is>
          <t>Manual test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Clear</t>
        </is>
      </c>
      <c r="D51" s="5" t="inlineStr">
        <is>
          <t>[data-slot]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tested</t>
        </is>
      </c>
      <c r="H51" s="9" t="inlineStr">
        <is>
          <t>covered</t>
        </is>
      </c>
      <c r="I51" s="5" t="inlineStr">
        <is>
          <t>Input playground scenario.</t>
        </is>
      </c>
      <c r="J51" s="5" t="inlineStr">
        <is>
          <t>Manual test passed.</t>
        </is>
      </c>
      <c r="K51" s="6">
        <f>IF(AND(E51="yes",F51="yes",H51="covered"),1,IF(H51="partial",0.5,0))</f>
        <v/>
      </c>
    </row>
    <row r="52" ht="45" customHeight="1" s="60">
      <c r="A52" s="4" t="n">
        <v>44</v>
      </c>
      <c r="B52" s="5" t="inlineStr">
        <is>
          <t>State</t>
        </is>
      </c>
      <c r="C52" s="5" t="inlineStr">
        <is>
          <t>Clear</t>
        </is>
      </c>
      <c r="D52" s="5" t="inlineStr">
        <is>
          <t>[data-disabled]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tested</t>
        </is>
      </c>
      <c r="H52" s="9" t="inlineStr">
        <is>
          <t>covered</t>
        </is>
      </c>
      <c r="I52" s="5" t="inlineStr">
        <is>
          <t>Input playground scenario.</t>
        </is>
      </c>
      <c r="J52" s="5" t="inlineStr">
        <is>
          <t>Manual test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Clear</t>
        </is>
      </c>
      <c r="D53" s="5" t="inlineStr">
        <is>
          <t>[data-hidden]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tested</t>
        </is>
      </c>
      <c r="H53" s="9" t="inlineStr">
        <is>
          <t>covered</t>
        </is>
      </c>
      <c r="I53" s="5" t="inlineStr">
        <is>
          <t>Input form-field playground page exposes this part/prop in Anatomy, Inspector, Source, or toolbar controls.</t>
        </is>
      </c>
      <c r="J53" s="5" t="inlineStr">
        <is>
          <t>Manual test passed.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aria-describedby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tested</t>
        </is>
      </c>
      <c r="H54" s="9" t="inlineStr">
        <is>
          <t>covered</t>
        </is>
      </c>
      <c r="I54" s="5" t="inlineStr">
        <is>
          <t>Input playground scenario.</t>
        </is>
      </c>
      <c r="J54" s="5" t="inlineStr">
        <is>
          <t>Manual test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aria-hidden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tested</t>
        </is>
      </c>
      <c r="H55" s="9" t="inlineStr">
        <is>
          <t>covered</t>
        </is>
      </c>
      <c r="I55" s="5" t="inlineStr">
        <is>
          <t>Shared Anatomy/Inspector expose live ARIA/data attributes for Input when the part is rendered.</t>
        </is>
      </c>
      <c r="J55" s="5" t="inlineStr">
        <is>
          <t>Manual test passed.</t>
        </is>
      </c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aria-invalid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tested</t>
        </is>
      </c>
      <c r="H56" s="9" t="inlineStr">
        <is>
          <t>covered</t>
        </is>
      </c>
      <c r="I56" s="5" t="inlineStr">
        <is>
          <t>Input playground scenario.</t>
        </is>
      </c>
      <c r="J56" s="5" t="inlineStr">
        <is>
          <t>Manual test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aria-label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tested</t>
        </is>
      </c>
      <c r="H57" s="9" t="inlineStr">
        <is>
          <t>covered</t>
        </is>
      </c>
      <c r="I57" s="5" t="inlineStr">
        <is>
          <t>Shared Anatomy/Inspector expose live ARIA/data attributes for Input when the part is rendered.</t>
        </is>
      </c>
      <c r="J57" s="5" t="inlineStr">
        <is>
          <t>Manual test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aria-readonly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tested</t>
        </is>
      </c>
      <c r="H58" s="9" t="inlineStr">
        <is>
          <t>covered</t>
        </is>
      </c>
      <c r="I58" s="5" t="inlineStr">
        <is>
          <t>Input playground scenario.</t>
        </is>
      </c>
      <c r="J58" s="5" t="inlineStr">
        <is>
          <t>Manual test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aria-required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tested</t>
        </is>
      </c>
      <c r="H59" s="9" t="inlineStr">
        <is>
          <t>covered</t>
        </is>
      </c>
      <c r="I59" s="5" t="inlineStr">
        <is>
          <t>Input playground scenario.</t>
        </is>
      </c>
      <c r="J59" s="5" t="inlineStr">
        <is>
          <t>Manual test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data-disabled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tested</t>
        </is>
      </c>
      <c r="H60" s="9" t="inlineStr">
        <is>
          <t>covered</t>
        </is>
      </c>
      <c r="I60" s="5" t="inlineStr">
        <is>
          <t>Input playground scenario.</t>
        </is>
      </c>
      <c r="J60" s="5" t="inlineStr">
        <is>
          <t>Manual test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data-filled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tested</t>
        </is>
      </c>
      <c r="H61" s="9" t="inlineStr">
        <is>
          <t>covered</t>
        </is>
      </c>
      <c r="I61" s="5" t="inlineStr">
        <is>
          <t>Input playground scenario.</t>
        </is>
      </c>
      <c r="J61" s="5" t="inlineStr">
        <is>
          <t>Manual test passed.</t>
        </is>
      </c>
      <c r="K61" s="6">
        <f>IF(AND(E61="yes",F61="yes",H61="covered"),1,IF(H61="partial",0.5,0))</f>
        <v/>
      </c>
    </row>
    <row r="62" ht="30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data-focused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tested</t>
        </is>
      </c>
      <c r="H62" s="9" t="inlineStr">
        <is>
          <t>covered</t>
        </is>
      </c>
      <c r="I62" s="5" t="inlineStr">
        <is>
          <t>Input playground scenario.</t>
        </is>
      </c>
      <c r="J62" s="5" t="inlineStr">
        <is>
          <t>Manual test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data-hidden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tested</t>
        </is>
      </c>
      <c r="H63" s="9" t="inlineStr">
        <is>
          <t>covered</t>
        </is>
      </c>
      <c r="I63" s="5" t="inlineStr">
        <is>
          <t>Shared Anatomy/Inspector expose live ARIA/data attributes for Input when the part is rendered.</t>
        </is>
      </c>
      <c r="J63" s="5" t="inlineStr">
        <is>
          <t>Manual test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data-invalid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tested</t>
        </is>
      </c>
      <c r="H64" s="9" t="inlineStr">
        <is>
          <t>covered</t>
        </is>
      </c>
      <c r="I64" s="5" t="inlineStr">
        <is>
          <t>Input playground scenario.</t>
        </is>
      </c>
      <c r="J64" s="5" t="inlineStr">
        <is>
          <t>Manual test passed.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data-readonly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tested</t>
        </is>
      </c>
      <c r="H65" s="9" t="inlineStr">
        <is>
          <t>covered</t>
        </is>
      </c>
      <c r="I65" s="5" t="inlineStr">
        <is>
          <t>Input playground scenario.</t>
        </is>
      </c>
      <c r="J65" s="5" t="inlineStr">
        <is>
          <t>Manual test passed.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data-required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tested</t>
        </is>
      </c>
      <c r="H66" s="9" t="inlineStr">
        <is>
          <t>covered</t>
        </is>
      </c>
      <c r="I66" s="5" t="inlineStr">
        <is>
          <t>Input playground scenario.</t>
        </is>
      </c>
      <c r="J66" s="5" t="inlineStr">
        <is>
          <t>Manual test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data-slot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tested</t>
        </is>
      </c>
      <c r="H67" s="9" t="inlineStr">
        <is>
          <t>covered</t>
        </is>
      </c>
      <c r="I67" s="5" t="inlineStr">
        <is>
          <t>Input playground scenario.</t>
        </is>
      </c>
      <c r="J67" s="5" t="inlineStr">
        <is>
          <t>Manual test passed.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State</t>
        </is>
      </c>
      <c r="C68" s="5" t="inlineStr">
        <is>
          <t>Root</t>
        </is>
      </c>
      <c r="D68" s="5" t="inlineStr">
        <is>
          <t>controlled state path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tested</t>
        </is>
      </c>
      <c r="H68" s="9" t="inlineStr">
        <is>
          <t>covered</t>
        </is>
      </c>
      <c r="I68" s="5" t="inlineStr">
        <is>
          <t>Input playground scenario.</t>
        </is>
      </c>
      <c r="J68" s="5" t="inlineStr">
        <is>
          <t>Manual test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Root</t>
        </is>
      </c>
      <c r="D69" s="5" t="inlineStr">
        <is>
          <t>uncontrolled default state path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tested</t>
        </is>
      </c>
      <c r="H69" s="9" t="inlineStr">
        <is>
          <t>covered</t>
        </is>
      </c>
      <c r="I69" s="5" t="inlineStr">
        <is>
          <t>Input playground scenario.</t>
        </is>
      </c>
      <c r="J69" s="5" t="inlineStr">
        <is>
          <t>Manual test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Root</t>
        </is>
      </c>
      <c r="D70" s="5" t="inlineStr">
        <is>
          <t>state change callback fires once with correct value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tested</t>
        </is>
      </c>
      <c r="H70" s="9" t="inlineStr">
        <is>
          <t>covered</t>
        </is>
      </c>
      <c r="I70" s="5" t="inlineStr">
        <is>
          <t>Input playground scenario.</t>
        </is>
      </c>
      <c r="J70" s="5" t="inlineStr">
        <is>
          <t>Manual test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State</t>
        </is>
      </c>
      <c r="C71" s="5" t="inlineStr">
        <is>
          <t>Input</t>
        </is>
      </c>
      <c r="D71" s="5" t="inlineStr">
        <is>
          <t>disabled state blocks or exposes behavior correctly where supported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tested</t>
        </is>
      </c>
      <c r="H71" s="9" t="inlineStr">
        <is>
          <t>covered</t>
        </is>
      </c>
      <c r="I71" s="5" t="inlineStr">
        <is>
          <t>Input playground scenario.</t>
        </is>
      </c>
      <c r="J71" s="5" t="inlineStr">
        <is>
          <t>Manual test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Input</t>
        </is>
      </c>
      <c r="D72" s="5" t="inlineStr">
        <is>
          <t>readonly/readOnly state blocks or exposes behavior correctly where supported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tested</t>
        </is>
      </c>
      <c r="H72" s="9" t="inlineStr">
        <is>
          <t>covered</t>
        </is>
      </c>
      <c r="I72" s="5" t="inlineStr">
        <is>
          <t>Input playground scenario.</t>
        </is>
      </c>
      <c r="J72" s="5" t="inlineStr">
        <is>
          <t>Manual test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Input</t>
        </is>
      </c>
      <c r="D73" s="5" t="inlineStr">
        <is>
          <t>required state blocks or exposes behavior correctly where supported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tested</t>
        </is>
      </c>
      <c r="H73" s="9" t="inlineStr">
        <is>
          <t>covered</t>
        </is>
      </c>
      <c r="I73" s="5" t="inlineStr">
        <is>
          <t>Input playground scenario.</t>
        </is>
      </c>
      <c r="J73" s="5" t="inlineStr">
        <is>
          <t>Manual test passed.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State</t>
        </is>
      </c>
      <c r="C74" s="5" t="inlineStr">
        <is>
          <t>Input</t>
        </is>
      </c>
      <c r="D74" s="5" t="inlineStr">
        <is>
          <t>invalid state blocks or exposes behavior correctly where supported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tested</t>
        </is>
      </c>
      <c r="H74" s="9" t="inlineStr">
        <is>
          <t>covered</t>
        </is>
      </c>
      <c r="I74" s="5" t="inlineStr">
        <is>
          <t>Input playground scenario.</t>
        </is>
      </c>
      <c r="J74" s="5" t="inlineStr">
        <is>
          <t>Manual test passed.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Forms</t>
        </is>
      </c>
      <c r="C75" s="5" t="inlineStr">
        <is>
          <t>Input</t>
        </is>
      </c>
      <c r="D75" s="5" t="inlineStr">
        <is>
          <t>form value participates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tested</t>
        </is>
      </c>
      <c r="H75" s="9" t="inlineStr">
        <is>
          <t>covered</t>
        </is>
      </c>
      <c r="I75" s="5" t="inlineStr">
        <is>
          <t>Input playground scenario.</t>
        </is>
      </c>
      <c r="J75" s="5" t="inlineStr">
        <is>
          <t>Manual test passed.</t>
        </is>
      </c>
      <c r="K75" s="6">
        <f>IF(AND(E75="yes",F75="yes",H75="covered"),1,IF(H75="partial",0.5,0))</f>
        <v/>
      </c>
    </row>
    <row r="76" ht="30" customHeight="1" s="60"/>
    <row r="77" ht="30" customHeight="1" s="60"/>
    <row r="78" ht="15" customHeight="1" s="60"/>
    <row r="79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3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Label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IFERROR(SUM(K9:K39)/COUNTA(A9:A39),0)</f>
        <v/>
      </c>
      <c r="C4" s="1" t="inlineStr">
        <is>
          <t>Covered</t>
        </is>
      </c>
      <c r="D4" s="2">
        <f>COUNTIF(H9:H39,"covered")</f>
        <v/>
      </c>
      <c r="E4" s="1" t="inlineStr">
        <is>
          <t>Partial</t>
        </is>
      </c>
      <c r="F4" s="2">
        <f>COUNTIF(H9:H39,"partial")</f>
        <v/>
      </c>
      <c r="G4" s="1" t="inlineStr">
        <is>
          <t>Missing</t>
        </is>
      </c>
      <c r="H4" s="2">
        <f>COUNTIF(H9:H39,"missing")</f>
        <v/>
      </c>
      <c r="I4" s="1" t="inlineStr">
        <is>
          <t>Untested</t>
        </is>
      </c>
      <c r="J4" s="2">
        <f>COUNTIF(F9:F39,"no")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Label playground Props menu implemented with conditional data-prop-check and custom data-slot toggles.</t>
        </is>
      </c>
      <c r="J9" s="5" t="n"/>
      <c r="K9" s="6">
        <f>IF(AND(E9="yes",F9="yes",H9="covered"),1,IF(AND(E9="yes",H9="partial"),0.5,0))</f>
        <v/>
      </c>
    </row>
    <row r="10" ht="30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Label playground Props menu implemented with conditional data-prop-check and custom data-slot toggles.</t>
        </is>
      </c>
      <c r="J10" s="5" t="n"/>
      <c r="K10" s="6">
        <f>IF(AND(E10="yes",F10="yes",H10="covered"),1,IF(AND(E10="yes",H10="partial"),0.5,0))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Label</t>
        </is>
      </c>
      <c r="D11" s="5" t="inlineStr">
        <is>
          <t>scenario is reachable from Fields &gt; Label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Fields menu opens the Label playground page.</t>
        </is>
      </c>
      <c r="J11" s="5" t="n"/>
      <c r="K11" s="6">
        <f>IF(AND(E11="yes",F11="yes",H11="covered"),1,IF(AND(E11="yes",H11="partial"),0.5,0))</f>
        <v/>
      </c>
    </row>
    <row r="12" ht="30" customHeight="1" s="60">
      <c r="A12" s="4" t="n">
        <v>4</v>
      </c>
      <c r="B12" s="5" t="inlineStr">
        <is>
          <t>Playground</t>
        </is>
      </c>
      <c r="C12" s="5" t="inlineStr">
        <is>
          <t>Label</t>
        </is>
      </c>
      <c r="D12" s="5" t="inlineStr">
        <is>
          <t>canvas source reflects current toggles without false-prop noise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Source view is generated from the Label scenario state.</t>
        </is>
      </c>
      <c r="J12" s="5" t="n"/>
      <c r="K12" s="6">
        <f>IF(AND(E12="yes",F12="yes",H12="covered"),1,IF(AND(E12="yes",H12="partial"),0.5,0))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Label</t>
        </is>
      </c>
      <c r="D13" s="5" t="inlineStr">
        <is>
          <t>anatomy contains only the real Label Root part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Anatomy shows Root only; helper input remains inspectable in Canvas.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Label</t>
        </is>
      </c>
      <c r="D14" s="5" t="inlineStr">
        <is>
          <t>inspector selected/focused/logs work for the Label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Shared Inspector and log panel are wired to Label canvas elements.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Anatomy</t>
        </is>
      </c>
      <c r="C15" s="5" t="inlineStr">
        <is>
          <t>Root</t>
        </is>
      </c>
      <c r="D15" s="5" t="inlineStr">
        <is>
          <t>renders when expected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Root anatomy uses the live [data-label-root] element.</t>
        </is>
      </c>
      <c r="J15" s="5" t="n"/>
      <c r="K15" s="6">
        <f>IF(AND(E15="yes",F15="yes",H15="covered"),1,IF(AND(E15="yes",H15="partial"),0.5,0))</f>
        <v/>
      </c>
    </row>
    <row r="16" ht="30" customHeight="1" s="60">
      <c r="A16" s="4" t="n">
        <v>8</v>
      </c>
      <c r="B16" s="5" t="inlineStr">
        <is>
          <t>Identity</t>
        </is>
      </c>
      <c r="C16" s="5" t="inlineStr">
        <is>
          <t>Root</t>
        </is>
      </c>
      <c r="D16" s="5" t="inlineStr">
        <is>
          <t>default tag is label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Attributes group exposes the live tag.</t>
        </is>
      </c>
      <c r="J16" s="5" t="n"/>
      <c r="K16" s="6">
        <f>IF(AND(E16="yes",F16="yes",H16="covered"),1,IF(AND(E16="yes",H16="partial"),0.5,0))</f>
        <v/>
      </c>
    </row>
    <row r="17" ht="30" customHeight="1" s="60">
      <c r="A17" s="4" t="n">
        <v>9</v>
      </c>
      <c r="B17" s="5" t="inlineStr">
        <is>
          <t>Identity</t>
        </is>
      </c>
      <c r="C17" s="5" t="inlineStr">
        <is>
          <t>Root</t>
        </is>
      </c>
      <c r="D17" s="5" t="inlineStr">
        <is>
          <t>ref target receives the rendered element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Root anatomy includes Ref target.</t>
        </is>
      </c>
      <c r="J17" s="5" t="n"/>
      <c r="K17" s="6">
        <f>IF(AND(E17="yes",F17="yes",H17="covered"),1,IF(AND(E17="yes",H17="partial"),0.5,0))</f>
        <v/>
      </c>
    </row>
    <row r="18" ht="30" customHeight="1" s="60">
      <c r="A18" s="4" t="n">
        <v>10</v>
      </c>
      <c r="B18" s="5" t="inlineStr">
        <is>
          <t>Content</t>
        </is>
      </c>
      <c r="C18" s="5" t="inlineStr">
        <is>
          <t>Root</t>
        </is>
      </c>
      <c r="D18" s="5" t="inlineStr">
        <is>
          <t>label text remains Email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Root summary and Inspector text expose the live text.</t>
        </is>
      </c>
      <c r="J18" s="5" t="n"/>
      <c r="K18" s="6">
        <f>IF(AND(E18="yes",F18="yes",H18="covered"),1,IF(AND(E18="yes",H18="partial"),0.5,0))</f>
        <v/>
      </c>
    </row>
    <row r="19" ht="30" customHeight="1" s="60">
      <c r="A19" s="4" t="n">
        <v>11</v>
      </c>
      <c r="B19" s="5" t="inlineStr">
        <is>
          <t>Data</t>
        </is>
      </c>
      <c r="C19" s="5" t="inlineStr">
        <is>
          <t>Root</t>
        </is>
      </c>
      <c r="D19" s="5" t="inlineStr">
        <is>
          <t>data-slot is label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Shared Anatomy/Inspector Data group exposes data-slot.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Data</t>
        </is>
      </c>
      <c r="C20" s="5" t="inlineStr">
        <is>
          <t>Root</t>
        </is>
      </c>
      <c r="D20" s="5" t="inlineStr">
        <is>
          <t>data-prop-check marker passes through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Canvas passes data-prop-check="root" to Label.Root.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Native prop</t>
        </is>
      </c>
      <c r="C21" s="5" t="inlineStr">
        <is>
          <t>Root</t>
        </is>
      </c>
      <c r="D21" s="5" t="inlineStr">
        <is>
          <t>htmlFor renders native for attribute when enabled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State menu toggles Use htmlFor; Anatomy/Inspector expose for.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Native prop</t>
        </is>
      </c>
      <c r="C22" s="5" t="inlineStr">
        <is>
          <t>Root</t>
        </is>
      </c>
      <c r="D22" s="5" t="inlineStr">
        <is>
          <t>htmlFor can be removed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Use htmlFor toggle removes the for attribute.</t>
        </is>
      </c>
      <c r="J22" s="5" t="n"/>
      <c r="K22" s="6">
        <f>IF(AND(E22="yes",F22="yes",H22="covered"),1,IF(AND(E22="yes",H22="partial"),0.5,0))</f>
        <v/>
      </c>
    </row>
    <row r="23" ht="30" customHeight="1" s="60">
      <c r="A23" s="4" t="n">
        <v>15</v>
      </c>
      <c r="B23" s="5" t="inlineStr">
        <is>
          <t>Behavior</t>
        </is>
      </c>
      <c r="C23" s="5" t="inlineStr">
        <is>
          <t>Root</t>
        </is>
      </c>
      <c r="D23" s="5" t="inlineStr">
        <is>
          <t>for attribute matches the helper input id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Root anatomy includes Matches input.</t>
        </is>
      </c>
      <c r="J23" s="5" t="n"/>
      <c r="K23" s="6">
        <f>IF(AND(E23="yes",F23="yes",H23="covered"),1,IF(AND(E23="yes",H23="partial"),0.5,0))</f>
        <v/>
      </c>
    </row>
    <row r="24" ht="30" customHeight="1" s="60">
      <c r="A24" s="4" t="n">
        <v>16</v>
      </c>
      <c r="B24" s="5" t="inlineStr">
        <is>
          <t>Behavior</t>
        </is>
      </c>
      <c r="C24" s="5" t="inlineStr">
        <is>
          <t>Root</t>
        </is>
      </c>
      <c r="D24" s="5" t="inlineStr">
        <is>
          <t>clicking the label focuses the associated input when htmlFor is enabled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Label click and input focus are logged.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disabled prop exposes data-disabled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State menu toggles Disabled and live Data exposes data-disabled.</t>
        </is>
      </c>
      <c r="J25" s="5" t="n"/>
      <c r="K25" s="6">
        <f>IF(AND(E25="yes",F25="yes",H25="covered"),1,IF(AND(E25="yes",H25="partial"),0.5,0))</f>
        <v/>
      </c>
    </row>
    <row r="26" ht="30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does not create native disabled on label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Attributes group should not show disabled on the label.</t>
        </is>
      </c>
      <c r="J26" s="5" t="n"/>
      <c r="K26" s="6">
        <f>IF(AND(E26="yes",F26="yes",H26="covered"),1,IF(AND(E26="yes",H26="partial"),0.5,0))</f>
        <v/>
      </c>
    </row>
    <row r="27" ht="30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required prop exposes data-required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State menu toggles Required and live Data exposes data-required.</t>
        </is>
      </c>
      <c r="J27" s="5" t="n"/>
      <c r="K27" s="6">
        <f>IF(AND(E27="yes",F27="yes",H27="covered"),1,IF(AND(E27="yes",H27="partial"),0.5,0))</f>
        <v/>
      </c>
    </row>
    <row r="28" ht="30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does not create native required on label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Attributes group should not show required on the label.</t>
        </is>
      </c>
      <c r="J28" s="5" t="n"/>
      <c r="K28" s="6">
        <f>IF(AND(E28="yes",F28="yes",H28="covered"),1,IF(AND(E28="yes",H28="partial"),0.5,0))</f>
        <v/>
      </c>
    </row>
    <row r="29" ht="30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readOnly prop exposes data-readonly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State menu toggles Read only and live Data exposes data-readonly.</t>
        </is>
      </c>
      <c r="J29" s="5" t="n"/>
      <c r="K29" s="6">
        <f>IF(AND(E29="yes",F29="yes",H29="covered"),1,IF(AND(E29="yes",H29="partial"),0.5,0))</f>
        <v/>
      </c>
    </row>
    <row r="30" ht="30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readOnly does not create native readonly on label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Attributes group should not show readonly on the label.</t>
        </is>
      </c>
      <c r="J30" s="5" t="n"/>
      <c r="K30" s="6">
        <f>IF(AND(E30="yes",F30="yes",H30="covered"),1,IF(AND(E30="yes",H30="partial"),0.5,0))</f>
        <v/>
      </c>
    </row>
    <row r="31" ht="30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invalid prop exposes data-invalid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State menu toggles Invalid and live Data exposes data-invalid.</t>
        </is>
      </c>
      <c r="J31" s="5" t="n"/>
      <c r="K31" s="6">
        <f>IF(AND(E31="yes",F31="yes",H31="covered"),1,IF(AND(E31="yes",H31="partial"),0.5,0))</f>
        <v/>
      </c>
    </row>
    <row r="32" ht="30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invalid does not create aria-invalid on label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ARIA group should stay empty unless a real ARIA prop exists.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Composition</t>
        </is>
      </c>
      <c r="C33" s="5" t="inlineStr">
        <is>
          <t>Root</t>
        </is>
      </c>
      <c r="D33" s="5" t="inlineStr">
        <is>
          <t>default composition renders label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Composition menu Root default renders native label.</t>
        </is>
      </c>
      <c r="J33" s="5" t="n"/>
      <c r="K33" s="6">
        <f>IF(AND(E33="yes",F33="yes",H33="covered"),1,IF(AND(E33="yes",H33="partial"),0.5,0))</f>
        <v/>
      </c>
    </row>
    <row r="34" ht="30" customHeight="1" s="60">
      <c r="A34" s="4" t="n">
        <v>26</v>
      </c>
      <c r="B34" s="5" t="inlineStr">
        <is>
          <t>Composition</t>
        </is>
      </c>
      <c r="C34" s="5" t="inlineStr">
        <is>
          <t>Root</t>
        </is>
      </c>
      <c r="D34" s="5" t="inlineStr">
        <is>
          <t>asChild renders the child span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Composition menu Root asChild renders span and keeps text.</t>
        </is>
      </c>
      <c r="J34" s="5" t="n"/>
      <c r="K34" s="6">
        <f>IF(AND(E34="yes",F34="yes",H34="covered"),1,IF(AND(E34="yes",H34="partial"),0.5,0))</f>
        <v/>
      </c>
    </row>
    <row r="35" ht="30" customHeight="1" s="60">
      <c r="A35" s="4" t="n">
        <v>27</v>
      </c>
      <c r="B35" s="5" t="inlineStr">
        <is>
          <t>Composition</t>
        </is>
      </c>
      <c r="C35" s="5" t="inlineStr">
        <is>
          <t>Root</t>
        </is>
      </c>
      <c r="D35" s="5" t="inlineStr">
        <is>
          <t>asChild merges state and data props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Live Data group should keep data-slot/data-prop-check/state markers.</t>
        </is>
      </c>
      <c r="J35" s="5" t="n"/>
      <c r="K35" s="6">
        <f>IF(AND(E35="yes",F35="yes",H35="covered"),1,IF(AND(E35="yes",H35="partial"),0.5,0))</f>
        <v/>
      </c>
    </row>
    <row r="36" ht="30" customHeight="1" s="60">
      <c r="A36" s="4" t="n">
        <v>28</v>
      </c>
      <c r="B36" s="5" t="inlineStr">
        <is>
          <t>Composition</t>
        </is>
      </c>
      <c r="C36" s="5" t="inlineStr">
        <is>
          <t>Root</t>
        </is>
      </c>
      <c r="D36" s="5" t="inlineStr">
        <is>
          <t>render prop renders a span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Composition menu Root render uses render prop with a span.</t>
        </is>
      </c>
      <c r="J36" s="5" t="n"/>
      <c r="K36" s="6">
        <f>IF(AND(E36="yes",F36="yes",H36="covered"),1,IF(AND(E36="yes",H36="partial"),0.5,0))</f>
        <v/>
      </c>
    </row>
    <row r="37" ht="30" customHeight="1" s="60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render prop preserves ref and behavior props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Root ref and Data groups update under render mode.</t>
        </is>
      </c>
      <c r="J37" s="5" t="n"/>
      <c r="K37" s="6">
        <f>IF(AND(E37="yes",F37="yes",H37="covered"),1,IF(AND(E37="yes",H37="partial"),0.5,0))</f>
        <v/>
      </c>
    </row>
    <row r="38">
      <c r="A38" t="n">
        <v>30</v>
      </c>
      <c r="B38" t="inlineStr">
        <is>
          <t>Integration</t>
        </is>
      </c>
      <c r="C38" t="inlineStr">
        <is>
          <t>Native control</t>
        </is>
      </c>
      <c r="D38" t="inlineStr">
        <is>
          <t>Label.Root associates with a native input using htmlFor</t>
        </is>
      </c>
      <c r="E38" t="inlineStr">
        <is>
          <t>yes</t>
        </is>
      </c>
      <c r="F38" t="inlineStr">
        <is>
          <t>yes</t>
        </is>
      </c>
      <c r="G38" t="inlineStr">
        <is>
          <t>passed</t>
        </is>
      </c>
      <c r="H38" t="inlineStr">
        <is>
          <t>covered</t>
        </is>
      </c>
      <c r="I38" t="inlineStr">
        <is>
          <t>Label Association &gt; Control: Native.</t>
        </is>
      </c>
      <c r="K38">
        <f>IF(AND(E38="yes",F38="yes",H38="covered"),1,IF(AND(E38="yes",H38="partial"),0.5,0))</f>
        <v/>
      </c>
    </row>
    <row r="39">
      <c r="A39" t="n">
        <v>31</v>
      </c>
      <c r="B39" t="inlineStr">
        <is>
          <t>Integration</t>
        </is>
      </c>
      <c r="C39" t="inlineStr">
        <is>
          <t>Atom control</t>
        </is>
      </c>
      <c r="D39" t="inlineStr">
        <is>
          <t>Label.Root associates with Atom Input.Root using htmlFor</t>
        </is>
      </c>
      <c r="E39" t="inlineStr">
        <is>
          <t>yes</t>
        </is>
      </c>
      <c r="F39" t="inlineStr">
        <is>
          <t>yes</t>
        </is>
      </c>
      <c r="G39" t="inlineStr">
        <is>
          <t>passed</t>
        </is>
      </c>
      <c r="H39" t="inlineStr">
        <is>
          <t>covered</t>
        </is>
      </c>
      <c r="I39" t="inlineStr">
        <is>
          <t>Label Association &gt; Control: Atom.</t>
        </is>
      </c>
      <c r="K39">
        <f>IF(AND(E39="yes",F39="yes",H39="covered"),1,IF(AND(E39="yes",H39="partial"),0.5,0))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List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IFERROR(SUM(K9:K50)/COUNTA(A9:A50),0)</f>
        <v/>
      </c>
      <c r="C4" s="1" t="inlineStr">
        <is>
          <t>Covered</t>
        </is>
      </c>
      <c r="D4" s="2">
        <f>COUNTIF(H9:H50,"covered")</f>
        <v/>
      </c>
      <c r="E4" s="1" t="inlineStr">
        <is>
          <t>Partial</t>
        </is>
      </c>
      <c r="F4" s="2">
        <f>COUNTIF(H9:H50,"partial")</f>
        <v/>
      </c>
      <c r="G4" s="1" t="inlineStr">
        <is>
          <t>Missing</t>
        </is>
      </c>
      <c r="H4" s="2">
        <f>COUNTIF(H9:H50,"missing")</f>
        <v/>
      </c>
      <c r="I4" s="1" t="inlineStr">
        <is>
          <t>Untested</t>
        </is>
      </c>
      <c r="J4" s="2">
        <f>COUNTIF(F9:F50,"no")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List props manual verification.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List props manual verification.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List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List playground manual pass.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List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List playground manual pass.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List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List playground manual pass.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List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List playground manual pass.</t>
        </is>
      </c>
      <c r="J14" s="5" t="n"/>
      <c r="K14" s="6">
        <f>IF(AND(E14="yes",F14="yes",H14="covered"),1,IF(AND(E14="yes",H14="partial"),0.5,0))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List</t>
        </is>
      </c>
      <c r="D15" s="5" t="inlineStr">
        <is>
          <t>Renders native `ul`, `ol`, and `li` semantics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List playground manual pass.</t>
        </is>
      </c>
      <c r="J15" s="5" t="n"/>
      <c r="K15" s="6">
        <f>IF(AND(E15="yes",F15="yes",H15="covered"),1,IF(AND(E15="yes",H15="partial"),0.5,0))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List</t>
        </is>
      </c>
      <c r="D16" s="5" t="inlineStr">
        <is>
          <t>Supports ordered and unordered list roots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List playground manual pass.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List</t>
        </is>
      </c>
      <c r="D17" s="5" t="inlineStr">
        <is>
          <t>Supports disabled item metadata through `aria-disabled` and `data-disabled`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List playground manual pass.</t>
        </is>
      </c>
      <c r="J17" s="5" t="n"/>
      <c r="K17" s="6">
        <f>IF(AND(E17="yes",F17="yes",H17="covered"),1,IF(AND(E17="yes",H17="partial"),0.5,0))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List</t>
        </is>
      </c>
      <c r="D18" s="5" t="inlineStr">
        <is>
          <t>Supports `asChild` and `render` composition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List playground manual pass.</t>
        </is>
      </c>
      <c r="J18" s="5" t="n"/>
      <c r="K18" s="6">
        <f>IF(AND(E18="yes",F18="yes",H18="covered"),1,IF(AND(E18="yes",H18="partial"),0.5,0))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List</t>
        </is>
      </c>
      <c r="D19" s="5" t="inlineStr">
        <is>
          <t>Stays server-safe with no client boundary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List playground manual pass.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List playground manual pass.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List playground manual pass.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List playground manual pass.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List playground manual pass.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List playground manual pass.</t>
        </is>
      </c>
      <c r="J24" s="5" t="n"/>
      <c r="K24" s="6">
        <f>IF(AND(E24="yes",F24="yes",H24="covered"),1,IF(AND(E24="yes",H24="partial"),0.5,0))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List playground manual pass.</t>
        </is>
      </c>
      <c r="J25" s="5" t="n"/>
      <c r="K25" s="6">
        <f>IF(AND(E25="yes",F25="yes",H25="covered"),1,IF(AND(E25="yes",H25="partial"),0.5,0))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ordered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List playground manual pass.</t>
        </is>
      </c>
      <c r="J26" s="5" t="n"/>
      <c r="K26" s="6">
        <f>IF(AND(E26="yes",F26="yes",H26="covered"),1,IF(AND(E26="yes",H26="partial"),0.5,0))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asChild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List playground manual pass.</t>
        </is>
      </c>
      <c r="J27" s="5" t="n"/>
      <c r="K27" s="6">
        <f>IF(AND(E27="yes",F27="yes",H27="covered"),1,IF(AND(E27="yes",H27="partial"),0.5,0))</f>
        <v/>
      </c>
    </row>
    <row r="28" ht="15" customHeight="1" s="60">
      <c r="A28" s="4" t="n">
        <v>20</v>
      </c>
      <c r="B28" s="5" t="inlineStr">
        <is>
          <t>Composition</t>
        </is>
      </c>
      <c r="C28" s="5" t="inlineStr">
        <is>
          <t>Root</t>
        </is>
      </c>
      <c r="D28" s="5" t="inlineStr">
        <is>
          <t>render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List playground manual pass.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List playground manual pass.</t>
        </is>
      </c>
      <c r="J29" s="5" t="n"/>
      <c r="K29" s="6">
        <f>IF(AND(E29="yes",F29="yes",H29="covered"),1,IF(AND(E29="yes",H29="partial"),0.5,0))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[data-ordered]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List playground manual pass.</t>
        </is>
      </c>
      <c r="J30" s="5" t="n"/>
      <c r="K30" s="6">
        <f>IF(AND(E30="yes",F30="yes",H30="covered"),1,IF(AND(E30="yes",H30="partial"),0.5,0))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Item</t>
        </is>
      </c>
      <c r="D31" s="5" t="inlineStr">
        <is>
          <t>renders correct part when expected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List playground manual pass.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Item</t>
        </is>
      </c>
      <c r="D32" s="5" t="inlineStr">
        <is>
          <t>appears in documented order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List playground manual pass.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Item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List playground manual pass.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Item</t>
        </is>
      </c>
      <c r="D34" s="5" t="inlineStr">
        <is>
          <t>data-slot is present and correct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List playground manual pass.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Item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List playground manual pass.</t>
        </is>
      </c>
      <c r="J35" s="5" t="n"/>
      <c r="K35" s="6">
        <f>IF(AND(E35="yes",F35="yes",H35="covered"),1,IF(AND(E35="yes",H35="partial"),0.5,0))</f>
        <v/>
      </c>
    </row>
    <row r="36" ht="15" customHeight="1" s="60">
      <c r="A36" s="4" t="n">
        <v>28</v>
      </c>
      <c r="B36" s="5" t="inlineStr">
        <is>
          <t>Refs</t>
        </is>
      </c>
      <c r="C36" s="5" t="inlineStr">
        <is>
          <t>Item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List playground manual pass.</t>
        </is>
      </c>
      <c r="J36" s="5" t="n"/>
      <c r="K36" s="6">
        <f>IF(AND(E36="yes",F36="yes",H36="covered"),1,IF(AND(E36="yes",H36="partial"),0.5,0))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Item</t>
        </is>
      </c>
      <c r="D37" s="5" t="inlineStr">
        <is>
          <t>disabled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List playground manual pass.</t>
        </is>
      </c>
      <c r="J37" s="5" t="n"/>
      <c r="K37" s="6">
        <f>IF(AND(E37="yes",F37="yes",H37="covered"),1,IF(AND(E37="yes",H37="partial"),0.5,0))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Item</t>
        </is>
      </c>
      <c r="D38" s="5" t="inlineStr">
        <is>
          <t>asChild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List playground manual pass.</t>
        </is>
      </c>
      <c r="J38" s="5" t="n"/>
      <c r="K38" s="6">
        <f>IF(AND(E38="yes",F38="yes",H38="covered"),1,IF(AND(E38="yes",H38="partial"),0.5,0))</f>
        <v/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Item</t>
        </is>
      </c>
      <c r="D39" s="5" t="inlineStr">
        <is>
          <t>render prop behavior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List playground manual pass.</t>
        </is>
      </c>
      <c r="J39" s="5" t="n"/>
      <c r="K39" s="6">
        <f>IF(AND(E39="yes",F39="yes",H39="covered"),1,IF(AND(E39="yes",H39="partial"),0.5,0))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Item</t>
        </is>
      </c>
      <c r="D40" s="5" t="inlineStr">
        <is>
          <t>[data-slot] prop behavior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List playground manual pass.</t>
        </is>
      </c>
      <c r="J40" s="5" t="n"/>
      <c r="K40" s="6">
        <f>IF(AND(E40="yes",F40="yes",H40="covered"),1,IF(AND(E40="yes",H40="partial"),0.5,0))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Item</t>
        </is>
      </c>
      <c r="D41" s="5" t="inlineStr">
        <is>
          <t>[data-disabled] prop behavior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List playground manual pass.</t>
        </is>
      </c>
      <c r="J41" s="5" t="n"/>
      <c r="K41" s="6">
        <f>IF(AND(E41="yes",F41="yes",H41="covered"),1,IF(AND(E41="yes",H41="partial"),0.5,0))</f>
        <v/>
      </c>
    </row>
    <row r="42" ht="15" customHeight="1" s="60">
      <c r="A42" s="4" t="n">
        <v>34</v>
      </c>
      <c r="B42" s="5" t="inlineStr">
        <is>
          <t>ARIA</t>
        </is>
      </c>
      <c r="C42" s="5" t="inlineStr">
        <is>
          <t>Live DOM</t>
        </is>
      </c>
      <c r="D42" s="5" t="inlineStr">
        <is>
          <t>aria-disabled is present at the correct time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List playground manual pass.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Data</t>
        </is>
      </c>
      <c r="C43" s="5" t="inlineStr">
        <is>
          <t>Live DOM</t>
        </is>
      </c>
      <c r="D43" s="5" t="inlineStr">
        <is>
          <t>data-disabled is present at the correct time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List playground manual pass.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Data</t>
        </is>
      </c>
      <c r="C44" s="5" t="inlineStr">
        <is>
          <t>Live DOM</t>
        </is>
      </c>
      <c r="D44" s="5" t="inlineStr">
        <is>
          <t>data-ordered is present at the correct time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List playground manual pass.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Data</t>
        </is>
      </c>
      <c r="C45" s="5" t="inlineStr">
        <is>
          <t>Live DOM</t>
        </is>
      </c>
      <c r="D45" s="5" t="inlineStr">
        <is>
          <t>data-slot is present at the correct time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List playground manual pass.</t>
        </is>
      </c>
      <c r="J45" s="5" t="n"/>
      <c r="K45" s="6">
        <f>IF(AND(E45="yes",F45="yes",H45="covered"),1,IF(AND(E45="yes",H45="partial"),0.5,0))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List</t>
        </is>
      </c>
      <c r="D46" s="5" t="inlineStr">
        <is>
          <t>asChild preserves child content without double nesting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List playground manual pass.</t>
        </is>
      </c>
      <c r="J46" s="5" t="n"/>
      <c r="K46" s="6">
        <f>IF(AND(E46="yes",F46="yes",H46="covered"),1,IF(AND(E46="yes",H46="partial"),0.5,0))</f>
        <v/>
      </c>
    </row>
    <row r="47" ht="15" customHeight="1" s="60">
      <c r="A47" s="4" t="n">
        <v>39</v>
      </c>
      <c r="B47" s="5" t="inlineStr">
        <is>
          <t>Composition</t>
        </is>
      </c>
      <c r="C47" s="5" t="inlineStr">
        <is>
          <t>List</t>
        </is>
      </c>
      <c r="D47" s="5" t="inlineStr">
        <is>
          <t>asChild merges Atom props and consumer props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List playground manual pass.</t>
        </is>
      </c>
      <c r="J47" s="5" t="n"/>
      <c r="K47" s="6">
        <f>IF(AND(E47="yes",F47="yes",H47="covered"),1,IF(AND(E47="yes",H47="partial"),0.5,0))</f>
        <v/>
      </c>
    </row>
    <row r="48" ht="15" customHeight="1" s="60">
      <c r="A48" s="4" t="n">
        <v>40</v>
      </c>
      <c r="B48" s="5" t="inlineStr">
        <is>
          <t>Composition</t>
        </is>
      </c>
      <c r="C48" s="5" t="inlineStr">
        <is>
          <t>List</t>
        </is>
      </c>
      <c r="D48" s="5" t="inlineStr">
        <is>
          <t>render prop renders custom element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List playground manual pass.</t>
        </is>
      </c>
      <c r="J48" s="5" t="n"/>
      <c r="K48" s="6">
        <f>IF(AND(E48="yes",F48="yes",H48="covered"),1,IF(AND(E48="yes",H48="partial"),0.5,0))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List</t>
        </is>
      </c>
      <c r="D49" s="5" t="inlineStr">
        <is>
          <t>render prop preserves refs and behavior props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List playground manual pass.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Keyboard</t>
        </is>
      </c>
      <c r="C50" s="5" t="inlineStr">
        <is>
          <t>List</t>
        </is>
      </c>
      <c r="D50" s="5" t="inlineStr">
        <is>
          <t>disabled items are skipped or exposed according to pattern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List playground manual pass.</t>
        </is>
      </c>
      <c r="J50" s="5" t="n"/>
      <c r="K50" s="6">
        <f>IF(AND(E50="yes",F50="yes",H50="covered"),1,IF(AND(E50="yes",H50="partial"),0.5,0))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12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Listbox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Listbox playground scenario.</t>
        </is>
      </c>
      <c r="J9" s="5" t="inlineStr">
        <is>
          <t>Manual verification complete.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Listbox playground scenario.</t>
        </is>
      </c>
      <c r="J10" s="5" t="inlineStr">
        <is>
          <t>Manual verification complete.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Listbox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Listbox playground scenario.</t>
        </is>
      </c>
      <c r="J11" s="5" t="inlineStr">
        <is>
          <t>Manual verification complete.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Listbox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Listbox playground scenario.</t>
        </is>
      </c>
      <c r="J12" s="5" t="inlineStr">
        <is>
          <t>Manual verification complete.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Listbox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Listbox playground scenario.</t>
        </is>
      </c>
      <c r="J13" s="5" t="inlineStr">
        <is>
          <t>Manual verification complete.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Listbox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Listbox playground scenario.</t>
        </is>
      </c>
      <c r="J14" s="5" t="inlineStr">
        <is>
          <t>Manual verification complete.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Listbox</t>
        </is>
      </c>
      <c r="D15" s="5" t="inlineStr">
        <is>
          <t>Implements WAI-ARIA listbox and option roles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Listbox playground scenario.</t>
        </is>
      </c>
      <c r="J15" s="5" t="inlineStr">
        <is>
          <t>Manual verification complete.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Listbox</t>
        </is>
      </c>
      <c r="D16" s="5" t="inlineStr">
        <is>
          <t>Supports single and multiple selection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Listbox playground scenario.</t>
        </is>
      </c>
      <c r="J16" s="5" t="inlineStr">
        <is>
          <t>Manual verification complete.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Listbox</t>
        </is>
      </c>
      <c r="D17" s="5" t="inlineStr">
        <is>
          <t>Supports controlled and uncontrolled values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Listbox playground scenario.</t>
        </is>
      </c>
      <c r="J17" s="5" t="inlineStr">
        <is>
          <t>Manual verification complete.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Listbox</t>
        </is>
      </c>
      <c r="D18" s="5" t="inlineStr">
        <is>
          <t>Supports option groups and labels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Listbox playground scenario.</t>
        </is>
      </c>
      <c r="J18" s="5" t="inlineStr">
        <is>
          <t>Manual verification complete.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Listbox</t>
        </is>
      </c>
      <c r="D19" s="5" t="inlineStr">
        <is>
          <t>Supports roving active option with `aria-activedescendant`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Listbox playground scenario.</t>
        </is>
      </c>
      <c r="J19" s="5" t="inlineStr">
        <is>
          <t>Manual verification complete.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Listbox</t>
        </is>
      </c>
      <c r="D20" s="5" t="inlineStr">
        <is>
          <t>Supports typeahead, Home/End, arrow navigation, disabled options, form submission, and Field context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Listbox playground scenario.</t>
        </is>
      </c>
      <c r="J20" s="5" t="inlineStr">
        <is>
          <t>Manual verification complete.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Listbox playground scenario.</t>
        </is>
      </c>
      <c r="J21" s="5" t="inlineStr">
        <is>
          <t>Manual verification complete.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Listbox playground scenario.</t>
        </is>
      </c>
      <c r="J22" s="5" t="inlineStr">
        <is>
          <t>Manual verification complete.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Listbox playground scenario.</t>
        </is>
      </c>
      <c r="J23" s="5" t="inlineStr">
        <is>
          <t>Manual verification complete.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Listbox playground scenario.</t>
        </is>
      </c>
      <c r="J24" s="5" t="inlineStr">
        <is>
          <t>Manual verification complete.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Listbox playground scenario.</t>
        </is>
      </c>
      <c r="J25" s="5" t="inlineStr">
        <is>
          <t>Manual verification complete.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Listbox playground scenario.</t>
        </is>
      </c>
      <c r="J26" s="5" t="inlineStr">
        <is>
          <t>Manual verification complete.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Listbox playground scenario.</t>
        </is>
      </c>
      <c r="J27" s="5" t="inlineStr">
        <is>
          <t>Manual verification complete.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Listbox playground scenario.</t>
        </is>
      </c>
      <c r="J28" s="5" t="inlineStr">
        <is>
          <t>Manual verification complete.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Listbox playground scenario.</t>
        </is>
      </c>
      <c r="J29" s="5" t="inlineStr">
        <is>
          <t>Manual verification complete.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multiple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Listbox playground scenario.</t>
        </is>
      </c>
      <c r="J30" s="5" t="inlineStr">
        <is>
          <t>Manual verification complete.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Listbox playground scenario.</t>
        </is>
      </c>
      <c r="J31" s="5" t="inlineStr">
        <is>
          <t>Manual verification complete.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readOnly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Listbox playground scenario.</t>
        </is>
      </c>
      <c r="J32" s="5" t="inlineStr">
        <is>
          <t>Manual verification complete.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Listbox playground scenario.</t>
        </is>
      </c>
      <c r="J33" s="5" t="inlineStr">
        <is>
          <t>Manual verification complete.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Listbox playground scenario.</t>
        </is>
      </c>
      <c r="J34" s="5" t="inlineStr">
        <is>
          <t>Manual verification complete.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Listbox playground scenario.</t>
        </is>
      </c>
      <c r="J35" s="5" t="inlineStr">
        <is>
          <t>Manual verification complete.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Listbox playground scenario.</t>
        </is>
      </c>
      <c r="J36" s="5" t="inlineStr">
        <is>
          <t>Manual verification complete.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name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Listbox playground scenario.</t>
        </is>
      </c>
      <c r="J37" s="5" t="inlineStr">
        <is>
          <t>Manual verification complete.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form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Listbox playground scenario.</t>
        </is>
      </c>
      <c r="J38" s="5" t="inlineStr">
        <is>
          <t>Manual verification complete.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asChild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Listbox playground scenario.</t>
        </is>
      </c>
      <c r="J39" s="5" t="inlineStr">
        <is>
          <t>Manual verification complete.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Composition</t>
        </is>
      </c>
      <c r="C40" s="5" t="inlineStr">
        <is>
          <t>Root</t>
        </is>
      </c>
      <c r="D40" s="5" t="inlineStr">
        <is>
          <t>render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Listbox playground scenario.</t>
        </is>
      </c>
      <c r="J40" s="5" t="inlineStr">
        <is>
          <t>Manual verification complete.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Listbox playground scenario.</t>
        </is>
      </c>
      <c r="J41" s="5" t="inlineStr">
        <is>
          <t>Manual verification complete.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[data-orientation]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Listbox playground scenario.</t>
        </is>
      </c>
      <c r="J42" s="5" t="inlineStr">
        <is>
          <t>Manual verification complete.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[data-multiple]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Listbox playground scenario.</t>
        </is>
      </c>
      <c r="J43" s="5" t="inlineStr">
        <is>
          <t>Manual verification complete.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[data-filled]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Listbox playground scenario.</t>
        </is>
      </c>
      <c r="J44" s="5" t="inlineStr">
        <is>
          <t>Manual verification complete.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[data-disabled]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Listbox playground scenario.</t>
        </is>
      </c>
      <c r="J45" s="5" t="inlineStr">
        <is>
          <t>Manual verification complete.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[data-readonly]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Listbox playground scenario.</t>
        </is>
      </c>
      <c r="J46" s="5" t="inlineStr">
        <is>
          <t>Manual verification complete.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[data-invalid]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Listbox playground scenario.</t>
        </is>
      </c>
      <c r="J47" s="5" t="inlineStr">
        <is>
          <t>Manual verification complete.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Group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Listbox playground scenario.</t>
        </is>
      </c>
      <c r="J48" s="5" t="inlineStr">
        <is>
          <t>Manual verification complete.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Group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Listbox playground scenario.</t>
        </is>
      </c>
      <c r="J49" s="5" t="inlineStr">
        <is>
          <t>Manual verification complete.</t>
        </is>
      </c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Identity</t>
        </is>
      </c>
      <c r="C50" s="5" t="inlineStr">
        <is>
          <t>Group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Listbox playground scenario.</t>
        </is>
      </c>
      <c r="J50" s="5" t="inlineStr">
        <is>
          <t>Manual verification complete.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Group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Listbox playground scenario.</t>
        </is>
      </c>
      <c r="J51" s="5" t="inlineStr">
        <is>
          <t>Manual verification complete.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Props</t>
        </is>
      </c>
      <c r="C52" s="5" t="inlineStr">
        <is>
          <t>Group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Listbox playground scenario.</t>
        </is>
      </c>
      <c r="J52" s="5" t="inlineStr">
        <is>
          <t>Manual verification complete.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Refs</t>
        </is>
      </c>
      <c r="C53" s="5" t="inlineStr">
        <is>
          <t>Group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Listbox playground scenario.</t>
        </is>
      </c>
      <c r="J53" s="5" t="inlineStr">
        <is>
          <t>Manual verification complete.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Group</t>
        </is>
      </c>
      <c r="D54" s="5" t="inlineStr">
        <is>
          <t>Group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Listbox playground scenario.</t>
        </is>
      </c>
      <c r="J54" s="5" t="inlineStr">
        <is>
          <t>Manual verification complete.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Group</t>
        </is>
      </c>
      <c r="D55" s="5" t="inlineStr">
        <is>
          <t>Label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Listbox playground scenario.</t>
        </is>
      </c>
      <c r="J55" s="5" t="inlineStr">
        <is>
          <t>Manual verification complete.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Label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Listbox playground scenario.</t>
        </is>
      </c>
      <c r="J56" s="5" t="inlineStr">
        <is>
          <t>Manual verification complete.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Label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Listbox playground scenario.</t>
        </is>
      </c>
      <c r="J57" s="5" t="inlineStr">
        <is>
          <t>Manual verification complete.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Identity</t>
        </is>
      </c>
      <c r="C58" s="5" t="inlineStr">
        <is>
          <t>Label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Listbox playground scenario.</t>
        </is>
      </c>
      <c r="J58" s="5" t="inlineStr">
        <is>
          <t>Manual verification complete.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Label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Listbox playground scenario.</t>
        </is>
      </c>
      <c r="J59" s="5" t="inlineStr">
        <is>
          <t>Manual verification complete.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Label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Listbox playground scenario.</t>
        </is>
      </c>
      <c r="J60" s="5" t="inlineStr">
        <is>
          <t>Manual verification complete.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Refs</t>
        </is>
      </c>
      <c r="C61" s="5" t="inlineStr">
        <is>
          <t>Label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Listbox playground scenario.</t>
        </is>
      </c>
      <c r="J61" s="5" t="inlineStr">
        <is>
          <t>Manual verification complete.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Anatomy</t>
        </is>
      </c>
      <c r="C62" s="5" t="inlineStr">
        <is>
          <t>Option</t>
        </is>
      </c>
      <c r="D62" s="5" t="inlineStr">
        <is>
          <t>renders correct part when expected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Listbox playground scenario.</t>
        </is>
      </c>
      <c r="J62" s="5" t="inlineStr">
        <is>
          <t>Manual verification complete.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Anatomy</t>
        </is>
      </c>
      <c r="C63" s="5" t="inlineStr">
        <is>
          <t>Option</t>
        </is>
      </c>
      <c r="D63" s="5" t="inlineStr">
        <is>
          <t>appears in documented order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Listbox playground scenario.</t>
        </is>
      </c>
      <c r="J63" s="5" t="inlineStr">
        <is>
          <t>Manual verification complete.</t>
        </is>
      </c>
      <c r="K63" s="6">
        <f>IF(AND(E63="yes",F63="yes",H63="covered"),1,IF(H63="partial",0.5,0))</f>
        <v/>
      </c>
    </row>
    <row r="64" ht="30" customHeight="1" s="60">
      <c r="A64" s="4" t="n">
        <v>56</v>
      </c>
      <c r="B64" s="5" t="inlineStr">
        <is>
          <t>Identity</t>
        </is>
      </c>
      <c r="C64" s="5" t="inlineStr">
        <is>
          <t>Option</t>
        </is>
      </c>
      <c r="D64" s="5" t="inlineStr">
        <is>
          <t>default tag is visible in Anatomy/Inspector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Listbox playground scenario.</t>
        </is>
      </c>
      <c r="J64" s="5" t="inlineStr">
        <is>
          <t>Manual verification complete.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Identity</t>
        </is>
      </c>
      <c r="C65" s="5" t="inlineStr">
        <is>
          <t>Option</t>
        </is>
      </c>
      <c r="D65" s="5" t="inlineStr">
        <is>
          <t>data-slot is present and correct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Listbox playground scenario.</t>
        </is>
      </c>
      <c r="J65" s="5" t="inlineStr">
        <is>
          <t>Manual verification complete.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Props</t>
        </is>
      </c>
      <c r="C66" s="5" t="inlineStr">
        <is>
          <t>Option</t>
        </is>
      </c>
      <c r="D66" s="5" t="inlineStr">
        <is>
          <t>non-Atom native props pass through with data-prop-check marker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Listbox playground scenario.</t>
        </is>
      </c>
      <c r="J66" s="5" t="inlineStr">
        <is>
          <t>Manual verification complete.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Refs</t>
        </is>
      </c>
      <c r="C67" s="5" t="inlineStr">
        <is>
          <t>Option</t>
        </is>
      </c>
      <c r="D67" s="5" t="inlineStr">
        <is>
          <t>consumer ref receives the rendered element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Listbox playground scenario.</t>
        </is>
      </c>
      <c r="J67" s="5" t="inlineStr">
        <is>
          <t>Manual verification complete.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Option</t>
        </is>
      </c>
      <c r="D68" s="5" t="inlineStr">
        <is>
          <t>value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Listbox playground scenario.</t>
        </is>
      </c>
      <c r="J68" s="5" t="inlineStr">
        <is>
          <t>Manual verification complete.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Option</t>
        </is>
      </c>
      <c r="D69" s="5" t="inlineStr">
        <is>
          <t>label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Listbox playground scenario.</t>
        </is>
      </c>
      <c r="J69" s="5" t="inlineStr">
        <is>
          <t>Manual verification complete.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Option</t>
        </is>
      </c>
      <c r="D70" s="5" t="inlineStr">
        <is>
          <t>disabled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Listbox playground scenario.</t>
        </is>
      </c>
      <c r="J70" s="5" t="inlineStr">
        <is>
          <t>Manual verification complete.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Composition</t>
        </is>
      </c>
      <c r="C71" s="5" t="inlineStr">
        <is>
          <t>Option</t>
        </is>
      </c>
      <c r="D71" s="5" t="inlineStr">
        <is>
          <t>asChild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Listbox playground scenario.</t>
        </is>
      </c>
      <c r="J71" s="5" t="inlineStr">
        <is>
          <t>Manual verification complete.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Composition</t>
        </is>
      </c>
      <c r="C72" s="5" t="inlineStr">
        <is>
          <t>Option</t>
        </is>
      </c>
      <c r="D72" s="5" t="inlineStr">
        <is>
          <t>render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Listbox playground scenario.</t>
        </is>
      </c>
      <c r="J72" s="5" t="inlineStr">
        <is>
          <t>Manual verification complete.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Option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Listbox playground scenario.</t>
        </is>
      </c>
      <c r="J73" s="5" t="inlineStr">
        <is>
          <t>Manual verification complete.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State</t>
        </is>
      </c>
      <c r="C74" s="5" t="inlineStr">
        <is>
          <t>Option</t>
        </is>
      </c>
      <c r="D74" s="5" t="inlineStr">
        <is>
          <t>[data-value]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Listbox playground scenario.</t>
        </is>
      </c>
      <c r="J74" s="5" t="inlineStr">
        <is>
          <t>Manual verification complete.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Option</t>
        </is>
      </c>
      <c r="D75" s="5" t="inlineStr">
        <is>
          <t>[data-state]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Listbox playground scenario.</t>
        </is>
      </c>
      <c r="J75" s="5" t="inlineStr">
        <is>
          <t>Manual verification complete.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State</t>
        </is>
      </c>
      <c r="C76" s="5" t="inlineStr">
        <is>
          <t>Option</t>
        </is>
      </c>
      <c r="D76" s="5" t="inlineStr">
        <is>
          <t>[data-selected]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Listbox playground scenario.</t>
        </is>
      </c>
      <c r="J76" s="5" t="inlineStr">
        <is>
          <t>Manual verification complete.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Option</t>
        </is>
      </c>
      <c r="D77" s="5" t="inlineStr">
        <is>
          <t>[data-highlighted]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Listbox playground scenario.</t>
        </is>
      </c>
      <c r="J77" s="5" t="inlineStr">
        <is>
          <t>Manual verification complete.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Option</t>
        </is>
      </c>
      <c r="D78" s="5" t="inlineStr">
        <is>
          <t>[data-disabled]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Listbox playground scenario.</t>
        </is>
      </c>
      <c r="J78" s="5" t="inlineStr">
        <is>
          <t>Manual verification complete.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Anatomy</t>
        </is>
      </c>
      <c r="C79" s="5" t="inlineStr">
        <is>
          <t>OptionText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Listbox playground scenario.</t>
        </is>
      </c>
      <c r="J79" s="5" t="inlineStr">
        <is>
          <t>Manual verification complete.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OptionText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Listbox playground scenario.</t>
        </is>
      </c>
      <c r="J80" s="5" t="inlineStr">
        <is>
          <t>Manual verification complete.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OptionText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Listbox playground scenario.</t>
        </is>
      </c>
      <c r="J81" s="5" t="inlineStr">
        <is>
          <t>Manual verification complete.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OptionText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Listbox playground scenario.</t>
        </is>
      </c>
      <c r="J82" s="5" t="inlineStr">
        <is>
          <t>Manual verification complete.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OptionText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Listbox playground scenario.</t>
        </is>
      </c>
      <c r="J83" s="5" t="inlineStr">
        <is>
          <t>Manual verification complete.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OptionText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Listbox playground scenario.</t>
        </is>
      </c>
      <c r="J84" s="5" t="inlineStr">
        <is>
          <t>Manual verification complete.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OptionText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Listbox playground scenario.</t>
        </is>
      </c>
      <c r="J85" s="5" t="inlineStr">
        <is>
          <t>Manual verification complete.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aria-activedescendant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Listbox playground scenario.</t>
        </is>
      </c>
      <c r="J86" s="5" t="inlineStr">
        <is>
          <t>Manual verification complete.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aria-describedby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Listbox playground scenario.</t>
        </is>
      </c>
      <c r="J87" s="5" t="inlineStr">
        <is>
          <t>Manual verification complete.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ARIA</t>
        </is>
      </c>
      <c r="C88" s="5" t="inlineStr">
        <is>
          <t>Live DOM</t>
        </is>
      </c>
      <c r="D88" s="5" t="inlineStr">
        <is>
          <t>aria-disabled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Listbox playground scenario.</t>
        </is>
      </c>
      <c r="J88" s="5" t="inlineStr">
        <is>
          <t>Manual verification complete.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Listbox playground scenario.</t>
        </is>
      </c>
      <c r="J89" s="5" t="inlineStr">
        <is>
          <t>Manual verification complete.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ARIA</t>
        </is>
      </c>
      <c r="C90" s="5" t="inlineStr">
        <is>
          <t>Live DOM</t>
        </is>
      </c>
      <c r="D90" s="5" t="inlineStr">
        <is>
          <t>aria-invalid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Listbox playground scenario.</t>
        </is>
      </c>
      <c r="J90" s="5" t="inlineStr">
        <is>
          <t>Manual verification complete.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ARIA</t>
        </is>
      </c>
      <c r="C91" s="5" t="inlineStr">
        <is>
          <t>Live DOM</t>
        </is>
      </c>
      <c r="D91" s="5" t="inlineStr">
        <is>
          <t>aria-labelledby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Listbox playground scenario.</t>
        </is>
      </c>
      <c r="J91" s="5" t="inlineStr">
        <is>
          <t>Manual verification complete.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ARIA</t>
        </is>
      </c>
      <c r="C92" s="5" t="inlineStr">
        <is>
          <t>Live DOM</t>
        </is>
      </c>
      <c r="D92" s="5" t="inlineStr">
        <is>
          <t>aria-multiselectable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Listbox playground scenario.</t>
        </is>
      </c>
      <c r="J92" s="5" t="inlineStr">
        <is>
          <t>Manual verification complete.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ARIA</t>
        </is>
      </c>
      <c r="C93" s="5" t="inlineStr">
        <is>
          <t>Live DOM</t>
        </is>
      </c>
      <c r="D93" s="5" t="inlineStr">
        <is>
          <t>aria-orientation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Listbox playground scenario.</t>
        </is>
      </c>
      <c r="J93" s="5" t="inlineStr">
        <is>
          <t>Manual verification complete.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ARIA</t>
        </is>
      </c>
      <c r="C94" s="5" t="inlineStr">
        <is>
          <t>Live DOM</t>
        </is>
      </c>
      <c r="D94" s="5" t="inlineStr">
        <is>
          <t>aria-readonly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Listbox playground scenario.</t>
        </is>
      </c>
      <c r="J94" s="5" t="inlineStr">
        <is>
          <t>Manual verification complete.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ARIA</t>
        </is>
      </c>
      <c r="C95" s="5" t="inlineStr">
        <is>
          <t>Live DOM</t>
        </is>
      </c>
      <c r="D95" s="5" t="inlineStr">
        <is>
          <t>aria-required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Listbox playground scenario.</t>
        </is>
      </c>
      <c r="J95" s="5" t="inlineStr">
        <is>
          <t>Manual verification complete.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ARIA</t>
        </is>
      </c>
      <c r="C96" s="5" t="inlineStr">
        <is>
          <t>Live DOM</t>
        </is>
      </c>
      <c r="D96" s="5" t="inlineStr">
        <is>
          <t>aria-selected is present at the correct time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Listbox playground scenario.</t>
        </is>
      </c>
      <c r="J96" s="5" t="inlineStr">
        <is>
          <t>Manual verification complete.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Data</t>
        </is>
      </c>
      <c r="C97" s="5" t="inlineStr">
        <is>
          <t>Live DOM</t>
        </is>
      </c>
      <c r="D97" s="5" t="inlineStr">
        <is>
          <t>data-disabled is present at the correct time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Listbox playground scenario.</t>
        </is>
      </c>
      <c r="J97" s="5" t="inlineStr">
        <is>
          <t>Manual verification complete.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Data</t>
        </is>
      </c>
      <c r="C98" s="5" t="inlineStr">
        <is>
          <t>Live DOM</t>
        </is>
      </c>
      <c r="D98" s="5" t="inlineStr">
        <is>
          <t>data-filled is present at the correct time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Listbox playground scenario.</t>
        </is>
      </c>
      <c r="J98" s="5" t="inlineStr">
        <is>
          <t>Manual verification complete.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Data</t>
        </is>
      </c>
      <c r="C99" s="5" t="inlineStr">
        <is>
          <t>Live DOM</t>
        </is>
      </c>
      <c r="D99" s="5" t="inlineStr">
        <is>
          <t>data-highlighted is present at the correct time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Listbox playground scenario.</t>
        </is>
      </c>
      <c r="J99" s="5" t="inlineStr">
        <is>
          <t>Manual verification complete.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Data</t>
        </is>
      </c>
      <c r="C100" s="5" t="inlineStr">
        <is>
          <t>Live DOM</t>
        </is>
      </c>
      <c r="D100" s="5" t="inlineStr">
        <is>
          <t>data-invalid is present at the correct time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Listbox playground scenario.</t>
        </is>
      </c>
      <c r="J100" s="5" t="inlineStr">
        <is>
          <t>Manual verification complete.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Data</t>
        </is>
      </c>
      <c r="C101" s="5" t="inlineStr">
        <is>
          <t>Live DOM</t>
        </is>
      </c>
      <c r="D101" s="5" t="inlineStr">
        <is>
          <t>data-multiple is present at the correct time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Listbox playground scenario.</t>
        </is>
      </c>
      <c r="J101" s="5" t="inlineStr">
        <is>
          <t>Manual verification complete.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Data</t>
        </is>
      </c>
      <c r="C102" s="5" t="inlineStr">
        <is>
          <t>Live DOM</t>
        </is>
      </c>
      <c r="D102" s="5" t="inlineStr">
        <is>
          <t>data-readonly is present at the correct time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Listbox playground scenario.</t>
        </is>
      </c>
      <c r="J102" s="5" t="inlineStr">
        <is>
          <t>Manual verification complete.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Data</t>
        </is>
      </c>
      <c r="C103" s="5" t="inlineStr">
        <is>
          <t>Live DOM</t>
        </is>
      </c>
      <c r="D103" s="5" t="inlineStr">
        <is>
          <t>data-selected is present at the correct time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Listbox playground scenario.</t>
        </is>
      </c>
      <c r="J103" s="5" t="inlineStr">
        <is>
          <t>Manual verification complete.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Data</t>
        </is>
      </c>
      <c r="C104" s="5" t="inlineStr">
        <is>
          <t>Live DOM</t>
        </is>
      </c>
      <c r="D104" s="5" t="inlineStr">
        <is>
          <t>data-slot is present at the correct time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Listbox playground scenario.</t>
        </is>
      </c>
      <c r="J104" s="5" t="inlineStr">
        <is>
          <t>Manual verification complete.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Data</t>
        </is>
      </c>
      <c r="C105" s="5" t="inlineStr">
        <is>
          <t>Live DOM</t>
        </is>
      </c>
      <c r="D105" s="5" t="inlineStr">
        <is>
          <t>data-state is present at the correct time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Listbox playground scenario.</t>
        </is>
      </c>
      <c r="J105" s="5" t="inlineStr">
        <is>
          <t>Manual verification complete.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Data</t>
        </is>
      </c>
      <c r="C106" s="5" t="inlineStr">
        <is>
          <t>Live DOM</t>
        </is>
      </c>
      <c r="D106" s="5" t="inlineStr">
        <is>
          <t>data-value is present at the correct time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Listbox playground scenario.</t>
        </is>
      </c>
      <c r="J106" s="5" t="inlineStr">
        <is>
          <t>Manual verification complete.</t>
        </is>
      </c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Composition</t>
        </is>
      </c>
      <c r="C107" s="5" t="inlineStr">
        <is>
          <t>Listbox</t>
        </is>
      </c>
      <c r="D107" s="5" t="inlineStr">
        <is>
          <t>asChild preserves child content without double nesting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Listbox playground scenario.</t>
        </is>
      </c>
      <c r="J107" s="5" t="inlineStr">
        <is>
          <t>Manual verification complete.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Composition</t>
        </is>
      </c>
      <c r="C108" s="5" t="inlineStr">
        <is>
          <t>Listbox</t>
        </is>
      </c>
      <c r="D108" s="5" t="inlineStr">
        <is>
          <t>asChild merges Atom props and consumer props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Listbox playground scenario.</t>
        </is>
      </c>
      <c r="J108" s="5" t="inlineStr">
        <is>
          <t>Manual verification complete.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Composition</t>
        </is>
      </c>
      <c r="C109" s="5" t="inlineStr">
        <is>
          <t>Listbox</t>
        </is>
      </c>
      <c r="D109" s="5" t="inlineStr">
        <is>
          <t>asChild lets preventDefault block Atom behavior where supported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Listbox playground scenario.</t>
        </is>
      </c>
      <c r="J109" s="5" t="inlineStr">
        <is>
          <t>Manual verification complete.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Composition</t>
        </is>
      </c>
      <c r="C110" s="5" t="inlineStr">
        <is>
          <t>Listbox</t>
        </is>
      </c>
      <c r="D110" s="5" t="inlineStr">
        <is>
          <t>render prop renders custom element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Listbox playground scenario.</t>
        </is>
      </c>
      <c r="J110" s="5" t="inlineStr">
        <is>
          <t>Manual verification complete.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Composition</t>
        </is>
      </c>
      <c r="C111" s="5" t="inlineStr">
        <is>
          <t>Listbox</t>
        </is>
      </c>
      <c r="D111" s="5" t="inlineStr">
        <is>
          <t>render prop preserves refs and behavior props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Listbox playground scenario.</t>
        </is>
      </c>
      <c r="J111" s="5" t="inlineStr">
        <is>
          <t>Manual verification complete.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State</t>
        </is>
      </c>
      <c r="C112" s="5" t="inlineStr">
        <is>
          <t>Root</t>
        </is>
      </c>
      <c r="D112" s="5" t="inlineStr">
        <is>
          <t>controlled state path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Listbox playground scenario.</t>
        </is>
      </c>
      <c r="J112" s="5" t="inlineStr">
        <is>
          <t>Manual verification complete.</t>
        </is>
      </c>
      <c r="K112" s="6">
        <f>IF(AND(E112="yes",F112="yes",H112="covered"),1,IF(H112="partial",0.5,0))</f>
        <v/>
      </c>
    </row>
    <row r="113" ht="30" customHeight="1" s="60">
      <c r="A113" s="4" t="n">
        <v>105</v>
      </c>
      <c r="B113" s="5" t="inlineStr">
        <is>
          <t>State</t>
        </is>
      </c>
      <c r="C113" s="5" t="inlineStr">
        <is>
          <t>Root</t>
        </is>
      </c>
      <c r="D113" s="5" t="inlineStr">
        <is>
          <t>uncontrolled default state path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Listbox playground scenario.</t>
        </is>
      </c>
      <c r="J113" s="5" t="inlineStr">
        <is>
          <t>Manual verification complete.</t>
        </is>
      </c>
      <c r="K113" s="6">
        <f>IF(AND(E113="yes",F113="yes",H113="covered"),1,IF(H113="partial",0.5,0))</f>
        <v/>
      </c>
    </row>
    <row r="114" ht="30" customHeight="1" s="60">
      <c r="A114" s="4" t="n">
        <v>106</v>
      </c>
      <c r="B114" s="5" t="inlineStr">
        <is>
          <t>State</t>
        </is>
      </c>
      <c r="C114" s="5" t="inlineStr">
        <is>
          <t>Root</t>
        </is>
      </c>
      <c r="D114" s="5" t="inlineStr">
        <is>
          <t>state change callback fires once with correct value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Listbox playground scenario.</t>
        </is>
      </c>
      <c r="J114" s="5" t="inlineStr">
        <is>
          <t>Manual verification complete.</t>
        </is>
      </c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State</t>
        </is>
      </c>
      <c r="C115" s="5" t="inlineStr">
        <is>
          <t>Listbox</t>
        </is>
      </c>
      <c r="D115" s="5" t="inlineStr">
        <is>
          <t>disabled state blocks or exposes behavior correctly where supported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Listbox playground scenario.</t>
        </is>
      </c>
      <c r="J115" s="5" t="inlineStr">
        <is>
          <t>Manual verification complete.</t>
        </is>
      </c>
      <c r="K115" s="6">
        <f>IF(AND(E115="yes",F115="yes",H115="covered"),1,IF(H115="partial",0.5,0))</f>
        <v/>
      </c>
    </row>
    <row r="116" ht="30" customHeight="1" s="60">
      <c r="A116" s="4" t="n">
        <v>108</v>
      </c>
      <c r="B116" s="5" t="inlineStr">
        <is>
          <t>State</t>
        </is>
      </c>
      <c r="C116" s="5" t="inlineStr">
        <is>
          <t>Listbox</t>
        </is>
      </c>
      <c r="D116" s="5" t="inlineStr">
        <is>
          <t>readonly/readOnly state blocks or exposes behavior correctly where supported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Listbox playground scenario.</t>
        </is>
      </c>
      <c r="J116" s="5" t="inlineStr">
        <is>
          <t>Manual verification complete.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State</t>
        </is>
      </c>
      <c r="C117" s="5" t="inlineStr">
        <is>
          <t>Listbox</t>
        </is>
      </c>
      <c r="D117" s="5" t="inlineStr">
        <is>
          <t>required state blocks or exposes behavior correctly where supported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Listbox playground scenario.</t>
        </is>
      </c>
      <c r="J117" s="5" t="inlineStr">
        <is>
          <t>Manual verification complete.</t>
        </is>
      </c>
      <c r="K117" s="6">
        <f>IF(AND(E117="yes",F117="yes",H117="covered"),1,IF(H117="partial",0.5,0))</f>
        <v/>
      </c>
    </row>
    <row r="118" ht="30" customHeight="1" s="60">
      <c r="A118" s="4" t="n">
        <v>110</v>
      </c>
      <c r="B118" s="5" t="inlineStr">
        <is>
          <t>State</t>
        </is>
      </c>
      <c r="C118" s="5" t="inlineStr">
        <is>
          <t>Listbox</t>
        </is>
      </c>
      <c r="D118" s="5" t="inlineStr">
        <is>
          <t>invalid state blocks or exposes behavior correctly where supported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Listbox playground scenario.</t>
        </is>
      </c>
      <c r="J118" s="5" t="inlineStr">
        <is>
          <t>Manual verification complete.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Forms</t>
        </is>
      </c>
      <c r="C119" s="5" t="inlineStr">
        <is>
          <t>Listbox</t>
        </is>
      </c>
      <c r="D119" s="5" t="inlineStr">
        <is>
          <t>form value participates correctly where supported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Listbox playground scenario.</t>
        </is>
      </c>
      <c r="J119" s="5" t="inlineStr">
        <is>
          <t>Manual verification complete.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Forms</t>
        </is>
      </c>
      <c r="C120" s="5" t="inlineStr">
        <is>
          <t>Listbox</t>
        </is>
      </c>
      <c r="D120" s="5" t="inlineStr">
        <is>
          <t>hidden input mirrors value/checked/disabled where supported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Listbox playground scenario.</t>
        </is>
      </c>
      <c r="J120" s="5" t="inlineStr">
        <is>
          <t>Manual verification complete.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Keyboard</t>
        </is>
      </c>
      <c r="C121" s="5" t="inlineStr">
        <is>
          <t>Listbox</t>
        </is>
      </c>
      <c r="D121" s="5" t="inlineStr">
        <is>
          <t>Arrow key navigation follows documented orientation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Listbox playground scenario.</t>
        </is>
      </c>
      <c r="J121" s="5" t="inlineStr">
        <is>
          <t>Manual verification complete.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Keyboard</t>
        </is>
      </c>
      <c r="C122" s="5" t="inlineStr">
        <is>
          <t>Listbox</t>
        </is>
      </c>
      <c r="D122" s="5" t="inlineStr">
        <is>
          <t>Home and End navigation where supported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Listbox playground scenario.</t>
        </is>
      </c>
      <c r="J122" s="5" t="inlineStr">
        <is>
          <t>Manual verification complete.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Keyboard</t>
        </is>
      </c>
      <c r="C123" s="5" t="inlineStr">
        <is>
          <t>Listbox</t>
        </is>
      </c>
      <c r="D123" s="5" t="inlineStr">
        <is>
          <t>disabled items are skipped or exposed according to pattern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Listbox playground scenario.</t>
        </is>
      </c>
      <c r="J123" s="5" t="inlineStr">
        <is>
          <t>Manual verification complete.</t>
        </is>
      </c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Keyboard</t>
        </is>
      </c>
      <c r="C124" s="5" t="inlineStr">
        <is>
          <t>Listbox</t>
        </is>
      </c>
      <c r="D124" s="5" t="inlineStr">
        <is>
          <t>typeahead/search behavior where supported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Listbox playground scenario.</t>
        </is>
      </c>
      <c r="J124" s="5" t="inlineStr">
        <is>
          <t>Manual verification complete.</t>
        </is>
      </c>
      <c r="K124" s="6">
        <f>IF(AND(E124="yes",F124="yes",H124="covered"),1,IF(H124="partial",0.5,0))</f>
        <v/>
      </c>
    </row>
    <row r="125" ht="30" customHeight="1" s="60">
      <c r="A125" s="4" t="n">
        <v>117</v>
      </c>
      <c r="B125" s="5" t="inlineStr">
        <is>
          <t>Focus</t>
        </is>
      </c>
      <c r="C125" s="5" t="inlineStr">
        <is>
          <t>Listbox</t>
        </is>
      </c>
      <c r="D125" s="5" t="inlineStr">
        <is>
          <t>roving focus or active descendant state is visible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Listbox playground scenario.</t>
        </is>
      </c>
      <c r="J125" s="5" t="inlineStr">
        <is>
          <t>Manual verification complete.</t>
        </is>
      </c>
      <c r="K125" s="6">
        <f>IF(AND(E125="yes",F125="yes",H125="covered"),1,IF(H125="partial",0.5,0))</f>
        <v/>
      </c>
    </row>
    <row r="126" ht="30" customHeight="1" s="60">
      <c r="A126" s="4" t="n">
        <v>118</v>
      </c>
      <c r="B126" s="5" t="inlineStr">
        <is>
          <t>Direction</t>
        </is>
      </c>
      <c r="C126" s="5" t="inlineStr">
        <is>
          <t>Root</t>
        </is>
      </c>
      <c r="D126" s="5" t="inlineStr">
        <is>
          <t>reads Direction.Provider context for horizontal keyboard navigation</t>
        </is>
      </c>
      <c r="E126" s="10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10" t="inlineStr">
        <is>
          <t>covered</t>
        </is>
      </c>
      <c r="I126" s="5" t="n"/>
      <c r="J126" s="5" t="inlineStr">
        <is>
          <t>Manual verification complete.</t>
        </is>
      </c>
      <c r="K126" s="6">
        <f>IF(AND(E126="yes",F126="yes",H126="covered"),1,IF(H126="partial",0.5,0))</f>
        <v/>
      </c>
    </row>
    <row r="127" ht="30" customHeight="1" s="60">
      <c r="A127" s="4" t="n">
        <v>119</v>
      </c>
      <c r="B127" s="5" t="inlineStr">
        <is>
          <t>Direction</t>
        </is>
      </c>
      <c r="C127" s="5" t="inlineStr">
        <is>
          <t>Root</t>
        </is>
      </c>
      <c r="D127" s="5" t="inlineStr">
        <is>
          <t>RTL mirrors horizontal ArrowLeft and ArrowRight navigation</t>
        </is>
      </c>
      <c r="E127" s="10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10" t="inlineStr">
        <is>
          <t>covered</t>
        </is>
      </c>
      <c r="I127" s="5" t="n"/>
      <c r="J127" s="5" t="inlineStr">
        <is>
          <t>Manual verification complete.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Playground</t>
        </is>
      </c>
      <c r="C128" s="5" t="inlineStr">
        <is>
          <t>Direction controls</t>
        </is>
      </c>
      <c r="D128" s="5" t="inlineStr">
        <is>
          <t>scenario exposes provider direction controls</t>
        </is>
      </c>
      <c r="E128" s="10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10" t="inlineStr">
        <is>
          <t>covered</t>
        </is>
      </c>
      <c r="I128" s="5" t="n"/>
      <c r="J128" s="5" t="inlineStr">
        <is>
          <t>Manual verification complete.</t>
        </is>
      </c>
      <c r="K128" s="6">
        <f>IF(AND(E128="yes",F128="yes",H128="covered"),1,IF(H128="partial",0.5,0))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18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30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Menu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30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Menu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30" customHeight="1" s="60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open prop controls menu visibility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Menu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0" customHeight="1" s="60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defaultOpen initializes uncontrolled open state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Menu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30" customHeight="1" s="60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onOpenChange fires on open and close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Menu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0" customHeight="1" s="60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modal true locks scroll while open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Menu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0" customHeight="1" s="60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modal false skips scroll lock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Menu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30" customHeight="1" s="60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closeOnSelect true closes action items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Menu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0" customHeight="1" s="60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closeOnSelect false keeps selection menu open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Menu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0" customHeight="1" s="60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loop true wraps keyboard highlight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Menu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30" customHeight="1" s="60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loop false stops at first and last item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Menu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30" customHeight="1" s="60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closeOnEscape true closes menu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Menu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30" customHeight="1" s="60">
      <c r="A21" s="37" t="n">
        <v>13</v>
      </c>
      <c r="B21" s="38" t="inlineStr">
        <is>
          <t>Public API</t>
        </is>
      </c>
      <c r="C21" s="38" t="inlineStr">
        <is>
          <t>Root</t>
        </is>
      </c>
      <c r="D21" s="38" t="inlineStr">
        <is>
          <t>closeOnEscape false leaves menu open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Menu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0" customHeight="1" s="60">
      <c r="A22" s="37" t="n">
        <v>14</v>
      </c>
      <c r="B22" s="38" t="inlineStr">
        <is>
          <t>Public API</t>
        </is>
      </c>
      <c r="C22" s="38" t="inlineStr">
        <is>
          <t>Root</t>
        </is>
      </c>
      <c r="D22" s="38" t="inlineStr">
        <is>
          <t>nested submenu disables parent Escape close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Menu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60">
      <c r="A23" s="37" t="n">
        <v>15</v>
      </c>
      <c r="B23" s="38" t="inlineStr">
        <is>
          <t>Public API</t>
        </is>
      </c>
      <c r="C23" s="38" t="inlineStr">
        <is>
          <t>Content</t>
        </is>
      </c>
      <c r="D23" s="38" t="inlineStr">
        <is>
          <t>renders only while open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Menu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30" customHeight="1" s="60">
      <c r="A24" s="37" t="n">
        <v>16</v>
      </c>
      <c r="B24" s="38" t="inlineStr">
        <is>
          <t>Public API</t>
        </is>
      </c>
      <c r="C24" s="38" t="inlineStr">
        <is>
          <t>Content</t>
        </is>
      </c>
      <c r="D24" s="38" t="inlineStr">
        <is>
          <t>role is menu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Menu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45" customHeight="1" s="60">
      <c r="A25" s="37" t="n">
        <v>17</v>
      </c>
      <c r="B25" s="38" t="inlineStr">
        <is>
          <t>Public API</t>
        </is>
      </c>
      <c r="C25" s="38" t="inlineStr">
        <is>
          <t>Content</t>
        </is>
      </c>
      <c r="D25" s="38" t="inlineStr">
        <is>
          <t>aria-orientation is vertical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Menu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30" customHeight="1" s="60">
      <c r="A26" s="37" t="n">
        <v>18</v>
      </c>
      <c r="B26" s="38" t="inlineStr">
        <is>
          <t>Public API</t>
        </is>
      </c>
      <c r="C26" s="38" t="inlineStr">
        <is>
          <t>Content</t>
        </is>
      </c>
      <c r="D26" s="38" t="inlineStr">
        <is>
          <t>aria-label prop names menu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Menu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30" customHeight="1" s="60">
      <c r="A27" s="37" t="n">
        <v>19</v>
      </c>
      <c r="B27" s="38" t="inlineStr">
        <is>
          <t>Public API</t>
        </is>
      </c>
      <c r="C27" s="38" t="inlineStr">
        <is>
          <t>Content</t>
        </is>
      </c>
      <c r="D27" s="38" t="inlineStr">
        <is>
          <t>aria-labelledby references trigger when ariaLabel is absent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Menu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30" customHeight="1" s="60">
      <c r="A28" s="37" t="n">
        <v>20</v>
      </c>
      <c r="B28" s="38" t="inlineStr">
        <is>
          <t>Public API</t>
        </is>
      </c>
      <c r="C28" s="38" t="inlineStr">
        <is>
          <t>Content</t>
        </is>
      </c>
      <c r="D28" s="38" t="inlineStr">
        <is>
          <t>tabindex attr is -1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Menu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30" customHeight="1" s="60">
      <c r="A29" s="37" t="n">
        <v>21</v>
      </c>
      <c r="B29" s="38" t="inlineStr">
        <is>
          <t>Public API</t>
        </is>
      </c>
      <c r="C29" s="38" t="inlineStr">
        <is>
          <t>Content</t>
        </is>
      </c>
      <c r="D29" s="38" t="inlineStr">
        <is>
          <t>data-slot is menu-content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Menu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30" customHeight="1" s="60">
      <c r="A30" s="37" t="n">
        <v>22</v>
      </c>
      <c r="B30" s="38" t="inlineStr">
        <is>
          <t>Public API</t>
        </is>
      </c>
      <c r="C30" s="38" t="inlineStr">
        <is>
          <t>Content</t>
        </is>
      </c>
      <c r="D30" s="38" t="inlineStr">
        <is>
          <t>data-state is open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Menu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0" customHeight="1" s="60">
      <c r="A31" s="37" t="n">
        <v>23</v>
      </c>
      <c r="B31" s="38" t="inlineStr">
        <is>
          <t>Public API</t>
        </is>
      </c>
      <c r="C31" s="38" t="inlineStr">
        <is>
          <t>Content</t>
        </is>
      </c>
      <c r="D31" s="38" t="inlineStr">
        <is>
          <t>data-side reflects final placement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Menu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0" customHeight="1" s="60">
      <c r="A32" s="37" t="n">
        <v>24</v>
      </c>
      <c r="B32" s="38" t="inlineStr">
        <is>
          <t>Public API</t>
        </is>
      </c>
      <c r="C32" s="38" t="inlineStr">
        <is>
          <t>Content</t>
        </is>
      </c>
      <c r="D32" s="38" t="inlineStr">
        <is>
          <t>data-align reflects final placement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Menu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30" customHeight="1" s="60">
      <c r="A33" s="37" t="n">
        <v>25</v>
      </c>
      <c r="B33" s="38" t="inlineStr">
        <is>
          <t>Public API</t>
        </is>
      </c>
      <c r="C33" s="38" t="inlineStr">
        <is>
          <t>Content</t>
        </is>
      </c>
      <c r="D33" s="38" t="inlineStr">
        <is>
          <t>data-positioned appears after positioning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Menu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45" customHeight="1" s="60">
      <c r="A34" s="37" t="n">
        <v>26</v>
      </c>
      <c r="B34" s="38" t="inlineStr">
        <is>
          <t>Public API</t>
        </is>
      </c>
      <c r="C34" s="38" t="inlineStr">
        <is>
          <t>Content</t>
        </is>
      </c>
      <c r="D34" s="38" t="inlineStr">
        <is>
          <t>side prop changes placement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Menu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45" customHeight="1" s="60">
      <c r="A35" s="37" t="n">
        <v>27</v>
      </c>
      <c r="B35" s="38" t="inlineStr">
        <is>
          <t>Public API</t>
        </is>
      </c>
      <c r="C35" s="38" t="inlineStr">
        <is>
          <t>Content</t>
        </is>
      </c>
      <c r="D35" s="38" t="inlineStr">
        <is>
          <t>align prop changes placement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Menu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30" customHeight="1" s="60">
      <c r="A36" s="37" t="n">
        <v>28</v>
      </c>
      <c r="B36" s="38" t="inlineStr">
        <is>
          <t>Public API</t>
        </is>
      </c>
      <c r="C36" s="38" t="inlineStr">
        <is>
          <t>Content</t>
        </is>
      </c>
      <c r="D36" s="38" t="inlineStr">
        <is>
          <t>sideOffset changes menu distance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Menu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45" customHeight="1" s="60">
      <c r="A37" s="37" t="n">
        <v>29</v>
      </c>
      <c r="B37" s="38" t="inlineStr">
        <is>
          <t>Public API</t>
        </is>
      </c>
      <c r="C37" s="38" t="inlineStr">
        <is>
          <t>Content</t>
        </is>
      </c>
      <c r="D37" s="38" t="inlineStr">
        <is>
          <t>loop prop overrides root loop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Menu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30" customHeight="1" s="60">
      <c r="A38" s="37" t="n">
        <v>30</v>
      </c>
      <c r="B38" s="38" t="inlineStr">
        <is>
          <t>Public API</t>
        </is>
      </c>
      <c r="C38" s="38" t="inlineStr">
        <is>
          <t>Content</t>
        </is>
      </c>
      <c r="D38" s="38" t="inlineStr">
        <is>
          <t>anchorPoint positions from pointer coordinates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Menu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30" customHeight="1" s="60">
      <c r="A39" s="37" t="n">
        <v>31</v>
      </c>
      <c r="B39" s="38" t="inlineStr">
        <is>
          <t>Public API</t>
        </is>
      </c>
      <c r="C39" s="38" t="inlineStr">
        <is>
          <t>Content</t>
        </is>
      </c>
      <c r="D39" s="38" t="inlineStr">
        <is>
          <t>native className and data props pass through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Menu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30" customHeight="1" s="60">
      <c r="A40" s="37" t="n">
        <v>32</v>
      </c>
      <c r="B40" s="38" t="inlineStr">
        <is>
          <t>Public API</t>
        </is>
      </c>
      <c r="C40" s="38" t="inlineStr">
        <is>
          <t>Content</t>
        </is>
      </c>
      <c r="D40" s="38" t="inlineStr">
        <is>
          <t>onKeyDownCapture can block Atom key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Menu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0" customHeight="1" s="60">
      <c r="A41" s="37" t="n">
        <v>33</v>
      </c>
      <c r="B41" s="38" t="inlineStr">
        <is>
          <t>Public API</t>
        </is>
      </c>
      <c r="C41" s="38" t="inlineStr">
        <is>
          <t>Item</t>
        </is>
      </c>
      <c r="D41" s="38" t="inlineStr">
        <is>
          <t>renders role menuitem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Menu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0" customHeight="1" s="60">
      <c r="A42" s="37" t="n">
        <v>34</v>
      </c>
      <c r="B42" s="38" t="inlineStr">
        <is>
          <t>Public API</t>
        </is>
      </c>
      <c r="C42" s="38" t="inlineStr">
        <is>
          <t>Item</t>
        </is>
      </c>
      <c r="D42" s="38" t="inlineStr">
        <is>
          <t>value appears as data-value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Menu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30" customHeight="1" s="60">
      <c r="A43" s="37" t="n">
        <v>35</v>
      </c>
      <c r="B43" s="38" t="inlineStr">
        <is>
          <t>Public API</t>
        </is>
      </c>
      <c r="C43" s="38" t="inlineStr">
        <is>
          <t>Item</t>
        </is>
      </c>
      <c r="D43" s="38" t="inlineStr">
        <is>
          <t>textValue is used for typeahead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Menu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0" customHeight="1" s="60">
      <c r="A44" s="37" t="n">
        <v>36</v>
      </c>
      <c r="B44" s="38" t="inlineStr">
        <is>
          <t>Public API</t>
        </is>
      </c>
      <c r="C44" s="38" t="inlineStr">
        <is>
          <t>Item</t>
        </is>
      </c>
      <c r="D44" s="38" t="inlineStr">
        <is>
          <t>onSelect fires on click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Menu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60">
      <c r="A45" s="37" t="n">
        <v>37</v>
      </c>
      <c r="B45" s="38" t="inlineStr">
        <is>
          <t>Public API</t>
        </is>
      </c>
      <c r="C45" s="38" t="inlineStr">
        <is>
          <t>Item</t>
        </is>
      </c>
      <c r="D45" s="38" t="inlineStr">
        <is>
          <t>onSelect fires from keyboard activation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Menu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30" customHeight="1" s="60">
      <c r="A46" s="37" t="n">
        <v>38</v>
      </c>
      <c r="B46" s="38" t="inlineStr">
        <is>
          <t>Public API</t>
        </is>
      </c>
      <c r="C46" s="38" t="inlineStr">
        <is>
          <t>Item</t>
        </is>
      </c>
      <c r="D46" s="38" t="inlineStr">
        <is>
          <t>disabled item is skipped by keyboard navigation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Menu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30" customHeight="1" s="60">
      <c r="A47" s="37" t="n">
        <v>39</v>
      </c>
      <c r="B47" s="38" t="inlineStr">
        <is>
          <t>Public API</t>
        </is>
      </c>
      <c r="C47" s="38" t="inlineStr">
        <is>
          <t>Item</t>
        </is>
      </c>
      <c r="D47" s="38" t="inlineStr">
        <is>
          <t>disabled item exposes aria-disabled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Menu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30" customHeight="1" s="60">
      <c r="A48" s="37" t="n">
        <v>40</v>
      </c>
      <c r="B48" s="38" t="inlineStr">
        <is>
          <t>Public API</t>
        </is>
      </c>
      <c r="C48" s="38" t="inlineStr">
        <is>
          <t>Item</t>
        </is>
      </c>
      <c r="D48" s="38" t="inlineStr">
        <is>
          <t>disabled item exposes data-disabled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Menu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30" customHeight="1" s="60">
      <c r="A49" s="37" t="n">
        <v>41</v>
      </c>
      <c r="B49" s="38" t="inlineStr">
        <is>
          <t>Public API</t>
        </is>
      </c>
      <c r="C49" s="38" t="inlineStr">
        <is>
          <t>Item</t>
        </is>
      </c>
      <c r="D49" s="38" t="inlineStr">
        <is>
          <t>highlighted item exposes data-highlighted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Menu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0" customHeight="1" s="60">
      <c r="A50" s="37" t="n">
        <v>42</v>
      </c>
      <c r="B50" s="38" t="inlineStr">
        <is>
          <t>Public API</t>
        </is>
      </c>
      <c r="C50" s="38" t="inlineStr">
        <is>
          <t>Item</t>
        </is>
      </c>
      <c r="D50" s="38" t="inlineStr">
        <is>
          <t>closeOnSelect overrides root close behavior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Menu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0" customHeight="1" s="60">
      <c r="A51" s="37" t="n">
        <v>43</v>
      </c>
      <c r="B51" s="38" t="inlineStr">
        <is>
          <t>Public API</t>
        </is>
      </c>
      <c r="C51" s="38" t="inlineStr">
        <is>
          <t>Item</t>
        </is>
      </c>
      <c r="D51" s="38" t="inlineStr">
        <is>
          <t>asChild composition works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Menu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45" customHeight="1" s="60">
      <c r="A52" s="37" t="n">
        <v>44</v>
      </c>
      <c r="B52" s="38" t="inlineStr">
        <is>
          <t>Public API</t>
        </is>
      </c>
      <c r="C52" s="38" t="inlineStr">
        <is>
          <t>Item</t>
        </is>
      </c>
      <c r="D52" s="38" t="inlineStr">
        <is>
          <t>render composition works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Menu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0" customHeight="1" s="60">
      <c r="A53" s="37" t="n">
        <v>45</v>
      </c>
      <c r="B53" s="38" t="inlineStr">
        <is>
          <t>Public API</t>
        </is>
      </c>
      <c r="C53" s="38" t="inlineStr">
        <is>
          <t>Item</t>
        </is>
      </c>
      <c r="D53" s="38" t="inlineStr">
        <is>
          <t>consumer onClick can prevent Atom behavior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Menu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0" customHeight="1" s="60">
      <c r="A54" s="37" t="n">
        <v>46</v>
      </c>
      <c r="B54" s="38" t="inlineStr">
        <is>
          <t>Public API</t>
        </is>
      </c>
      <c r="C54" s="38" t="inlineStr">
        <is>
          <t>Item</t>
        </is>
      </c>
      <c r="D54" s="38" t="inlineStr">
        <is>
          <t>native className and data props pass through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Menu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0" customHeight="1" s="60">
      <c r="A55" s="37" t="n">
        <v>47</v>
      </c>
      <c r="B55" s="38" t="inlineStr">
        <is>
          <t>Public API</t>
        </is>
      </c>
      <c r="C55" s="38" t="inlineStr">
        <is>
          <t>Checkbox Item</t>
        </is>
      </c>
      <c r="D55" s="38" t="inlineStr">
        <is>
          <t>renders role menuitemcheckbox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Menu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30" customHeight="1" s="60">
      <c r="A56" s="37" t="n">
        <v>48</v>
      </c>
      <c r="B56" s="38" t="inlineStr">
        <is>
          <t>Public API</t>
        </is>
      </c>
      <c r="C56" s="38" t="inlineStr">
        <is>
          <t>Checkbox Item</t>
        </is>
      </c>
      <c r="D56" s="38" t="inlineStr">
        <is>
          <t>checked true exposes aria-checked true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Menu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0" customHeight="1" s="60">
      <c r="A57" s="37" t="n">
        <v>49</v>
      </c>
      <c r="B57" s="38" t="inlineStr">
        <is>
          <t>Public API</t>
        </is>
      </c>
      <c r="C57" s="38" t="inlineStr">
        <is>
          <t>Checkbox Item</t>
        </is>
      </c>
      <c r="D57" s="38" t="inlineStr">
        <is>
          <t>checked false exposes aria-checked false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Menu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30" customHeight="1" s="60">
      <c r="A58" s="37" t="n">
        <v>50</v>
      </c>
      <c r="B58" s="38" t="inlineStr">
        <is>
          <t>Public API</t>
        </is>
      </c>
      <c r="C58" s="38" t="inlineStr">
        <is>
          <t>Checkbox Item</t>
        </is>
      </c>
      <c r="D58" s="38" t="inlineStr">
        <is>
          <t>checked true exposes data-checked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Menu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30" customHeight="1" s="60">
      <c r="A59" s="37" t="n">
        <v>51</v>
      </c>
      <c r="B59" s="38" t="inlineStr">
        <is>
          <t>Public API</t>
        </is>
      </c>
      <c r="C59" s="38" t="inlineStr">
        <is>
          <t>Checkbox Item</t>
        </is>
      </c>
      <c r="D59" s="38" t="inlineStr">
        <is>
          <t>onCheckedChange toggles checked state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Menu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0" customHeight="1" s="60">
      <c r="A60" s="37" t="n">
        <v>52</v>
      </c>
      <c r="B60" s="38" t="inlineStr">
        <is>
          <t>Public API</t>
        </is>
      </c>
      <c r="C60" s="38" t="inlineStr">
        <is>
          <t>Checkbox Item</t>
        </is>
      </c>
      <c r="D60" s="38" t="inlineStr">
        <is>
          <t>default closeOnSelect false keeps menu open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Menu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30" customHeight="1" s="60">
      <c r="A61" s="37" t="n">
        <v>53</v>
      </c>
      <c r="B61" s="38" t="inlineStr">
        <is>
          <t>Public API</t>
        </is>
      </c>
      <c r="C61" s="38" t="inlineStr">
        <is>
          <t>Checkbox Item</t>
        </is>
      </c>
      <c r="D61" s="38" t="inlineStr">
        <is>
          <t>closeOnSelect true closes menu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Menu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0" customHeight="1" s="60">
      <c r="A62" s="37" t="n">
        <v>54</v>
      </c>
      <c r="B62" s="38" t="inlineStr">
        <is>
          <t>Public API</t>
        </is>
      </c>
      <c r="C62" s="38" t="inlineStr">
        <is>
          <t>Checkbox Item</t>
        </is>
      </c>
      <c r="D62" s="38" t="inlineStr">
        <is>
          <t>disabled checkbox is skipped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Menu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30" customHeight="1" s="60">
      <c r="A63" s="37" t="n">
        <v>55</v>
      </c>
      <c r="B63" s="38" t="inlineStr">
        <is>
          <t>Public API</t>
        </is>
      </c>
      <c r="C63" s="38" t="inlineStr">
        <is>
          <t>Checkbox Item</t>
        </is>
      </c>
      <c r="D63" s="38" t="inlineStr">
        <is>
          <t>textValue is used for typeahead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Menu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30" customHeight="1" s="60">
      <c r="A64" s="37" t="n">
        <v>56</v>
      </c>
      <c r="B64" s="38" t="inlineStr">
        <is>
          <t>Public API</t>
        </is>
      </c>
      <c r="C64" s="38" t="inlineStr">
        <is>
          <t>Radio Group</t>
        </is>
      </c>
      <c r="D64" s="38" t="inlineStr">
        <is>
          <t>renders role group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Menu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30" customHeight="1" s="60">
      <c r="A65" s="37" t="n">
        <v>57</v>
      </c>
      <c r="B65" s="38" t="inlineStr">
        <is>
          <t>Public API</t>
        </is>
      </c>
      <c r="C65" s="38" t="inlineStr">
        <is>
          <t>Radio Group</t>
        </is>
      </c>
      <c r="D65" s="38" t="inlineStr">
        <is>
          <t>data-slot is menu-radio-group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Menu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45" customHeight="1" s="60">
      <c r="A66" s="37" t="n">
        <v>58</v>
      </c>
      <c r="B66" s="38" t="inlineStr">
        <is>
          <t>Public API</t>
        </is>
      </c>
      <c r="C66" s="38" t="inlineStr">
        <is>
          <t>Radio Group</t>
        </is>
      </c>
      <c r="D66" s="38" t="inlineStr">
        <is>
          <t>value controls checked item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Menu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45" customHeight="1" s="60">
      <c r="A67" s="37" t="n">
        <v>59</v>
      </c>
      <c r="B67" s="38" t="inlineStr">
        <is>
          <t>Public API</t>
        </is>
      </c>
      <c r="C67" s="38" t="inlineStr">
        <is>
          <t>Radio Group</t>
        </is>
      </c>
      <c r="D67" s="38" t="inlineStr">
        <is>
          <t>onValueChange fires when selecting radio item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Menu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30" customHeight="1" s="60">
      <c r="A68" s="37" t="n">
        <v>60</v>
      </c>
      <c r="B68" s="38" t="inlineStr">
        <is>
          <t>Public API</t>
        </is>
      </c>
      <c r="C68" s="38" t="inlineStr">
        <is>
          <t>Radio Group</t>
        </is>
      </c>
      <c r="D68" s="38" t="inlineStr">
        <is>
          <t>duplicate public radio values in different groups do not conflict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Menu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30" customHeight="1" s="60">
      <c r="A69" s="37" t="n">
        <v>61</v>
      </c>
      <c r="B69" s="38" t="inlineStr">
        <is>
          <t>Public API</t>
        </is>
      </c>
      <c r="C69" s="38" t="inlineStr">
        <is>
          <t>Radio Group</t>
        </is>
      </c>
      <c r="D69" s="38" t="inlineStr">
        <is>
          <t>native className and data props pass through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Menu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30" customHeight="1" s="60">
      <c r="A70" s="37" t="n">
        <v>62</v>
      </c>
      <c r="B70" s="38" t="inlineStr">
        <is>
          <t>Public API</t>
        </is>
      </c>
      <c r="C70" s="38" t="inlineStr">
        <is>
          <t>Radio Item</t>
        </is>
      </c>
      <c r="D70" s="38" t="inlineStr">
        <is>
          <t>renders role menuitemradio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Menu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30" customHeight="1" s="60">
      <c r="A71" s="37" t="n">
        <v>63</v>
      </c>
      <c r="B71" s="38" t="inlineStr">
        <is>
          <t>Public API</t>
        </is>
      </c>
      <c r="C71" s="38" t="inlineStr">
        <is>
          <t>Radio Item</t>
        </is>
      </c>
      <c r="D71" s="38" t="inlineStr">
        <is>
          <t>checked item exposes aria-checked true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Menu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30" customHeight="1" s="60">
      <c r="A72" s="37" t="n">
        <v>64</v>
      </c>
      <c r="B72" s="38" t="inlineStr">
        <is>
          <t>Public API</t>
        </is>
      </c>
      <c r="C72" s="38" t="inlineStr">
        <is>
          <t>Radio Item</t>
        </is>
      </c>
      <c r="D72" s="38" t="inlineStr">
        <is>
          <t>unchecked item exposes aria-checked false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Menu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30" customHeight="1" s="60">
      <c r="A73" s="37" t="n">
        <v>65</v>
      </c>
      <c r="B73" s="38" t="inlineStr">
        <is>
          <t>Public API</t>
        </is>
      </c>
      <c r="C73" s="38" t="inlineStr">
        <is>
          <t>Radio Item</t>
        </is>
      </c>
      <c r="D73" s="38" t="inlineStr">
        <is>
          <t>checked item exposes data-checked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Menu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30" customHeight="1" s="60">
      <c r="A74" s="37" t="n">
        <v>66</v>
      </c>
      <c r="B74" s="38" t="inlineStr">
        <is>
          <t>Public API</t>
        </is>
      </c>
      <c r="C74" s="38" t="inlineStr">
        <is>
          <t>Radio Item</t>
        </is>
      </c>
      <c r="D74" s="38" t="inlineStr">
        <is>
          <t>value appears as data-value without internal group id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Menu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30" customHeight="1" s="60">
      <c r="A75" s="37" t="n">
        <v>67</v>
      </c>
      <c r="B75" s="38" t="inlineStr">
        <is>
          <t>Public API</t>
        </is>
      </c>
      <c r="C75" s="38" t="inlineStr">
        <is>
          <t>Radio Item</t>
        </is>
      </c>
      <c r="D75" s="38" t="inlineStr">
        <is>
          <t>disabled radio item is skipped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Menu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30" customHeight="1" s="60">
      <c r="A76" s="37" t="n">
        <v>68</v>
      </c>
      <c r="B76" s="38" t="inlineStr">
        <is>
          <t>Public API</t>
        </is>
      </c>
      <c r="C76" s="38" t="inlineStr">
        <is>
          <t>Radio Item</t>
        </is>
      </c>
      <c r="D76" s="38" t="inlineStr">
        <is>
          <t>default closeOnSelect false keeps menu open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Menu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30" customHeight="1" s="60">
      <c r="A77" s="37" t="n">
        <v>69</v>
      </c>
      <c r="B77" s="38" t="inlineStr">
        <is>
          <t>Public API</t>
        </is>
      </c>
      <c r="C77" s="38" t="inlineStr">
        <is>
          <t>Radio Item</t>
        </is>
      </c>
      <c r="D77" s="38" t="inlineStr">
        <is>
          <t>closeOnSelect true closes menu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Menu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30" customHeight="1" s="60">
      <c r="A78" s="37" t="n">
        <v>70</v>
      </c>
      <c r="B78" s="38" t="inlineStr">
        <is>
          <t>Public API</t>
        </is>
      </c>
      <c r="C78" s="38" t="inlineStr">
        <is>
          <t>Radio Item</t>
        </is>
      </c>
      <c r="D78" s="38" t="inlineStr">
        <is>
          <t>textValue is used for typeahead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Menu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45" customHeight="1" s="60">
      <c r="A79" s="37" t="n">
        <v>71</v>
      </c>
      <c r="B79" s="38" t="inlineStr">
        <is>
          <t>Public API</t>
        </is>
      </c>
      <c r="C79" s="38" t="inlineStr">
        <is>
          <t>Group</t>
        </is>
      </c>
      <c r="D79" s="38" t="inlineStr">
        <is>
          <t>renders role group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Menu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30" customHeight="1" s="60">
      <c r="A80" s="37" t="n">
        <v>72</v>
      </c>
      <c r="B80" s="38" t="inlineStr">
        <is>
          <t>Public API</t>
        </is>
      </c>
      <c r="C80" s="38" t="inlineStr">
        <is>
          <t>Group</t>
        </is>
      </c>
      <c r="D80" s="38" t="inlineStr">
        <is>
          <t>data-slot is menu-group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Menu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30" customHeight="1" s="60">
      <c r="A81" s="37" t="n">
        <v>73</v>
      </c>
      <c r="B81" s="38" t="inlineStr">
        <is>
          <t>Public API</t>
        </is>
      </c>
      <c r="C81" s="38" t="inlineStr">
        <is>
          <t>Group</t>
        </is>
      </c>
      <c r="D81" s="38" t="inlineStr">
        <is>
          <t>native className and data props pass through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Menu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30" customHeight="1" s="60">
      <c r="A82" s="37" t="n">
        <v>74</v>
      </c>
      <c r="B82" s="38" t="inlineStr">
        <is>
          <t>Public API</t>
        </is>
      </c>
      <c r="C82" s="38" t="inlineStr">
        <is>
          <t>Separator</t>
        </is>
      </c>
      <c r="D82" s="38" t="inlineStr">
        <is>
          <t>renders role separator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Menu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30" customHeight="1" s="60">
      <c r="A83" s="37" t="n">
        <v>75</v>
      </c>
      <c r="B83" s="38" t="inlineStr">
        <is>
          <t>Public API</t>
        </is>
      </c>
      <c r="C83" s="38" t="inlineStr">
        <is>
          <t>Separator</t>
        </is>
      </c>
      <c r="D83" s="38" t="inlineStr">
        <is>
          <t>aria-orientation is horizontal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Menu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30" customHeight="1" s="60">
      <c r="A84" s="37" t="n">
        <v>76</v>
      </c>
      <c r="B84" s="38" t="inlineStr">
        <is>
          <t>Public API</t>
        </is>
      </c>
      <c r="C84" s="38" t="inlineStr">
        <is>
          <t>Separator</t>
        </is>
      </c>
      <c r="D84" s="38" t="inlineStr">
        <is>
          <t>data-slot is menu-separator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Menu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30" customHeight="1" s="60">
      <c r="A85" s="37" t="n">
        <v>77</v>
      </c>
      <c r="B85" s="38" t="inlineStr">
        <is>
          <t>Public API</t>
        </is>
      </c>
      <c r="C85" s="38" t="inlineStr">
        <is>
          <t>Separator</t>
        </is>
      </c>
      <c r="D85" s="38" t="inlineStr">
        <is>
          <t>is not keyboard highlightable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Menu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30" customHeight="1" s="60">
      <c r="A86" s="37" t="n">
        <v>78</v>
      </c>
      <c r="B86" s="38" t="inlineStr">
        <is>
          <t>Public API</t>
        </is>
      </c>
      <c r="C86" s="38" t="inlineStr">
        <is>
          <t>Sub</t>
        </is>
      </c>
      <c r="D86" s="38" t="inlineStr">
        <is>
          <t>defaultOpen initializes uncontrolled submenu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Menu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30" customHeight="1" s="60">
      <c r="A87" s="37" t="n">
        <v>79</v>
      </c>
      <c r="B87" s="38" t="inlineStr">
        <is>
          <t>Public API</t>
        </is>
      </c>
      <c r="C87" s="38" t="inlineStr">
        <is>
          <t>Sub</t>
        </is>
      </c>
      <c r="D87" s="38" t="inlineStr">
        <is>
          <t>open prop controls submenu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Menu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30" customHeight="1" s="60">
      <c r="A88" s="37" t="n">
        <v>80</v>
      </c>
      <c r="B88" s="38" t="inlineStr">
        <is>
          <t>Public API</t>
        </is>
      </c>
      <c r="C88" s="38" t="inlineStr">
        <is>
          <t>Sub</t>
        </is>
      </c>
      <c r="D88" s="38" t="inlineStr">
        <is>
          <t>onOpenChange fires for controlled submenu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Menu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30" customHeight="1" s="60">
      <c r="A89" s="37" t="n">
        <v>81</v>
      </c>
      <c r="B89" s="38" t="inlineStr">
        <is>
          <t>Public API</t>
        </is>
      </c>
      <c r="C89" s="38" t="inlineStr">
        <is>
          <t>Sub</t>
        </is>
      </c>
      <c r="D89" s="38" t="inlineStr">
        <is>
          <t>only one uncontrolled submenu is open at a time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Menu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30" customHeight="1" s="60">
      <c r="A90" s="37" t="n">
        <v>82</v>
      </c>
      <c r="B90" s="38" t="inlineStr">
        <is>
          <t>Public API</t>
        </is>
      </c>
      <c r="C90" s="38" t="inlineStr">
        <is>
          <t>Sub Trigger</t>
        </is>
      </c>
      <c r="D90" s="38" t="inlineStr">
        <is>
          <t>renders role menuitem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Menu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30" customHeight="1" s="60">
      <c r="A91" s="37" t="n">
        <v>83</v>
      </c>
      <c r="B91" s="38" t="inlineStr">
        <is>
          <t>Public API</t>
        </is>
      </c>
      <c r="C91" s="38" t="inlineStr">
        <is>
          <t>Sub Trigger</t>
        </is>
      </c>
      <c r="D91" s="38" t="inlineStr">
        <is>
          <t>aria-haspopup is menu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Menu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30" customHeight="1" s="60">
      <c r="A92" s="37" t="n">
        <v>84</v>
      </c>
      <c r="B92" s="38" t="inlineStr">
        <is>
          <t>Public API</t>
        </is>
      </c>
      <c r="C92" s="38" t="inlineStr">
        <is>
          <t>Sub Trigger</t>
        </is>
      </c>
      <c r="D92" s="38" t="inlineStr">
        <is>
          <t>aria-expanded reflects submenu open state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Menu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30" customHeight="1" s="60">
      <c r="A93" s="37" t="n">
        <v>85</v>
      </c>
      <c r="B93" s="38" t="inlineStr">
        <is>
          <t>Public API</t>
        </is>
      </c>
      <c r="C93" s="38" t="inlineStr">
        <is>
          <t>Sub Trigger</t>
        </is>
      </c>
      <c r="D93" s="38" t="inlineStr">
        <is>
          <t>data-state reflects submenu state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Menu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30" customHeight="1" s="60">
      <c r="A94" s="37" t="n">
        <v>86</v>
      </c>
      <c r="B94" s="38" t="inlineStr">
        <is>
          <t>Public API</t>
        </is>
      </c>
      <c r="C94" s="38" t="inlineStr">
        <is>
          <t>Sub Trigger</t>
        </is>
      </c>
      <c r="D94" s="38" t="inlineStr">
        <is>
          <t>data-slot is menu-sub-trigger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Menu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30" customHeight="1" s="60">
      <c r="A95" s="37" t="n">
        <v>87</v>
      </c>
      <c r="B95" s="38" t="inlineStr">
        <is>
          <t>Public API</t>
        </is>
      </c>
      <c r="C95" s="38" t="inlineStr">
        <is>
          <t>Sub Trigger</t>
        </is>
      </c>
      <c r="D95" s="38" t="inlineStr">
        <is>
          <t>hover opens submenu after delay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Menu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45" customHeight="1" s="60">
      <c r="A96" s="37" t="n">
        <v>88</v>
      </c>
      <c r="B96" s="38" t="inlineStr">
        <is>
          <t>Public API</t>
        </is>
      </c>
      <c r="C96" s="38" t="inlineStr">
        <is>
          <t>Sub Trigger</t>
        </is>
      </c>
      <c r="D96" s="38" t="inlineStr">
        <is>
          <t>click toggles submenu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Menu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30" customHeight="1" s="60">
      <c r="A97" s="37" t="n">
        <v>89</v>
      </c>
      <c r="B97" s="38" t="inlineStr">
        <is>
          <t>Public API</t>
        </is>
      </c>
      <c r="C97" s="38" t="inlineStr">
        <is>
          <t>Sub Trigger</t>
        </is>
      </c>
      <c r="D97" s="38" t="inlineStr">
        <is>
          <t>ArrowRight opens submenu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Menu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30" customHeight="1" s="60">
      <c r="A98" s="37" t="n">
        <v>90</v>
      </c>
      <c r="B98" s="38" t="inlineStr">
        <is>
          <t>Public API</t>
        </is>
      </c>
      <c r="C98" s="38" t="inlineStr">
        <is>
          <t>Sub Trigger</t>
        </is>
      </c>
      <c r="D98" s="38" t="inlineStr">
        <is>
          <t>disabled sub trigger is skipped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Menu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30" customHeight="1" s="60">
      <c r="A99" s="37" t="n">
        <v>91</v>
      </c>
      <c r="B99" s="38" t="inlineStr">
        <is>
          <t>Public API</t>
        </is>
      </c>
      <c r="C99" s="38" t="inlineStr">
        <is>
          <t>Sub Trigger</t>
        </is>
      </c>
      <c r="D99" s="38" t="inlineStr">
        <is>
          <t>textValue is used for typeahead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Menu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30" customHeight="1" s="60">
      <c r="A100" s="37" t="n">
        <v>92</v>
      </c>
      <c r="B100" s="38" t="inlineStr">
        <is>
          <t>Public API</t>
        </is>
      </c>
      <c r="C100" s="38" t="inlineStr">
        <is>
          <t>Sub Content</t>
        </is>
      </c>
      <c r="D100" s="38" t="inlineStr">
        <is>
          <t>renders role menu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Menu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30" customHeight="1" s="60">
      <c r="A101" s="37" t="n">
        <v>93</v>
      </c>
      <c r="B101" s="38" t="inlineStr">
        <is>
          <t>Public API</t>
        </is>
      </c>
      <c r="C101" s="38" t="inlineStr">
        <is>
          <t>Sub Content</t>
        </is>
      </c>
      <c r="D101" s="38" t="inlineStr">
        <is>
          <t>aria-label prop names submenu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Menu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30" customHeight="1" s="60">
      <c r="A102" s="37" t="n">
        <v>94</v>
      </c>
      <c r="B102" s="38" t="inlineStr">
        <is>
          <t>Public API</t>
        </is>
      </c>
      <c r="C102" s="38" t="inlineStr">
        <is>
          <t>Sub Content</t>
        </is>
      </c>
      <c r="D102" s="38" t="inlineStr">
        <is>
          <t>aria-labelledby references sub trigger when ariaLabel is absent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Menu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30" customHeight="1" s="60">
      <c r="A103" s="37" t="n">
        <v>95</v>
      </c>
      <c r="B103" s="38" t="inlineStr">
        <is>
          <t>Public API</t>
        </is>
      </c>
      <c r="C103" s="38" t="inlineStr">
        <is>
          <t>Sub Content</t>
        </is>
      </c>
      <c r="D103" s="38" t="inlineStr">
        <is>
          <t>data-slot is menu-sub-content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Menu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30" customHeight="1" s="60">
      <c r="A104" s="37" t="n">
        <v>96</v>
      </c>
      <c r="B104" s="38" t="inlineStr">
        <is>
          <t>Public API</t>
        </is>
      </c>
      <c r="C104" s="38" t="inlineStr">
        <is>
          <t>Sub Content</t>
        </is>
      </c>
      <c r="D104" s="38" t="inlineStr">
        <is>
          <t>data-state is open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Menu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30" customHeight="1" s="60">
      <c r="A105" s="37" t="n">
        <v>97</v>
      </c>
      <c r="B105" s="38" t="inlineStr">
        <is>
          <t>Public API</t>
        </is>
      </c>
      <c r="C105" s="38" t="inlineStr">
        <is>
          <t>Sub Content</t>
        </is>
      </c>
      <c r="D105" s="38" t="inlineStr">
        <is>
          <t>data-side reflects final placement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Menu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30" customHeight="1" s="60">
      <c r="A106" s="37" t="n">
        <v>98</v>
      </c>
      <c r="B106" s="38" t="inlineStr">
        <is>
          <t>Public API</t>
        </is>
      </c>
      <c r="C106" s="38" t="inlineStr">
        <is>
          <t>Sub Content</t>
        </is>
      </c>
      <c r="D106" s="38" t="inlineStr">
        <is>
          <t>data-positioned appears after positioning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Menu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30" customHeight="1" s="60">
      <c r="A107" s="37" t="n">
        <v>99</v>
      </c>
      <c r="B107" s="38" t="inlineStr">
        <is>
          <t>Public API</t>
        </is>
      </c>
      <c r="C107" s="38" t="inlineStr">
        <is>
          <t>Sub Content</t>
        </is>
      </c>
      <c r="D107" s="38" t="inlineStr">
        <is>
          <t>sideOffset changes submenu distance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Menu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30" customHeight="1" s="60">
      <c r="A108" s="37" t="n">
        <v>100</v>
      </c>
      <c r="B108" s="38" t="inlineStr">
        <is>
          <t>Public API</t>
        </is>
      </c>
      <c r="C108" s="38" t="inlineStr">
        <is>
          <t>Sub Content</t>
        </is>
      </c>
      <c r="D108" s="38" t="inlineStr">
        <is>
          <t>loop prop controls submenu wrapping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Menu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30" customHeight="1" s="60">
      <c r="A109" s="37" t="n">
        <v>101</v>
      </c>
      <c r="B109" s="38" t="inlineStr">
        <is>
          <t>Interaction</t>
        </is>
      </c>
      <c r="C109" s="38" t="inlineStr">
        <is>
          <t>Open And Close</t>
        </is>
      </c>
      <c r="D109" s="38" t="inlineStr">
        <is>
          <t>open button opens menu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Menu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30" customHeight="1" s="60">
      <c r="A110" s="37" t="n">
        <v>102</v>
      </c>
      <c r="B110" s="38" t="inlineStr">
        <is>
          <t>Interaction</t>
        </is>
      </c>
      <c r="C110" s="38" t="inlineStr">
        <is>
          <t>Open And Close</t>
        </is>
      </c>
      <c r="D110" s="38" t="inlineStr">
        <is>
          <t>controlled open button opens menu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Menu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30" customHeight="1" s="60">
      <c r="A111" s="37" t="n">
        <v>103</v>
      </c>
      <c r="B111" s="38" t="inlineStr">
        <is>
          <t>Interaction</t>
        </is>
      </c>
      <c r="C111" s="38" t="inlineStr">
        <is>
          <t>Open And Close</t>
        </is>
      </c>
      <c r="D111" s="38" t="inlineStr">
        <is>
          <t>controlled close button closes menu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Menu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30" customHeight="1" s="60">
      <c r="A112" s="37" t="n">
        <v>104</v>
      </c>
      <c r="B112" s="38" t="inlineStr">
        <is>
          <t>Interaction</t>
        </is>
      </c>
      <c r="C112" s="38" t="inlineStr">
        <is>
          <t>Open And Close</t>
        </is>
      </c>
      <c r="D112" s="38" t="inlineStr">
        <is>
          <t>outside click closes root menu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Menu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30" customHeight="1" s="60">
      <c r="A113" s="37" t="n">
        <v>105</v>
      </c>
      <c r="B113" s="38" t="inlineStr">
        <is>
          <t>Interaction</t>
        </is>
      </c>
      <c r="C113" s="38" t="inlineStr">
        <is>
          <t>Open And Close</t>
        </is>
      </c>
      <c r="D113" s="38" t="inlineStr">
        <is>
          <t>outside click closes submenu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Menu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30" customHeight="1" s="60">
      <c r="A114" s="37" t="n">
        <v>106</v>
      </c>
      <c r="B114" s="38" t="inlineStr">
        <is>
          <t>Interaction</t>
        </is>
      </c>
      <c r="C114" s="38" t="inlineStr">
        <is>
          <t>Open And Close</t>
        </is>
      </c>
      <c r="D114" s="38" t="inlineStr">
        <is>
          <t>Tab closes menu and returns focus to trigger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Menu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30" customHeight="1" s="60">
      <c r="A115" s="37" t="n">
        <v>107</v>
      </c>
      <c r="B115" s="38" t="inlineStr">
        <is>
          <t>Interaction</t>
        </is>
      </c>
      <c r="C115" s="38" t="inlineStr">
        <is>
          <t>Open And Close</t>
        </is>
      </c>
      <c r="D115" s="38" t="inlineStr">
        <is>
          <t>Escape closes root menu and returns focus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Menu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30" customHeight="1" s="60">
      <c r="A116" s="37" t="n">
        <v>108</v>
      </c>
      <c r="B116" s="38" t="inlineStr">
        <is>
          <t>Interaction</t>
        </is>
      </c>
      <c r="C116" s="38" t="inlineStr">
        <is>
          <t>Open And Close</t>
        </is>
      </c>
      <c r="D116" s="38" t="inlineStr">
        <is>
          <t>Escape closes submenu first and returns focus to parent content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Menu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30" customHeight="1" s="60">
      <c r="A117" s="37" t="n">
        <v>109</v>
      </c>
      <c r="B117" s="38" t="inlineStr">
        <is>
          <t>Interaction</t>
        </is>
      </c>
      <c r="C117" s="38" t="inlineStr">
        <is>
          <t>Open And Close</t>
        </is>
      </c>
      <c r="D117" s="38" t="inlineStr">
        <is>
          <t>selecting action item closes menu when enabled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Menu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30" customHeight="1" s="60">
      <c r="A118" s="37" t="n">
        <v>110</v>
      </c>
      <c r="B118" s="38" t="inlineStr">
        <is>
          <t>Interaction</t>
        </is>
      </c>
      <c r="C118" s="38" t="inlineStr">
        <is>
          <t>Open And Close</t>
        </is>
      </c>
      <c r="D118" s="38" t="inlineStr">
        <is>
          <t>selecting checkbox/radio stays open by default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Menu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30" customHeight="1" s="60">
      <c r="A119" s="37" t="n">
        <v>111</v>
      </c>
      <c r="B119" s="38" t="inlineStr">
        <is>
          <t>Keyboard</t>
        </is>
      </c>
      <c r="C119" s="38" t="inlineStr">
        <is>
          <t>Navigation</t>
        </is>
      </c>
      <c r="D119" s="38" t="inlineStr">
        <is>
          <t>ArrowDown moves to next enabled item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Menu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30" customHeight="1" s="60">
      <c r="A120" s="37" t="n">
        <v>112</v>
      </c>
      <c r="B120" s="38" t="inlineStr">
        <is>
          <t>Keyboard</t>
        </is>
      </c>
      <c r="C120" s="38" t="inlineStr">
        <is>
          <t>Navigation</t>
        </is>
      </c>
      <c r="D120" s="38" t="inlineStr">
        <is>
          <t>ArrowUp moves to previous enabled item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Menu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30" customHeight="1" s="60">
      <c r="A121" s="37" t="n">
        <v>113</v>
      </c>
      <c r="B121" s="38" t="inlineStr">
        <is>
          <t>Keyboard</t>
        </is>
      </c>
      <c r="C121" s="38" t="inlineStr">
        <is>
          <t>Navigation</t>
        </is>
      </c>
      <c r="D121" s="38" t="inlineStr">
        <is>
          <t>Home highlights first enabled item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Menu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30" customHeight="1" s="60">
      <c r="A122" s="37" t="n">
        <v>114</v>
      </c>
      <c r="B122" s="38" t="inlineStr">
        <is>
          <t>Keyboard</t>
        </is>
      </c>
      <c r="C122" s="38" t="inlineStr">
        <is>
          <t>Navigation</t>
        </is>
      </c>
      <c r="D122" s="38" t="inlineStr">
        <is>
          <t>End highlights last enabled item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Menu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30" customHeight="1" s="60">
      <c r="A123" s="37" t="n">
        <v>115</v>
      </c>
      <c r="B123" s="38" t="inlineStr">
        <is>
          <t>Keyboard</t>
        </is>
      </c>
      <c r="C123" s="38" t="inlineStr">
        <is>
          <t>Navigation</t>
        </is>
      </c>
      <c r="D123" s="38" t="inlineStr">
        <is>
          <t>loop forward wraps to first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Menu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30" customHeight="1" s="60">
      <c r="A124" s="37" t="n">
        <v>116</v>
      </c>
      <c r="B124" s="38" t="inlineStr">
        <is>
          <t>Keyboard</t>
        </is>
      </c>
      <c r="C124" s="38" t="inlineStr">
        <is>
          <t>Navigation</t>
        </is>
      </c>
      <c r="D124" s="38" t="inlineStr">
        <is>
          <t>loop backward wraps to last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Menu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30" customHeight="1" s="60">
      <c r="A125" s="37" t="n">
        <v>117</v>
      </c>
      <c r="B125" s="38" t="inlineStr">
        <is>
          <t>Keyboard</t>
        </is>
      </c>
      <c r="C125" s="38" t="inlineStr">
        <is>
          <t>Navigation</t>
        </is>
      </c>
      <c r="D125" s="38" t="inlineStr">
        <is>
          <t>disabled items are skipped by Arrow keys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Menu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30" customHeight="1" s="60">
      <c r="A126" s="37" t="n">
        <v>118</v>
      </c>
      <c r="B126" s="38" t="inlineStr">
        <is>
          <t>Keyboard</t>
        </is>
      </c>
      <c r="C126" s="38" t="inlineStr">
        <is>
          <t>Navigation</t>
        </is>
      </c>
      <c r="D126" s="38" t="inlineStr">
        <is>
          <t>separator is skipped by Arrow keys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Menu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30" customHeight="1" s="60">
      <c r="A127" s="37" t="n">
        <v>119</v>
      </c>
      <c r="B127" s="38" t="inlineStr">
        <is>
          <t>Keyboard</t>
        </is>
      </c>
      <c r="C127" s="38" t="inlineStr">
        <is>
          <t>Navigation</t>
        </is>
      </c>
      <c r="D127" s="38" t="inlineStr">
        <is>
          <t>Enter activates highlighted item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Menu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30" customHeight="1" s="60">
      <c r="A128" s="37" t="n">
        <v>120</v>
      </c>
      <c r="B128" s="38" t="inlineStr">
        <is>
          <t>Keyboard</t>
        </is>
      </c>
      <c r="C128" s="38" t="inlineStr">
        <is>
          <t>Navigation</t>
        </is>
      </c>
      <c r="D128" s="38" t="inlineStr">
        <is>
          <t>Space activates highlighted item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Menu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30" customHeight="1" s="60">
      <c r="A129" s="37" t="n">
        <v>121</v>
      </c>
      <c r="B129" s="38" t="inlineStr">
        <is>
          <t>Keyboard</t>
        </is>
      </c>
      <c r="C129" s="38" t="inlineStr">
        <is>
          <t>Navigation</t>
        </is>
      </c>
      <c r="D129" s="38" t="inlineStr">
        <is>
          <t>typeahead highlights matching item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Menu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30" customHeight="1" s="60">
      <c r="A130" s="37" t="n">
        <v>122</v>
      </c>
      <c r="B130" s="38" t="inlineStr">
        <is>
          <t>Keyboard</t>
        </is>
      </c>
      <c r="C130" s="38" t="inlineStr">
        <is>
          <t>Navigation</t>
        </is>
      </c>
      <c r="D130" s="38" t="inlineStr">
        <is>
          <t>typeahead uses explicit textValue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Menu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30" customHeight="1" s="60">
      <c r="A131" s="37" t="n">
        <v>123</v>
      </c>
      <c r="B131" s="38" t="inlineStr">
        <is>
          <t>Keyboard</t>
        </is>
      </c>
      <c r="C131" s="38" t="inlineStr">
        <is>
          <t>Navigation</t>
        </is>
      </c>
      <c r="D131" s="38" t="inlineStr">
        <is>
          <t>typeahead buffer resets after delay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Menu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30" customHeight="1" s="60">
      <c r="A132" s="37" t="n">
        <v>124</v>
      </c>
      <c r="B132" s="38" t="inlineStr">
        <is>
          <t>Keyboard</t>
        </is>
      </c>
      <c r="C132" s="38" t="inlineStr">
        <is>
          <t>Navigation</t>
        </is>
      </c>
      <c r="D132" s="38" t="inlineStr">
        <is>
          <t>submenu has independent highlight state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Menu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30" customHeight="1" s="60">
      <c r="A133" s="37" t="n">
        <v>125</v>
      </c>
      <c r="B133" s="38" t="inlineStr">
        <is>
          <t>Keyboard</t>
        </is>
      </c>
      <c r="C133" s="38" t="inlineStr">
        <is>
          <t>Navigation</t>
        </is>
      </c>
      <c r="D133" s="38" t="inlineStr">
        <is>
          <t>ArrowLeft closes submenu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Menu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30" customHeight="1" s="60">
      <c r="A134" s="37" t="n">
        <v>126</v>
      </c>
      <c r="B134" s="38" t="inlineStr">
        <is>
          <t>Keyboard</t>
        </is>
      </c>
      <c r="C134" s="38" t="inlineStr">
        <is>
          <t>Navigation</t>
        </is>
      </c>
      <c r="D134" s="38" t="inlineStr">
        <is>
          <t>ArrowRight opens nested submenu from submenu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Menu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30" customHeight="1" s="60">
      <c r="A135" s="37" t="n">
        <v>127</v>
      </c>
      <c r="B135" s="38" t="inlineStr">
        <is>
          <t>Pointer</t>
        </is>
      </c>
      <c r="C135" s="38" t="inlineStr">
        <is>
          <t>Highlight</t>
        </is>
      </c>
      <c r="D135" s="38" t="inlineStr">
        <is>
          <t>pointer enter highlights item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Menu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30" customHeight="1" s="60">
      <c r="A136" s="37" t="n">
        <v>128</v>
      </c>
      <c r="B136" s="38" t="inlineStr">
        <is>
          <t>Pointer</t>
        </is>
      </c>
      <c r="C136" s="38" t="inlineStr">
        <is>
          <t>Highlight</t>
        </is>
      </c>
      <c r="D136" s="38" t="inlineStr">
        <is>
          <t>pointer leave clears highlight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Menu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30" customHeight="1" s="60">
      <c r="A137" s="37" t="n">
        <v>129</v>
      </c>
      <c r="B137" s="38" t="inlineStr">
        <is>
          <t>Pointer</t>
        </is>
      </c>
      <c r="C137" s="38" t="inlineStr">
        <is>
          <t>Highlight</t>
        </is>
      </c>
      <c r="D137" s="38" t="inlineStr">
        <is>
          <t>hovering group labels or gaps does not reset initial highlight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Menu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30" customHeight="1" s="60">
      <c r="A138" s="37" t="n">
        <v>130</v>
      </c>
      <c r="B138" s="38" t="inlineStr">
        <is>
          <t>Pointer</t>
        </is>
      </c>
      <c r="C138" s="38" t="inlineStr">
        <is>
          <t>Highlight</t>
        </is>
      </c>
      <c r="D138" s="38" t="inlineStr">
        <is>
          <t>hovering item closes previously open submenu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Menu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45" customHeight="1" s="60">
      <c r="A139" s="37" t="n">
        <v>131</v>
      </c>
      <c r="B139" s="38" t="inlineStr">
        <is>
          <t>Pointer</t>
        </is>
      </c>
      <c r="C139" s="38" t="inlineStr">
        <is>
          <t>Highlight</t>
        </is>
      </c>
      <c r="D139" s="38" t="inlineStr">
        <is>
          <t>disabled item hover does not highlight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Menu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30" customHeight="1" s="60">
      <c r="A140" s="37" t="n">
        <v>132</v>
      </c>
      <c r="B140" s="38" t="inlineStr">
        <is>
          <t>Accessibility</t>
        </is>
      </c>
      <c r="C140" s="38" t="inlineStr">
        <is>
          <t>Relationships</t>
        </is>
      </c>
      <c r="D140" s="38" t="inlineStr">
        <is>
          <t>content has accessible name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Menu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30" customHeight="1" s="60">
      <c r="A141" s="37" t="n">
        <v>133</v>
      </c>
      <c r="B141" s="38" t="inlineStr">
        <is>
          <t>Accessibility</t>
        </is>
      </c>
      <c r="C141" s="38" t="inlineStr">
        <is>
          <t>Relationships</t>
        </is>
      </c>
      <c r="D141" s="38" t="inlineStr">
        <is>
          <t>content references trigger when unnamed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Menu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30" customHeight="1" s="60">
      <c r="A142" s="37" t="n">
        <v>134</v>
      </c>
      <c r="B142" s="38" t="inlineStr">
        <is>
          <t>Accessibility</t>
        </is>
      </c>
      <c r="C142" s="38" t="inlineStr">
        <is>
          <t>Relationships</t>
        </is>
      </c>
      <c r="D142" s="38" t="inlineStr">
        <is>
          <t>sub content references sub trigger when unnamed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Menu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30" customHeight="1" s="60">
      <c r="A143" s="37" t="n">
        <v>135</v>
      </c>
      <c r="B143" s="38" t="inlineStr">
        <is>
          <t>Accessibility</t>
        </is>
      </c>
      <c r="C143" s="38" t="inlineStr">
        <is>
          <t>Relationships</t>
        </is>
      </c>
      <c r="D143" s="38" t="inlineStr">
        <is>
          <t>checked states are exposed through aria-checked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Menu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45" customHeight="1" s="60">
      <c r="A144" s="37" t="n">
        <v>136</v>
      </c>
      <c r="B144" s="38" t="inlineStr">
        <is>
          <t>Accessibility</t>
        </is>
      </c>
      <c r="C144" s="38" t="inlineStr">
        <is>
          <t>Relationships</t>
        </is>
      </c>
      <c r="D144" s="38" t="inlineStr">
        <is>
          <t>disabled states are exposed through aria-disabled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Menu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30" customHeight="1" s="60">
      <c r="A145" s="37" t="n">
        <v>137</v>
      </c>
      <c r="B145" s="38" t="inlineStr">
        <is>
          <t>Accessibility</t>
        </is>
      </c>
      <c r="C145" s="38" t="inlineStr">
        <is>
          <t>Relationships</t>
        </is>
      </c>
      <c r="D145" s="38" t="inlineStr">
        <is>
          <t>focus stays inside modal menu while open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Menu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30" customHeight="1" s="60">
      <c r="A146" s="37" t="n">
        <v>138</v>
      </c>
      <c r="B146" s="38" t="inlineStr">
        <is>
          <t>Accessibility</t>
        </is>
      </c>
      <c r="C146" s="38" t="inlineStr">
        <is>
          <t>Relationships</t>
        </is>
      </c>
      <c r="D146" s="38" t="inlineStr">
        <is>
          <t>portalled menu registers with parent modal focus scope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Menu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30" customHeight="1" s="60">
      <c r="A147" s="37" t="n">
        <v>139</v>
      </c>
      <c r="B147" s="38" t="inlineStr">
        <is>
          <t>Accessibility</t>
        </is>
      </c>
      <c r="C147" s="38" t="inlineStr">
        <is>
          <t>Relationships</t>
        </is>
      </c>
      <c r="D147" s="38" t="inlineStr">
        <is>
          <t>nested menu Escape does not close parent overlay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Menu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30" customHeight="1" s="60">
      <c r="A148" s="37" t="n">
        <v>140</v>
      </c>
      <c r="B148" s="38" t="inlineStr">
        <is>
          <t>Composition</t>
        </is>
      </c>
      <c r="C148" s="38" t="inlineStr">
        <is>
          <t>Rendering</t>
        </is>
      </c>
      <c r="D148" s="38" t="inlineStr">
        <is>
          <t>Item asChild preserves child content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Menu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45" customHeight="1" s="60">
      <c r="A149" s="37" t="n">
        <v>141</v>
      </c>
      <c r="B149" s="38" t="inlineStr">
        <is>
          <t>Composition</t>
        </is>
      </c>
      <c r="C149" s="38" t="inlineStr">
        <is>
          <t>Rendering</t>
        </is>
      </c>
      <c r="D149" s="38" t="inlineStr">
        <is>
          <t>Item render preserves child content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Menu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45" customHeight="1" s="60">
      <c r="A150" s="37" t="n">
        <v>142</v>
      </c>
      <c r="B150" s="38" t="inlineStr">
        <is>
          <t>Composition</t>
        </is>
      </c>
      <c r="C150" s="38" t="inlineStr">
        <is>
          <t>Rendering</t>
        </is>
      </c>
      <c r="D150" s="38" t="inlineStr">
        <is>
          <t>Item consumer event can block selection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Menu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45" customHeight="1" s="60">
      <c r="A151" s="37" t="n">
        <v>143</v>
      </c>
      <c r="B151" s="38" t="inlineStr">
        <is>
          <t>Composition</t>
        </is>
      </c>
      <c r="C151" s="38" t="inlineStr">
        <is>
          <t>Rendering</t>
        </is>
      </c>
      <c r="D151" s="38" t="inlineStr">
        <is>
          <t>CheckboxItem native props pass through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Menu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45" customHeight="1" s="60">
      <c r="A152" s="37" t="n">
        <v>144</v>
      </c>
      <c r="B152" s="38" t="inlineStr">
        <is>
          <t>Composition</t>
        </is>
      </c>
      <c r="C152" s="38" t="inlineStr">
        <is>
          <t>Rendering</t>
        </is>
      </c>
      <c r="D152" s="38" t="inlineStr">
        <is>
          <t>RadioItem native props pass through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Menu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30" customHeight="1" s="60">
      <c r="A153" s="37" t="n">
        <v>145</v>
      </c>
      <c r="B153" s="38" t="inlineStr">
        <is>
          <t>Composition</t>
        </is>
      </c>
      <c r="C153" s="38" t="inlineStr">
        <is>
          <t>Rendering</t>
        </is>
      </c>
      <c r="D153" s="38" t="inlineStr">
        <is>
          <t>Content native props pass through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Menu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30" customHeight="1" s="60">
      <c r="A154" s="37" t="n">
        <v>146</v>
      </c>
      <c r="B154" s="38" t="inlineStr">
        <is>
          <t>Composition</t>
        </is>
      </c>
      <c r="C154" s="38" t="inlineStr">
        <is>
          <t>Rendering</t>
        </is>
      </c>
      <c r="D154" s="38" t="inlineStr">
        <is>
          <t>SubContent native props pass through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Menu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30" customHeight="1" s="60">
      <c r="A155" s="37" t="n">
        <v>147</v>
      </c>
      <c r="B155" s="38" t="inlineStr">
        <is>
          <t>Styling Hooks</t>
        </is>
      </c>
      <c r="C155" s="38" t="inlineStr">
        <is>
          <t>Data Attributes</t>
        </is>
      </c>
      <c r="D155" s="38" t="inlineStr">
        <is>
          <t>root open state visible through content data-state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Menu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30" customHeight="1" s="60">
      <c r="A156" s="37" t="n">
        <v>148</v>
      </c>
      <c r="B156" s="38" t="inlineStr">
        <is>
          <t>Styling Hooks</t>
        </is>
      </c>
      <c r="C156" s="38" t="inlineStr">
        <is>
          <t>Data Attributes</t>
        </is>
      </c>
      <c r="D156" s="38" t="inlineStr">
        <is>
          <t>highlighted item visible through data-highlighted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Menu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30" customHeight="1" s="60">
      <c r="A157" s="37" t="n">
        <v>149</v>
      </c>
      <c r="B157" s="38" t="inlineStr">
        <is>
          <t>Styling Hooks</t>
        </is>
      </c>
      <c r="C157" s="38" t="inlineStr">
        <is>
          <t>Data Attributes</t>
        </is>
      </c>
      <c r="D157" s="38" t="inlineStr">
        <is>
          <t>disabled item visible through data-disabled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Menu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30" customHeight="1" s="60">
      <c r="A158" s="37" t="n">
        <v>150</v>
      </c>
      <c r="B158" s="38" t="inlineStr">
        <is>
          <t>Styling Hooks</t>
        </is>
      </c>
      <c r="C158" s="38" t="inlineStr">
        <is>
          <t>Data Attributes</t>
        </is>
      </c>
      <c r="D158" s="38" t="inlineStr">
        <is>
          <t>checked item visible through data-checked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Menu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30" customHeight="1" s="60">
      <c r="A159" s="37" t="n">
        <v>151</v>
      </c>
      <c r="B159" s="38" t="inlineStr">
        <is>
          <t>Styling Hooks</t>
        </is>
      </c>
      <c r="C159" s="38" t="inlineStr">
        <is>
          <t>Data Attributes</t>
        </is>
      </c>
      <c r="D159" s="38" t="inlineStr">
        <is>
          <t>placement visible through data-side and data-align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Menu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30" customHeight="1" s="60">
      <c r="A160" s="37" t="n">
        <v>152</v>
      </c>
      <c r="B160" s="38" t="inlineStr">
        <is>
          <t>Styling Hooks</t>
        </is>
      </c>
      <c r="C160" s="38" t="inlineStr">
        <is>
          <t>Data Attributes</t>
        </is>
      </c>
      <c r="D160" s="38" t="inlineStr">
        <is>
          <t>positioned state visible through data-positioned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Menu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30" customHeight="1" s="60">
      <c r="A161" s="37" t="n">
        <v>153</v>
      </c>
      <c r="B161" s="38" t="inlineStr">
        <is>
          <t>Portal And Positioning</t>
        </is>
      </c>
      <c r="C161" s="38" t="inlineStr">
        <is>
          <t>Portal</t>
        </is>
      </c>
      <c r="D161" s="38" t="inlineStr">
        <is>
          <t>root content portals to body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Menu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30" customHeight="1" s="60">
      <c r="A162" s="37" t="n">
        <v>154</v>
      </c>
      <c r="B162" s="38" t="inlineStr">
        <is>
          <t>Portal And Positioning</t>
        </is>
      </c>
      <c r="C162" s="38" t="inlineStr">
        <is>
          <t>Portal</t>
        </is>
      </c>
      <c r="D162" s="38" t="inlineStr">
        <is>
          <t>sub content portals to body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Menu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30" customHeight="1" s="60">
      <c r="A163" s="37" t="n">
        <v>155</v>
      </c>
      <c r="B163" s="38" t="inlineStr">
        <is>
          <t>Portal And Positioning</t>
        </is>
      </c>
      <c r="C163" s="38" t="inlineStr">
        <is>
          <t>Portal</t>
        </is>
      </c>
      <c r="D163" s="38" t="inlineStr">
        <is>
          <t>anchorPoint opens at pointer location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Menu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45" customHeight="1" s="60">
      <c r="A164" s="37" t="n">
        <v>156</v>
      </c>
      <c r="B164" s="38" t="inlineStr">
        <is>
          <t>Portal And Positioning</t>
        </is>
      </c>
      <c r="C164" s="38" t="inlineStr">
        <is>
          <t>Portal</t>
        </is>
      </c>
      <c r="D164" s="38" t="inlineStr">
        <is>
          <t>placement flips or shifts near viewport edge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Menu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30" customHeight="1" s="60">
      <c r="A165" s="37" t="n">
        <v>157</v>
      </c>
      <c r="B165" s="38" t="inlineStr">
        <is>
          <t>Portal And Positioning</t>
        </is>
      </c>
      <c r="C165" s="38" t="inlineStr">
        <is>
          <t>Portal</t>
        </is>
      </c>
      <c r="D165" s="38" t="inlineStr">
        <is>
          <t>scroll lock applies only when modal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Menu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30" customHeight="1" s="60">
      <c r="A166" s="37" t="n">
        <v>158</v>
      </c>
      <c r="B166" s="38" t="inlineStr">
        <is>
          <t>Portal And Positioning</t>
        </is>
      </c>
      <c r="C166" s="38" t="inlineStr">
        <is>
          <t>Portal</t>
        </is>
      </c>
      <c r="D166" s="38" t="inlineStr">
        <is>
          <t>menu works inside Dialog without focus escape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Menu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30" customHeight="1" s="60">
      <c r="A167" s="37" t="n">
        <v>159</v>
      </c>
      <c r="B167" s="38" t="inlineStr">
        <is>
          <t>Regression</t>
        </is>
      </c>
      <c r="C167" s="38" t="inlineStr">
        <is>
          <t>Recent Fixes</t>
        </is>
      </c>
      <c r="D167" s="38" t="inlineStr">
        <is>
          <t>radio groups with duplicate values highlight independently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Menu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30" customHeight="1" s="60">
      <c r="A168" s="37" t="n">
        <v>160</v>
      </c>
      <c r="B168" s="38" t="inlineStr">
        <is>
          <t>Regression</t>
        </is>
      </c>
      <c r="C168" s="38" t="inlineStr">
        <is>
          <t>Recent Fixes</t>
        </is>
      </c>
      <c r="D168" s="38" t="inlineStr">
        <is>
          <t>hovering non-item content does not reset highlight to first item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Menu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0" customHeight="1" s="60">
      <c r="A169" s="37" t="n">
        <v>161</v>
      </c>
      <c r="B169" s="38" t="inlineStr">
        <is>
          <t>Regression</t>
        </is>
      </c>
      <c r="C169" s="38" t="inlineStr">
        <is>
          <t>Recent Fixes</t>
        </is>
      </c>
      <c r="D169" s="38" t="inlineStr">
        <is>
          <t>outside click closes portalled menu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Menu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15" customHeight="1" s="60">
      <c r="A170" s="37" t="n">
        <v>162</v>
      </c>
      <c r="B170" s="38" t="inlineStr">
        <is>
          <t>Regression</t>
        </is>
      </c>
      <c r="C170" s="38" t="inlineStr">
        <is>
          <t>Recent Fixes</t>
        </is>
      </c>
      <c r="D170" s="38" t="inlineStr">
        <is>
          <t>Escape closes topmost overlay only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Menu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15" customHeight="1" s="60">
      <c r="A171" s="37" t="n">
        <v>163</v>
      </c>
      <c r="B171" s="38" t="inlineStr">
        <is>
          <t>Regression</t>
        </is>
      </c>
      <c r="C171" s="38" t="inlineStr">
        <is>
          <t>Recent Fixes</t>
        </is>
      </c>
      <c r="D171" s="38" t="inlineStr">
        <is>
          <t>submenu focus returns to parent content on close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Menu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  <row r="172" ht="30" customHeight="1" s="60">
      <c r="A172" s="37" t="n">
        <v>164</v>
      </c>
      <c r="B172" s="38" t="inlineStr">
        <is>
          <t>Mobile</t>
        </is>
      </c>
      <c r="C172" s="38" t="inlineStr">
        <is>
          <t>Touch</t>
        </is>
      </c>
      <c r="D172" s="38" t="inlineStr">
        <is>
          <t>touch opens menu</t>
        </is>
      </c>
      <c r="E172" s="37" t="inlineStr">
        <is>
          <t>yes</t>
        </is>
      </c>
      <c r="F172" s="37" t="inlineStr">
        <is>
          <t>yes</t>
        </is>
      </c>
      <c r="G172" s="37" t="inlineStr">
        <is>
          <t>pass</t>
        </is>
      </c>
      <c r="H172" s="37" t="inlineStr">
        <is>
          <t>covered</t>
        </is>
      </c>
      <c r="I172" s="38" t="inlineStr">
        <is>
          <t>Menu playground manual verification.</t>
        </is>
      </c>
      <c r="J172" s="38" t="inlineStr">
        <is>
          <t>Complete.</t>
        </is>
      </c>
      <c r="K172" s="39">
        <f>IF(AND(E172="yes",F172="yes",H172="covered"),1,IF(H172="partial",0.5,0))</f>
        <v/>
      </c>
    </row>
    <row r="173" ht="15" customHeight="1" s="60">
      <c r="A173" s="37" t="n">
        <v>165</v>
      </c>
      <c r="B173" s="38" t="inlineStr">
        <is>
          <t>Mobile</t>
        </is>
      </c>
      <c r="C173" s="38" t="inlineStr">
        <is>
          <t>Touch</t>
        </is>
      </c>
      <c r="D173" s="38" t="inlineStr">
        <is>
          <t>touch selects action item</t>
        </is>
      </c>
      <c r="E173" s="37" t="inlineStr">
        <is>
          <t>yes</t>
        </is>
      </c>
      <c r="F173" s="37" t="inlineStr">
        <is>
          <t>yes</t>
        </is>
      </c>
      <c r="G173" s="37" t="inlineStr">
        <is>
          <t>pass</t>
        </is>
      </c>
      <c r="H173" s="37" t="inlineStr">
        <is>
          <t>covered</t>
        </is>
      </c>
      <c r="I173" s="38" t="inlineStr">
        <is>
          <t>Menu playground manual verification.</t>
        </is>
      </c>
      <c r="J173" s="38" t="inlineStr">
        <is>
          <t>Complete.</t>
        </is>
      </c>
      <c r="K173" s="39">
        <f>IF(AND(E173="yes",F173="yes",H173="covered"),1,IF(H173="partial",0.5,0))</f>
        <v/>
      </c>
    </row>
    <row r="174" ht="15" customHeight="1" s="60">
      <c r="A174" s="37" t="n">
        <v>166</v>
      </c>
      <c r="B174" s="38" t="inlineStr">
        <is>
          <t>Mobile</t>
        </is>
      </c>
      <c r="C174" s="38" t="inlineStr">
        <is>
          <t>Touch</t>
        </is>
      </c>
      <c r="D174" s="38" t="inlineStr">
        <is>
          <t>touch toggles checkbox item</t>
        </is>
      </c>
      <c r="E174" s="37" t="inlineStr">
        <is>
          <t>yes</t>
        </is>
      </c>
      <c r="F174" s="37" t="inlineStr">
        <is>
          <t>yes</t>
        </is>
      </c>
      <c r="G174" s="37" t="inlineStr">
        <is>
          <t>pass</t>
        </is>
      </c>
      <c r="H174" s="37" t="inlineStr">
        <is>
          <t>covered</t>
        </is>
      </c>
      <c r="I174" s="38" t="inlineStr">
        <is>
          <t>Menu playground manual verification.</t>
        </is>
      </c>
      <c r="J174" s="38" t="inlineStr">
        <is>
          <t>Complete.</t>
        </is>
      </c>
      <c r="K174" s="39">
        <f>IF(AND(E174="yes",F174="yes",H174="covered"),1,IF(H174="partial",0.5,0))</f>
        <v/>
      </c>
    </row>
    <row r="175" ht="30" customHeight="1" s="60">
      <c r="A175" s="37" t="n">
        <v>167</v>
      </c>
      <c r="B175" s="38" t="inlineStr">
        <is>
          <t>Mobile</t>
        </is>
      </c>
      <c r="C175" s="38" t="inlineStr">
        <is>
          <t>Touch</t>
        </is>
      </c>
      <c r="D175" s="38" t="inlineStr">
        <is>
          <t>touch selects radio item</t>
        </is>
      </c>
      <c r="E175" s="37" t="inlineStr">
        <is>
          <t>yes</t>
        </is>
      </c>
      <c r="F175" s="37" t="inlineStr">
        <is>
          <t>yes</t>
        </is>
      </c>
      <c r="G175" s="37" t="inlineStr">
        <is>
          <t>pass</t>
        </is>
      </c>
      <c r="H175" s="37" t="inlineStr">
        <is>
          <t>covered</t>
        </is>
      </c>
      <c r="I175" s="38" t="inlineStr">
        <is>
          <t>Menu playground manual verification.</t>
        </is>
      </c>
      <c r="J175" s="38" t="inlineStr">
        <is>
          <t>Complete.</t>
        </is>
      </c>
      <c r="K175" s="39">
        <f>IF(AND(E175="yes",F175="yes",H175="covered"),1,IF(H175="partial",0.5,0))</f>
        <v/>
      </c>
    </row>
    <row r="176" ht="30" customHeight="1" s="60">
      <c r="A176" s="37" t="n">
        <v>168</v>
      </c>
      <c r="B176" s="38" t="inlineStr">
        <is>
          <t>Mobile</t>
        </is>
      </c>
      <c r="C176" s="38" t="inlineStr">
        <is>
          <t>Touch</t>
        </is>
      </c>
      <c r="D176" s="38" t="inlineStr">
        <is>
          <t>touch opens submenu</t>
        </is>
      </c>
      <c r="E176" s="37" t="inlineStr">
        <is>
          <t>yes</t>
        </is>
      </c>
      <c r="F176" s="37" t="inlineStr">
        <is>
          <t>yes</t>
        </is>
      </c>
      <c r="G176" s="37" t="inlineStr">
        <is>
          <t>pass</t>
        </is>
      </c>
      <c r="H176" s="37" t="inlineStr">
        <is>
          <t>covered</t>
        </is>
      </c>
      <c r="I176" s="38" t="inlineStr">
        <is>
          <t>Menu playground manual verification.</t>
        </is>
      </c>
      <c r="J176" s="38" t="inlineStr">
        <is>
          <t>Complete.</t>
        </is>
      </c>
      <c r="K176" s="39">
        <f>IF(AND(E176="yes",F176="yes",H176="covered"),1,IF(H176="partial",0.5,0))</f>
        <v/>
      </c>
    </row>
    <row r="177" ht="30" customHeight="1" s="60">
      <c r="A177" s="37" t="n">
        <v>169</v>
      </c>
      <c r="B177" s="38" t="inlineStr">
        <is>
          <t>Mobile</t>
        </is>
      </c>
      <c r="C177" s="38" t="inlineStr">
        <is>
          <t>Touch</t>
        </is>
      </c>
      <c r="D177" s="38" t="inlineStr">
        <is>
          <t>outside touch closes menu</t>
        </is>
      </c>
      <c r="E177" s="37" t="inlineStr">
        <is>
          <t>yes</t>
        </is>
      </c>
      <c r="F177" s="37" t="inlineStr">
        <is>
          <t>yes</t>
        </is>
      </c>
      <c r="G177" s="37" t="inlineStr">
        <is>
          <t>pass</t>
        </is>
      </c>
      <c r="H177" s="37" t="inlineStr">
        <is>
          <t>covered</t>
        </is>
      </c>
      <c r="I177" s="38" t="inlineStr">
        <is>
          <t>Menu playground manual verification.</t>
        </is>
      </c>
      <c r="J177" s="38" t="inlineStr">
        <is>
          <t>Complete.</t>
        </is>
      </c>
      <c r="K177" s="39">
        <f>IF(AND(E177="yes",F177="yes",H177="covered"),1,IF(H177="partial",0.5,0))</f>
        <v/>
      </c>
    </row>
    <row r="178" ht="30" customHeight="1" s="60">
      <c r="A178" s="37" t="n">
        <v>170</v>
      </c>
      <c r="B178" s="38" t="inlineStr">
        <is>
          <t>Keyboard</t>
        </is>
      </c>
      <c r="C178" s="38" t="inlineStr">
        <is>
          <t>Typeahead</t>
        </is>
      </c>
      <c r="D178" s="38" t="inlineStr">
        <is>
          <t>single-character typeahead cycles from current matching item after buffer reset</t>
        </is>
      </c>
      <c r="E178" s="37" t="inlineStr">
        <is>
          <t>yes</t>
        </is>
      </c>
      <c r="F178" s="37" t="inlineStr">
        <is>
          <t>yes</t>
        </is>
      </c>
      <c r="G178" s="37" t="inlineStr">
        <is>
          <t>pass</t>
        </is>
      </c>
      <c r="H178" s="37" t="inlineStr">
        <is>
          <t>covered</t>
        </is>
      </c>
      <c r="I178" s="38" t="inlineStr">
        <is>
          <t>Menu playground manual verification.</t>
        </is>
      </c>
      <c r="J178" s="38" t="inlineStr">
        <is>
          <t>Complete.</t>
        </is>
      </c>
      <c r="K178" s="39">
        <f>IF(AND(E178="yes",F178="yes",H178="covered"),1,IF(H178="partial",0.5,0))</f>
        <v/>
      </c>
    </row>
    <row r="179" ht="30" customHeight="1" s="60">
      <c r="A179" s="37" t="n">
        <v>171</v>
      </c>
      <c r="B179" s="38" t="inlineStr">
        <is>
          <t>Direction</t>
        </is>
      </c>
      <c r="C179" s="38" t="inlineStr">
        <is>
          <t>Submenu</t>
        </is>
      </c>
      <c r="D179" s="38" t="inlineStr">
        <is>
          <t>reads Direction.Provider context for submenu keyboard behavior</t>
        </is>
      </c>
      <c r="E179" s="37" t="inlineStr">
        <is>
          <t>yes</t>
        </is>
      </c>
      <c r="F179" s="37" t="inlineStr">
        <is>
          <t>yes</t>
        </is>
      </c>
      <c r="G179" s="37" t="inlineStr">
        <is>
          <t>pass</t>
        </is>
      </c>
      <c r="H179" s="37" t="inlineStr">
        <is>
          <t>covered</t>
        </is>
      </c>
      <c r="I179" s="38" t="inlineStr">
        <is>
          <t>Menu playground manual verification.</t>
        </is>
      </c>
      <c r="J179" s="38" t="inlineStr">
        <is>
          <t>Complete.</t>
        </is>
      </c>
      <c r="K179" s="39">
        <f>IF(AND(E179="yes",F179="yes",H179="covered"),1,IF(H179="partial",0.5,0))</f>
        <v/>
      </c>
    </row>
    <row r="180" ht="30" customHeight="1" s="60">
      <c r="A180" s="37" t="n">
        <v>172</v>
      </c>
      <c r="B180" s="38" t="inlineStr">
        <is>
          <t>Direction</t>
        </is>
      </c>
      <c r="C180" s="38" t="inlineStr">
        <is>
          <t>Submenu</t>
        </is>
      </c>
      <c r="D180" s="38" t="inlineStr">
        <is>
          <t>RTL mirrors submenu ArrowLeft and ArrowRight open/close behavior</t>
        </is>
      </c>
      <c r="E180" s="37" t="inlineStr">
        <is>
          <t>yes</t>
        </is>
      </c>
      <c r="F180" s="37" t="inlineStr">
        <is>
          <t>yes</t>
        </is>
      </c>
      <c r="G180" s="37" t="inlineStr">
        <is>
          <t>pass</t>
        </is>
      </c>
      <c r="H180" s="37" t="inlineStr">
        <is>
          <t>covered</t>
        </is>
      </c>
      <c r="I180" s="38" t="inlineStr">
        <is>
          <t>Menu playground manual verification.</t>
        </is>
      </c>
      <c r="J180" s="38" t="inlineStr">
        <is>
          <t>Complete.</t>
        </is>
      </c>
      <c r="K180" s="39">
        <f>IF(AND(E180="yes",F180="yes",H180="covered"),1,IF(H180="partial",0.5,0))</f>
        <v/>
      </c>
    </row>
    <row r="181" ht="30" customHeight="1" s="60">
      <c r="A181" s="37" t="n">
        <v>173</v>
      </c>
      <c r="B181" s="38" t="inlineStr">
        <is>
          <t>Playground</t>
        </is>
      </c>
      <c r="C181" s="38" t="inlineStr">
        <is>
          <t>Direction controls</t>
        </is>
      </c>
      <c r="D181" s="38" t="inlineStr">
        <is>
          <t>scenario exposes provider direction controls</t>
        </is>
      </c>
      <c r="E181" s="37" t="inlineStr">
        <is>
          <t>yes</t>
        </is>
      </c>
      <c r="F181" s="37" t="inlineStr">
        <is>
          <t>yes</t>
        </is>
      </c>
      <c r="G181" s="37" t="inlineStr">
        <is>
          <t>pass</t>
        </is>
      </c>
      <c r="H181" s="37" t="inlineStr">
        <is>
          <t>covered</t>
        </is>
      </c>
      <c r="I181" s="38" t="inlineStr">
        <is>
          <t>Menu playground manual verification.</t>
        </is>
      </c>
      <c r="J181" s="38" t="inlineStr">
        <is>
          <t>Complete.</t>
        </is>
      </c>
      <c r="K181" s="39">
        <f>IF(AND(E181="yes",F181="yes",H181="covered"),1,IF(H181="partial",0.5,0))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6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Menubar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Step 7 Props And Slots.</t>
        </is>
      </c>
      <c r="J9" s="5" t="inlineStr">
        <is>
          <t>Manual test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representative custom data-slot override controls are available for slot-owning DOM parts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Step 7 Props And Slots.</t>
        </is>
      </c>
      <c r="J10" s="5" t="inlineStr">
        <is>
          <t>Manual test passed.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Menubar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Step 0 Playground Smoke Check.</t>
        </is>
      </c>
      <c r="J11" s="5" t="inlineStr">
        <is>
          <t>Manual test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Menubar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Steps 0 and 8 Source / Inspector / Logs.</t>
        </is>
      </c>
      <c r="J12" s="5" t="inlineStr">
        <is>
          <t>Manual test passed.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Menubar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Steps 0, 3, 6, and 7.</t>
        </is>
      </c>
      <c r="J13" s="5" t="inlineStr">
        <is>
          <t>Manual test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Menubar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Steps 0 and 8 Source / Inspector / Logs.</t>
        </is>
      </c>
      <c r="J14" s="5" t="inlineStr">
        <is>
          <t>Manual test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Menubar</t>
        </is>
      </c>
      <c r="D15" s="5" t="inlineStr">
        <is>
          <t>renders role="menubar" with trigger and content behavior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Steps 0, 3, and 6.</t>
        </is>
      </c>
      <c r="J15" s="5" t="inlineStr">
        <is>
          <t>Manual test passed.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Menubar</t>
        </is>
      </c>
      <c r="D16" s="5" t="inlineStr">
        <is>
          <t>opens adjacent top-level menus with arrow keys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Steps 3 and 4.</t>
        </is>
      </c>
      <c r="J16" s="5" t="inlineStr">
        <is>
          <t>Manual test passed.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Menubar</t>
        </is>
      </c>
      <c r="D17" s="5" t="inlineStr">
        <is>
          <t>uses shared Menu item, checkbox, radio, group, separator, and submenu behavior as integration smoke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Step 5 Shared Menu Integration Smoke.</t>
        </is>
      </c>
      <c r="J17" s="5" t="inlineStr">
        <is>
          <t>Manual test passed.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Menubar</t>
        </is>
      </c>
      <c r="D18" s="5" t="inlineStr">
        <is>
          <t>supports controlled and uncontrolled active menu state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Step 1 Root State And Direction.</t>
        </is>
      </c>
      <c r="J18" s="5" t="inlineStr">
        <is>
          <t>Manual test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Menubar</t>
        </is>
      </c>
      <c r="D19" s="5" t="inlineStr">
        <is>
          <t>supports configurable closeOnSelect, looping, and escape close per menu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Step 2 Menu Behavior.</t>
        </is>
      </c>
      <c r="J19" s="5" t="inlineStr">
        <is>
          <t>Manual test passed.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Direction</t>
        </is>
      </c>
      <c r="C20" s="5" t="inlineStr">
        <is>
          <t>Root</t>
        </is>
      </c>
      <c r="D20" s="5" t="inlineStr">
        <is>
          <t>supports Direction.Provider and Root dir modes for horizontal menubar navigation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Step 1 Root State And Direction.</t>
        </is>
      </c>
      <c r="J20" s="5" t="inlineStr">
        <is>
          <t>Manual test passed after package fix.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Direction</t>
        </is>
      </c>
      <c r="C21" s="5" t="inlineStr">
        <is>
          <t>Submenu</t>
        </is>
      </c>
      <c r="D21" s="5" t="inlineStr">
        <is>
          <t>RTL mirrors submenu placement and keyboard open/close behavior in provider and root direction modes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Step 1 Root State And Direction follow-up.</t>
        </is>
      </c>
      <c r="J21" s="5" t="inlineStr">
        <is>
          <t>Manual test passed after package fix.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Root in the documented anatomy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Steps 0 and 7.</t>
        </is>
      </c>
      <c r="J22" s="5" t="inlineStr">
        <is>
          <t>Manual test passed.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tag, role, aria-orientation, and dir are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Steps 1 and 7.</t>
        </is>
      </c>
      <c r="J23" s="5" t="inlineStr">
        <is>
          <t>Manual test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default and custom data-slot are visible in Anatomy/Inspector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Step 7 Props And Slots.</t>
        </is>
      </c>
      <c r="J24" s="5" t="inlineStr">
        <is>
          <t>Manual test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Step 7 Props And Slots.</t>
        </is>
      </c>
      <c r="J25" s="5" t="inlineStr">
        <is>
          <t>Manual test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Step 1 Root State And Direction.</t>
        </is>
      </c>
      <c r="J26" s="5" t="inlineStr">
        <is>
          <t>Manual test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Step 1 Root State And Direction.</t>
        </is>
      </c>
      <c r="J27" s="5" t="inlineStr">
        <is>
          <t>Manual test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behavior is visible through current value and logs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Step 1 Root State And Direction.</t>
        </is>
      </c>
      <c r="J28" s="5" t="inlineStr">
        <is>
          <t>Manual test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loop prop behavior controls top-level trigger wrapping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Steps 2 and 4.</t>
        </is>
      </c>
      <c r="J29" s="5" t="inlineStr">
        <is>
          <t>Manual test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Menu</t>
        </is>
      </c>
      <c r="D30" s="5" t="inlineStr">
        <is>
          <t>non-DOM Menu part coordinates File and View menu values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Step 2 Menu Behavior.</t>
        </is>
      </c>
      <c r="J30" s="5" t="inlineStr">
        <is>
          <t>Manual test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Menu</t>
        </is>
      </c>
      <c r="D31" s="5" t="inlineStr">
        <is>
          <t>value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Step 2 Menu Behavior.</t>
        </is>
      </c>
      <c r="J31" s="5" t="inlineStr">
        <is>
          <t>Manual test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Menu</t>
        </is>
      </c>
      <c r="D32" s="5" t="inlineStr">
        <is>
          <t>closeOnSelect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Step 2 Menu Behavior.</t>
        </is>
      </c>
      <c r="J32" s="5" t="inlineStr">
        <is>
          <t>Manual test passed.</t>
        </is>
      </c>
      <c r="K32" s="6">
        <f>IF(AND(E32="yes",F32="yes",H32="covered"),1,IF(H32="partial",0.5,0))</f>
        <v/>
      </c>
    </row>
    <row r="33" ht="30" customHeight="1" s="60">
      <c r="A33" s="4" t="n">
        <v>25</v>
      </c>
      <c r="B33" s="5" t="inlineStr">
        <is>
          <t>Public API</t>
        </is>
      </c>
      <c r="C33" s="5" t="inlineStr">
        <is>
          <t>Menu</t>
        </is>
      </c>
      <c r="D33" s="5" t="inlineStr">
        <is>
          <t>loop prop behavior controls item wrapping inside content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Step 2 Menu Behavior.</t>
        </is>
      </c>
      <c r="J33" s="5" t="inlineStr">
        <is>
          <t>Manual test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Menu</t>
        </is>
      </c>
      <c r="D34" s="5" t="inlineStr">
        <is>
          <t>closeOnEscape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Step 2 Menu Behavior.</t>
        </is>
      </c>
      <c r="J34" s="5" t="inlineStr">
        <is>
          <t>Manual test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Trigger</t>
        </is>
      </c>
      <c r="D35" s="5" t="inlineStr">
        <is>
          <t>File and View triggers render in the documented anatomy order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Step 3 Trigger And Top-Level Focus.</t>
        </is>
      </c>
      <c r="J35" s="5" t="inlineStr">
        <is>
          <t>Manual test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Identity</t>
        </is>
      </c>
      <c r="C36" s="5" t="inlineStr">
        <is>
          <t>Trigger</t>
        </is>
      </c>
      <c r="D36" s="5" t="inlineStr">
        <is>
          <t>default tag and role are visible in Anatomy/Inspector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Step 3 Trigger And Top-Level Focus.</t>
        </is>
      </c>
      <c r="J36" s="5" t="inlineStr">
        <is>
          <t>Manual test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ARIA</t>
        </is>
      </c>
      <c r="C37" s="5" t="inlineStr">
        <is>
          <t>Trigger</t>
        </is>
      </c>
      <c r="D37" s="5" t="inlineStr">
        <is>
          <t>aria-haspopup, aria-expanded, and aria-controls are present at the correct time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Step 3 Trigger And Top-Level Focus.</t>
        </is>
      </c>
      <c r="J37" s="5" t="inlineStr">
        <is>
          <t>Manual test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default and custom data-slot are visible in Anatomy/Inspector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Step 7 Props And Slots.</t>
        </is>
      </c>
      <c r="J38" s="5" t="inlineStr">
        <is>
          <t>Manual test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Trigger</t>
        </is>
      </c>
      <c r="D39" s="5" t="inlineStr">
        <is>
          <t>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Step 7 Props And Slots.</t>
        </is>
      </c>
      <c r="J39" s="5" t="inlineStr">
        <is>
          <t>Manual test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Data</t>
        </is>
      </c>
      <c r="C40" s="5" t="inlineStr">
        <is>
          <t>Trigger</t>
        </is>
      </c>
      <c r="D40" s="5" t="inlineStr">
        <is>
          <t>data-state reflects open and closed trigger state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Step 3 Trigger And Top-Level Focus.</t>
        </is>
      </c>
      <c r="J40" s="5" t="inlineStr">
        <is>
          <t>Manual test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Trigger</t>
        </is>
      </c>
      <c r="D41" s="5" t="inlineStr">
        <is>
          <t>disabled trigger blocks pointer and keyboard activation and exposes data-disabled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Step 3 Trigger And Top-Level Focus.</t>
        </is>
      </c>
      <c r="J41" s="5" t="inlineStr">
        <is>
          <t>Manual test passed.</t>
        </is>
      </c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Interaction</t>
        </is>
      </c>
      <c r="C42" s="5" t="inlineStr">
        <is>
          <t>Trigger</t>
        </is>
      </c>
      <c r="D42" s="5" t="inlineStr">
        <is>
          <t>pointer activation opens and closes the focused menu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Step 3 Trigger And Top-Level Focus.</t>
        </is>
      </c>
      <c r="J42" s="5" t="inlineStr">
        <is>
          <t>Manual test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Interaction</t>
        </is>
      </c>
      <c r="C43" s="5" t="inlineStr">
        <is>
          <t>Trigger</t>
        </is>
      </c>
      <c r="D43" s="5" t="inlineStr">
        <is>
          <t>Enter key activation opens and closes the focused menu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Step 3 Trigger And Top-Level Focus.</t>
        </is>
      </c>
      <c r="J43" s="5" t="inlineStr">
        <is>
          <t>Manual test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Interaction</t>
        </is>
      </c>
      <c r="C44" s="5" t="inlineStr">
        <is>
          <t>Trigger</t>
        </is>
      </c>
      <c r="D44" s="5" t="inlineStr">
        <is>
          <t>Space key activation opens and closes the focused menu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Step 3 Trigger And Top-Level Focus.</t>
        </is>
      </c>
      <c r="J44" s="5" t="inlineStr">
        <is>
          <t>Manual test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Focus</t>
        </is>
      </c>
      <c r="C45" s="5" t="inlineStr">
        <is>
          <t>Trigger</t>
        </is>
      </c>
      <c r="D45" s="5" t="inlineStr">
        <is>
          <t>focus returns to the active trigger after adjacent menu handoff and close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Step 3 Trigger And Top-Level Focus.</t>
        </is>
      </c>
      <c r="J45" s="5" t="inlineStr">
        <is>
          <t>Manual test passed after package fix.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Content</t>
        </is>
      </c>
      <c r="D46" s="5" t="inlineStr">
        <is>
          <t>File and View content render when expected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Step 6 Content Accessibility And Positioning Smoke.</t>
        </is>
      </c>
      <c r="J46" s="5" t="inlineStr">
        <is>
          <t>Manual test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Content</t>
        </is>
      </c>
      <c r="D47" s="5" t="inlineStr">
        <is>
          <t>default tag and role are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Step 6 Content Accessibility And Positioning Smoke.</t>
        </is>
      </c>
      <c r="J47" s="5" t="inlineStr">
        <is>
          <t>Manual test passed.</t>
        </is>
      </c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ARIA</t>
        </is>
      </c>
      <c r="C48" s="5" t="inlineStr">
        <is>
          <t>Content</t>
        </is>
      </c>
      <c r="D48" s="5" t="inlineStr">
        <is>
          <t>ariaLabel prop adds and removes aria-label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Step 6 Content Accessibility And Positioning Smoke.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Identity</t>
        </is>
      </c>
      <c r="C49" s="5" t="inlineStr">
        <is>
          <t>Content</t>
        </is>
      </c>
      <c r="D49" s="5" t="inlineStr">
        <is>
          <t>default and custom data-slot are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Steps 6 and 7.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Data</t>
        </is>
      </c>
      <c r="C50" s="5" t="inlineStr">
        <is>
          <t>Content</t>
        </is>
      </c>
      <c r="D50" s="5" t="inlineStr">
        <is>
          <t>data-state, data-side, data-align, and data-positioned are visible for open content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Step 6 Content Accessibility And Positioning Smoke.</t>
        </is>
      </c>
      <c r="J50" s="5" t="inlineStr">
        <is>
          <t>Manual test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Content</t>
        </is>
      </c>
      <c r="D51" s="5" t="inlineStr">
        <is>
          <t>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Step 7 Props And Slots.</t>
        </is>
      </c>
      <c r="J51" s="5" t="inlineStr">
        <is>
          <t>Manual test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Keyboard</t>
        </is>
      </c>
      <c r="C52" s="5" t="inlineStr">
        <is>
          <t>Menubar</t>
        </is>
      </c>
      <c r="D52" s="5" t="inlineStr">
        <is>
          <t>ArrowLeft and ArrowRight behavior in LTR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Step 4 Top-Level Keyboard And RTL.</t>
        </is>
      </c>
      <c r="J52" s="5" t="inlineStr">
        <is>
          <t>Manual test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Keyboard</t>
        </is>
      </c>
      <c r="C53" s="5" t="inlineStr">
        <is>
          <t>Menubar</t>
        </is>
      </c>
      <c r="D53" s="5" t="inlineStr">
        <is>
          <t>Home and End navigation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Step 4 Top-Level Keyboard And RTL.</t>
        </is>
      </c>
      <c r="J53" s="5" t="inlineStr">
        <is>
          <t>Manual test passed.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Keyboard</t>
        </is>
      </c>
      <c r="C54" s="5" t="inlineStr">
        <is>
          <t>Menubar</t>
        </is>
      </c>
      <c r="D54" s="5" t="inlineStr">
        <is>
          <t>ArrowDown and ArrowUp open content and seed first/last item highlight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Step 4 Top-Level Keyboard And RTL.</t>
        </is>
      </c>
      <c r="J54" s="5" t="inlineStr">
        <is>
          <t>Manual test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Keyboard</t>
        </is>
      </c>
      <c r="C55" s="5" t="inlineStr">
        <is>
          <t>Menubar</t>
        </is>
      </c>
      <c r="D55" s="5" t="inlineStr">
        <is>
          <t>ArrowLeft and ArrowRight behavior mirrors in RTL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Step 4 Top-Level Keyboard And RTL.</t>
        </is>
      </c>
      <c r="J55" s="5" t="inlineStr">
        <is>
          <t>Manual test passed.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Focus</t>
        </is>
      </c>
      <c r="C56" s="5" t="inlineStr">
        <is>
          <t>Menubar</t>
        </is>
      </c>
      <c r="D56" s="5" t="inlineStr">
        <is>
          <t>roving focus state is visible in Focused inspector evidence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Step 4 Top-Level Keyboard And RTL.</t>
        </is>
      </c>
      <c r="J56" s="5" t="inlineStr">
        <is>
          <t>Manual test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Dismiss</t>
        </is>
      </c>
      <c r="C57" s="5" t="inlineStr">
        <is>
          <t>Menubar</t>
        </is>
      </c>
      <c r="D57" s="5" t="inlineStr">
        <is>
          <t>Escape closes only the topmost active menu layer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Steps 2 and 5.</t>
        </is>
      </c>
      <c r="J57" s="5" t="inlineStr">
        <is>
          <t>Manual test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Focus</t>
        </is>
      </c>
      <c r="C58" s="5" t="inlineStr">
        <is>
          <t>Menubar</t>
        </is>
      </c>
      <c r="D58" s="5" t="inlineStr">
        <is>
          <t>focus returns to the correct trigger after close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Step 3 Trigger And Top-Level Focus.</t>
        </is>
      </c>
      <c r="J58" s="5" t="inlineStr">
        <is>
          <t>Manual test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Menu Integration</t>
        </is>
      </c>
      <c r="C59" s="5" t="inlineStr">
        <is>
          <t>Item</t>
        </is>
      </c>
      <c r="D59" s="5" t="inlineStr">
        <is>
          <t>item selection logs selected value and closes according to Menu settings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Steps 2 and 5.</t>
        </is>
      </c>
      <c r="J59" s="5" t="inlineStr">
        <is>
          <t>Manual test passed.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Menu Integration</t>
        </is>
      </c>
      <c r="C60" s="5" t="inlineStr">
        <is>
          <t>CheckboxItem</t>
        </is>
      </c>
      <c r="D60" s="5" t="inlineStr">
        <is>
          <t>checkbox item toggles checked state and exposes menuitemcheckbox semantics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Step 5 Shared Menu Integration Smoke.</t>
        </is>
      </c>
      <c r="J60" s="5" t="inlineStr">
        <is>
          <t>Manual test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Menu Integration</t>
        </is>
      </c>
      <c r="C61" s="5" t="inlineStr">
        <is>
          <t>RadioItem</t>
        </is>
      </c>
      <c r="D61" s="5" t="inlineStr">
        <is>
          <t>radio items are exclusive and expose menuitemradio semantics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Step 5 Shared Menu Integration Smoke.</t>
        </is>
      </c>
      <c r="J61" s="5" t="inlineStr">
        <is>
          <t>Manual test passed.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Menu Integration</t>
        </is>
      </c>
      <c r="C62" s="5" t="inlineStr">
        <is>
          <t>Group and Separator</t>
        </is>
      </c>
      <c r="D62" s="5" t="inlineStr">
        <is>
          <t>group and separator render as shared Menu integration anatomy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Step 5 Shared Menu Integration Smoke.</t>
        </is>
      </c>
      <c r="J62" s="5" t="inlineStr">
        <is>
          <t>Manual test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Menu Integration</t>
        </is>
      </c>
      <c r="C63" s="5" t="inlineStr">
        <is>
          <t>SubTrigger</t>
        </is>
      </c>
      <c r="D63" s="5" t="inlineStr">
        <is>
          <t>submenu trigger opens SubContent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Step 5 Shared Menu Integration Smoke.</t>
        </is>
      </c>
      <c r="J63" s="5" t="inlineStr">
        <is>
          <t>Manual test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Menu Integration</t>
        </is>
      </c>
      <c r="C64" s="5" t="inlineStr">
        <is>
          <t>SubContent</t>
        </is>
      </c>
      <c r="D64" s="5" t="inlineStr">
        <is>
          <t>submenu content exposes role menu and closes before parent on Escape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Step 5 Shared Menu Integration Smoke.</t>
        </is>
      </c>
      <c r="J64" s="5" t="inlineStr">
        <is>
          <t>Manual test passed.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Source</t>
        </is>
      </c>
      <c r="C65" s="5" t="inlineStr">
        <is>
          <t>Menubar</t>
        </is>
      </c>
      <c r="D65" s="5" t="inlineStr">
        <is>
          <t>Source panel shows public Atom JSX only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Step 8 Source / Inspector / Logs.</t>
        </is>
      </c>
      <c r="J65" s="5" t="inlineStr">
        <is>
          <t>Manual test passed.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Inspector</t>
        </is>
      </c>
      <c r="C66" s="5" t="inlineStr">
        <is>
          <t>Menubar</t>
        </is>
      </c>
      <c r="D66" s="5" t="inlineStr">
        <is>
          <t>Selected and Focused tabs update independently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Step 8 Source / Inspector / Logs.</t>
        </is>
      </c>
      <c r="J66" s="5" t="inlineStr">
        <is>
          <t>Manual test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Logs</t>
        </is>
      </c>
      <c r="C67" s="5" t="inlineStr">
        <is>
          <t>Menubar</t>
        </is>
      </c>
      <c r="D67" s="5" t="inlineStr">
        <is>
          <t>logs record open, close, controlled actions, selection, and clear correctly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Step 8 Source / Inspector / Logs.</t>
        </is>
      </c>
      <c r="J67" s="5" t="inlineStr">
        <is>
          <t>Manual test passed.</t>
        </is>
      </c>
      <c r="K67" s="6">
        <f>IF(AND(E67="yes",F67="yes",H67="covered"),1,IF(H67="partial",0.5,0))</f>
        <v/>
      </c>
    </row>
    <row r="68" ht="15" customHeight="1" s="60"/>
    <row r="69" ht="15" customHeight="1" s="60"/>
    <row r="70" ht="30" customHeight="1" s="60"/>
    <row r="71" ht="15" customHeight="1" s="60"/>
    <row r="72" ht="15" customHeight="1" s="60"/>
    <row r="73" ht="15" customHeight="1" s="60"/>
    <row r="74" ht="15" customHeight="1" s="60"/>
    <row r="75" ht="15" customHeight="1" s="60"/>
    <row r="76" ht="30" customHeight="1" s="60"/>
    <row r="77" ht="15" customHeight="1" s="60"/>
    <row r="78" ht="15" customHeight="1" s="60"/>
    <row r="79" ht="15" customHeight="1" s="60"/>
    <row r="80" ht="15" customHeight="1" s="60"/>
    <row r="81" ht="15" customHeight="1" s="60"/>
    <row r="82" ht="30" customHeight="1" s="60"/>
    <row r="83" ht="15" customHeight="1" s="60"/>
    <row r="84" ht="15" customHeight="1" s="60"/>
    <row r="85" ht="15" customHeight="1" s="60"/>
    <row r="86" ht="15" customHeight="1" s="60"/>
    <row r="87" ht="15" customHeight="1" s="60"/>
    <row r="88" ht="30" customHeight="1" s="60"/>
    <row r="89" ht="15" customHeight="1" s="60"/>
    <row r="90" ht="15" customHeight="1" s="60"/>
    <row r="91" ht="15" customHeight="1" s="60"/>
    <row r="92" ht="15" customHeight="1" s="60"/>
    <row r="93" ht="15" customHeight="1" s="60"/>
    <row r="94" ht="30" customHeight="1" s="60"/>
    <row r="95" ht="15" customHeight="1" s="60"/>
    <row r="96" ht="15" customHeight="1" s="60"/>
    <row r="97" ht="15" customHeight="1" s="60"/>
    <row r="98" ht="15" customHeight="1" s="60"/>
    <row r="99" ht="15" customHeight="1" s="60"/>
    <row r="100" ht="30" customHeight="1" s="60"/>
    <row r="101" ht="15" customHeight="1" s="60"/>
    <row r="102" ht="15" customHeight="1" s="60"/>
    <row r="103" ht="15" customHeight="1" s="60"/>
    <row r="104" ht="15" customHeight="1" s="60"/>
    <row r="105" ht="15" customHeight="1" s="60"/>
    <row r="106" ht="15" customHeight="1" s="60"/>
    <row r="107" ht="15" customHeight="1" s="60"/>
    <row r="108" ht="15" customHeight="1" s="60"/>
    <row r="109" ht="15" customHeight="1" s="60"/>
    <row r="110" ht="15" customHeight="1" s="60"/>
    <row r="111" ht="15" customHeight="1" s="60"/>
    <row r="112" ht="15" customHeight="1" s="60"/>
    <row r="113" ht="15" customHeight="1" s="60"/>
    <row r="114" ht="15" customHeight="1" s="60"/>
    <row r="115" ht="15" customHeight="1" s="60"/>
    <row r="116" ht="15" customHeight="1" s="60"/>
    <row r="117" ht="15" customHeight="1" s="60"/>
    <row r="118" ht="15" customHeight="1" s="60"/>
    <row r="119" ht="15" customHeight="1" s="60"/>
    <row r="120" ht="15" customHeight="1" s="60"/>
    <row r="121" ht="15" customHeight="1" s="60"/>
    <row r="122" ht="15" customHeight="1" s="60"/>
    <row r="123" ht="15" customHeight="1" s="60"/>
    <row r="124" ht="15" customHeight="1" s="60"/>
    <row r="125" ht="15" customHeight="1" s="60"/>
    <row r="126" ht="15" customHeight="1" s="60"/>
    <row r="127" ht="15" customHeight="1" s="60"/>
    <row r="128" ht="15" customHeight="1" s="60"/>
    <row r="129" ht="15" customHeight="1" s="60"/>
    <row r="130" ht="15" customHeight="1" s="60"/>
    <row r="131" ht="15" customHeight="1" s="60"/>
    <row r="132" ht="15" customHeight="1" s="60"/>
    <row r="133" ht="15" customHeight="1" s="60"/>
    <row r="134" ht="15" customHeight="1" s="60"/>
    <row r="135" ht="15" customHeight="1" s="60"/>
    <row r="136" ht="15" customHeight="1" s="60"/>
    <row r="137" ht="15" customHeight="1" s="60"/>
    <row r="138" ht="15" customHeight="1" s="60"/>
    <row r="139" ht="15" customHeight="1" s="60"/>
    <row r="140" ht="30" customHeight="1" s="60"/>
    <row r="141" ht="30" customHeight="1" s="60"/>
    <row r="142" ht="30" customHeight="1" s="60"/>
    <row r="143" ht="30" customHeight="1" s="60"/>
    <row r="144" ht="30" customHeight="1" s="60"/>
    <row r="145" ht="30" customHeight="1" s="60"/>
    <row r="146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K11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Modal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Modal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Modal playground scenario.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Modal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Modal playground scenario.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Modal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Modal playground scenario.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Modal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Modal playground scenario.</t>
        </is>
      </c>
      <c r="J14" s="5" t="inlineStr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Modal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Modal playground scenario.</t>
        </is>
      </c>
      <c r="J15" s="5" t="inlineStr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Modal</t>
        </is>
      </c>
      <c r="D16" s="5" t="inlineStr">
        <is>
          <t>Escape-key and backdrop dismissal controls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Modal playground scenario.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Modal</t>
        </is>
      </c>
      <c r="D17" s="5" t="inlineStr">
        <is>
          <t>Stack-aware Escape dismissal so nested overlays close before the parent modal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Modal playground scenario.</t>
        </is>
      </c>
      <c r="J17" s="5" t="inlineStr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Modal</t>
        </is>
      </c>
      <c r="D18" s="5" t="inlineStr">
        <is>
          <t>Focus trap, focus restore, scroll lock, and initial focus management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Modal playground scenario.</t>
        </is>
      </c>
      <c r="J18" s="5" t="inlineStr"/>
      <c r="K18" s="6">
        <f>IF(AND(E18="yes",F18="yes",H18="covered"),1,IF(H18="partial",0.5,0))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Modal</t>
        </is>
      </c>
      <c r="D19" s="5" t="inlineStr">
        <is>
          <t>Optional keep-mounted content support through `useModalContent`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Modal playground scenario.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Modal</t>
        </is>
      </c>
      <c r="D20" s="5" t="inlineStr">
        <is>
          <t>Close reasons for action, cancel, backdrop, Escape, and close-button flows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Modal playground scenario.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Modal</t>
        </is>
      </c>
      <c r="D21" s="5" t="inlineStr">
        <is>
          <t>Live DOM shows Modal remains headless: no Atom-owned visual classes, icons, or animation DOM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Modal playground scenario.</t>
        </is>
      </c>
      <c r="J21" s="5" t="inlineStr">
        <is>
          <t>Rewritten from package-level headless characterization to playground-verifiable DOM/Source evidence.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Root provider state is represented without a fake DOM selector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Modal playground scenario.</t>
        </is>
      </c>
      <c r="J22" s="5" t="inlineStr">
        <is>
          <t>Rewritten because Modal.Root renders no DOM element.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Source shows Root wrapping Trigger and Portal in documented order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Modal playground scenario.</t>
        </is>
      </c>
      <c r="J23" s="5" t="inlineStr">
        <is>
          <t>Rewritten because Modal.Root renders no DOM element.</t>
        </is>
      </c>
      <c r="K23" s="6">
        <f>IF(AND(E23="yes",F23="yes",H23="covered"),1,IF(H23="partial",0.5,0))</f>
        <v/>
      </c>
    </row>
    <row r="24" ht="30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Root has no default DOM tag and Anatomy shows provider state only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Modal playground scenario.</t>
        </is>
      </c>
      <c r="J24" s="5" t="inlineStr">
        <is>
          <t>Rewritten because Modal.Root renders no DOM element.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Root has no data-slot because it renders no DOM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Modal playground scenario.</t>
        </is>
      </c>
      <c r="J25" s="5" t="inlineStr">
        <is>
          <t>Rewritten because Modal.Root renders no DOM element.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Root props are verified through behavior, Source, and Anatomy state rows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Modal playground scenario.</t>
        </is>
      </c>
      <c r="J26" s="5" t="inlineStr">
        <is>
          <t>Rewritten because Modal.Root has no native DOM passthrough surface.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Refs</t>
        </is>
      </c>
      <c r="C27" s="5" t="inlineStr">
        <is>
          <t>Root</t>
        </is>
      </c>
      <c r="D27" s="5" t="inlineStr">
        <is>
          <t>No Root DOM ref row is tracked because Root renders no element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Modal playground scenario.</t>
        </is>
      </c>
      <c r="J27" s="5" t="inlineStr">
        <is>
          <t>Rewritten because Modal.Root has no rendered element ref target.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open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Modal playground scenario.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defaultOpen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Modal playground scenario.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onOpenChange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Modal playground scenario.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closeOnEscape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Modal playground scenario.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closeOnBackdropClick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Modal playground scenario.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Modal playground scenario.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keepMounted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Modal playground scenario.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Portal</t>
        </is>
      </c>
      <c r="D35" s="5" t="inlineStr">
        <is>
          <t>Portal behavior renders content/backdrop evidence under the Portal section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Modal playground scenario.</t>
        </is>
      </c>
      <c r="J35" s="5" t="inlineStr">
        <is>
          <t>Rewritten because Modal.Portal renders no own Atom DOM element.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Portal</t>
        </is>
      </c>
      <c r="D36" s="5" t="inlineStr">
        <is>
          <t>Source shows Portal in documented order after Trigger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Modal playground scenario.</t>
        </is>
      </c>
      <c r="J36" s="5" t="inlineStr">
        <is>
          <t>Rewritten because Modal.Portal renders no own Atom DOM element.</t>
        </is>
      </c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Portal</t>
        </is>
      </c>
      <c r="D37" s="5" t="inlineStr">
        <is>
          <t>Portal has no default DOM tag; rendered content parent is verified instead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Modal playground scenario.</t>
        </is>
      </c>
      <c r="J37" s="5" t="inlineStr">
        <is>
          <t>Rewritten because Modal.Portal renders no own Atom DOM element.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Portal</t>
        </is>
      </c>
      <c r="D38" s="5" t="inlineStr">
        <is>
          <t>Portal has no data-slot because it renders no own DOM element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Modal playground scenario.</t>
        </is>
      </c>
      <c r="J38" s="5" t="inlineStr">
        <is>
          <t>Rewritten because Modal.Portal renders no own Atom DOM element.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Portal</t>
        </is>
      </c>
      <c r="D39" s="5" t="inlineStr">
        <is>
          <t>Portal disabled and container props are verified through content parent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Modal playground scenario.</t>
        </is>
      </c>
      <c r="J39" s="5" t="inlineStr">
        <is>
          <t>Rewritten because Modal.Portal has no native DOM passthrough surface.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Portal</t>
        </is>
      </c>
      <c r="D40" s="5" t="inlineStr">
        <is>
          <t>No Portal DOM ref row is tracked because Portal renders no own element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Modal playground scenario.</t>
        </is>
      </c>
      <c r="J40" s="5" t="inlineStr">
        <is>
          <t>Rewritten because Modal.Portal has no rendered element ref target.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Positioning</t>
        </is>
      </c>
      <c r="C41" s="5" t="inlineStr">
        <is>
          <t>Portal</t>
        </is>
      </c>
      <c r="D41" s="5" t="inlineStr">
        <is>
          <t>container prop renders content into the custom container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Modal playground scenario.</t>
        </is>
      </c>
      <c r="J41" s="5" t="inlineStr">
        <is>
          <t>Rewritten to exact playground-verifiable portal behavior.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Portal</t>
        </is>
      </c>
      <c r="D42" s="5" t="inlineStr">
        <is>
          <t>disabled prop renders content inline instead of portalling to body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Modal playground scenario.</t>
        </is>
      </c>
      <c r="J42" s="5" t="inlineStr">
        <is>
          <t>Rewritten to exact playground-verifiable portal behavior.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Anatomy</t>
        </is>
      </c>
      <c r="C43" s="5" t="inlineStr">
        <is>
          <t>Trigger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Modal playground scenario.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Trigger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Modal playground scenario.</t>
        </is>
      </c>
      <c r="J44" s="5" t="inlineStr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Trigger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Modal playground scenario.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Identity</t>
        </is>
      </c>
      <c r="C46" s="5" t="inlineStr">
        <is>
          <t>Trigger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Modal playground scenario.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Props</t>
        </is>
      </c>
      <c r="C47" s="5" t="inlineStr">
        <is>
          <t>Trigger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Modal playground scenario.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Refs</t>
        </is>
      </c>
      <c r="C48" s="5" t="inlineStr">
        <is>
          <t>Trigger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Modal playground scenario.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Trigger</t>
        </is>
      </c>
      <c r="D49" s="5" t="inlineStr">
        <is>
          <t>asChild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Modal playground scenario.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Trigger</t>
        </is>
      </c>
      <c r="D50" s="5" t="inlineStr">
        <is>
          <t>render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Modal playground scenario.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Trigger</t>
        </is>
      </c>
      <c r="D51" s="5" t="inlineStr">
        <is>
          <t>data-slot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Modal playground scenario.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Trigger</t>
        </is>
      </c>
      <c r="D52" s="5" t="inlineStr">
        <is>
          <t>[data-slot]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Modal playground scenario.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Trigger</t>
        </is>
      </c>
      <c r="D53" s="5" t="inlineStr">
        <is>
          <t>[data-state]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Modal playground scenario.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Trigger</t>
        </is>
      </c>
      <c r="D54" s="5" t="inlineStr">
        <is>
          <t>[data-disabled]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Modal playground scenario.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Title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Modal playground scenario.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Title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Modal playground scenario.</t>
        </is>
      </c>
      <c r="J56" s="5" t="inlineStr"/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Title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Modal playground scenario.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Title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Modal playground scenario.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Title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Modal playground scenario.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Title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Modal playground scenario.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Title</t>
        </is>
      </c>
      <c r="D61" s="5" t="inlineStr">
        <is>
          <t>as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Modal playground scenario.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Title</t>
        </is>
      </c>
      <c r="D62" s="5" t="inlineStr">
        <is>
          <t>data-slot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Modal playground scenario.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Title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Modal playground scenario.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Description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Modal playground scenario.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Description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Modal playground scenario.</t>
        </is>
      </c>
      <c r="J65" s="5" t="inlineStr"/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Identity</t>
        </is>
      </c>
      <c r="C66" s="5" t="inlineStr">
        <is>
          <t>Description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Modal playground scenario.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Description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Modal playground scenario.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Description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Modal playground scenario.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Refs</t>
        </is>
      </c>
      <c r="C69" s="5" t="inlineStr">
        <is>
          <t>Description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Modal playground scenario.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Description</t>
        </is>
      </c>
      <c r="D70" s="5" t="inlineStr">
        <is>
          <t>data-slot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Modal playground scenario.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Description</t>
        </is>
      </c>
      <c r="D71" s="5" t="inlineStr">
        <is>
          <t>[data-slot]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Modal playground scenario.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Close</t>
        </is>
      </c>
      <c r="D72" s="5" t="inlineStr">
        <is>
          <t>renders correct part when expected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Modal playground scenario.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Anatomy</t>
        </is>
      </c>
      <c r="C73" s="5" t="inlineStr">
        <is>
          <t>Close</t>
        </is>
      </c>
      <c r="D73" s="5" t="inlineStr">
        <is>
          <t>appears in documented order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Modal playground scenario.</t>
        </is>
      </c>
      <c r="J73" s="5" t="inlineStr"/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Identity</t>
        </is>
      </c>
      <c r="C74" s="5" t="inlineStr">
        <is>
          <t>Close</t>
        </is>
      </c>
      <c r="D74" s="5" t="inlineStr">
        <is>
          <t>default tag is visible in Anatomy/Inspector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Modal playground scenario.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Identity</t>
        </is>
      </c>
      <c r="C75" s="5" t="inlineStr">
        <is>
          <t>Close</t>
        </is>
      </c>
      <c r="D75" s="5" t="inlineStr">
        <is>
          <t>data-slot is present and correct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Modal playground scenario.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Props</t>
        </is>
      </c>
      <c r="C76" s="5" t="inlineStr">
        <is>
          <t>Close</t>
        </is>
      </c>
      <c r="D76" s="5" t="inlineStr">
        <is>
          <t>non-Atom native props pass through with data-prop-check marker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Modal playground scenario.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Refs</t>
        </is>
      </c>
      <c r="C77" s="5" t="inlineStr">
        <is>
          <t>Close</t>
        </is>
      </c>
      <c r="D77" s="5" t="inlineStr">
        <is>
          <t>consumer ref receives the rendered element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Modal playground scenario.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Close</t>
        </is>
      </c>
      <c r="D78" s="5" t="inlineStr">
        <is>
          <t>asChild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Modal playground scenario.</t>
        </is>
      </c>
      <c r="J78" s="5" t="inlineStr">
        <is>
          <t>Rewritten from non-Close keyboard behavior to public Close composition coverage.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Composition</t>
        </is>
      </c>
      <c r="C79" s="5" t="inlineStr">
        <is>
          <t>Close</t>
        </is>
      </c>
      <c r="D79" s="5" t="inlineStr">
        <is>
          <t>render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Modal playground scenario.</t>
        </is>
      </c>
      <c r="J79" s="5" t="inlineStr">
        <is>
          <t>Rewritten from non-Close keyboard behavior to public Close composition coverage.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Composition</t>
        </is>
      </c>
      <c r="C80" s="5" t="inlineStr">
        <is>
          <t>Close</t>
        </is>
      </c>
      <c r="D80" s="5" t="inlineStr">
        <is>
          <t>consumer click preventDefault blocks close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Modal playground scenario.</t>
        </is>
      </c>
      <c r="J80" s="5" t="inlineStr">
        <is>
          <t>Rewritten from non-Close keyboard behavior to public Close click composition coverage.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aria-controls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Modal playground scenario.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aria-describedby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Modal playground scenario.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ARIA</t>
        </is>
      </c>
      <c r="C83" s="5" t="inlineStr">
        <is>
          <t>Live DOM</t>
        </is>
      </c>
      <c r="D83" s="5" t="inlineStr">
        <is>
          <t>aria-disabled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Modal playground scenario.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aria-expanded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Modal playground scenario.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aria-haspopup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Modal playground scenario.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aria-label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Modal playground scenario.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aria-labelledby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Modal playground scenario.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ARIA</t>
        </is>
      </c>
      <c r="C88" s="5" t="inlineStr">
        <is>
          <t>Live DOM</t>
        </is>
      </c>
      <c r="D88" s="5" t="inlineStr">
        <is>
          <t>aria-modal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Modal playground scenario.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data-disabled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Modal playground scenario.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data-slot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Modal playground scenario.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data-state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Modal playground scenario.</t>
        </is>
      </c>
      <c r="J91" s="5" t="inlineStr"/>
      <c r="K91" s="6">
        <f>IF(AND(E91="yes",F91="yes",H91="covered"),1,IF(H91="partial",0.5,0))</f>
        <v/>
      </c>
    </row>
    <row r="92" ht="30" customHeight="1" s="60">
      <c r="A92" s="4" t="n">
        <v>84</v>
      </c>
      <c r="B92" s="5" t="inlineStr">
        <is>
          <t>Composition</t>
        </is>
      </c>
      <c r="C92" s="5" t="inlineStr">
        <is>
          <t>Trigger</t>
        </is>
      </c>
      <c r="D92" s="5" t="inlineStr">
        <is>
          <t>asChild preserves child content without double nesting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Modal playground scenario.</t>
        </is>
      </c>
      <c r="J92" s="5" t="inlineStr">
        <is>
          <t>Rewritten from broad Modal composition to Trigger-specific composition coverage.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Composition</t>
        </is>
      </c>
      <c r="C93" s="5" t="inlineStr">
        <is>
          <t>Trigger</t>
        </is>
      </c>
      <c r="D93" s="5" t="inlineStr">
        <is>
          <t>asChild merges Atom props and consumer props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Modal playground scenario.</t>
        </is>
      </c>
      <c r="J93" s="5" t="inlineStr">
        <is>
          <t>Rewritten from broad Modal composition to Trigger-specific composition coverage.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Trigger</t>
        </is>
      </c>
      <c r="D94" s="5" t="inlineStr">
        <is>
          <t>consumer click preventDefault blocks open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Modal playground scenario.</t>
        </is>
      </c>
      <c r="J94" s="5" t="inlineStr">
        <is>
          <t>Rewritten from broad Modal composition to Trigger-specific event composition coverage.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Close</t>
        </is>
      </c>
      <c r="D95" s="5" t="inlineStr">
        <is>
          <t>render prop renders custom close element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Modal playground scenario.</t>
        </is>
      </c>
      <c r="J95" s="5" t="inlineStr">
        <is>
          <t>Rewritten from broad Modal composition to Close-specific composition coverage.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Close</t>
        </is>
      </c>
      <c r="D96" s="5" t="inlineStr">
        <is>
          <t>render prop preserves refs and behavior props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Modal playground scenario.</t>
        </is>
      </c>
      <c r="J96" s="5" t="inlineStr">
        <is>
          <t>Rewritten from broad Modal composition to Close-specific composition coverage.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State</t>
        </is>
      </c>
      <c r="C97" s="5" t="inlineStr">
        <is>
          <t>Root</t>
        </is>
      </c>
      <c r="D97" s="5" t="inlineStr">
        <is>
          <t>controlled state path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Modal playground scenario.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uncontrolled default state path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Modal playground scenario.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State</t>
        </is>
      </c>
      <c r="C99" s="5" t="inlineStr">
        <is>
          <t>Root</t>
        </is>
      </c>
      <c r="D99" s="5" t="inlineStr">
        <is>
          <t>state change callback fires once with correct value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Modal playground scenario.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Interaction</t>
        </is>
      </c>
      <c r="C100" s="5" t="inlineStr">
        <is>
          <t>Trigger</t>
        </is>
      </c>
      <c r="D100" s="5" t="inlineStr">
        <is>
          <t>mouse click or pointer activation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Modal playground scenario.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Interaction</t>
        </is>
      </c>
      <c r="C101" s="5" t="inlineStr">
        <is>
          <t>Trigger</t>
        </is>
      </c>
      <c r="D101" s="5" t="inlineStr">
        <is>
          <t>Enter key activation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Modal playground scenario.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Interaction</t>
        </is>
      </c>
      <c r="C102" s="5" t="inlineStr">
        <is>
          <t>Trigger</t>
        </is>
      </c>
      <c r="D102" s="5" t="inlineStr">
        <is>
          <t>Space key activation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Modal playground scenario.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Interaction</t>
        </is>
      </c>
      <c r="C103" s="5" t="inlineStr">
        <is>
          <t>Trigger</t>
        </is>
      </c>
      <c r="D103" s="5" t="inlineStr">
        <is>
          <t>disabled trigger blocks pointer and keyboard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Modal playground scenario.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Focus</t>
        </is>
      </c>
      <c r="C104" s="5" t="inlineStr">
        <is>
          <t>Trigger</t>
        </is>
      </c>
      <c r="D104" s="5" t="inlineStr">
        <is>
          <t>focus ring and focus restoration are correct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Modal playground scenario.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Dismiss</t>
        </is>
      </c>
      <c r="C105" s="5" t="inlineStr">
        <is>
          <t>Modal</t>
        </is>
      </c>
      <c r="D105" s="5" t="inlineStr">
        <is>
          <t>Escape closes only the topmost active layer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Modal playground scenario.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Dismiss</t>
        </is>
      </c>
      <c r="C106" s="5" t="inlineStr">
        <is>
          <t>Modal</t>
        </is>
      </c>
      <c r="D106" s="5" t="inlineStr">
        <is>
          <t>outside click/interact closes when enabled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Modal playground scenario.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Dismiss</t>
        </is>
      </c>
      <c r="C107" s="5" t="inlineStr">
        <is>
          <t>Modal</t>
        </is>
      </c>
      <c r="D107" s="5" t="inlineStr">
        <is>
          <t>outside click/interact is blocked when disabled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Modal playground scenario.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Focus</t>
        </is>
      </c>
      <c r="C108" s="5" t="inlineStr">
        <is>
          <t>Modal</t>
        </is>
      </c>
      <c r="D108" s="5" t="inlineStr">
        <is>
          <t>focus returns to the correct trigger/anchor after close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Modal playground scenario.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Focus</t>
        </is>
      </c>
      <c r="C109" s="5" t="inlineStr">
        <is>
          <t>Modal</t>
        </is>
      </c>
      <c r="D109" s="5" t="inlineStr">
        <is>
          <t>nested overlays keep focus and Escape order correct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Modal playground scenario.</t>
        </is>
      </c>
      <c r="J109" s="5" t="inlineStr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Mobile</t>
        </is>
      </c>
      <c r="C110" s="5" t="inlineStr">
        <is>
          <t>Modal</t>
        </is>
      </c>
      <c r="D110" s="5" t="inlineStr">
        <is>
          <t>mobile viewport/touch behavior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Modal playground scenario.</t>
        </is>
      </c>
      <c r="J110" s="5" t="inlineStr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Portal</t>
        </is>
      </c>
      <c r="C111" s="5" t="inlineStr">
        <is>
          <t>Modal</t>
        </is>
      </c>
      <c r="D111" s="5" t="inlineStr">
        <is>
          <t>portal renders in body by default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Modal playground scenario.</t>
        </is>
      </c>
      <c r="J111" s="5" t="inlineStr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Portal</t>
        </is>
      </c>
      <c r="C112" s="5" t="inlineStr">
        <is>
          <t>Modal</t>
        </is>
      </c>
      <c r="D112" s="5" t="inlineStr">
        <is>
          <t>custom/disabled portal path works where supported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Modal playground scenario.</t>
        </is>
      </c>
      <c r="J112" s="5" t="inlineStr"/>
      <c r="K112" s="6">
        <f>IF(AND(E112="yes",F112="yes",H112="covered"),1,IF(H112="partial",0.5,0))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15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NavList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manual-tests/navlist.md Step 0, Step 10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manual-tests/navlist.md part steps and Step 10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NavList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manual-tests/navlist.md Step 0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NavList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manual-tests/navlist.md Step 10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NavList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manual-tests/navlist.md Steps 2-9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NavList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manual-tests/navlist.md Step 11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NavList</t>
        </is>
      </c>
      <c r="D15" s="5" t="inlineStr">
        <is>
          <t>renders native nav, section, list, listitem, and anchor semantics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manual-tests/navlist.md Steps 0, 2-9</t>
        </is>
      </c>
      <c r="J15" s="5" t="inlineStr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NavList</t>
        </is>
      </c>
      <c r="D16" s="5" t="inlineStr">
        <is>
          <t>supports active/current link state with data-active, data-current, and aria-current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manual-tests/navlist.md Step 1 and Step 9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NavList</t>
        </is>
      </c>
      <c r="D17" s="5" t="inlineStr">
        <is>
          <t>supports collapsible sections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manual-tests/navlist.md Step 1, Step 5, Step 6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NavList</t>
        </is>
      </c>
      <c r="D18" s="5" t="inlineStr">
        <is>
          <t>supports controlled section open state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manual-tests/navlist.md Step 1 and Step 6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NavList</t>
        </is>
      </c>
      <c r="D19" s="5" t="inlineStr">
        <is>
          <t>supports uncontrolled defaultOpen section state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manual-tests/navlist.md Step 1 and Step 3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NavList</t>
        </is>
      </c>
      <c r="D20" s="5" t="inlineStr">
        <is>
          <t>supports vertical and horizontal orientation metadata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manual-tests/navlist.md Step 1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NavList</t>
        </is>
      </c>
      <c r="D21" s="5" t="inlineStr">
        <is>
          <t>horizontal orientation has minimal visual row styling driven by data-orientation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manual-tests/navlist.md Step 1</t>
        </is>
      </c>
      <c r="J21" s="5" t="inlineStr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Feature</t>
        </is>
      </c>
      <c r="C22" s="5" t="inlineStr">
        <is>
          <t>NavList</t>
        </is>
      </c>
      <c r="D22" s="5" t="inlineStr">
        <is>
          <t>keeps route behavior in consumer links while Atom owns ARIA and data attributes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manual-tests/navlist.md Step 9</t>
        </is>
      </c>
      <c r="J22" s="5" t="inlineStr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Feature</t>
        </is>
      </c>
      <c r="C23" s="5" t="inlineStr">
        <is>
          <t>NavList</t>
        </is>
      </c>
      <c r="D23" s="5" t="inlineStr">
        <is>
          <t>uses native Tab focus, not tree/menu roving focus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manual-tests/navlist.md Step 12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public anatomy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manual-tests/navlist.md Step 0 and Step 2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nav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manual-tests/navlist.md Step 2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defaults to nav-list and custom slot override works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manual-tests/navlist.md Step 2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Data</t>
        </is>
      </c>
      <c r="C27" s="5" t="inlineStr">
        <is>
          <t>Root</t>
        </is>
      </c>
      <c r="D27" s="5" t="inlineStr">
        <is>
          <t>data-orientation reflects vertical and horizontal modes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manual-tests/navlist.md Step 1 and Step 2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Props</t>
        </is>
      </c>
      <c r="C28" s="5" t="inlineStr">
        <is>
          <t>Root</t>
        </is>
      </c>
      <c r="D28" s="5" t="inlineStr">
        <is>
          <t>native props pass through with data-prop-check marker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manual-tests/navlist.md Step 2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Refs</t>
        </is>
      </c>
      <c r="C29" s="5" t="inlineStr">
        <is>
          <t>Root</t>
        </is>
      </c>
      <c r="D29" s="5" t="inlineStr">
        <is>
          <t>consumer ref receives the rendered element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manual-tests/navlist.md Step 2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Composition</t>
        </is>
      </c>
      <c r="C30" s="5" t="inlineStr">
        <is>
          <t>Root</t>
        </is>
      </c>
      <c r="D30" s="5" t="inlineStr">
        <is>
          <t>default, asChild, and render composition work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manual-tests/navlist.md Step 2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Section</t>
        </is>
      </c>
      <c r="D31" s="5" t="inlineStr">
        <is>
          <t>appears after Root in public anatomy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manual-tests/navlist.md Step 0 and Step 3</t>
        </is>
      </c>
      <c r="J31" s="5" t="inlineStr"/>
      <c r="K31" s="6">
        <f>IF(AND(E31="yes",F31="yes",H31="covered"),1,IF(H31="partial",0.5,0))</f>
        <v/>
      </c>
    </row>
    <row r="32" ht="30" customHeight="1" s="60">
      <c r="A32" s="4" t="n">
        <v>24</v>
      </c>
      <c r="B32" s="5" t="inlineStr">
        <is>
          <t>Identity</t>
        </is>
      </c>
      <c r="C32" s="5" t="inlineStr">
        <is>
          <t>Section</t>
        </is>
      </c>
      <c r="D32" s="5" t="inlineStr">
        <is>
          <t>default tag is section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manual-tests/navlist.md Step 3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Identity</t>
        </is>
      </c>
      <c r="C33" s="5" t="inlineStr">
        <is>
          <t>Section</t>
        </is>
      </c>
      <c r="D33" s="5" t="inlineStr">
        <is>
          <t>data-slot defaults to nav-list-section and custom slot override works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manual-tests/navlist.md Step 3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Data</t>
        </is>
      </c>
      <c r="C34" s="5" t="inlineStr">
        <is>
          <t>Section</t>
        </is>
      </c>
      <c r="D34" s="5" t="inlineStr">
        <is>
          <t>data-state and data-collapsible reflect open/closed collapsible state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manual-tests/navlist.md Step 1 and Step 3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Section</t>
        </is>
      </c>
      <c r="D35" s="5" t="inlineStr">
        <is>
          <t>controlled open prop behavior works through toolbar Open and Close actions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manual-tests/navlist.md Step 1 and Step 6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Section</t>
        </is>
      </c>
      <c r="D36" s="5" t="inlineStr">
        <is>
          <t>defaultOpen uncontrolled behavior works through Default Open remount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manual-tests/navlist.md Step 1 and Step 3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Section</t>
        </is>
      </c>
      <c r="D37" s="5" t="inlineStr">
        <is>
          <t>onOpenChange logs section opened/closed changes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manual-tests/navlist.md Step 1, Step 5, Step 11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Section</t>
        </is>
      </c>
      <c r="D38" s="5" t="inlineStr">
        <is>
          <t>disabled section disables the Project trigger and exposes disabled data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manual-tests/navlist.md Step 1</t>
        </is>
      </c>
      <c r="J38" s="5" t="inlineStr"/>
      <c r="K38" s="6">
        <f>IF(AND(E38="yes",F38="yes",H38="covered"),1,IF(H38="partial",0.5,0))</f>
        <v/>
      </c>
    </row>
    <row r="39" ht="30" customHeight="1" s="60">
      <c r="A39" s="4" t="n">
        <v>31</v>
      </c>
      <c r="B39" s="5" t="inlineStr">
        <is>
          <t>Props</t>
        </is>
      </c>
      <c r="C39" s="5" t="inlineStr">
        <is>
          <t>Section</t>
        </is>
      </c>
      <c r="D39" s="5" t="inlineStr">
        <is>
          <t>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manual-tests/navlist.md Step 3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Section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manual-tests/navlist.md Step 3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Section</t>
        </is>
      </c>
      <c r="D41" s="5" t="inlineStr">
        <is>
          <t>default, asChild, and render composition work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manual-tests/navlist.md Step 3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SectionLabel</t>
        </is>
      </c>
      <c r="D42" s="5" t="inlineStr">
        <is>
          <t>appears before SectionTrigger in public anatomy order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manual-tests/navlist.md Step 0 and Step 4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SectionLabel</t>
        </is>
      </c>
      <c r="D43" s="5" t="inlineStr">
        <is>
          <t>default scenario tag is h3 and composed tag can change to h4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manual-tests/navlist.md Step 4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SectionLabel</t>
        </is>
      </c>
      <c r="D44" s="5" t="inlineStr">
        <is>
          <t>data-slot defaults to nav-list-section-label and custom slot override works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manual-tests/navlist.md Step 4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ARIA</t>
        </is>
      </c>
      <c r="C45" s="5" t="inlineStr">
        <is>
          <t>SectionLabel</t>
        </is>
      </c>
      <c r="D45" s="5" t="inlineStr">
        <is>
          <t>SectionContent aria-labelledby can reference the label id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manual-tests/navlist.md Step 4 and Step 6</t>
        </is>
      </c>
      <c r="J45" s="5" t="inlineStr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Props</t>
        </is>
      </c>
      <c r="C46" s="5" t="inlineStr">
        <is>
          <t>SectionLabel</t>
        </is>
      </c>
      <c r="D46" s="5" t="inlineStr">
        <is>
          <t>native props pass through with data-prop-check marker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manual-tests/navlist.md Step 4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Refs</t>
        </is>
      </c>
      <c r="C47" s="5" t="inlineStr">
        <is>
          <t>SectionLabel</t>
        </is>
      </c>
      <c r="D47" s="5" t="inlineStr">
        <is>
          <t>consumer ref receives the rendered element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manual-tests/navlist.md Step 4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Composition</t>
        </is>
      </c>
      <c r="C48" s="5" t="inlineStr">
        <is>
          <t>SectionLabel</t>
        </is>
      </c>
      <c r="D48" s="5" t="inlineStr">
        <is>
          <t>default, asChild, and render composition work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manual-tests/navlist.md Step 4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SectionTrigger</t>
        </is>
      </c>
      <c r="D49" s="5" t="inlineStr">
        <is>
          <t>appears after SectionLabel in public anatomy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manual-tests/navlist.md Step 0 and Step 5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SectionTrigger</t>
        </is>
      </c>
      <c r="D50" s="5" t="inlineStr">
        <is>
          <t>default tag is button with type button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manual-tests/navlist.md Step 5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SectionTrigger</t>
        </is>
      </c>
      <c r="D51" s="5" t="inlineStr">
        <is>
          <t>data-slot defaults to nav-list-section-trigger and custom slot override works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manual-tests/navlist.md Step 5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Data</t>
        </is>
      </c>
      <c r="C52" s="5" t="inlineStr">
        <is>
          <t>SectionTrigger</t>
        </is>
      </c>
      <c r="D52" s="5" t="inlineStr">
        <is>
          <t>data-state, data-collapsible, and data-disabled reflect section state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manual-tests/navlist.md Step 1 and Step 5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SectionTrigger</t>
        </is>
      </c>
      <c r="D53" s="5" t="inlineStr">
        <is>
          <t>aria-expanded and aria-controls reflect collapsible content state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manual-tests/navlist.md Step 1 and Step 5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Keyboard</t>
        </is>
      </c>
      <c r="C54" s="5" t="inlineStr">
        <is>
          <t>SectionTrigger</t>
        </is>
      </c>
      <c r="D54" s="5" t="inlineStr">
        <is>
          <t>Space and Enter toggle the section when enabled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manual-tests/navlist.md Step 5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SectionTrigger</t>
        </is>
      </c>
      <c r="D55" s="5" t="inlineStr">
        <is>
          <t>disabled trigger cannot toggle the section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manual-tests/navlist.md Step 1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Props</t>
        </is>
      </c>
      <c r="C56" s="5" t="inlineStr">
        <is>
          <t>SectionTrigger</t>
        </is>
      </c>
      <c r="D56" s="5" t="inlineStr">
        <is>
          <t>native props pass through with data-prop-check marker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manual-tests/navlist.md Step 5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Refs</t>
        </is>
      </c>
      <c r="C57" s="5" t="inlineStr">
        <is>
          <t>SectionTrigger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manual-tests/navlist.md Step 5</t>
        </is>
      </c>
      <c r="J57" s="5" t="inlineStr"/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Composition</t>
        </is>
      </c>
      <c r="C58" s="5" t="inlineStr">
        <is>
          <t>SectionTrigger</t>
        </is>
      </c>
      <c r="D58" s="5" t="inlineStr">
        <is>
          <t>default, asChild, and render composition work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manual-tests/navlist.md Step 5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SectionContent</t>
        </is>
      </c>
      <c r="D59" s="5" t="inlineStr">
        <is>
          <t>appears after SectionTrigger in public anatomy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manual-tests/navlist.md Step 0 and Step 6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SectionContent</t>
        </is>
      </c>
      <c r="D60" s="5" t="inlineStr">
        <is>
          <t>default tag is div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manual-tests/navlist.md Step 6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SectionContent</t>
        </is>
      </c>
      <c r="D61" s="5" t="inlineStr">
        <is>
          <t>data-slot defaults to nav-list-section-content and custom slot override works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manual-tests/navlist.md Step 6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SectionContent</t>
        </is>
      </c>
      <c r="D62" s="5" t="inlineStr">
        <is>
          <t>data-state reflects open and closed states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manual-tests/navlist.md Step 6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ARIA</t>
        </is>
      </c>
      <c r="C63" s="5" t="inlineStr">
        <is>
          <t>SectionContent</t>
        </is>
      </c>
      <c r="D63" s="5" t="inlineStr">
        <is>
          <t>aria-labelledby matches SectionLabel id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manual-tests/navlist.md Step 6</t>
        </is>
      </c>
      <c r="J63" s="5" t="inlineStr"/>
      <c r="K63" s="6">
        <f>IF(AND(E63="yes",F63="yes",H63="covered"),1,IF(H63="partial",0.5,0))</f>
        <v/>
      </c>
    </row>
    <row r="64" ht="30" customHeight="1" s="60">
      <c r="A64" s="4" t="n">
        <v>56</v>
      </c>
      <c r="B64" s="5" t="inlineStr">
        <is>
          <t>State</t>
        </is>
      </c>
      <c r="C64" s="5" t="inlineStr">
        <is>
          <t>SectionContent</t>
        </is>
      </c>
      <c r="D64" s="5" t="inlineStr">
        <is>
          <t>closed uncontrolled content unmounts when forceMount is off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manual-tests/navlist.md Step 6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SectionContent</t>
        </is>
      </c>
      <c r="D65" s="5" t="inlineStr">
        <is>
          <t>forceMount keeps closed content mounted with hidden attribute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manual-tests/navlist.md Step 1 and Step 6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Props</t>
        </is>
      </c>
      <c r="C66" s="5" t="inlineStr">
        <is>
          <t>SectionContent</t>
        </is>
      </c>
      <c r="D66" s="5" t="inlineStr">
        <is>
          <t>native props pass through with data-prop-check marker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manual-tests/navlist.md Step 6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Refs</t>
        </is>
      </c>
      <c r="C67" s="5" t="inlineStr">
        <is>
          <t>SectionContent</t>
        </is>
      </c>
      <c r="D67" s="5" t="inlineStr">
        <is>
          <t>consumer ref receives the rendered element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manual-tests/navlist.md Step 6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Composition</t>
        </is>
      </c>
      <c r="C68" s="5" t="inlineStr">
        <is>
          <t>SectionContent</t>
        </is>
      </c>
      <c r="D68" s="5" t="inlineStr">
        <is>
          <t>default, asChild, and render composition work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manual-tests/navlist.md Step 6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List</t>
        </is>
      </c>
      <c r="D69" s="5" t="inlineStr">
        <is>
          <t>appears inside SectionContent in public anatomy order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manual-tests/navlist.md Step 0 and Step 7</t>
        </is>
      </c>
      <c r="J69" s="5" t="inlineStr"/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Identity</t>
        </is>
      </c>
      <c r="C70" s="5" t="inlineStr">
        <is>
          <t>List</t>
        </is>
      </c>
      <c r="D70" s="5" t="inlineStr">
        <is>
          <t>default tag is ul and ordered tag is ol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manual-tests/navlist.md Step 7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List</t>
        </is>
      </c>
      <c r="D71" s="5" t="inlineStr">
        <is>
          <t>data-slot defaults to nav-list-list and custom slot override works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manual-tests/navlist.md Step 7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List</t>
        </is>
      </c>
      <c r="D72" s="5" t="inlineStr">
        <is>
          <t>data-orientation and data-ordered reflect toolbar state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manual-tests/navlist.md Step 1 and Step 7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Props</t>
        </is>
      </c>
      <c r="C73" s="5" t="inlineStr">
        <is>
          <t>List</t>
        </is>
      </c>
      <c r="D73" s="5" t="inlineStr">
        <is>
          <t>native props pass through with data-prop-check marker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manual-tests/navlist.md Step 7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Refs</t>
        </is>
      </c>
      <c r="C74" s="5" t="inlineStr">
        <is>
          <t>List</t>
        </is>
      </c>
      <c r="D74" s="5" t="inlineStr">
        <is>
          <t>consumer ref receives the rendered element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manual-tests/navlist.md Step 7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Composition</t>
        </is>
      </c>
      <c r="C75" s="5" t="inlineStr">
        <is>
          <t>List</t>
        </is>
      </c>
      <c r="D75" s="5" t="inlineStr">
        <is>
          <t>default, asChild, and render composition work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manual-tests/navlist.md Step 7</t>
        </is>
      </c>
      <c r="J75" s="5" t="inlineStr"/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Anatomy</t>
        </is>
      </c>
      <c r="C76" s="5" t="inlineStr">
        <is>
          <t>Item</t>
        </is>
      </c>
      <c r="D76" s="5" t="inlineStr">
        <is>
          <t>each Item is immediately followed by its child Link in Anatomy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manual-tests/navlist.md Step 0 and Step 8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Identity</t>
        </is>
      </c>
      <c r="C77" s="5" t="inlineStr">
        <is>
          <t>Item</t>
        </is>
      </c>
      <c r="D77" s="5" t="inlineStr">
        <is>
          <t>default tag is li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manual-tests/navlist.md Step 8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Identity</t>
        </is>
      </c>
      <c r="C78" s="5" t="inlineStr">
        <is>
          <t>Item</t>
        </is>
      </c>
      <c r="D78" s="5" t="inlineStr">
        <is>
          <t>data-slot defaults to nav-list-item and custom slot override works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manual-tests/navlist.md Step 8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Item</t>
        </is>
      </c>
      <c r="D79" s="5" t="inlineStr">
        <is>
          <t>data-orientation and data-disabled reflect state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manual-tests/navlist.md Step 1 and Step 8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Props</t>
        </is>
      </c>
      <c r="C80" s="5" t="inlineStr">
        <is>
          <t>Item</t>
        </is>
      </c>
      <c r="D80" s="5" t="inlineStr">
        <is>
          <t>native props pass through with data-prop-check marker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manual-tests/navlist.md Step 8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Refs</t>
        </is>
      </c>
      <c r="C81" s="5" t="inlineStr">
        <is>
          <t>Item</t>
        </is>
      </c>
      <c r="D81" s="5" t="inlineStr">
        <is>
          <t>consumer ref receives the rendered element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manual-tests/navlist.md Step 8</t>
        </is>
      </c>
      <c r="J81" s="5" t="inlineStr"/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Composition</t>
        </is>
      </c>
      <c r="C82" s="5" t="inlineStr">
        <is>
          <t>Item</t>
        </is>
      </c>
      <c r="D82" s="5" t="inlineStr">
        <is>
          <t>default, asChild, and render composition work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manual-tests/navlist.md Step 8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Anatomy</t>
        </is>
      </c>
      <c r="C83" s="5" t="inlineStr">
        <is>
          <t>Link</t>
        </is>
      </c>
      <c r="D83" s="5" t="inlineStr">
        <is>
          <t>each Link appears immediately after its parent Item in Anatomy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manual-tests/navlist.md Step 0 and Step 9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Link</t>
        </is>
      </c>
      <c r="D84" s="5" t="inlineStr">
        <is>
          <t>default tag is a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manual-tests/navlist.md Step 9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Identity</t>
        </is>
      </c>
      <c r="C85" s="5" t="inlineStr">
        <is>
          <t>Link</t>
        </is>
      </c>
      <c r="D85" s="5" t="inlineStr">
        <is>
          <t>href is visible for enabled links and removed for disabled links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manual-tests/navlist.md Step 9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Identity</t>
        </is>
      </c>
      <c r="C86" s="5" t="inlineStr">
        <is>
          <t>Link</t>
        </is>
      </c>
      <c r="D86" s="5" t="inlineStr">
        <is>
          <t>data-slot defaults to nav-list-link and custom slot override works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manual-tests/navlist.md Step 9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Link</t>
        </is>
      </c>
      <c r="D87" s="5" t="inlineStr">
        <is>
          <t>active link exposes data-active and data-current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manual-tests/navlist.md Step 1 and Step 9</t>
        </is>
      </c>
      <c r="J87" s="5" t="inlineStr"/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ARIA</t>
        </is>
      </c>
      <c r="C88" s="5" t="inlineStr">
        <is>
          <t>Link</t>
        </is>
      </c>
      <c r="D88" s="5" t="inlineStr">
        <is>
          <t>active link exposes aria-current page, step, or location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manual-tests/navlist.md Step 1 and Step 9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ARIA</t>
        </is>
      </c>
      <c r="C89" s="5" t="inlineStr">
        <is>
          <t>Link</t>
        </is>
      </c>
      <c r="D89" s="5" t="inlineStr">
        <is>
          <t>disabled link exposes aria-disabled true and tabindex -1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manual-tests/navlist.md Step 1 and Step 9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State</t>
        </is>
      </c>
      <c r="C90" s="5" t="inlineStr">
        <is>
          <t>Link</t>
        </is>
      </c>
      <c r="D90" s="5" t="inlineStr">
        <is>
          <t>disabled link cannot become active and does not log active-link change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manual-tests/navlist.md Step 1 and Step 11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Props</t>
        </is>
      </c>
      <c r="C91" s="5" t="inlineStr">
        <is>
          <t>Link</t>
        </is>
      </c>
      <c r="D91" s="5" t="inlineStr">
        <is>
          <t>native props pass through with data-prop-check marker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manual-tests/navlist.md Step 9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Refs</t>
        </is>
      </c>
      <c r="C92" s="5" t="inlineStr">
        <is>
          <t>Link</t>
        </is>
      </c>
      <c r="D92" s="5" t="inlineStr">
        <is>
          <t>consumer ref receives the rendered element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manual-tests/navlist.md Step 9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Composition</t>
        </is>
      </c>
      <c r="C93" s="5" t="inlineStr">
        <is>
          <t>Link</t>
        </is>
      </c>
      <c r="D93" s="5" t="inlineStr">
        <is>
          <t>default, asChild, and render composition work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manual-tests/navlist.md Step 9</t>
        </is>
      </c>
      <c r="J93" s="5" t="inlineStr"/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Source</t>
        </is>
      </c>
      <c r="C94" s="5" t="inlineStr">
        <is>
          <t>NavList</t>
        </is>
      </c>
      <c r="D94" s="5" t="inlineStr">
        <is>
          <t>Source omits playground-only refs, classes, logs, and helper components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manual-tests/navlist.md Step 10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Inspector</t>
        </is>
      </c>
      <c r="C95" s="5" t="inlineStr">
        <is>
          <t>NavList</t>
        </is>
      </c>
      <c r="D95" s="5" t="inlineStr">
        <is>
          <t>Selected and Focused evidence update independently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manual-tests/navlist.md Step 11</t>
        </is>
      </c>
      <c r="J95" s="5" t="inlineStr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Logs</t>
        </is>
      </c>
      <c r="C96" s="5" t="inlineStr">
        <is>
          <t>NavList</t>
        </is>
      </c>
      <c r="D96" s="5" t="inlineStr">
        <is>
          <t>logs record active-link and section open changes only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manual-tests/navlist.md Step 11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/>
      <c r="B97" s="5" t="n"/>
      <c r="C97" s="5" t="n"/>
      <c r="D97" s="5" t="n"/>
      <c r="E97" s="7" t="n"/>
      <c r="F97" s="8" t="n"/>
      <c r="G97" s="4" t="n"/>
      <c r="H97" s="9" t="n"/>
      <c r="I97" s="5" t="n"/>
      <c r="J97" s="5" t="n"/>
      <c r="K97" s="6" t="n"/>
    </row>
    <row r="98" ht="15" customHeight="1" s="60">
      <c r="A98" s="4" t="n"/>
      <c r="B98" s="5" t="n"/>
      <c r="C98" s="5" t="n"/>
      <c r="D98" s="5" t="n"/>
      <c r="E98" s="7" t="n"/>
      <c r="F98" s="8" t="n"/>
      <c r="G98" s="4" t="n"/>
      <c r="H98" s="9" t="n"/>
      <c r="I98" s="5" t="n"/>
      <c r="J98" s="5" t="n"/>
      <c r="K98" s="6" t="n"/>
    </row>
    <row r="99" ht="15" customHeight="1" s="60">
      <c r="A99" s="4" t="n"/>
      <c r="B99" s="5" t="n"/>
      <c r="C99" s="5" t="n"/>
      <c r="D99" s="5" t="n"/>
      <c r="E99" s="7" t="n"/>
      <c r="F99" s="8" t="n"/>
      <c r="G99" s="4" t="n"/>
      <c r="H99" s="9" t="n"/>
      <c r="I99" s="5" t="n"/>
      <c r="J99" s="5" t="n"/>
      <c r="K99" s="6" t="n"/>
    </row>
    <row r="100" ht="30" customHeight="1" s="60">
      <c r="A100" s="4" t="n"/>
      <c r="B100" s="5" t="n"/>
      <c r="C100" s="5" t="n"/>
      <c r="D100" s="5" t="n"/>
      <c r="E100" s="7" t="n"/>
      <c r="F100" s="8" t="n"/>
      <c r="G100" s="4" t="n"/>
      <c r="H100" s="9" t="n"/>
      <c r="I100" s="5" t="n"/>
      <c r="J100" s="5" t="n"/>
      <c r="K100" s="6" t="n"/>
    </row>
    <row r="101" ht="15" customHeight="1" s="60">
      <c r="A101" s="4" t="n"/>
      <c r="B101" s="5" t="n"/>
      <c r="C101" s="5" t="n"/>
      <c r="D101" s="5" t="n"/>
      <c r="E101" s="7" t="n"/>
      <c r="F101" s="8" t="n"/>
      <c r="G101" s="4" t="n"/>
      <c r="H101" s="9" t="n"/>
      <c r="I101" s="5" t="n"/>
      <c r="J101" s="5" t="n"/>
      <c r="K101" s="6" t="n"/>
    </row>
    <row r="102" ht="15" customHeight="1" s="60">
      <c r="A102" s="4" t="n"/>
      <c r="B102" s="5" t="n"/>
      <c r="C102" s="5" t="n"/>
      <c r="D102" s="5" t="n"/>
      <c r="E102" s="7" t="n"/>
      <c r="F102" s="8" t="n"/>
      <c r="G102" s="4" t="n"/>
      <c r="H102" s="9" t="n"/>
      <c r="I102" s="5" t="n"/>
      <c r="J102" s="5" t="n"/>
      <c r="K102" s="6" t="n"/>
    </row>
    <row r="103" ht="15" customHeight="1" s="60">
      <c r="A103" s="4" t="n"/>
      <c r="B103" s="5" t="n"/>
      <c r="C103" s="5" t="n"/>
      <c r="D103" s="5" t="n"/>
      <c r="E103" s="7" t="n"/>
      <c r="F103" s="8" t="n"/>
      <c r="G103" s="4" t="n"/>
      <c r="H103" s="9" t="n"/>
      <c r="I103" s="5" t="n"/>
      <c r="J103" s="5" t="n"/>
      <c r="K103" s="6" t="n"/>
    </row>
    <row r="104" ht="15" customHeight="1" s="60">
      <c r="A104" s="4" t="n"/>
      <c r="B104" s="5" t="n"/>
      <c r="C104" s="5" t="n"/>
      <c r="D104" s="5" t="n"/>
      <c r="E104" s="7" t="n"/>
      <c r="F104" s="8" t="n"/>
      <c r="G104" s="4" t="n"/>
      <c r="H104" s="9" t="n"/>
      <c r="I104" s="5" t="n"/>
      <c r="J104" s="5" t="n"/>
      <c r="K104" s="6" t="n"/>
    </row>
    <row r="105" ht="15" customHeight="1" s="60">
      <c r="A105" s="4" t="n"/>
      <c r="B105" s="5" t="n"/>
      <c r="C105" s="5" t="n"/>
      <c r="D105" s="5" t="n"/>
      <c r="E105" s="7" t="n"/>
      <c r="F105" s="8" t="n"/>
      <c r="G105" s="4" t="n"/>
      <c r="H105" s="9" t="n"/>
      <c r="I105" s="5" t="n"/>
      <c r="J105" s="5" t="n"/>
      <c r="K105" s="6" t="n"/>
    </row>
    <row r="106" ht="15" customHeight="1" s="60">
      <c r="A106" s="4" t="n"/>
      <c r="B106" s="5" t="n"/>
      <c r="C106" s="5" t="n"/>
      <c r="D106" s="5" t="n"/>
      <c r="E106" s="7" t="n"/>
      <c r="F106" s="8" t="n"/>
      <c r="G106" s="4" t="n"/>
      <c r="H106" s="9" t="n"/>
      <c r="I106" s="5" t="n"/>
      <c r="J106" s="5" t="n"/>
      <c r="K106" s="6" t="n"/>
    </row>
    <row r="107" ht="15" customHeight="1" s="60">
      <c r="A107" s="4" t="n"/>
      <c r="B107" s="5" t="n"/>
      <c r="C107" s="5" t="n"/>
      <c r="D107" s="5" t="n"/>
      <c r="E107" s="7" t="n"/>
      <c r="F107" s="8" t="n"/>
      <c r="G107" s="4" t="n"/>
      <c r="H107" s="9" t="n"/>
      <c r="I107" s="5" t="n"/>
      <c r="J107" s="5" t="n"/>
      <c r="K107" s="6" t="n"/>
    </row>
    <row r="108" ht="15" customHeight="1" s="60">
      <c r="A108" s="4" t="n"/>
      <c r="B108" s="5" t="n"/>
      <c r="C108" s="5" t="n"/>
      <c r="D108" s="5" t="n"/>
      <c r="E108" s="7" t="n"/>
      <c r="F108" s="8" t="n"/>
      <c r="G108" s="4" t="n"/>
      <c r="H108" s="9" t="n"/>
      <c r="I108" s="5" t="n"/>
      <c r="J108" s="5" t="n"/>
      <c r="K108" s="6" t="n"/>
    </row>
    <row r="109" ht="15" customHeight="1" s="60">
      <c r="A109" s="4" t="n"/>
      <c r="B109" s="5" t="n"/>
      <c r="C109" s="5" t="n"/>
      <c r="D109" s="5" t="n"/>
      <c r="E109" s="7" t="n"/>
      <c r="F109" s="8" t="n"/>
      <c r="G109" s="4" t="n"/>
      <c r="H109" s="9" t="n"/>
      <c r="I109" s="5" t="n"/>
      <c r="J109" s="5" t="n"/>
      <c r="K109" s="6" t="n"/>
    </row>
    <row r="110" ht="30" customHeight="1" s="60">
      <c r="A110" s="4" t="n"/>
      <c r="B110" s="5" t="n"/>
      <c r="C110" s="5" t="n"/>
      <c r="D110" s="5" t="n"/>
      <c r="E110" s="7" t="n"/>
      <c r="F110" s="8" t="n"/>
      <c r="G110" s="4" t="n"/>
      <c r="H110" s="9" t="n"/>
      <c r="I110" s="5" t="n"/>
      <c r="J110" s="5" t="n"/>
      <c r="K110" s="6" t="n"/>
    </row>
    <row r="111" ht="15" customHeight="1" s="60">
      <c r="A111" s="4" t="n"/>
      <c r="B111" s="5" t="n"/>
      <c r="C111" s="5" t="n"/>
      <c r="D111" s="5" t="n"/>
      <c r="E111" s="7" t="n"/>
      <c r="F111" s="8" t="n"/>
      <c r="G111" s="4" t="n"/>
      <c r="H111" s="9" t="n"/>
      <c r="I111" s="5" t="n"/>
      <c r="J111" s="5" t="n"/>
      <c r="K111" s="6" t="n"/>
    </row>
    <row r="112" ht="15" customHeight="1" s="60">
      <c r="A112" s="4" t="n"/>
      <c r="B112" s="5" t="n"/>
      <c r="C112" s="5" t="n"/>
      <c r="D112" s="5" t="n"/>
      <c r="E112" s="7" t="n"/>
      <c r="F112" s="8" t="n"/>
      <c r="G112" s="4" t="n"/>
      <c r="H112" s="9" t="n"/>
      <c r="I112" s="5" t="n"/>
      <c r="J112" s="5" t="n"/>
      <c r="K112" s="6" t="n"/>
    </row>
    <row r="113" ht="15" customHeight="1" s="60">
      <c r="A113" s="4" t="n"/>
      <c r="B113" s="5" t="n"/>
      <c r="C113" s="5" t="n"/>
      <c r="D113" s="5" t="n"/>
      <c r="E113" s="7" t="n"/>
      <c r="F113" s="8" t="n"/>
      <c r="G113" s="4" t="n"/>
      <c r="H113" s="9" t="n"/>
      <c r="I113" s="5" t="n"/>
      <c r="J113" s="5" t="n"/>
      <c r="K113" s="6" t="n"/>
    </row>
    <row r="114" ht="15" customHeight="1" s="60">
      <c r="A114" s="4" t="n"/>
      <c r="B114" s="5" t="n"/>
      <c r="C114" s="5" t="n"/>
      <c r="D114" s="5" t="n"/>
      <c r="E114" s="7" t="n"/>
      <c r="F114" s="8" t="n"/>
      <c r="G114" s="4" t="n"/>
      <c r="H114" s="9" t="n"/>
      <c r="I114" s="5" t="n"/>
      <c r="J114" s="5" t="n"/>
      <c r="K114" s="6" t="n"/>
    </row>
    <row r="115" ht="15" customHeight="1" s="60">
      <c r="A115" s="4" t="n"/>
      <c r="B115" s="5" t="n"/>
      <c r="C115" s="5" t="n"/>
      <c r="D115" s="5" t="n"/>
      <c r="E115" s="7" t="n"/>
      <c r="F115" s="8" t="n"/>
      <c r="G115" s="4" t="n"/>
      <c r="H115" s="9" t="n"/>
      <c r="I115" s="5" t="n"/>
      <c r="J115" s="5" t="n"/>
      <c r="K115" s="6" t="n"/>
    </row>
    <row r="116" ht="15" customHeight="1" s="60">
      <c r="A116" s="4" t="n"/>
      <c r="B116" s="5" t="n"/>
      <c r="C116" s="5" t="n"/>
      <c r="D116" s="5" t="n"/>
      <c r="E116" s="7" t="n"/>
      <c r="F116" s="8" t="n"/>
      <c r="G116" s="4" t="n"/>
      <c r="H116" s="9" t="n"/>
      <c r="I116" s="5" t="n"/>
      <c r="J116" s="5" t="n"/>
      <c r="K116" s="6" t="n"/>
    </row>
    <row r="117" ht="30" customHeight="1" s="60">
      <c r="A117" s="4" t="n"/>
      <c r="B117" s="5" t="n"/>
      <c r="C117" s="5" t="n"/>
      <c r="D117" s="5" t="n"/>
      <c r="E117" s="7" t="n"/>
      <c r="F117" s="8" t="n"/>
      <c r="G117" s="4" t="n"/>
      <c r="H117" s="9" t="n"/>
      <c r="I117" s="5" t="n"/>
      <c r="J117" s="5" t="n"/>
      <c r="K117" s="6" t="n"/>
    </row>
    <row r="118" ht="15" customHeight="1" s="60">
      <c r="A118" s="4" t="n"/>
      <c r="B118" s="5" t="n"/>
      <c r="C118" s="5" t="n"/>
      <c r="D118" s="5" t="n"/>
      <c r="E118" s="7" t="n"/>
      <c r="F118" s="8" t="n"/>
      <c r="G118" s="4" t="n"/>
      <c r="H118" s="9" t="n"/>
      <c r="I118" s="5" t="n"/>
      <c r="J118" s="5" t="n"/>
      <c r="K118" s="6" t="n"/>
    </row>
    <row r="119" ht="15" customHeight="1" s="60">
      <c r="A119" s="4" t="n"/>
      <c r="B119" s="5" t="n"/>
      <c r="C119" s="5" t="n"/>
      <c r="D119" s="5" t="n"/>
      <c r="E119" s="7" t="n"/>
      <c r="F119" s="8" t="n"/>
      <c r="G119" s="4" t="n"/>
      <c r="H119" s="9" t="n"/>
      <c r="I119" s="5" t="n"/>
      <c r="J119" s="5" t="n"/>
      <c r="K119" s="6" t="n"/>
    </row>
    <row r="120" ht="15" customHeight="1" s="60">
      <c r="A120" s="4" t="n"/>
      <c r="B120" s="5" t="n"/>
      <c r="C120" s="5" t="n"/>
      <c r="D120" s="5" t="n"/>
      <c r="E120" s="7" t="n"/>
      <c r="F120" s="8" t="n"/>
      <c r="G120" s="4" t="n"/>
      <c r="H120" s="9" t="n"/>
      <c r="I120" s="5" t="n"/>
      <c r="J120" s="5" t="n"/>
      <c r="K120" s="6" t="n"/>
    </row>
    <row r="121" ht="15" customHeight="1" s="60">
      <c r="A121" s="4" t="n"/>
      <c r="B121" s="5" t="n"/>
      <c r="C121" s="5" t="n"/>
      <c r="D121" s="5" t="n"/>
      <c r="E121" s="7" t="n"/>
      <c r="F121" s="8" t="n"/>
      <c r="G121" s="4" t="n"/>
      <c r="H121" s="9" t="n"/>
      <c r="I121" s="5" t="n"/>
      <c r="J121" s="5" t="n"/>
      <c r="K121" s="6" t="n"/>
    </row>
    <row r="122" ht="15" customHeight="1" s="60">
      <c r="A122" s="4" t="n"/>
      <c r="B122" s="5" t="n"/>
      <c r="C122" s="5" t="n"/>
      <c r="D122" s="5" t="n"/>
      <c r="E122" s="7" t="n"/>
      <c r="F122" s="8" t="n"/>
      <c r="G122" s="4" t="n"/>
      <c r="H122" s="9" t="n"/>
      <c r="I122" s="5" t="n"/>
      <c r="J122" s="5" t="n"/>
      <c r="K122" s="6" t="n"/>
    </row>
    <row r="123" ht="15" customHeight="1" s="60">
      <c r="A123" s="4" t="n"/>
      <c r="B123" s="5" t="n"/>
      <c r="C123" s="5" t="n"/>
      <c r="D123" s="5" t="n"/>
      <c r="E123" s="7" t="n"/>
      <c r="F123" s="8" t="n"/>
      <c r="G123" s="4" t="n"/>
      <c r="H123" s="9" t="n"/>
      <c r="I123" s="5" t="n"/>
      <c r="J123" s="5" t="n"/>
      <c r="K123" s="6" t="n"/>
    </row>
    <row r="124" ht="30" customHeight="1" s="60">
      <c r="A124" s="4" t="n"/>
      <c r="B124" s="5" t="n"/>
      <c r="C124" s="5" t="n"/>
      <c r="D124" s="5" t="n"/>
      <c r="E124" s="7" t="n"/>
      <c r="F124" s="8" t="n"/>
      <c r="G124" s="4" t="n"/>
      <c r="H124" s="9" t="n"/>
      <c r="I124" s="5" t="n"/>
      <c r="J124" s="5" t="n"/>
      <c r="K124" s="6" t="n"/>
    </row>
    <row r="125" ht="15" customHeight="1" s="60">
      <c r="A125" s="4" t="n"/>
      <c r="B125" s="5" t="n"/>
      <c r="C125" s="5" t="n"/>
      <c r="D125" s="5" t="n"/>
      <c r="E125" s="7" t="n"/>
      <c r="F125" s="8" t="n"/>
      <c r="G125" s="4" t="n"/>
      <c r="H125" s="9" t="n"/>
      <c r="I125" s="5" t="n"/>
      <c r="J125" s="5" t="n"/>
      <c r="K125" s="6" t="n"/>
    </row>
    <row r="126" ht="15" customHeight="1" s="60">
      <c r="A126" s="4" t="n"/>
      <c r="B126" s="5" t="n"/>
      <c r="C126" s="5" t="n"/>
      <c r="D126" s="5" t="n"/>
      <c r="E126" s="7" t="n"/>
      <c r="F126" s="8" t="n"/>
      <c r="G126" s="4" t="n"/>
      <c r="H126" s="9" t="n"/>
      <c r="I126" s="5" t="n"/>
      <c r="J126" s="5" t="n"/>
      <c r="K126" s="6" t="n"/>
    </row>
    <row r="127" ht="15" customHeight="1" s="60">
      <c r="A127" s="4" t="n"/>
      <c r="B127" s="5" t="n"/>
      <c r="C127" s="5" t="n"/>
      <c r="D127" s="5" t="n"/>
      <c r="E127" s="7" t="n"/>
      <c r="F127" s="8" t="n"/>
      <c r="G127" s="4" t="n"/>
      <c r="H127" s="9" t="n"/>
      <c r="I127" s="5" t="n"/>
      <c r="J127" s="5" t="n"/>
      <c r="K127" s="6" t="n"/>
    </row>
    <row r="128" ht="15" customHeight="1" s="60">
      <c r="A128" s="4" t="n"/>
      <c r="B128" s="5" t="n"/>
      <c r="C128" s="5" t="n"/>
      <c r="D128" s="5" t="n"/>
      <c r="E128" s="7" t="n"/>
      <c r="F128" s="8" t="n"/>
      <c r="G128" s="4" t="n"/>
      <c r="H128" s="9" t="n"/>
      <c r="I128" s="5" t="n"/>
      <c r="J128" s="5" t="n"/>
      <c r="K128" s="6" t="n"/>
    </row>
    <row r="129" ht="15" customHeight="1" s="60">
      <c r="A129" s="4" t="n"/>
      <c r="B129" s="5" t="n"/>
      <c r="C129" s="5" t="n"/>
      <c r="D129" s="5" t="n"/>
      <c r="E129" s="7" t="n"/>
      <c r="F129" s="8" t="n"/>
      <c r="G129" s="4" t="n"/>
      <c r="H129" s="9" t="n"/>
      <c r="I129" s="5" t="n"/>
      <c r="J129" s="5" t="n"/>
      <c r="K129" s="6" t="n"/>
    </row>
    <row r="130" ht="15" customHeight="1" s="60">
      <c r="A130" s="4" t="n"/>
      <c r="B130" s="5" t="n"/>
      <c r="C130" s="5" t="n"/>
      <c r="D130" s="5" t="n"/>
      <c r="E130" s="7" t="n"/>
      <c r="F130" s="8" t="n"/>
      <c r="G130" s="4" t="n"/>
      <c r="H130" s="9" t="n"/>
      <c r="I130" s="5" t="n"/>
      <c r="J130" s="5" t="n"/>
      <c r="K130" s="6" t="n"/>
    </row>
    <row r="131" ht="15" customHeight="1" s="60">
      <c r="A131" s="4" t="n"/>
      <c r="B131" s="5" t="n"/>
      <c r="C131" s="5" t="n"/>
      <c r="D131" s="5" t="n"/>
      <c r="E131" s="7" t="n"/>
      <c r="F131" s="8" t="n"/>
      <c r="G131" s="4" t="n"/>
      <c r="H131" s="9" t="n"/>
      <c r="I131" s="5" t="n"/>
      <c r="J131" s="5" t="n"/>
      <c r="K131" s="6" t="n"/>
    </row>
    <row r="132" ht="15" customHeight="1" s="60">
      <c r="A132" s="4" t="n"/>
      <c r="B132" s="5" t="n"/>
      <c r="C132" s="5" t="n"/>
      <c r="D132" s="5" t="n"/>
      <c r="E132" s="7" t="n"/>
      <c r="F132" s="8" t="n"/>
      <c r="G132" s="4" t="n"/>
      <c r="H132" s="9" t="n"/>
      <c r="I132" s="5" t="n"/>
      <c r="J132" s="5" t="n"/>
      <c r="K132" s="6" t="n"/>
    </row>
    <row r="133" ht="15" customHeight="1" s="60">
      <c r="A133" s="4" t="n"/>
      <c r="B133" s="5" t="n"/>
      <c r="C133" s="5" t="n"/>
      <c r="D133" s="5" t="n"/>
      <c r="E133" s="7" t="n"/>
      <c r="F133" s="8" t="n"/>
      <c r="G133" s="4" t="n"/>
      <c r="H133" s="9" t="n"/>
      <c r="I133" s="5" t="n"/>
      <c r="J133" s="5" t="n"/>
      <c r="K133" s="6" t="n"/>
    </row>
    <row r="134" ht="15" customHeight="1" s="60">
      <c r="A134" s="4" t="n"/>
      <c r="B134" s="5" t="n"/>
      <c r="C134" s="5" t="n"/>
      <c r="D134" s="5" t="n"/>
      <c r="E134" s="7" t="n"/>
      <c r="F134" s="8" t="n"/>
      <c r="G134" s="4" t="n"/>
      <c r="H134" s="9" t="n"/>
      <c r="I134" s="5" t="n"/>
      <c r="J134" s="5" t="n"/>
      <c r="K134" s="6" t="n"/>
    </row>
    <row r="135" ht="15" customHeight="1" s="60">
      <c r="A135" s="4" t="n"/>
      <c r="B135" s="5" t="n"/>
      <c r="C135" s="5" t="n"/>
      <c r="D135" s="5" t="n"/>
      <c r="E135" s="7" t="n"/>
      <c r="F135" s="8" t="n"/>
      <c r="G135" s="4" t="n"/>
      <c r="H135" s="9" t="n"/>
      <c r="I135" s="5" t="n"/>
      <c r="J135" s="5" t="n"/>
      <c r="K135" s="6" t="n"/>
    </row>
    <row r="136" ht="15" customHeight="1" s="60">
      <c r="A136" s="4" t="n"/>
      <c r="B136" s="5" t="n"/>
      <c r="C136" s="5" t="n"/>
      <c r="D136" s="5" t="n"/>
      <c r="E136" s="7" t="n"/>
      <c r="F136" s="8" t="n"/>
      <c r="G136" s="4" t="n"/>
      <c r="H136" s="9" t="n"/>
      <c r="I136" s="5" t="n"/>
      <c r="J136" s="5" t="n"/>
      <c r="K136" s="6" t="n"/>
    </row>
    <row r="137" ht="15" customHeight="1" s="60">
      <c r="A137" s="4" t="n"/>
      <c r="B137" s="5" t="n"/>
      <c r="C137" s="5" t="n"/>
      <c r="D137" s="5" t="n"/>
      <c r="E137" s="7" t="n"/>
      <c r="F137" s="8" t="n"/>
      <c r="G137" s="4" t="n"/>
      <c r="H137" s="9" t="n"/>
      <c r="I137" s="5" t="n"/>
      <c r="J137" s="5" t="n"/>
      <c r="K137" s="6" t="n"/>
    </row>
    <row r="138" ht="15" customHeight="1" s="60">
      <c r="A138" s="4" t="n"/>
      <c r="B138" s="5" t="n"/>
      <c r="C138" s="5" t="n"/>
      <c r="D138" s="5" t="n"/>
      <c r="E138" s="7" t="n"/>
      <c r="F138" s="8" t="n"/>
      <c r="G138" s="4" t="n"/>
      <c r="H138" s="9" t="n"/>
      <c r="I138" s="5" t="n"/>
      <c r="J138" s="5" t="n"/>
      <c r="K138" s="6" t="n"/>
    </row>
    <row r="139" ht="15" customHeight="1" s="60">
      <c r="A139" s="4" t="n"/>
      <c r="B139" s="5" t="n"/>
      <c r="C139" s="5" t="n"/>
      <c r="D139" s="5" t="n"/>
      <c r="E139" s="7" t="n"/>
      <c r="F139" s="8" t="n"/>
      <c r="G139" s="4" t="n"/>
      <c r="H139" s="9" t="n"/>
      <c r="I139" s="5" t="n"/>
      <c r="J139" s="5" t="n"/>
      <c r="K139" s="6" t="n"/>
    </row>
    <row r="140" ht="15" customHeight="1" s="60">
      <c r="A140" s="4" t="n"/>
      <c r="B140" s="5" t="n"/>
      <c r="C140" s="5" t="n"/>
      <c r="D140" s="5" t="n"/>
      <c r="E140" s="7" t="n"/>
      <c r="F140" s="8" t="n"/>
      <c r="G140" s="4" t="n"/>
      <c r="H140" s="9" t="n"/>
      <c r="I140" s="5" t="n"/>
      <c r="J140" s="5" t="n"/>
      <c r="K140" s="6" t="n"/>
    </row>
    <row r="141" ht="15" customHeight="1" s="60">
      <c r="A141" s="4" t="n"/>
      <c r="B141" s="5" t="n"/>
      <c r="C141" s="5" t="n"/>
      <c r="D141" s="5" t="n"/>
      <c r="E141" s="7" t="n"/>
      <c r="F141" s="8" t="n"/>
      <c r="G141" s="4" t="n"/>
      <c r="H141" s="9" t="n"/>
      <c r="I141" s="5" t="n"/>
      <c r="J141" s="5" t="n"/>
      <c r="K141" s="6" t="n"/>
    </row>
    <row r="142" ht="15" customHeight="1" s="60">
      <c r="A142" s="4" t="n"/>
      <c r="B142" s="5" t="n"/>
      <c r="C142" s="5" t="n"/>
      <c r="D142" s="5" t="n"/>
      <c r="E142" s="7" t="n"/>
      <c r="F142" s="8" t="n"/>
      <c r="G142" s="4" t="n"/>
      <c r="H142" s="9" t="n"/>
      <c r="I142" s="5" t="n"/>
      <c r="J142" s="5" t="n"/>
      <c r="K142" s="6" t="n"/>
    </row>
    <row r="143" ht="30" customHeight="1" s="60">
      <c r="A143" s="4" t="n"/>
      <c r="B143" s="5" t="n"/>
      <c r="C143" s="5" t="n"/>
      <c r="D143" s="5" t="n"/>
      <c r="E143" s="7" t="n"/>
      <c r="F143" s="8" t="n"/>
      <c r="G143" s="4" t="n"/>
      <c r="H143" s="9" t="n"/>
      <c r="I143" s="5" t="n"/>
      <c r="J143" s="5" t="n"/>
      <c r="K143" s="6" t="n"/>
    </row>
    <row r="144" ht="15" customHeight="1" s="60">
      <c r="A144" s="4" t="n"/>
      <c r="B144" s="5" t="n"/>
      <c r="C144" s="5" t="n"/>
      <c r="D144" s="5" t="n"/>
      <c r="E144" s="7" t="n"/>
      <c r="F144" s="8" t="n"/>
      <c r="G144" s="4" t="n"/>
      <c r="H144" s="9" t="n"/>
      <c r="I144" s="5" t="n"/>
      <c r="J144" s="5" t="n"/>
      <c r="K144" s="6" t="n"/>
    </row>
    <row r="145" ht="15" customHeight="1" s="60">
      <c r="A145" s="4" t="n"/>
      <c r="B145" s="5" t="n"/>
      <c r="C145" s="5" t="n"/>
      <c r="D145" s="5" t="n"/>
      <c r="E145" s="7" t="n"/>
      <c r="F145" s="8" t="n"/>
      <c r="G145" s="4" t="n"/>
      <c r="H145" s="9" t="n"/>
      <c r="I145" s="5" t="n"/>
      <c r="J145" s="5" t="n"/>
      <c r="K145" s="6" t="n"/>
    </row>
    <row r="146" ht="15" customHeight="1" s="60">
      <c r="A146" s="4" t="n"/>
      <c r="B146" s="5" t="n"/>
      <c r="C146" s="5" t="n"/>
      <c r="D146" s="5" t="n"/>
      <c r="E146" s="7" t="n"/>
      <c r="F146" s="8" t="n"/>
      <c r="G146" s="4" t="n"/>
      <c r="H146" s="9" t="n"/>
      <c r="I146" s="5" t="n"/>
      <c r="J146" s="5" t="n"/>
      <c r="K146" s="6" t="n"/>
    </row>
    <row r="147" ht="15" customHeight="1" s="60">
      <c r="A147" s="4" t="n"/>
      <c r="B147" s="5" t="n"/>
      <c r="C147" s="5" t="n"/>
      <c r="D147" s="5" t="n"/>
      <c r="E147" s="7" t="n"/>
      <c r="F147" s="8" t="n"/>
      <c r="G147" s="4" t="n"/>
      <c r="H147" s="9" t="n"/>
      <c r="I147" s="5" t="n"/>
      <c r="J147" s="5" t="n"/>
      <c r="K147" s="6" t="n"/>
    </row>
    <row r="148" ht="15" customHeight="1" s="60">
      <c r="A148" s="4" t="n"/>
      <c r="B148" s="5" t="n"/>
      <c r="C148" s="5" t="n"/>
      <c r="D148" s="5" t="n"/>
      <c r="E148" s="7" t="n"/>
      <c r="F148" s="8" t="n"/>
      <c r="G148" s="4" t="n"/>
      <c r="H148" s="9" t="n"/>
      <c r="I148" s="5" t="n"/>
      <c r="J148" s="5" t="n"/>
      <c r="K148" s="6" t="n"/>
    </row>
    <row r="149" ht="15" customHeight="1" s="60">
      <c r="A149" s="4" t="n"/>
      <c r="B149" s="5" t="n"/>
      <c r="C149" s="5" t="n"/>
      <c r="D149" s="5" t="n"/>
      <c r="E149" s="7" t="n"/>
      <c r="F149" s="8" t="n"/>
      <c r="G149" s="4" t="n"/>
      <c r="H149" s="9" t="n"/>
      <c r="I149" s="5" t="n"/>
      <c r="J149" s="5" t="n"/>
      <c r="K149" s="6" t="n"/>
    </row>
    <row r="150" ht="15" customHeight="1" s="60">
      <c r="A150" s="4" t="n"/>
      <c r="B150" s="5" t="n"/>
      <c r="C150" s="5" t="n"/>
      <c r="D150" s="5" t="n"/>
      <c r="E150" s="7" t="n"/>
      <c r="F150" s="8" t="n"/>
      <c r="G150" s="4" t="n"/>
      <c r="H150" s="9" t="n"/>
      <c r="I150" s="5" t="n"/>
      <c r="J150" s="5" t="n"/>
      <c r="K150" s="6" t="n"/>
    </row>
    <row r="151" ht="15" customHeight="1" s="60">
      <c r="A151" s="4" t="n"/>
      <c r="B151" s="5" t="n"/>
      <c r="C151" s="5" t="n"/>
      <c r="D151" s="5" t="n"/>
      <c r="E151" s="7" t="n"/>
      <c r="F151" s="8" t="n"/>
      <c r="G151" s="4" t="n"/>
      <c r="H151" s="9" t="n"/>
      <c r="I151" s="5" t="n"/>
      <c r="J151" s="5" t="n"/>
      <c r="K151" s="6" t="n"/>
    </row>
    <row r="152" ht="15" customHeight="1" s="60">
      <c r="A152" s="4" t="n"/>
      <c r="B152" s="5" t="n"/>
      <c r="C152" s="5" t="n"/>
      <c r="D152" s="5" t="n"/>
      <c r="E152" s="7" t="n"/>
      <c r="F152" s="8" t="n"/>
      <c r="G152" s="4" t="n"/>
      <c r="H152" s="9" t="n"/>
      <c r="I152" s="5" t="n"/>
      <c r="J152" s="5" t="n"/>
      <c r="K152" s="6" t="n"/>
    </row>
    <row r="153" ht="15" customHeight="1" s="60">
      <c r="A153" s="4" t="n"/>
      <c r="B153" s="5" t="n"/>
      <c r="C153" s="5" t="n"/>
      <c r="D153" s="5" t="n"/>
      <c r="E153" s="7" t="n"/>
      <c r="F153" s="8" t="n"/>
      <c r="G153" s="4" t="n"/>
      <c r="H153" s="9" t="n"/>
      <c r="I153" s="5" t="n"/>
      <c r="J153" s="5" t="n"/>
      <c r="K153" s="6" t="n"/>
    </row>
    <row r="154" ht="15" customHeight="1" s="60">
      <c r="A154" s="4" t="n"/>
      <c r="B154" s="5" t="n"/>
      <c r="C154" s="5" t="n"/>
      <c r="D154" s="5" t="n"/>
      <c r="E154" s="7" t="n"/>
      <c r="F154" s="8" t="n"/>
      <c r="G154" s="4" t="n"/>
      <c r="H154" s="9" t="n"/>
      <c r="I154" s="5" t="n"/>
      <c r="J154" s="5" t="n"/>
      <c r="K154" s="6" t="n"/>
    </row>
    <row r="155" ht="15" customHeight="1" s="60">
      <c r="A155" s="4" t="n"/>
      <c r="B155" s="5" t="n"/>
      <c r="C155" s="5" t="n"/>
      <c r="D155" s="5" t="n"/>
      <c r="E155" s="7" t="n"/>
      <c r="F155" s="8" t="n"/>
      <c r="G155" s="4" t="n"/>
      <c r="H155" s="9" t="n"/>
      <c r="I155" s="5" t="n"/>
      <c r="J155" s="5" t="n"/>
      <c r="K155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K20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NavigationMenu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NavigationMenu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NavigationMenu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NavigationMenu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NavigationMenu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NavigationMenu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NavigationMenu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NavigationMenu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NavigationMenu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NavigationMenu</t>
        </is>
      </c>
      <c r="D15" s="5" t="inlineStr">
        <is>
          <t>Supports root and nested navigation menu scopes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NavigationMenu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NavigationMenu</t>
        </is>
      </c>
      <c r="D16" s="5" t="inlineStr">
        <is>
          <t>Supports delayed open, skip delay, pointer open, click open, and keyboard open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NavigationMenu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NavigationMenu</t>
        </is>
      </c>
      <c r="D17" s="5" t="inlineStr">
        <is>
          <t>Provides a shared viewport that adapts to the active content size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NavigationMenu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NavigationMenu</t>
        </is>
      </c>
      <c r="D18" s="5" t="inlineStr">
        <is>
          <t>Provides indicator geometry CSS variables for styling arrows or active markers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NavigationMenu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NavigationMenu</t>
        </is>
      </c>
      <c r="D19" s="5" t="inlineStr">
        <is>
          <t>Supports active links and `aria-current`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NavigationMenu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NavigationMenu</t>
        </is>
      </c>
      <c r="D20" s="5" t="inlineStr">
        <is>
          <t>Supports horizontal and vertical orientation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NavigationMenu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NavigationMenu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NavigationMenu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NavigationMenu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NavigationMenu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NavigationMenu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NavigationMenu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NavigationMenu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NavigationMenu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NavigationMenu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delayDuration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NavigationMenu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skipDelayDuration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NavigationMenu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orientation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NavigationMenu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dir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NavigationMenu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[data-slot]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NavigationMenu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[data-orientation]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NavigationMenu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NavigationMenu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NavigationMenu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30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default tag is visible in Anatomy/Inspector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NavigationMenu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data-slot is present and correct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NavigationMenu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Props</t>
        </is>
      </c>
      <c r="C40" s="5" t="inlineStr">
        <is>
          <t>Trigger</t>
        </is>
      </c>
      <c r="D40" s="5" t="inlineStr">
        <is>
          <t>non-Atom native props pass through with data-prop-check marker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NavigationMenu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Refs</t>
        </is>
      </c>
      <c r="C41" s="5" t="inlineStr">
        <is>
          <t>Trigger</t>
        </is>
      </c>
      <c r="D41" s="5" t="inlineStr">
        <is>
          <t>consumer ref receives the rendered element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NavigationMenu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Trigger</t>
        </is>
      </c>
      <c r="D42" s="5" t="inlineStr">
        <is>
          <t>disabled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NavigationMenu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asChild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NavigationMenu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render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NavigationMenu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[data-slot]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NavigationMenu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[data-state]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NavigationMenu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Trigger</t>
        </is>
      </c>
      <c r="D47" s="5" t="inlineStr">
        <is>
          <t>[data-disabled]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NavigationMenu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NavigationMenu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Content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NavigationMenu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NavigationMenu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Content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NavigationMenu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Props</t>
        </is>
      </c>
      <c r="C52" s="5" t="inlineStr">
        <is>
          <t>Content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NavigationMenu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Refs</t>
        </is>
      </c>
      <c r="C53" s="5" t="inlineStr">
        <is>
          <t>Content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NavigationMenu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NavigationMenu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[data-state]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NavigationMenu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[data-motion]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NavigationMenu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List</t>
        </is>
      </c>
      <c r="D57" s="5" t="inlineStr">
        <is>
          <t>renders correct part when expected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NavigationMenu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List</t>
        </is>
      </c>
      <c r="D58" s="5" t="inlineStr">
        <is>
          <t>appears in documented order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NavigationMenu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30" customHeight="1" s="60">
      <c r="A59" s="4" t="n">
        <v>51</v>
      </c>
      <c r="B59" s="5" t="inlineStr">
        <is>
          <t>Identity</t>
        </is>
      </c>
      <c r="C59" s="5" t="inlineStr">
        <is>
          <t>List</t>
        </is>
      </c>
      <c r="D59" s="5" t="inlineStr">
        <is>
          <t>default tag is visible in Anatomy/Inspector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NavigationMenu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List</t>
        </is>
      </c>
      <c r="D60" s="5" t="inlineStr">
        <is>
          <t>data-slot is present and correct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NavigationMenu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Props</t>
        </is>
      </c>
      <c r="C61" s="5" t="inlineStr">
        <is>
          <t>List</t>
        </is>
      </c>
      <c r="D61" s="5" t="inlineStr">
        <is>
          <t>non-Atom native props pass through with data-prop-check marker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NavigationMenu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Refs</t>
        </is>
      </c>
      <c r="C62" s="5" t="inlineStr">
        <is>
          <t>List</t>
        </is>
      </c>
      <c r="D62" s="5" t="inlineStr">
        <is>
          <t>consumer ref receives the rendered element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NavigationMenu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List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NavigationMenu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Viewport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NavigationMenu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Viewport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NavigationMenu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Identity</t>
        </is>
      </c>
      <c r="C66" s="5" t="inlineStr">
        <is>
          <t>Viewport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NavigationMenu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Viewport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NavigationMenu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Viewport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NavigationMenu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Refs</t>
        </is>
      </c>
      <c r="C69" s="5" t="inlineStr">
        <is>
          <t>Viewport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NavigationMenu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Viewport</t>
        </is>
      </c>
      <c r="D70" s="5" t="inlineStr">
        <is>
          <t>forceMount prop behavior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NavigationMenu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Viewport</t>
        </is>
      </c>
      <c r="D71" s="5" t="inlineStr">
        <is>
          <t>--atom-navigation-menu-viewport-width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NavigationMenu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Viewport</t>
        </is>
      </c>
      <c r="D72" s="5" t="inlineStr">
        <is>
          <t>--atom-navigation-menu-viewport-height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NavigationMenu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Anatomy</t>
        </is>
      </c>
      <c r="C73" s="5" t="inlineStr">
        <is>
          <t>Item</t>
        </is>
      </c>
      <c r="D73" s="5" t="inlineStr">
        <is>
          <t>renders correct part when expected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NavigationMenu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Anatomy</t>
        </is>
      </c>
      <c r="C74" s="5" t="inlineStr">
        <is>
          <t>Item</t>
        </is>
      </c>
      <c r="D74" s="5" t="inlineStr">
        <is>
          <t>appears in documented order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NavigationMenu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Identity</t>
        </is>
      </c>
      <c r="C75" s="5" t="inlineStr">
        <is>
          <t>Item</t>
        </is>
      </c>
      <c r="D75" s="5" t="inlineStr">
        <is>
          <t>default tag is visible in Anatomy/Inspector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NavigationMenu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Identity</t>
        </is>
      </c>
      <c r="C76" s="5" t="inlineStr">
        <is>
          <t>Item</t>
        </is>
      </c>
      <c r="D76" s="5" t="inlineStr">
        <is>
          <t>data-slot is present and correct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NavigationMenu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Props</t>
        </is>
      </c>
      <c r="C77" s="5" t="inlineStr">
        <is>
          <t>Item</t>
        </is>
      </c>
      <c r="D77" s="5" t="inlineStr">
        <is>
          <t>non-Atom native props pass through with data-prop-check marker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NavigationMenu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Refs</t>
        </is>
      </c>
      <c r="C78" s="5" t="inlineStr">
        <is>
          <t>Item</t>
        </is>
      </c>
      <c r="D78" s="5" t="inlineStr">
        <is>
          <t>consumer ref receives the rendered element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NavigationMenu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State</t>
        </is>
      </c>
      <c r="C79" s="5" t="inlineStr">
        <is>
          <t>Item</t>
        </is>
      </c>
      <c r="D79" s="5" t="inlineStr">
        <is>
          <t>value prop behavior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NavigationMenu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Item</t>
        </is>
      </c>
      <c r="D80" s="5" t="inlineStr">
        <is>
          <t>[data-slot] prop behavior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NavigationMenu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Indicator</t>
        </is>
      </c>
      <c r="D81" s="5" t="inlineStr">
        <is>
          <t>renders correct part when expected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NavigationMenu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Anatomy</t>
        </is>
      </c>
      <c r="C82" s="5" t="inlineStr">
        <is>
          <t>Indicator</t>
        </is>
      </c>
      <c r="D82" s="5" t="inlineStr">
        <is>
          <t>appears in documented order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NavigationMenu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30" customHeight="1" s="60">
      <c r="A83" s="4" t="n">
        <v>75</v>
      </c>
      <c r="B83" s="5" t="inlineStr">
        <is>
          <t>Identity</t>
        </is>
      </c>
      <c r="C83" s="5" t="inlineStr">
        <is>
          <t>Indicator</t>
        </is>
      </c>
      <c r="D83" s="5" t="inlineStr">
        <is>
          <t>default tag is visible in Anatomy/Inspector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NavigationMenu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Indicator</t>
        </is>
      </c>
      <c r="D84" s="5" t="inlineStr">
        <is>
          <t>data-slot is present and correct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NavigationMenu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Props</t>
        </is>
      </c>
      <c r="C85" s="5" t="inlineStr">
        <is>
          <t>Indicator</t>
        </is>
      </c>
      <c r="D85" s="5" t="inlineStr">
        <is>
          <t>non-Atom native props pass through with data-prop-check marker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NavigationMenu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Refs</t>
        </is>
      </c>
      <c r="C86" s="5" t="inlineStr">
        <is>
          <t>Indicator</t>
        </is>
      </c>
      <c r="D86" s="5" t="inlineStr">
        <is>
          <t>consumer ref receives the rendered element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NavigationMenu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Indicator</t>
        </is>
      </c>
      <c r="D87" s="5" t="inlineStr">
        <is>
          <t>forceMount prop behavior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NavigationMenu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Indicator</t>
        </is>
      </c>
      <c r="D88" s="5" t="inlineStr">
        <is>
          <t>--atom-navigation-menu-trigger-left prop behavior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NavigationMenu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Indicator</t>
        </is>
      </c>
      <c r="D89" s="5" t="inlineStr">
        <is>
          <t>--atom-navigation-menu-trigger-top prop behavior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NavigationMenu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Public API</t>
        </is>
      </c>
      <c r="C90" s="5" t="inlineStr">
        <is>
          <t>Indicator</t>
        </is>
      </c>
      <c r="D90" s="5" t="inlineStr">
        <is>
          <t>--atom-navigation-menu-trigger-width prop behavior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NavigationMenu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Indicator</t>
        </is>
      </c>
      <c r="D91" s="5" t="inlineStr">
        <is>
          <t>--atom-navigation-menu-trigger-height prop behavior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NavigationMenu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Public API</t>
        </is>
      </c>
      <c r="C92" s="5" t="inlineStr">
        <is>
          <t>Indicator</t>
        </is>
      </c>
      <c r="D92" s="5" t="inlineStr">
        <is>
          <t>--atom-navigation-menu-trigger-center-x prop behavior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NavigationMenu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Indicator</t>
        </is>
      </c>
      <c r="D93" s="5" t="inlineStr">
        <is>
          <t>--atom-navigation-menu-trigger-center-y prop behavior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NavigationMenu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Anatomy</t>
        </is>
      </c>
      <c r="C94" s="5" t="inlineStr">
        <is>
          <t>Link</t>
        </is>
      </c>
      <c r="D94" s="5" t="inlineStr">
        <is>
          <t>renders correct part when expected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NavigationMenu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Anatomy</t>
        </is>
      </c>
      <c r="C95" s="5" t="inlineStr">
        <is>
          <t>Link</t>
        </is>
      </c>
      <c r="D95" s="5" t="inlineStr">
        <is>
          <t>appears in documented order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NavigationMenu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Identity</t>
        </is>
      </c>
      <c r="C96" s="5" t="inlineStr">
        <is>
          <t>Link</t>
        </is>
      </c>
      <c r="D96" s="5" t="inlineStr">
        <is>
          <t>default tag is visible in Anatomy/Inspector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NavigationMenu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Identity</t>
        </is>
      </c>
      <c r="C97" s="5" t="inlineStr">
        <is>
          <t>Link</t>
        </is>
      </c>
      <c r="D97" s="5" t="inlineStr">
        <is>
          <t>data-slot is present and correct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NavigationMenu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Props</t>
        </is>
      </c>
      <c r="C98" s="5" t="inlineStr">
        <is>
          <t>Link</t>
        </is>
      </c>
      <c r="D98" s="5" t="inlineStr">
        <is>
          <t>non-Atom native props pass through with data-prop-check marker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NavigationMenu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Refs</t>
        </is>
      </c>
      <c r="C99" s="5" t="inlineStr">
        <is>
          <t>Link</t>
        </is>
      </c>
      <c r="D99" s="5" t="inlineStr">
        <is>
          <t>consumer ref receives the rendered element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NavigationMenu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Public API</t>
        </is>
      </c>
      <c r="C100" s="5" t="inlineStr">
        <is>
          <t>Link</t>
        </is>
      </c>
      <c r="D100" s="5" t="inlineStr">
        <is>
          <t>active prop behavior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NavigationMenu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Link</t>
        </is>
      </c>
      <c r="D101" s="5" t="inlineStr">
        <is>
          <t>onSelect prop behavior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NavigationMenu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Composition</t>
        </is>
      </c>
      <c r="C102" s="5" t="inlineStr">
        <is>
          <t>Link</t>
        </is>
      </c>
      <c r="D102" s="5" t="inlineStr">
        <is>
          <t>asChild prop behavior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NavigationMenu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Anatomy</t>
        </is>
      </c>
      <c r="C103" s="5" t="inlineStr">
        <is>
          <t>MenuContent</t>
        </is>
      </c>
      <c r="D103" s="5" t="inlineStr">
        <is>
          <t>renders correct part when expected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NavigationMenu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Anatomy</t>
        </is>
      </c>
      <c r="C104" s="5" t="inlineStr">
        <is>
          <t>MenuContent</t>
        </is>
      </c>
      <c r="D104" s="5" t="inlineStr">
        <is>
          <t>appears in documented order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NavigationMenu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Identity</t>
        </is>
      </c>
      <c r="C105" s="5" t="inlineStr">
        <is>
          <t>MenuContent</t>
        </is>
      </c>
      <c r="D105" s="5" t="inlineStr">
        <is>
          <t>default tag is visible in Anatomy/Inspector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NavigationMenu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Identity</t>
        </is>
      </c>
      <c r="C106" s="5" t="inlineStr">
        <is>
          <t>MenuContent</t>
        </is>
      </c>
      <c r="D106" s="5" t="inlineStr">
        <is>
          <t>data-slot is present and correct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NavigationMenu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Props</t>
        </is>
      </c>
      <c r="C107" s="5" t="inlineStr">
        <is>
          <t>MenuContent</t>
        </is>
      </c>
      <c r="D107" s="5" t="inlineStr">
        <is>
          <t>non-Atom native props pass through with data-prop-check marker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NavigationMenu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Refs</t>
        </is>
      </c>
      <c r="C108" s="5" t="inlineStr">
        <is>
          <t>MenuContent</t>
        </is>
      </c>
      <c r="D108" s="5" t="inlineStr">
        <is>
          <t>consumer ref receives the rendered element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NavigationMenu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Anatomy</t>
        </is>
      </c>
      <c r="C109" s="5" t="inlineStr">
        <is>
          <t>MenuIndicator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NavigationMenu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MenuIndicator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NavigationMenu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30" customHeight="1" s="60">
      <c r="A111" s="4" t="n">
        <v>103</v>
      </c>
      <c r="B111" s="5" t="inlineStr">
        <is>
          <t>Identity</t>
        </is>
      </c>
      <c r="C111" s="5" t="inlineStr">
        <is>
          <t>MenuIndicator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NavigationMenu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MenuIndicator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NavigationMenu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Props</t>
        </is>
      </c>
      <c r="C113" s="5" t="inlineStr">
        <is>
          <t>MenuIndicator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NavigationMenu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Refs</t>
        </is>
      </c>
      <c r="C114" s="5" t="inlineStr">
        <is>
          <t>MenuIndicator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NavigationMenu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Anatomy</t>
        </is>
      </c>
      <c r="C115" s="5" t="inlineStr">
        <is>
          <t>MenuItem</t>
        </is>
      </c>
      <c r="D115" s="5" t="inlineStr">
        <is>
          <t>renders correct part when expected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NavigationMenu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Anatomy</t>
        </is>
      </c>
      <c r="C116" s="5" t="inlineStr">
        <is>
          <t>MenuItem</t>
        </is>
      </c>
      <c r="D116" s="5" t="inlineStr">
        <is>
          <t>appears in documented order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NavigationMenu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30" customHeight="1" s="60">
      <c r="A117" s="4" t="n">
        <v>109</v>
      </c>
      <c r="B117" s="5" t="inlineStr">
        <is>
          <t>Identity</t>
        </is>
      </c>
      <c r="C117" s="5" t="inlineStr">
        <is>
          <t>MenuItem</t>
        </is>
      </c>
      <c r="D117" s="5" t="inlineStr">
        <is>
          <t>default tag is visible in Anatomy/Inspector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NavigationMenu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Identity</t>
        </is>
      </c>
      <c r="C118" s="5" t="inlineStr">
        <is>
          <t>MenuItem</t>
        </is>
      </c>
      <c r="D118" s="5" t="inlineStr">
        <is>
          <t>data-slot is present and correct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NavigationMenu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Props</t>
        </is>
      </c>
      <c r="C119" s="5" t="inlineStr">
        <is>
          <t>MenuItem</t>
        </is>
      </c>
      <c r="D119" s="5" t="inlineStr">
        <is>
          <t>non-Atom native props pass through with data-prop-check marker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NavigationMenu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Refs</t>
        </is>
      </c>
      <c r="C120" s="5" t="inlineStr">
        <is>
          <t>MenuItem</t>
        </is>
      </c>
      <c r="D120" s="5" t="inlineStr">
        <is>
          <t>consumer ref receives the rendered element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NavigationMenu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Anatomy</t>
        </is>
      </c>
      <c r="C121" s="5" t="inlineStr">
        <is>
          <t>MenuLink</t>
        </is>
      </c>
      <c r="D121" s="5" t="inlineStr">
        <is>
          <t>renders correct part when expected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NavigationMenu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Anatomy</t>
        </is>
      </c>
      <c r="C122" s="5" t="inlineStr">
        <is>
          <t>MenuLink</t>
        </is>
      </c>
      <c r="D122" s="5" t="inlineStr">
        <is>
          <t>appears in documented order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NavigationMenu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30" customHeight="1" s="60">
      <c r="A123" s="4" t="n">
        <v>115</v>
      </c>
      <c r="B123" s="5" t="inlineStr">
        <is>
          <t>Identity</t>
        </is>
      </c>
      <c r="C123" s="5" t="inlineStr">
        <is>
          <t>MenuLink</t>
        </is>
      </c>
      <c r="D123" s="5" t="inlineStr">
        <is>
          <t>default tag is visible in Anatomy/Inspector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NavigationMenu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Identity</t>
        </is>
      </c>
      <c r="C124" s="5" t="inlineStr">
        <is>
          <t>MenuLink</t>
        </is>
      </c>
      <c r="D124" s="5" t="inlineStr">
        <is>
          <t>data-slot is present and correct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NavigationMenu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Props</t>
        </is>
      </c>
      <c r="C125" s="5" t="inlineStr">
        <is>
          <t>MenuLink</t>
        </is>
      </c>
      <c r="D125" s="5" t="inlineStr">
        <is>
          <t>non-Atom native props pass through with data-prop-check marker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NavigationMenu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Refs</t>
        </is>
      </c>
      <c r="C126" s="5" t="inlineStr">
        <is>
          <t>MenuLink</t>
        </is>
      </c>
      <c r="D126" s="5" t="inlineStr">
        <is>
          <t>consumer ref receives the rendered element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NavigationMenu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Anatomy</t>
        </is>
      </c>
      <c r="C127" s="5" t="inlineStr">
        <is>
          <t>MenuList</t>
        </is>
      </c>
      <c r="D127" s="5" t="inlineStr">
        <is>
          <t>renders correct part when expected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NavigationMenu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Anatomy</t>
        </is>
      </c>
      <c r="C128" s="5" t="inlineStr">
        <is>
          <t>MenuList</t>
        </is>
      </c>
      <c r="D128" s="5" t="inlineStr">
        <is>
          <t>appears in documented order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NavigationMenu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30" customHeight="1" s="60">
      <c r="A129" s="4" t="n">
        <v>121</v>
      </c>
      <c r="B129" s="5" t="inlineStr">
        <is>
          <t>Identity</t>
        </is>
      </c>
      <c r="C129" s="5" t="inlineStr">
        <is>
          <t>MenuList</t>
        </is>
      </c>
      <c r="D129" s="5" t="inlineStr">
        <is>
          <t>default tag is visible in Anatomy/Inspector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NavigationMenu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Identity</t>
        </is>
      </c>
      <c r="C130" s="5" t="inlineStr">
        <is>
          <t>MenuList</t>
        </is>
      </c>
      <c r="D130" s="5" t="inlineStr">
        <is>
          <t>data-slot is present and correct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NavigationMenu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Props</t>
        </is>
      </c>
      <c r="C131" s="5" t="inlineStr">
        <is>
          <t>MenuList</t>
        </is>
      </c>
      <c r="D131" s="5" t="inlineStr">
        <is>
          <t>non-Atom native props pass through with data-prop-check marker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NavigationMenu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Refs</t>
        </is>
      </c>
      <c r="C132" s="5" t="inlineStr">
        <is>
          <t>MenuList</t>
        </is>
      </c>
      <c r="D132" s="5" t="inlineStr">
        <is>
          <t>consumer ref receives the rendered element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NavigationMenu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Anatomy</t>
        </is>
      </c>
      <c r="C133" s="5" t="inlineStr">
        <is>
          <t>MenuSub</t>
        </is>
      </c>
      <c r="D133" s="5" t="inlineStr">
        <is>
          <t>renders correct part when expected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NavigationMenu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Anatomy</t>
        </is>
      </c>
      <c r="C134" s="5" t="inlineStr">
        <is>
          <t>MenuSub</t>
        </is>
      </c>
      <c r="D134" s="5" t="inlineStr">
        <is>
          <t>appears in documented order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NavigationMenu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30" customHeight="1" s="60">
      <c r="A135" s="4" t="n">
        <v>127</v>
      </c>
      <c r="B135" s="5" t="inlineStr">
        <is>
          <t>Identity</t>
        </is>
      </c>
      <c r="C135" s="5" t="inlineStr">
        <is>
          <t>MenuSub</t>
        </is>
      </c>
      <c r="D135" s="5" t="inlineStr">
        <is>
          <t>default tag is visible in Anatomy/Inspector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NavigationMenu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Identity</t>
        </is>
      </c>
      <c r="C136" s="5" t="inlineStr">
        <is>
          <t>MenuSub</t>
        </is>
      </c>
      <c r="D136" s="5" t="inlineStr">
        <is>
          <t>data-slot is present and correct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NavigationMenu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Props</t>
        </is>
      </c>
      <c r="C137" s="5" t="inlineStr">
        <is>
          <t>MenuSub</t>
        </is>
      </c>
      <c r="D137" s="5" t="inlineStr">
        <is>
          <t>non-Atom native props pass through with data-prop-check marker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NavigationMenu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Refs</t>
        </is>
      </c>
      <c r="C138" s="5" t="inlineStr">
        <is>
          <t>MenuSub</t>
        </is>
      </c>
      <c r="D138" s="5" t="inlineStr">
        <is>
          <t>consumer ref receives the rendered element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NavigationMenu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Anatomy</t>
        </is>
      </c>
      <c r="C139" s="5" t="inlineStr">
        <is>
          <t>MenuTrigger</t>
        </is>
      </c>
      <c r="D139" s="5" t="inlineStr">
        <is>
          <t>renders correct part when expected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NavigationMenu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Anatomy</t>
        </is>
      </c>
      <c r="C140" s="5" t="inlineStr">
        <is>
          <t>MenuTrigger</t>
        </is>
      </c>
      <c r="D140" s="5" t="inlineStr">
        <is>
          <t>appears in documented order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NavigationMenu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30" customHeight="1" s="60">
      <c r="A141" s="4" t="n">
        <v>133</v>
      </c>
      <c r="B141" s="5" t="inlineStr">
        <is>
          <t>Identity</t>
        </is>
      </c>
      <c r="C141" s="5" t="inlineStr">
        <is>
          <t>MenuTrigger</t>
        </is>
      </c>
      <c r="D141" s="5" t="inlineStr">
        <is>
          <t>default tag is visible in Anatomy/Inspector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NavigationMenu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Identity</t>
        </is>
      </c>
      <c r="C142" s="5" t="inlineStr">
        <is>
          <t>MenuTrigger</t>
        </is>
      </c>
      <c r="D142" s="5" t="inlineStr">
        <is>
          <t>data-slot is present and correct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NavigationMenu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Props</t>
        </is>
      </c>
      <c r="C143" s="5" t="inlineStr">
        <is>
          <t>MenuTrigger</t>
        </is>
      </c>
      <c r="D143" s="5" t="inlineStr">
        <is>
          <t>non-Atom native props pass through with data-prop-check marker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NavigationMenu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Refs</t>
        </is>
      </c>
      <c r="C144" s="5" t="inlineStr">
        <is>
          <t>MenuTrigger</t>
        </is>
      </c>
      <c r="D144" s="5" t="inlineStr">
        <is>
          <t>consumer ref receives the rendered element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NavigationMenu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Anatomy</t>
        </is>
      </c>
      <c r="C145" s="5" t="inlineStr">
        <is>
          <t>MenuViewport</t>
        </is>
      </c>
      <c r="D145" s="5" t="inlineStr">
        <is>
          <t>renders correct part when expected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NavigationMenu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Anatomy</t>
        </is>
      </c>
      <c r="C146" s="5" t="inlineStr">
        <is>
          <t>MenuViewport</t>
        </is>
      </c>
      <c r="D146" s="5" t="inlineStr">
        <is>
          <t>appears in documented order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NavigationMenu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30" customHeight="1" s="60">
      <c r="A147" s="4" t="n">
        <v>139</v>
      </c>
      <c r="B147" s="5" t="inlineStr">
        <is>
          <t>Identity</t>
        </is>
      </c>
      <c r="C147" s="5" t="inlineStr">
        <is>
          <t>MenuViewport</t>
        </is>
      </c>
      <c r="D147" s="5" t="inlineStr">
        <is>
          <t>default tag is visible in Anatomy/Inspector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NavigationMenu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Identity</t>
        </is>
      </c>
      <c r="C148" s="5" t="inlineStr">
        <is>
          <t>MenuViewport</t>
        </is>
      </c>
      <c r="D148" s="5" t="inlineStr">
        <is>
          <t>data-slot is present and correct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NavigationMenu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Props</t>
        </is>
      </c>
      <c r="C149" s="5" t="inlineStr">
        <is>
          <t>MenuViewport</t>
        </is>
      </c>
      <c r="D149" s="5" t="inlineStr">
        <is>
          <t>non-Atom native props pass through with data-prop-check marker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NavigationMenu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Refs</t>
        </is>
      </c>
      <c r="C150" s="5" t="inlineStr">
        <is>
          <t>MenuViewport</t>
        </is>
      </c>
      <c r="D150" s="5" t="inlineStr">
        <is>
          <t>consumer ref receives the rendered element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NavigationMenu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Anatomy</t>
        </is>
      </c>
      <c r="C151" s="5" t="inlineStr">
        <is>
          <t>Sub</t>
        </is>
      </c>
      <c r="D151" s="5" t="inlineStr">
        <is>
          <t>renders correct part when expected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NavigationMenu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Anatomy</t>
        </is>
      </c>
      <c r="C152" s="5" t="inlineStr">
        <is>
          <t>Sub</t>
        </is>
      </c>
      <c r="D152" s="5" t="inlineStr">
        <is>
          <t>appears in documented order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NavigationMenu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30" customHeight="1" s="60">
      <c r="A153" s="4" t="n">
        <v>145</v>
      </c>
      <c r="B153" s="5" t="inlineStr">
        <is>
          <t>Identity</t>
        </is>
      </c>
      <c r="C153" s="5" t="inlineStr">
        <is>
          <t>Sub</t>
        </is>
      </c>
      <c r="D153" s="5" t="inlineStr">
        <is>
          <t>default tag is visible in Anatomy/Inspector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NavigationMenu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Identity</t>
        </is>
      </c>
      <c r="C154" s="5" t="inlineStr">
        <is>
          <t>Sub</t>
        </is>
      </c>
      <c r="D154" s="5" t="inlineStr">
        <is>
          <t>data-slot is present and correct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NavigationMenu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Props</t>
        </is>
      </c>
      <c r="C155" s="5" t="inlineStr">
        <is>
          <t>Sub</t>
        </is>
      </c>
      <c r="D155" s="5" t="inlineStr">
        <is>
          <t>non-Atom native props pass through with data-prop-check marker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NavigationMenu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Refs</t>
        </is>
      </c>
      <c r="C156" s="5" t="inlineStr">
        <is>
          <t>Sub</t>
        </is>
      </c>
      <c r="D156" s="5" t="inlineStr">
        <is>
          <t>consumer ref receives the rendered element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NavigationMenu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State</t>
        </is>
      </c>
      <c r="C157" s="5" t="inlineStr">
        <is>
          <t>Sub</t>
        </is>
      </c>
      <c r="D157" s="5" t="inlineStr">
        <is>
          <t>value prop behavior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NavigationMenu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State</t>
        </is>
      </c>
      <c r="C158" s="5" t="inlineStr">
        <is>
          <t>Sub</t>
        </is>
      </c>
      <c r="D158" s="5" t="inlineStr">
        <is>
          <t>defaultValue prop behavior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NavigationMenu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State</t>
        </is>
      </c>
      <c r="C159" s="5" t="inlineStr">
        <is>
          <t>Sub</t>
        </is>
      </c>
      <c r="D159" s="5" t="inlineStr">
        <is>
          <t>onValueChange prop behavior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NavigationMenu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ARIA</t>
        </is>
      </c>
      <c r="C160" s="5" t="inlineStr">
        <is>
          <t>Live DOM</t>
        </is>
      </c>
      <c r="D160" s="5" t="inlineStr">
        <is>
          <t>aria-controls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NavigationMenu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ARIA</t>
        </is>
      </c>
      <c r="C161" s="5" t="inlineStr">
        <is>
          <t>Live DOM</t>
        </is>
      </c>
      <c r="D161" s="5" t="inlineStr">
        <is>
          <t>aria-current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NavigationMenu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ARIA</t>
        </is>
      </c>
      <c r="C162" s="5" t="inlineStr">
        <is>
          <t>Live DOM</t>
        </is>
      </c>
      <c r="D162" s="5" t="inlineStr">
        <is>
          <t>aria-disabled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NavigationMenu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ARIA</t>
        </is>
      </c>
      <c r="C163" s="5" t="inlineStr">
        <is>
          <t>Live DOM</t>
        </is>
      </c>
      <c r="D163" s="5" t="inlineStr">
        <is>
          <t>aria-expanded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NavigationMenu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ARIA</t>
        </is>
      </c>
      <c r="C164" s="5" t="inlineStr">
        <is>
          <t>Live DOM</t>
        </is>
      </c>
      <c r="D164" s="5" t="inlineStr">
        <is>
          <t>aria-hidden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NavigationMenu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ARIA</t>
        </is>
      </c>
      <c r="C165" s="5" t="inlineStr">
        <is>
          <t>Live DOM</t>
        </is>
      </c>
      <c r="D165" s="5" t="inlineStr">
        <is>
          <t>aria-label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NavigationMenu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data-active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NavigationMenu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data-disabled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NavigationMenu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data-motion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NavigationMenu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data-orientation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NavigationMenu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data-slot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NavigationMenu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data-state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NavigationMenu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30" customHeight="1" s="60">
      <c r="A172" s="4" t="n">
        <v>164</v>
      </c>
      <c r="B172" s="5" t="inlineStr">
        <is>
          <t>Composition</t>
        </is>
      </c>
      <c r="C172" s="5" t="inlineStr">
        <is>
          <t>NavigationMenu</t>
        </is>
      </c>
      <c r="D172" s="5" t="inlineStr">
        <is>
          <t>asChild preserves child content without double nesting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NavigationMenu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Composition</t>
        </is>
      </c>
      <c r="C173" s="5" t="inlineStr">
        <is>
          <t>NavigationMenu</t>
        </is>
      </c>
      <c r="D173" s="5" t="inlineStr">
        <is>
          <t>asChild merges Atom props and consumer props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NavigationMenu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Composition</t>
        </is>
      </c>
      <c r="C174" s="5" t="inlineStr">
        <is>
          <t>NavigationMenu</t>
        </is>
      </c>
      <c r="D174" s="5" t="inlineStr">
        <is>
          <t>asChild lets preventDefault block Atom behavior where supported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NavigationMenu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60">
      <c r="A175" s="4" t="n">
        <v>167</v>
      </c>
      <c r="B175" s="5" t="inlineStr">
        <is>
          <t>Composition</t>
        </is>
      </c>
      <c r="C175" s="5" t="inlineStr">
        <is>
          <t>NavigationMenu</t>
        </is>
      </c>
      <c r="D175" s="5" t="inlineStr">
        <is>
          <t>render prop renders custom element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NavigationMenu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Composition</t>
        </is>
      </c>
      <c r="C176" s="5" t="inlineStr">
        <is>
          <t>NavigationMenu</t>
        </is>
      </c>
      <c r="D176" s="5" t="inlineStr">
        <is>
          <t>render prop preserves refs and behavior props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NavigationMenu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15" customHeight="1" s="60">
      <c r="A177" s="4" t="n">
        <v>169</v>
      </c>
      <c r="B177" s="5" t="inlineStr">
        <is>
          <t>State</t>
        </is>
      </c>
      <c r="C177" s="5" t="inlineStr">
        <is>
          <t>Root</t>
        </is>
      </c>
      <c r="D177" s="5" t="inlineStr">
        <is>
          <t>controlled state path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NavigationMenu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15" customHeight="1" s="60">
      <c r="A178" s="4" t="n">
        <v>170</v>
      </c>
      <c r="B178" s="5" t="inlineStr">
        <is>
          <t>State</t>
        </is>
      </c>
      <c r="C178" s="5" t="inlineStr">
        <is>
          <t>Root</t>
        </is>
      </c>
      <c r="D178" s="5" t="inlineStr">
        <is>
          <t>uncontrolled default state path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NavigationMenu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State</t>
        </is>
      </c>
      <c r="C179" s="5" t="inlineStr">
        <is>
          <t>Root</t>
        </is>
      </c>
      <c r="D179" s="5" t="inlineStr">
        <is>
          <t>state change callback fires once with correct value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NavigationMenu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Interaction</t>
        </is>
      </c>
      <c r="C180" s="5" t="inlineStr">
        <is>
          <t>Trigger</t>
        </is>
      </c>
      <c r="D180" s="5" t="inlineStr">
        <is>
          <t>mouse click or pointer activation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NavigationMenu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Interaction</t>
        </is>
      </c>
      <c r="C181" s="5" t="inlineStr">
        <is>
          <t>Trigger</t>
        </is>
      </c>
      <c r="D181" s="5" t="inlineStr">
        <is>
          <t>Enter key activation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NavigationMenu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Interaction</t>
        </is>
      </c>
      <c r="C182" s="5" t="inlineStr">
        <is>
          <t>Trigger</t>
        </is>
      </c>
      <c r="D182" s="5" t="inlineStr">
        <is>
          <t>Space key activation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NavigationMenu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Interaction</t>
        </is>
      </c>
      <c r="C183" s="5" t="inlineStr">
        <is>
          <t>Trigger</t>
        </is>
      </c>
      <c r="D183" s="5" t="inlineStr">
        <is>
          <t>disabled trigger blocks pointer and keyboard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NavigationMenu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Focus</t>
        </is>
      </c>
      <c r="C184" s="5" t="inlineStr">
        <is>
          <t>Trigger</t>
        </is>
      </c>
      <c r="D184" s="5" t="inlineStr">
        <is>
          <t>focus ring and focus restoration are correct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NavigationMenu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Keyboard</t>
        </is>
      </c>
      <c r="C185" s="5" t="inlineStr">
        <is>
          <t>NavigationMenu</t>
        </is>
      </c>
      <c r="D185" s="5" t="inlineStr">
        <is>
          <t>Arrow key navigation follows documented orientation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NavigationMenu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60">
      <c r="A186" s="4" t="n">
        <v>178</v>
      </c>
      <c r="B186" s="5" t="inlineStr">
        <is>
          <t>Keyboard</t>
        </is>
      </c>
      <c r="C186" s="5" t="inlineStr">
        <is>
          <t>NavigationMenu</t>
        </is>
      </c>
      <c r="D186" s="5" t="inlineStr">
        <is>
          <t>Home and End navigation where supported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NavigationMenu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60">
      <c r="A187" s="4" t="n">
        <v>179</v>
      </c>
      <c r="B187" s="5" t="inlineStr">
        <is>
          <t>Keyboard</t>
        </is>
      </c>
      <c r="C187" s="5" t="inlineStr">
        <is>
          <t>NavigationMenu</t>
        </is>
      </c>
      <c r="D187" s="5" t="inlineStr">
        <is>
          <t>disabled items are skipped or exposed according to pattern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NavigationMenu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15" customHeight="1" s="60">
      <c r="A188" s="4" t="n">
        <v>180</v>
      </c>
      <c r="B188" s="5" t="inlineStr">
        <is>
          <t>Keyboard</t>
        </is>
      </c>
      <c r="C188" s="5" t="inlineStr">
        <is>
          <t>NavigationMenu</t>
        </is>
      </c>
      <c r="D188" s="5" t="inlineStr">
        <is>
          <t>typeahead/search behavior where supported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NavigationMenu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15" customHeight="1" s="60">
      <c r="A189" s="4" t="n">
        <v>181</v>
      </c>
      <c r="B189" s="5" t="inlineStr">
        <is>
          <t>Focus</t>
        </is>
      </c>
      <c r="C189" s="5" t="inlineStr">
        <is>
          <t>NavigationMenu</t>
        </is>
      </c>
      <c r="D189" s="5" t="inlineStr">
        <is>
          <t>roving focus or active descendant state is visible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NavigationMenu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15" customHeight="1" s="60">
      <c r="A190" s="4" t="n">
        <v>182</v>
      </c>
      <c r="B190" s="5" t="inlineStr">
        <is>
          <t>Dismiss</t>
        </is>
      </c>
      <c r="C190" s="5" t="inlineStr">
        <is>
          <t>NavigationMenu</t>
        </is>
      </c>
      <c r="D190" s="5" t="inlineStr">
        <is>
          <t>Escape closes only the topmost active layer</t>
        </is>
      </c>
      <c r="E190" s="7" t="inlineStr">
        <is>
          <t>yes</t>
        </is>
      </c>
      <c r="F190" s="8" t="inlineStr">
        <is>
          <t>no</t>
        </is>
      </c>
      <c r="G190" s="4" t="inlineStr">
        <is>
          <t>ready for manual test</t>
        </is>
      </c>
      <c r="H190" s="9" t="inlineStr">
        <is>
          <t>untested</t>
        </is>
      </c>
      <c r="I190" s="5" t="inlineStr">
        <is>
          <t>NavigationMenu playground scenario.</t>
        </is>
      </c>
      <c r="J190" s="5" t="inlineStr">
        <is>
          <t>Manual verification needed.</t>
        </is>
      </c>
      <c r="K190" s="6">
        <f>IF(AND(E190="yes",F190="yes",H190="covered"),1,IF(H190="partial",0.5,0))</f>
        <v/>
      </c>
    </row>
    <row r="191" ht="15" customHeight="1" s="60">
      <c r="A191" s="4" t="n">
        <v>183</v>
      </c>
      <c r="B191" s="5" t="inlineStr">
        <is>
          <t>Dismiss</t>
        </is>
      </c>
      <c r="C191" s="5" t="inlineStr">
        <is>
          <t>NavigationMenu</t>
        </is>
      </c>
      <c r="D191" s="5" t="inlineStr">
        <is>
          <t>outside click/interact closes when enabled</t>
        </is>
      </c>
      <c r="E191" s="7" t="inlineStr">
        <is>
          <t>yes</t>
        </is>
      </c>
      <c r="F191" s="8" t="inlineStr">
        <is>
          <t>no</t>
        </is>
      </c>
      <c r="G191" s="4" t="inlineStr">
        <is>
          <t>ready for manual test</t>
        </is>
      </c>
      <c r="H191" s="9" t="inlineStr">
        <is>
          <t>untested</t>
        </is>
      </c>
      <c r="I191" s="5" t="inlineStr">
        <is>
          <t>NavigationMenu playground scenario.</t>
        </is>
      </c>
      <c r="J191" s="5" t="inlineStr">
        <is>
          <t>Manual verification needed.</t>
        </is>
      </c>
      <c r="K191" s="6">
        <f>IF(AND(E191="yes",F191="yes",H191="covered"),1,IF(H191="partial",0.5,0))</f>
        <v/>
      </c>
    </row>
    <row r="192" ht="15" customHeight="1" s="60">
      <c r="A192" s="4" t="n">
        <v>184</v>
      </c>
      <c r="B192" s="5" t="inlineStr">
        <is>
          <t>Dismiss</t>
        </is>
      </c>
      <c r="C192" s="5" t="inlineStr">
        <is>
          <t>NavigationMenu</t>
        </is>
      </c>
      <c r="D192" s="5" t="inlineStr">
        <is>
          <t>outside click/interact is blocked when disabled</t>
        </is>
      </c>
      <c r="E192" s="7" t="inlineStr">
        <is>
          <t>yes</t>
        </is>
      </c>
      <c r="F192" s="8" t="inlineStr">
        <is>
          <t>no</t>
        </is>
      </c>
      <c r="G192" s="4" t="inlineStr">
        <is>
          <t>ready for manual test</t>
        </is>
      </c>
      <c r="H192" s="9" t="inlineStr">
        <is>
          <t>untested</t>
        </is>
      </c>
      <c r="I192" s="5" t="inlineStr">
        <is>
          <t>NavigationMenu playground scenario.</t>
        </is>
      </c>
      <c r="J192" s="5" t="inlineStr">
        <is>
          <t>Manual verification needed.</t>
        </is>
      </c>
      <c r="K192" s="6">
        <f>IF(AND(E192="yes",F192="yes",H192="covered"),1,IF(H192="partial",0.5,0))</f>
        <v/>
      </c>
    </row>
    <row r="193" ht="15" customHeight="1" s="60">
      <c r="A193" s="4" t="n">
        <v>185</v>
      </c>
      <c r="B193" s="5" t="inlineStr">
        <is>
          <t>Focus</t>
        </is>
      </c>
      <c r="C193" s="5" t="inlineStr">
        <is>
          <t>NavigationMenu</t>
        </is>
      </c>
      <c r="D193" s="5" t="inlineStr">
        <is>
          <t>focus returns to the correct trigger/anchor after close</t>
        </is>
      </c>
      <c r="E193" s="7" t="inlineStr">
        <is>
          <t>yes</t>
        </is>
      </c>
      <c r="F193" s="8" t="inlineStr">
        <is>
          <t>no</t>
        </is>
      </c>
      <c r="G193" s="4" t="inlineStr">
        <is>
          <t>ready for manual test</t>
        </is>
      </c>
      <c r="H193" s="9" t="inlineStr">
        <is>
          <t>untested</t>
        </is>
      </c>
      <c r="I193" s="5" t="inlineStr">
        <is>
          <t>NavigationMenu playground scenario.</t>
        </is>
      </c>
      <c r="J193" s="5" t="inlineStr">
        <is>
          <t>Manual verification needed.</t>
        </is>
      </c>
      <c r="K193" s="6">
        <f>IF(AND(E193="yes",F193="yes",H193="covered"),1,IF(H193="partial",0.5,0))</f>
        <v/>
      </c>
    </row>
    <row r="194" ht="15" customHeight="1" s="60">
      <c r="A194" s="4" t="n">
        <v>186</v>
      </c>
      <c r="B194" s="5" t="inlineStr">
        <is>
          <t>Focus</t>
        </is>
      </c>
      <c r="C194" s="5" t="inlineStr">
        <is>
          <t>NavigationMenu</t>
        </is>
      </c>
      <c r="D194" s="5" t="inlineStr">
        <is>
          <t>nested overlays keep focus and Escape order correct</t>
        </is>
      </c>
      <c r="E194" s="7" t="inlineStr">
        <is>
          <t>yes</t>
        </is>
      </c>
      <c r="F194" s="8" t="inlineStr">
        <is>
          <t>no</t>
        </is>
      </c>
      <c r="G194" s="4" t="inlineStr">
        <is>
          <t>ready for manual test</t>
        </is>
      </c>
      <c r="H194" s="9" t="inlineStr">
        <is>
          <t>untested</t>
        </is>
      </c>
      <c r="I194" s="5" t="inlineStr">
        <is>
          <t>NavigationMenu playground scenario.</t>
        </is>
      </c>
      <c r="J194" s="5" t="inlineStr">
        <is>
          <t>Manual verification needed.</t>
        </is>
      </c>
      <c r="K194" s="6">
        <f>IF(AND(E194="yes",F194="yes",H194="covered"),1,IF(H194="partial",0.5,0))</f>
        <v/>
      </c>
    </row>
    <row r="195" ht="15" customHeight="1" s="60">
      <c r="A195" s="4" t="n">
        <v>187</v>
      </c>
      <c r="B195" s="5" t="inlineStr">
        <is>
          <t>Mobile</t>
        </is>
      </c>
      <c r="C195" s="5" t="inlineStr">
        <is>
          <t>NavigationMenu</t>
        </is>
      </c>
      <c r="D195" s="5" t="inlineStr">
        <is>
          <t>mobile viewport/touch behavior</t>
        </is>
      </c>
      <c r="E195" s="7" t="inlineStr">
        <is>
          <t>yes</t>
        </is>
      </c>
      <c r="F195" s="8" t="inlineStr">
        <is>
          <t>no</t>
        </is>
      </c>
      <c r="G195" s="4" t="inlineStr">
        <is>
          <t>ready for manual test</t>
        </is>
      </c>
      <c r="H195" s="9" t="inlineStr">
        <is>
          <t>untested</t>
        </is>
      </c>
      <c r="I195" s="5" t="inlineStr">
        <is>
          <t>NavigationMenu playground scenario.</t>
        </is>
      </c>
      <c r="J195" s="5" t="inlineStr">
        <is>
          <t>Manual verification needed.</t>
        </is>
      </c>
      <c r="K195" s="6">
        <f>IF(AND(E195="yes",F195="yes",H195="covered"),1,IF(H195="partial",0.5,0))</f>
        <v/>
      </c>
    </row>
    <row r="196" ht="15" customHeight="1" s="60">
      <c r="A196" s="4" t="n">
        <v>188</v>
      </c>
      <c r="B196" s="5" t="inlineStr">
        <is>
          <t>Menu</t>
        </is>
      </c>
      <c r="C196" s="5" t="inlineStr">
        <is>
          <t>NavigationMenu</t>
        </is>
      </c>
      <c r="D196" s="5" t="inlineStr">
        <is>
          <t>checkbox item checked/unchecked state</t>
        </is>
      </c>
      <c r="E196" s="7" t="inlineStr">
        <is>
          <t>yes</t>
        </is>
      </c>
      <c r="F196" s="8" t="inlineStr">
        <is>
          <t>no</t>
        </is>
      </c>
      <c r="G196" s="4" t="inlineStr">
        <is>
          <t>ready for manual test</t>
        </is>
      </c>
      <c r="H196" s="9" t="inlineStr">
        <is>
          <t>untested</t>
        </is>
      </c>
      <c r="I196" s="5" t="inlineStr">
        <is>
          <t>NavigationMenu playground scenario.</t>
        </is>
      </c>
      <c r="J196" s="5" t="inlineStr">
        <is>
          <t>Manual verification needed.</t>
        </is>
      </c>
      <c r="K196" s="6">
        <f>IF(AND(E196="yes",F196="yes",H196="covered"),1,IF(H196="partial",0.5,0))</f>
        <v/>
      </c>
    </row>
    <row r="197" ht="15" customHeight="1" s="60">
      <c r="A197" s="4" t="n">
        <v>189</v>
      </c>
      <c r="B197" s="5" t="inlineStr">
        <is>
          <t>Menu</t>
        </is>
      </c>
      <c r="C197" s="5" t="inlineStr">
        <is>
          <t>NavigationMenu</t>
        </is>
      </c>
      <c r="D197" s="5" t="inlineStr">
        <is>
          <t>radio group item exclusivity</t>
        </is>
      </c>
      <c r="E197" s="7" t="inlineStr">
        <is>
          <t>yes</t>
        </is>
      </c>
      <c r="F197" s="8" t="inlineStr">
        <is>
          <t>no</t>
        </is>
      </c>
      <c r="G197" s="4" t="inlineStr">
        <is>
          <t>ready for manual test</t>
        </is>
      </c>
      <c r="H197" s="9" t="inlineStr">
        <is>
          <t>untested</t>
        </is>
      </c>
      <c r="I197" s="5" t="inlineStr">
        <is>
          <t>NavigationMenu playground scenario.</t>
        </is>
      </c>
      <c r="J197" s="5" t="inlineStr">
        <is>
          <t>Manual verification needed.</t>
        </is>
      </c>
      <c r="K197" s="6">
        <f>IF(AND(E197="yes",F197="yes",H197="covered"),1,IF(H197="partial",0.5,0))</f>
        <v/>
      </c>
    </row>
    <row r="198" ht="15" customHeight="1" s="60">
      <c r="A198" s="4" t="n">
        <v>190</v>
      </c>
      <c r="B198" s="5" t="inlineStr">
        <is>
          <t>Menu</t>
        </is>
      </c>
      <c r="C198" s="5" t="inlineStr">
        <is>
          <t>NavigationMenu</t>
        </is>
      </c>
      <c r="D198" s="5" t="inlineStr">
        <is>
          <t>submenu open, close, keyboard, and nested dismissal</t>
        </is>
      </c>
      <c r="E198" s="7" t="inlineStr">
        <is>
          <t>yes</t>
        </is>
      </c>
      <c r="F198" s="8" t="inlineStr">
        <is>
          <t>no</t>
        </is>
      </c>
      <c r="G198" s="4" t="inlineStr">
        <is>
          <t>ready for manual test</t>
        </is>
      </c>
      <c r="H198" s="9" t="inlineStr">
        <is>
          <t>untested</t>
        </is>
      </c>
      <c r="I198" s="5" t="inlineStr">
        <is>
          <t>NavigationMenu playground scenario.</t>
        </is>
      </c>
      <c r="J198" s="5" t="inlineStr">
        <is>
          <t>Manual verification needed.</t>
        </is>
      </c>
      <c r="K198" s="6">
        <f>IF(AND(E198="yes",F198="yes",H198="covered"),1,IF(H198="partial",0.5,0))</f>
        <v/>
      </c>
    </row>
    <row r="199" ht="15" customHeight="1" s="60">
      <c r="A199" s="4" t="n">
        <v>191</v>
      </c>
      <c r="B199" s="5" t="inlineStr">
        <is>
          <t>Menu</t>
        </is>
      </c>
      <c r="C199" s="5" t="inlineStr">
        <is>
          <t>NavigationMenu</t>
        </is>
      </c>
      <c r="D199" s="5" t="inlineStr">
        <is>
          <t>selection closes parent menu when expected</t>
        </is>
      </c>
      <c r="E199" s="7" t="inlineStr">
        <is>
          <t>yes</t>
        </is>
      </c>
      <c r="F199" s="8" t="inlineStr">
        <is>
          <t>no</t>
        </is>
      </c>
      <c r="G199" s="4" t="inlineStr">
        <is>
          <t>ready for manual test</t>
        </is>
      </c>
      <c r="H199" s="9" t="inlineStr">
        <is>
          <t>untested</t>
        </is>
      </c>
      <c r="I199" s="5" t="inlineStr">
        <is>
          <t>NavigationMenu playground scenario.</t>
        </is>
      </c>
      <c r="J199" s="5" t="inlineStr">
        <is>
          <t>Manual verification needed.</t>
        </is>
      </c>
      <c r="K199" s="6">
        <f>IF(AND(E199="yes",F199="yes",H199="covered"),1,IF(H199="partial",0.5,0))</f>
        <v/>
      </c>
    </row>
    <row r="200" ht="15" customHeight="1" s="60">
      <c r="A200" s="4" t="n">
        <v>192</v>
      </c>
      <c r="B200" s="5" t="inlineStr">
        <is>
          <t>Menu</t>
        </is>
      </c>
      <c r="C200" s="5" t="inlineStr">
        <is>
          <t>NavigationMenu</t>
        </is>
      </c>
      <c r="D200" s="5" t="inlineStr">
        <is>
          <t>mouse hover does not reset highlight unexpectedly</t>
        </is>
      </c>
      <c r="E200" s="7" t="inlineStr">
        <is>
          <t>yes</t>
        </is>
      </c>
      <c r="F200" s="8" t="inlineStr">
        <is>
          <t>no</t>
        </is>
      </c>
      <c r="G200" s="4" t="inlineStr">
        <is>
          <t>ready for manual test</t>
        </is>
      </c>
      <c r="H200" s="9" t="inlineStr">
        <is>
          <t>untested</t>
        </is>
      </c>
      <c r="I200" s="5" t="inlineStr">
        <is>
          <t>NavigationMenu playground scenario.</t>
        </is>
      </c>
      <c r="J200" s="5" t="inlineStr">
        <is>
          <t>Manual verification needed.</t>
        </is>
      </c>
      <c r="K200" s="6">
        <f>IF(AND(E200="yes",F200="yes",H200="covered"),1,IF(H200="partial",0.5,0))</f>
        <v/>
      </c>
    </row>
    <row r="201" ht="30" customHeight="1" s="60">
      <c r="A201" s="4" t="n">
        <v>193</v>
      </c>
      <c r="B201" s="5" t="inlineStr">
        <is>
          <t>Portal</t>
        </is>
      </c>
      <c r="C201" s="5" t="inlineStr">
        <is>
          <t>NavigationMenu</t>
        </is>
      </c>
      <c r="D201" s="5" t="inlineStr">
        <is>
          <t>portal renders in body by default</t>
        </is>
      </c>
      <c r="E201" s="7" t="inlineStr">
        <is>
          <t>yes</t>
        </is>
      </c>
      <c r="F201" s="8" t="inlineStr">
        <is>
          <t>no</t>
        </is>
      </c>
      <c r="G201" s="4" t="inlineStr">
        <is>
          <t>ready for manual test</t>
        </is>
      </c>
      <c r="H201" s="9" t="inlineStr">
        <is>
          <t>untested</t>
        </is>
      </c>
      <c r="I201" s="5" t="inlineStr">
        <is>
          <t>NavigationMenu playground scenario.</t>
        </is>
      </c>
      <c r="J201" s="5" t="inlineStr">
        <is>
          <t>Manual verification needed.</t>
        </is>
      </c>
      <c r="K201" s="6">
        <f>IF(AND(E201="yes",F201="yes",H201="covered"),1,IF(H201="partial",0.5,0))</f>
        <v/>
      </c>
    </row>
    <row r="202" ht="30" customHeight="1" s="60">
      <c r="A202" s="4" t="n">
        <v>194</v>
      </c>
      <c r="B202" s="5" t="inlineStr">
        <is>
          <t>Portal</t>
        </is>
      </c>
      <c r="C202" s="5" t="inlineStr">
        <is>
          <t>NavigationMenu</t>
        </is>
      </c>
      <c r="D202" s="5" t="inlineStr">
        <is>
          <t>custom/disabled portal path works where supported</t>
        </is>
      </c>
      <c r="E202" s="7" t="inlineStr">
        <is>
          <t>yes</t>
        </is>
      </c>
      <c r="F202" s="8" t="inlineStr">
        <is>
          <t>no</t>
        </is>
      </c>
      <c r="G202" s="4" t="inlineStr">
        <is>
          <t>ready for manual test</t>
        </is>
      </c>
      <c r="H202" s="9" t="inlineStr">
        <is>
          <t>untested</t>
        </is>
      </c>
      <c r="I202" s="5" t="inlineStr">
        <is>
          <t>NavigationMenu playground scenario.</t>
        </is>
      </c>
      <c r="J202" s="5" t="inlineStr">
        <is>
          <t>Manual verification needed.</t>
        </is>
      </c>
      <c r="K202" s="6">
        <f>IF(AND(E202="yes",F202="yes",H202="covered"),1,IF(H202="partial",0.5,0))</f>
        <v/>
      </c>
    </row>
    <row r="203" ht="30" customHeight="1" s="60">
      <c r="A203" s="4" t="n">
        <v>195</v>
      </c>
      <c r="B203" s="5" t="inlineStr">
        <is>
          <t>Direction</t>
        </is>
      </c>
      <c r="C203" s="5" t="inlineStr">
        <is>
          <t>Root</t>
        </is>
      </c>
      <c r="D203" s="5" t="inlineStr">
        <is>
          <t>reads Direction.Provider context before defaulting to ltr</t>
        </is>
      </c>
      <c r="E203" s="10" t="inlineStr">
        <is>
          <t>no</t>
        </is>
      </c>
      <c r="F203" s="8" t="inlineStr">
        <is>
          <t>no</t>
        </is>
      </c>
      <c r="G203" s="4" t="inlineStr">
        <is>
          <t>missing</t>
        </is>
      </c>
      <c r="H203" s="10" t="inlineStr">
        <is>
          <t>missing</t>
        </is>
      </c>
      <c r="I203" s="5" t="n"/>
      <c r="J203" s="5" t="inlineStr">
        <is>
          <t>NavigationMenu currently exposes a local dir prop only.</t>
        </is>
      </c>
      <c r="K203" s="6">
        <f>IF(AND(E203="yes",F203="yes",H203="covered"),1,IF(H203="partial",0.5,0))</f>
        <v/>
      </c>
    </row>
    <row r="204" ht="30" customHeight="1" s="60">
      <c r="A204" s="4" t="n">
        <v>196</v>
      </c>
      <c r="B204" s="5" t="inlineStr">
        <is>
          <t>Direction</t>
        </is>
      </c>
      <c r="C204" s="5" t="inlineStr">
        <is>
          <t>Root</t>
        </is>
      </c>
      <c r="D204" s="5" t="inlineStr">
        <is>
          <t>direct dir prop overrides provider direction</t>
        </is>
      </c>
      <c r="E204" s="7" t="inlineStr">
        <is>
          <t>yes</t>
        </is>
      </c>
      <c r="F204" s="8" t="inlineStr">
        <is>
          <t>no</t>
        </is>
      </c>
      <c r="G204" s="4" t="inlineStr">
        <is>
          <t>ready for manual test</t>
        </is>
      </c>
      <c r="H204" s="9" t="inlineStr">
        <is>
          <t>untested</t>
        </is>
      </c>
      <c r="I204" s="5" t="inlineStr">
        <is>
          <t>Direction-sensitive behavior is supported by source; manual verification needed.</t>
        </is>
      </c>
      <c r="J204" s="5" t="inlineStr">
        <is>
          <t>Manual verification needed.</t>
        </is>
      </c>
      <c r="K204" s="6">
        <f>IF(AND(E204="yes",F204="yes",H204="covered"),1,IF(H204="partial",0.5,0))</f>
        <v/>
      </c>
    </row>
    <row r="205" ht="30" customHeight="1" s="60">
      <c r="A205" s="4" t="n">
        <v>197</v>
      </c>
      <c r="B205" s="5" t="inlineStr">
        <is>
          <t>Direction</t>
        </is>
      </c>
      <c r="C205" s="5" t="inlineStr">
        <is>
          <t>Root</t>
        </is>
      </c>
      <c r="D205" s="5" t="inlineStr">
        <is>
          <t>RTL mirrors trigger and viewport positioning behavior</t>
        </is>
      </c>
      <c r="E205" s="7" t="inlineStr">
        <is>
          <t>yes</t>
        </is>
      </c>
      <c r="F205" s="8" t="inlineStr">
        <is>
          <t>no</t>
        </is>
      </c>
      <c r="G205" s="4" t="inlineStr">
        <is>
          <t>ready for manual test</t>
        </is>
      </c>
      <c r="H205" s="9" t="inlineStr">
        <is>
          <t>untested</t>
        </is>
      </c>
      <c r="I205" s="5" t="inlineStr">
        <is>
          <t>Direction-sensitive behavior is supported by source; manual verification needed.</t>
        </is>
      </c>
      <c r="J205" s="5" t="inlineStr">
        <is>
          <t>Manual verification needed.</t>
        </is>
      </c>
      <c r="K205" s="6">
        <f>IF(AND(E205="yes",F205="yes",H205="covered"),1,IF(H205="partial",0.5,0))</f>
        <v/>
      </c>
    </row>
    <row r="206" ht="30" customHeight="1" s="60">
      <c r="A206" s="4" t="n">
        <v>198</v>
      </c>
      <c r="B206" s="5" t="inlineStr">
        <is>
          <t>Playground</t>
        </is>
      </c>
      <c r="C206" s="5" t="inlineStr">
        <is>
          <t>Direction controls</t>
        </is>
      </c>
      <c r="D206" s="5" t="inlineStr">
        <is>
          <t>scenario exposes provider direction and direct dir override separately</t>
        </is>
      </c>
      <c r="E206" s="10" t="inlineStr">
        <is>
          <t>no</t>
        </is>
      </c>
      <c r="F206" s="8" t="inlineStr">
        <is>
          <t>no</t>
        </is>
      </c>
      <c r="G206" s="4" t="inlineStr">
        <is>
          <t>missing</t>
        </is>
      </c>
      <c r="H206" s="10" t="inlineStr">
        <is>
          <t>missing</t>
        </is>
      </c>
      <c r="I206" s="5" t="n"/>
      <c r="J206" s="5" t="inlineStr">
        <is>
          <t>Add separate provider and direct override controls.</t>
        </is>
      </c>
      <c r="K206" s="6">
        <f>IF(AND(E206="yes",F206="yes",H206="covered"),1,IF(H206="partial",0.5,0))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7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NumberInput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NumberInput playground manual verification.</t>
        </is>
      </c>
      <c r="J9" s="5" t="inlineStr">
        <is>
          <t>Manual verification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NumberInput playground manual verification.</t>
        </is>
      </c>
      <c r="J10" s="5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NumberInput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NumberInput playground manual verification.</t>
        </is>
      </c>
      <c r="J11" s="5" t="inlineStr">
        <is>
          <t>Manual verification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NumberInput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NumberInput playground manual verification.</t>
        </is>
      </c>
      <c r="J12" s="5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NumberInput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NumberInput playground manual verification.</t>
        </is>
      </c>
      <c r="J13" s="5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NumberInput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NumberInput playground manual verification.</t>
        </is>
      </c>
      <c r="J14" s="5" t="inlineStr">
        <is>
          <t>Manual verification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NumberInput</t>
        </is>
      </c>
      <c r="D15" s="5" t="inlineStr">
        <is>
          <t>Renders an editable text input with `role="spinbutton"`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NumberInput playground manual verification.</t>
        </is>
      </c>
      <c r="J15" s="5" t="inlineStr">
        <is>
          <t>Manual verification passed.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NumberInput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NumberInput playground manual verification.</t>
        </is>
      </c>
      <c r="J16" s="5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NumberInput</t>
        </is>
      </c>
      <c r="D17" s="5" t="inlineStr">
        <is>
          <t>Supports `min`, `max`, `step`, `largeStep`, and precision formatting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NumberInput playground manual verification.</t>
        </is>
      </c>
      <c r="J17" s="5" t="inlineStr">
        <is>
          <t>Manual verification passed.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NumberInput</t>
        </is>
      </c>
      <c r="D18" s="5" t="inlineStr">
        <is>
          <t>Supports keyboard stepping with arrows, Page Up/Down, Home, and End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NumberInput playground manual verification.</t>
        </is>
      </c>
      <c r="J18" s="5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NumberInput</t>
        </is>
      </c>
      <c r="D19" s="5" t="inlineStr">
        <is>
          <t>Supports custom parser and formatter functions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NumberInput playground manual verification.</t>
        </is>
      </c>
      <c r="J19" s="5" t="inlineStr">
        <is>
          <t>Manual verification passed.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NumberInput</t>
        </is>
      </c>
      <c r="D20" s="5" t="inlineStr">
        <is>
          <t>Renders a hidden input for native form submission when named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NumberInput playground manual verification.</t>
        </is>
      </c>
      <c r="J20" s="5" t="inlineStr">
        <is>
          <t>Manual verification passed.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NumberInput playground manual verification.</t>
        </is>
      </c>
      <c r="J21" s="5" t="inlineStr">
        <is>
          <t>Manual verification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NumberInput playground manual verification.</t>
        </is>
      </c>
      <c r="J22" s="5" t="inlineStr">
        <is>
          <t>Manual verification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NumberInput playground manual verification.</t>
        </is>
      </c>
      <c r="J23" s="5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NumberInput playground manual verification.</t>
        </is>
      </c>
      <c r="J24" s="5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NumberInput playground manual verification.</t>
        </is>
      </c>
      <c r="J25" s="5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NumberInput playground manual verification.</t>
        </is>
      </c>
      <c r="J26" s="5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NumberInput playground manual verification.</t>
        </is>
      </c>
      <c r="J27" s="5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NumberInput playground manual verification.</t>
        </is>
      </c>
      <c r="J28" s="5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NumberInput playground manual verification.</t>
        </is>
      </c>
      <c r="J29" s="5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min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NumberInput playground manual verification.</t>
        </is>
      </c>
      <c r="J30" s="5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max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NumberInput playground manual verification.</t>
        </is>
      </c>
      <c r="J31" s="5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step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NumberInput playground manual verification.</t>
        </is>
      </c>
      <c r="J32" s="5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largeStep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NumberInput playground manual verification.</t>
        </is>
      </c>
      <c r="J33" s="5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precision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NumberInput playground manual verification.</t>
        </is>
      </c>
      <c r="J34" s="5" t="inlineStr">
        <is>
          <t>Manual verification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clampOnBlur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NumberInput playground manual verification.</t>
        </is>
      </c>
      <c r="J35" s="5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formatter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NumberInput playground manual verification.</t>
        </is>
      </c>
      <c r="J36" s="5" t="inlineStr">
        <is>
          <t>Manual verification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parser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NumberInput playground manual verification.</t>
        </is>
      </c>
      <c r="J37" s="5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disabled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NumberInput playground manual verification.</t>
        </is>
      </c>
      <c r="J38" s="5" t="inlineStr">
        <is>
          <t>Manual verification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readOnly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NumberInput playground manual verification.</t>
        </is>
      </c>
      <c r="J39" s="5" t="inlineStr">
        <is>
          <t>Manual verification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required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NumberInput playground manual verification.</t>
        </is>
      </c>
      <c r="J40" s="5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invalid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NumberInput playground manual verification.</t>
        </is>
      </c>
      <c r="J41" s="5" t="inlineStr">
        <is>
          <t>Manual verification passed.</t>
        </is>
      </c>
      <c r="K41" s="6">
        <f>IF(AND(E41="yes",F41="yes",H41="covered"),1,IF(H41="partial",0.5,0))</f>
        <v/>
      </c>
    </row>
    <row r="42" ht="4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name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NumberInput playground manual verification.</t>
        </is>
      </c>
      <c r="J42" s="5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form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NumberInput playground manual verification.</t>
        </is>
      </c>
      <c r="J43" s="5" t="inlineStr">
        <is>
          <t>Manual verification passed.</t>
        </is>
      </c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Accessibility</t>
        </is>
      </c>
      <c r="C44" s="5" t="inlineStr">
        <is>
          <t>Root</t>
        </is>
      </c>
      <c r="D44" s="5" t="inlineStr">
        <is>
          <t>ariaLabel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NumberInput playground manual verification.</t>
        </is>
      </c>
      <c r="J44" s="5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Accessibility</t>
        </is>
      </c>
      <c r="C45" s="5" t="inlineStr">
        <is>
          <t>Root</t>
        </is>
      </c>
      <c r="D45" s="5" t="inlineStr">
        <is>
          <t>ariaValueText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NumberInput playground manual verification.</t>
        </is>
      </c>
      <c r="J45" s="5" t="inlineStr">
        <is>
          <t>Manual verification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Accessibility</t>
        </is>
      </c>
      <c r="C46" s="5" t="inlineStr">
        <is>
          <t>Root</t>
        </is>
      </c>
      <c r="D46" s="5" t="inlineStr">
        <is>
          <t>ariaDescribedBy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NumberInput playground manual verification.</t>
        </is>
      </c>
      <c r="J46" s="5" t="inlineStr">
        <is>
          <t>Manual verification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Root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NumberInput playground manual verification.</t>
        </is>
      </c>
      <c r="J47" s="5" t="inlineStr">
        <is>
          <t>Manual verification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Root</t>
        </is>
      </c>
      <c r="D48" s="5" t="inlineStr">
        <is>
          <t>[data-disabled]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NumberInput playground manual verification.</t>
        </is>
      </c>
      <c r="J48" s="5" t="inlineStr">
        <is>
          <t>Manual verification passed.</t>
        </is>
      </c>
      <c r="K48" s="6">
        <f>IF(AND(E48="yes",F48="yes",H48="covered"),1,IF(H48="partial",0.5,0))</f>
        <v/>
      </c>
    </row>
    <row r="49" ht="45" customHeight="1" s="60">
      <c r="A49" s="4" t="n">
        <v>41</v>
      </c>
      <c r="B49" s="5" t="inlineStr">
        <is>
          <t>State</t>
        </is>
      </c>
      <c r="C49" s="5" t="inlineStr">
        <is>
          <t>Root</t>
        </is>
      </c>
      <c r="D49" s="5" t="inlineStr">
        <is>
          <t>[data-readonly]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NumberInput playground manual verification.</t>
        </is>
      </c>
      <c r="J49" s="5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Root</t>
        </is>
      </c>
      <c r="D50" s="5" t="inlineStr">
        <is>
          <t>[data-invalid]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NumberInput playground manual verification.</t>
        </is>
      </c>
      <c r="J50" s="5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ARIA</t>
        </is>
      </c>
      <c r="C51" s="5" t="inlineStr">
        <is>
          <t>Live DOM</t>
        </is>
      </c>
      <c r="D51" s="5" t="inlineStr">
        <is>
          <t>aria-describedby is present at the correct time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NumberInput playground manual verification.</t>
        </is>
      </c>
      <c r="J51" s="5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ARIA</t>
        </is>
      </c>
      <c r="C52" s="5" t="inlineStr">
        <is>
          <t>Live DOM</t>
        </is>
      </c>
      <c r="D52" s="5" t="inlineStr">
        <is>
          <t>aria-invalid is present at the correct time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NumberInput playground manual verification.</t>
        </is>
      </c>
      <c r="J52" s="5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aria-label is present at the correct time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NumberInput playground manual verification.</t>
        </is>
      </c>
      <c r="J53" s="5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aria-readonly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NumberInput playground manual verification.</t>
        </is>
      </c>
      <c r="J54" s="5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aria-required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NumberInput playground manual verification.</t>
        </is>
      </c>
      <c r="J55" s="5" t="inlineStr">
        <is>
          <t>Manual verification passed.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aria-valuemax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NumberInput playground manual verification.</t>
        </is>
      </c>
      <c r="J56" s="5" t="inlineStr">
        <is>
          <t>Manual verification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aria-valuemin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NumberInput playground manual verification.</t>
        </is>
      </c>
      <c r="J57" s="5" t="inlineStr">
        <is>
          <t>Manual verification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aria-valuenow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NumberInput playground manual verification.</t>
        </is>
      </c>
      <c r="J58" s="5" t="inlineStr">
        <is>
          <t>Manual verification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aria-valuetext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NumberInput playground manual verification.</t>
        </is>
      </c>
      <c r="J59" s="5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data-disabled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NumberInput playground manual verification.</t>
        </is>
      </c>
      <c r="J60" s="5" t="inlineStr">
        <is>
          <t>Manual verification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data-invalid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NumberInput playground manual verification.</t>
        </is>
      </c>
      <c r="J61" s="5" t="inlineStr">
        <is>
          <t>Manual verification passed.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data-readonly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NumberInput playground manual verification.</t>
        </is>
      </c>
      <c r="J62" s="5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data-slot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NumberInput playground manual verification.</t>
        </is>
      </c>
      <c r="J63" s="5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Root</t>
        </is>
      </c>
      <c r="D64" s="5" t="inlineStr">
        <is>
          <t>controlled state path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NumberInput playground manual verification.</t>
        </is>
      </c>
      <c r="J64" s="5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60">
      <c r="A65" s="4" t="n">
        <v>57</v>
      </c>
      <c r="B65" s="5" t="inlineStr">
        <is>
          <t>State</t>
        </is>
      </c>
      <c r="C65" s="5" t="inlineStr">
        <is>
          <t>Root</t>
        </is>
      </c>
      <c r="D65" s="5" t="inlineStr">
        <is>
          <t>uncontrolled default state path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NumberInput playground manual verification.</t>
        </is>
      </c>
      <c r="J65" s="5" t="inlineStr">
        <is>
          <t>Manual verification passed.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State</t>
        </is>
      </c>
      <c r="C66" s="5" t="inlineStr">
        <is>
          <t>Root</t>
        </is>
      </c>
      <c r="D66" s="5" t="inlineStr">
        <is>
          <t>state change callback fires once with correct value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NumberInput playground manual verification.</t>
        </is>
      </c>
      <c r="J66" s="5" t="inlineStr">
        <is>
          <t>Manual verification passed.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State</t>
        </is>
      </c>
      <c r="C67" s="5" t="inlineStr">
        <is>
          <t>NumberInput</t>
        </is>
      </c>
      <c r="D67" s="5" t="inlineStr">
        <is>
          <t>disabled state blocks or exposes behavior correctly where supported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NumberInput playground manual verification.</t>
        </is>
      </c>
      <c r="J67" s="5" t="inlineStr">
        <is>
          <t>Manual verification passed.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State</t>
        </is>
      </c>
      <c r="C68" s="5" t="inlineStr">
        <is>
          <t>NumberInput</t>
        </is>
      </c>
      <c r="D68" s="5" t="inlineStr">
        <is>
          <t>readonly/readOnly state blocks or exposes behavior correctly where supported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NumberInput playground manual verification.</t>
        </is>
      </c>
      <c r="J68" s="5" t="inlineStr">
        <is>
          <t>Manual verification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NumberInput</t>
        </is>
      </c>
      <c r="D69" s="5" t="inlineStr">
        <is>
          <t>required state blocks or exposes behavior correctly where supported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NumberInput playground manual verification.</t>
        </is>
      </c>
      <c r="J69" s="5" t="inlineStr">
        <is>
          <t>Manual verification passed.</t>
        </is>
      </c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State</t>
        </is>
      </c>
      <c r="C70" s="5" t="inlineStr">
        <is>
          <t>NumberInput</t>
        </is>
      </c>
      <c r="D70" s="5" t="inlineStr">
        <is>
          <t>invalid state blocks or exposes behavior correctly where supported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NumberInput playground manual verification.</t>
        </is>
      </c>
      <c r="J70" s="5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Forms</t>
        </is>
      </c>
      <c r="C71" s="5" t="inlineStr">
        <is>
          <t>NumberInput</t>
        </is>
      </c>
      <c r="D71" s="5" t="inlineStr">
        <is>
          <t>form value participates correctly where supported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NumberInput playground manual verification.</t>
        </is>
      </c>
      <c r="J71" s="5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Forms</t>
        </is>
      </c>
      <c r="C72" s="5" t="inlineStr">
        <is>
          <t>NumberInput</t>
        </is>
      </c>
      <c r="D72" s="5" t="inlineStr">
        <is>
          <t>hidden input mirrors value/checked/disabled where supported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NumberInput playground manual verification.</t>
        </is>
      </c>
      <c r="J72" s="5" t="inlineStr">
        <is>
          <t>Manual verification passed.</t>
        </is>
      </c>
      <c r="K72" s="6">
        <f>IF(AND(E72="yes",F72="yes",H72="covered"),1,IF(H72="partial",0.5,0))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9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OTPField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yes</t>
        </is>
      </c>
      <c r="F4" s="2" t="inlineStr">
        <is>
          <t>yes</t>
        </is>
      </c>
      <c r="G4" s="1" t="inlineStr">
        <is>
          <t>Missing</t>
        </is>
      </c>
      <c r="H4" s="2" t="inlineStr">
        <is>
          <t>covered</t>
        </is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yes</t>
        </is>
      </c>
      <c r="F8" s="3" t="inlineStr">
        <is>
          <t>yes</t>
        </is>
      </c>
      <c r="G8" s="3" t="inlineStr">
        <is>
          <t>Result</t>
        </is>
      </c>
      <c r="H8" s="3" t="inlineStr">
        <is>
          <t>covered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OTPField playground scenario.</t>
        </is>
      </c>
      <c r="J9" s="5" t="inlineStr">
        <is>
          <t>Manual verification completed.</t>
        </is>
      </c>
      <c r="K9" s="6" t="n">
        <v>0</v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OTPField playground scenario.</t>
        </is>
      </c>
      <c r="J10" s="5" t="inlineStr">
        <is>
          <t>Manual verification completed.</t>
        </is>
      </c>
      <c r="K10" s="6" t="n">
        <v>0</v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OTPField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OTPField playground scenario.</t>
        </is>
      </c>
      <c r="J11" s="5" t="inlineStr">
        <is>
          <t>Manual verification completed.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OTPField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OTPField playground scenario.</t>
        </is>
      </c>
      <c r="J12" s="5" t="inlineStr">
        <is>
          <t>Manual verification completed.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OTPField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OTPField playground scenario.</t>
        </is>
      </c>
      <c r="J13" s="5" t="inlineStr">
        <is>
          <t>Manual verification completed.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OTPField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OTPField playground scenario.</t>
        </is>
      </c>
      <c r="J14" s="5" t="inlineStr">
        <is>
          <t>Manual verification completed.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OTPField</t>
        </is>
      </c>
      <c r="D15" s="5" t="inlineStr">
        <is>
          <t>Controlled and uncontrolled full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OTPField playground scenario.</t>
        </is>
      </c>
      <c r="J15" s="5" t="inlineStr">
        <is>
          <t>Manual verification completed.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OTPField</t>
        </is>
      </c>
      <c r="D16" s="5" t="inlineStr">
        <is>
          <t>Auto-generated input cells based on `length`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OTPField playground scenario.</t>
        </is>
      </c>
      <c r="J16" s="5" t="inlineStr">
        <is>
          <t>Manual verification completed.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OTPField</t>
        </is>
      </c>
      <c r="D17" s="5" t="inlineStr">
        <is>
          <t>Optional explicit input indexes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OTPField playground scenario.</t>
        </is>
      </c>
      <c r="J17" s="5" t="inlineStr">
        <is>
          <t>Manual verification completed.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OTPField</t>
        </is>
      </c>
      <c r="D18" s="5" t="inlineStr">
        <is>
          <t>Roving tab stop so the field behaves as one logical control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OTPField playground scenario.</t>
        </is>
      </c>
      <c r="J18" s="5" t="inlineStr">
        <is>
          <t>Manual verification completed.</t>
        </is>
      </c>
      <c r="K18" s="6">
        <f>IF(AND(E18="yes",F18="yes",H18="covered"),1,IF(H18="partial",0.5,0))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OTPField</t>
        </is>
      </c>
      <c r="D19" s="5" t="inlineStr">
        <is>
          <t>Paste distribution across cells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OTPField playground scenario.</t>
        </is>
      </c>
      <c r="J19" s="5" t="inlineStr">
        <is>
          <t>Manual verification completed.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OTPField</t>
        </is>
      </c>
      <c r="D20" s="5" t="inlineStr">
        <is>
          <t>Arrow, Backspace, Delete, Home, and End navigation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OTPField playground scenario.</t>
        </is>
      </c>
      <c r="J20" s="5" t="inlineStr">
        <is>
          <t>Manual verification completed.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OTPField</t>
        </is>
      </c>
      <c r="D21" s="5" t="inlineStr">
        <is>
          <t>Numeric, alphabetic, alphanumeric, or custom pattern filtering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OTPField playground scenario.</t>
        </is>
      </c>
      <c r="J21" s="5" t="inlineStr">
        <is>
          <t>Manual verification completed.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OTPField</t>
        </is>
      </c>
      <c r="D22" s="5" t="inlineStr">
        <is>
          <t>Hidden input for native form submission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OTPField playground scenario.</t>
        </is>
      </c>
      <c r="J22" s="5" t="inlineStr">
        <is>
          <t>Manual verification completed.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OTPField playground scenario.</t>
        </is>
      </c>
      <c r="J23" s="5" t="inlineStr">
        <is>
          <t>Manual verification completed.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OTPField playground scenario.</t>
        </is>
      </c>
      <c r="J24" s="5" t="inlineStr">
        <is>
          <t>Manual verification completed.</t>
        </is>
      </c>
      <c r="K24" s="6">
        <f>IF(AND(E24="yes",F24="yes",H24="covered"),1,IF(H24="partial",0.5,0))</f>
        <v/>
      </c>
    </row>
    <row r="25" ht="30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visible in Anatomy/Inspector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OTPField playground scenario.</t>
        </is>
      </c>
      <c r="J25" s="5" t="inlineStr">
        <is>
          <t>Manual verification completed.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is present and correct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OTPField playground scenario.</t>
        </is>
      </c>
      <c r="J26" s="5" t="inlineStr">
        <is>
          <t>Manual verification completed.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non-Atom native props pass through with data-prop-check marker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OTPField playground scenario.</t>
        </is>
      </c>
      <c r="J27" s="5" t="inlineStr">
        <is>
          <t>Manual verification completed.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consumer ref receives the rendered element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OTPField playground scenario.</t>
        </is>
      </c>
      <c r="J28" s="5" t="inlineStr">
        <is>
          <t>Manual verification completed.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value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OTPField playground scenario.</t>
        </is>
      </c>
      <c r="J29" s="5" t="inlineStr">
        <is>
          <t>Manual verification completed.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OTPField playground scenario.</t>
        </is>
      </c>
      <c r="J30" s="5" t="inlineStr">
        <is>
          <t>Manual verification completed.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onValueChange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OTPField playground scenario.</t>
        </is>
      </c>
      <c r="J31" s="5" t="inlineStr">
        <is>
          <t>Manual verification completed.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length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OTPField playground scenario.</t>
        </is>
      </c>
      <c r="J32" s="5" t="inlineStr">
        <is>
          <t>Manual verification completed.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type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OTPField playground scenario.</t>
        </is>
      </c>
      <c r="J33" s="5" t="inlineStr">
        <is>
          <t>Manual verification completed.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pattern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OTPField playground scenario.</t>
        </is>
      </c>
      <c r="J34" s="5" t="inlineStr">
        <is>
          <t>Manual verification completed.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name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OTPField playground scenario.</t>
        </is>
      </c>
      <c r="J35" s="5" t="inlineStr">
        <is>
          <t>Manual verification completed.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OTPField playground scenario.</t>
        </is>
      </c>
      <c r="J36" s="5" t="inlineStr">
        <is>
          <t>Manual verification completed.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autoFocus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OTPField playground scenario.</t>
        </is>
      </c>
      <c r="J37" s="5" t="inlineStr">
        <is>
          <t>Manual verification completed.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disabled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OTPField playground scenario.</t>
        </is>
      </c>
      <c r="J38" s="5" t="inlineStr">
        <is>
          <t>Manual verification completed.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readOnly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OTPField playground scenario.</t>
        </is>
      </c>
      <c r="J39" s="5" t="inlineStr">
        <is>
          <t>Manual verification completed.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required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OTPField playground scenario.</t>
        </is>
      </c>
      <c r="J40" s="5" t="inlineStr">
        <is>
          <t>Manual verification completed.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invalid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OTPField playground scenario.</t>
        </is>
      </c>
      <c r="J41" s="5" t="inlineStr">
        <is>
          <t>Manual verification completed.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Accessibility</t>
        </is>
      </c>
      <c r="C42" s="5" t="inlineStr">
        <is>
          <t>Root</t>
        </is>
      </c>
      <c r="D42" s="5" t="inlineStr">
        <is>
          <t>ariaLabel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OTPField playground scenario.</t>
        </is>
      </c>
      <c r="J42" s="5" t="inlineStr">
        <is>
          <t>Manual verification completed.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data-slot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OTPField playground scenario.</t>
        </is>
      </c>
      <c r="J43" s="5" t="inlineStr">
        <is>
          <t>Manual verification completed.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OTPField playground scenario.</t>
        </is>
      </c>
      <c r="J44" s="5" t="inlineStr">
        <is>
          <t>Manual verification completed.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[data-filled]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OTPField playground scenario.</t>
        </is>
      </c>
      <c r="J45" s="5" t="inlineStr">
        <is>
          <t>Manual verification completed.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[data-disabled]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OTPField playground scenario.</t>
        </is>
      </c>
      <c r="J46" s="5" t="inlineStr">
        <is>
          <t>Manual verification completed.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[data-readonly]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OTPField playground scenario.</t>
        </is>
      </c>
      <c r="J47" s="5" t="inlineStr">
        <is>
          <t>Manual verification completed.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Root</t>
        </is>
      </c>
      <c r="D48" s="5" t="inlineStr">
        <is>
          <t>[data-required]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OTPField playground scenario.</t>
        </is>
      </c>
      <c r="J48" s="5" t="inlineStr">
        <is>
          <t>Manual verification completed.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Root</t>
        </is>
      </c>
      <c r="D49" s="5" t="inlineStr">
        <is>
          <t>[data-invalid]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OTPField playground scenario.</t>
        </is>
      </c>
      <c r="J49" s="5" t="inlineStr">
        <is>
          <t>Manual verification completed.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Input</t>
        </is>
      </c>
      <c r="D50" s="5" t="inlineStr">
        <is>
          <t>renders correct part when expected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OTPField playground scenario.</t>
        </is>
      </c>
      <c r="J50" s="5" t="inlineStr">
        <is>
          <t>Manual verification completed.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Anatomy</t>
        </is>
      </c>
      <c r="C51" s="5" t="inlineStr">
        <is>
          <t>Input</t>
        </is>
      </c>
      <c r="D51" s="5" t="inlineStr">
        <is>
          <t>appears in documented order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OTPField playground scenario.</t>
        </is>
      </c>
      <c r="J51" s="5" t="inlineStr">
        <is>
          <t>Manual verification completed.</t>
        </is>
      </c>
      <c r="K51" s="6">
        <f>IF(AND(E51="yes",F51="yes",H51="covered"),1,IF(H51="partial",0.5,0))</f>
        <v/>
      </c>
    </row>
    <row r="52" ht="30" customHeight="1" s="60">
      <c r="A52" s="4" t="n">
        <v>44</v>
      </c>
      <c r="B52" s="5" t="inlineStr">
        <is>
          <t>Identity</t>
        </is>
      </c>
      <c r="C52" s="5" t="inlineStr">
        <is>
          <t>Input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OTPField playground scenario.</t>
        </is>
      </c>
      <c r="J52" s="5" t="inlineStr">
        <is>
          <t>Manual verification completed.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Input</t>
        </is>
      </c>
      <c r="D53" s="5" t="inlineStr">
        <is>
          <t>data-slot is present and correct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OTPField playground scenario.</t>
        </is>
      </c>
      <c r="J53" s="5" t="inlineStr">
        <is>
          <t>Manual verification completed.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Props</t>
        </is>
      </c>
      <c r="C54" s="5" t="inlineStr">
        <is>
          <t>Input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OTPField playground scenario.</t>
        </is>
      </c>
      <c r="J54" s="5" t="inlineStr">
        <is>
          <t>Manual verification completed.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Refs</t>
        </is>
      </c>
      <c r="C55" s="5" t="inlineStr">
        <is>
          <t>Input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OTPField playground scenario.</t>
        </is>
      </c>
      <c r="J55" s="5" t="inlineStr">
        <is>
          <t>Manual verification completed.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Input</t>
        </is>
      </c>
      <c r="D56" s="5" t="inlineStr">
        <is>
          <t>index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OTPField playground scenario.</t>
        </is>
      </c>
      <c r="J56" s="5" t="inlineStr">
        <is>
          <t>Manual verification completed.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Accessibility</t>
        </is>
      </c>
      <c r="C57" s="5" t="inlineStr">
        <is>
          <t>Input</t>
        </is>
      </c>
      <c r="D57" s="5" t="inlineStr">
        <is>
          <t>aria-label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OTPField playground scenario.</t>
        </is>
      </c>
      <c r="J57" s="5" t="inlineStr">
        <is>
          <t>Manual verification completed.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Input</t>
        </is>
      </c>
      <c r="D58" s="5" t="inlineStr">
        <is>
          <t>data-slot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OTPField playground scenario.</t>
        </is>
      </c>
      <c r="J58" s="5" t="inlineStr">
        <is>
          <t>Manual verification completed.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Input</t>
        </is>
      </c>
      <c r="D59" s="5" t="inlineStr">
        <is>
          <t>[data-slot]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OTPField playground scenario.</t>
        </is>
      </c>
      <c r="J59" s="5" t="inlineStr">
        <is>
          <t>Manual verification completed.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Input</t>
        </is>
      </c>
      <c r="D60" s="5" t="inlineStr">
        <is>
          <t>[data-index]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OTPField playground scenario.</t>
        </is>
      </c>
      <c r="J60" s="5" t="inlineStr">
        <is>
          <t>Manual verification completed.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Input</t>
        </is>
      </c>
      <c r="D61" s="5" t="inlineStr">
        <is>
          <t>[data-filled]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OTPField playground scenario.</t>
        </is>
      </c>
      <c r="J61" s="5" t="inlineStr">
        <is>
          <t>Manual verification completed.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Input</t>
        </is>
      </c>
      <c r="D62" s="5" t="inlineStr">
        <is>
          <t>[data-active]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OTPField playground scenario.</t>
        </is>
      </c>
      <c r="J62" s="5" t="inlineStr">
        <is>
          <t>Manual verification completed.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State</t>
        </is>
      </c>
      <c r="C63" s="5" t="inlineStr">
        <is>
          <t>Input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OTPField playground scenario.</t>
        </is>
      </c>
      <c r="J63" s="5" t="inlineStr">
        <is>
          <t>Manual verification completed.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Input</t>
        </is>
      </c>
      <c r="D64" s="5" t="inlineStr">
        <is>
          <t>[data-readonly]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OTPField playground scenario.</t>
        </is>
      </c>
      <c r="J64" s="5" t="inlineStr">
        <is>
          <t>Manual verification completed.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Input</t>
        </is>
      </c>
      <c r="D65" s="5" t="inlineStr">
        <is>
          <t>[data-invalid]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OTPField playground scenario.</t>
        </is>
      </c>
      <c r="J65" s="5" t="inlineStr">
        <is>
          <t>Manual verification completed.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Separator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OTPField playground scenario.</t>
        </is>
      </c>
      <c r="J66" s="5" t="inlineStr">
        <is>
          <t>Manual verification completed.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Separator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OTPField playground scenario.</t>
        </is>
      </c>
      <c r="J67" s="5" t="inlineStr">
        <is>
          <t>Manual verification completed.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Separator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OTPField playground scenario.</t>
        </is>
      </c>
      <c r="J68" s="5" t="inlineStr">
        <is>
          <t>Manual verification completed.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Separator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OTPField playground scenario.</t>
        </is>
      </c>
      <c r="J69" s="5" t="inlineStr">
        <is>
          <t>Manual verification completed.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Separator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OTPField playground scenario.</t>
        </is>
      </c>
      <c r="J70" s="5" t="inlineStr">
        <is>
          <t>Manual verification completed.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Separator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OTPField playground scenario.</t>
        </is>
      </c>
      <c r="J71" s="5" t="inlineStr">
        <is>
          <t>Manual verification completed.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Separator</t>
        </is>
      </c>
      <c r="D72" s="5" t="inlineStr">
        <is>
          <t>data-slot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OTPField playground scenario.</t>
        </is>
      </c>
      <c r="J72" s="5" t="inlineStr">
        <is>
          <t>Manual verification completed.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Separator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OTPField playground scenario.</t>
        </is>
      </c>
      <c r="J73" s="5" t="inlineStr">
        <is>
          <t>Manual verification completed.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aria-describedby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OTPField playground scenario.</t>
        </is>
      </c>
      <c r="J74" s="5" t="inlineStr">
        <is>
          <t>Manual verification completed.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aria-hidden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OTPField playground scenario.</t>
        </is>
      </c>
      <c r="J75" s="5" t="inlineStr">
        <is>
          <t>Manual verification completed.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aria-invalid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OTPField playground scenario.</t>
        </is>
      </c>
      <c r="J76" s="5" t="inlineStr">
        <is>
          <t>Manual verification completed.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OTPField playground scenario.</t>
        </is>
      </c>
      <c r="J77" s="5" t="inlineStr">
        <is>
          <t>Manual verification completed.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aria-labelledby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OTPField playground scenario.</t>
        </is>
      </c>
      <c r="J78" s="5" t="inlineStr">
        <is>
          <t>Manual verification completed.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aria-required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OTPField playground scenario.</t>
        </is>
      </c>
      <c r="J79" s="5" t="inlineStr">
        <is>
          <t>Manual verification completed.</t>
        </is>
      </c>
      <c r="K79" s="6">
        <f>IF(AND(E79="yes",F79="yes",H79="covered"),1,IF(H79="partial",0.5,0))</f>
        <v/>
      </c>
    </row>
    <row r="80" ht="30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OTPField playground scenario.</t>
        </is>
      </c>
      <c r="J80" s="5" t="inlineStr">
        <is>
          <t>Manual verification completed.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data-filled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OTPField playground scenario.</t>
        </is>
      </c>
      <c r="J81" s="5" t="inlineStr">
        <is>
          <t>Manual verification completed.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data-index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OTPField playground scenario.</t>
        </is>
      </c>
      <c r="J82" s="5" t="inlineStr">
        <is>
          <t>Manual verification completed.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data-invalid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OTPField playground scenario.</t>
        </is>
      </c>
      <c r="J83" s="5" t="inlineStr">
        <is>
          <t>Manual verification completed.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data-readonly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OTPField playground scenario.</t>
        </is>
      </c>
      <c r="J84" s="5" t="inlineStr">
        <is>
          <t>Manual verification completed.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data-required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OTPField playground scenario.</t>
        </is>
      </c>
      <c r="J85" s="5" t="inlineStr">
        <is>
          <t>Manual verification completed.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data-slot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OTPField playground scenario.</t>
        </is>
      </c>
      <c r="J86" s="5" t="inlineStr">
        <is>
          <t>Manual verification completed.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Root</t>
        </is>
      </c>
      <c r="D87" s="5" t="inlineStr">
        <is>
          <t>asChild preserves child content without double nesting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OTPField playground scenario.</t>
        </is>
      </c>
      <c r="J87" s="5" t="inlineStr">
        <is>
          <t>Manual verification completed.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Root</t>
        </is>
      </c>
      <c r="D88" s="5" t="inlineStr">
        <is>
          <t>asChild merges Atom props and consumer props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OTPField playground scenario.</t>
        </is>
      </c>
      <c r="J88" s="5" t="inlineStr">
        <is>
          <t>Manual verification completed.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Root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ready for manual test</t>
        </is>
      </c>
      <c r="H89" s="9" t="inlineStr">
        <is>
          <t>covered</t>
        </is>
      </c>
      <c r="I89" s="5" t="inlineStr">
        <is>
          <t>OTPField playground scenario.</t>
        </is>
      </c>
      <c r="J89" s="5" t="inlineStr">
        <is>
          <t>Manual verification completed.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Root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ready for manual test</t>
        </is>
      </c>
      <c r="H90" s="9" t="inlineStr">
        <is>
          <t>covered</t>
        </is>
      </c>
      <c r="I90" s="5" t="inlineStr">
        <is>
          <t>OTPField playground scenario.</t>
        </is>
      </c>
      <c r="J90" s="5" t="inlineStr">
        <is>
          <t>Manual verification completed.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ready for manual test</t>
        </is>
      </c>
      <c r="H91" s="9" t="inlineStr">
        <is>
          <t>covered</t>
        </is>
      </c>
      <c r="I91" s="5" t="inlineStr">
        <is>
          <t>OTPField playground scenario.</t>
        </is>
      </c>
      <c r="J91" s="5" t="inlineStr">
        <is>
          <t>Manual verification completed.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ready for manual test</t>
        </is>
      </c>
      <c r="H92" s="9" t="inlineStr">
        <is>
          <t>covered</t>
        </is>
      </c>
      <c r="I92" s="5" t="inlineStr">
        <is>
          <t>OTPField playground scenario.</t>
        </is>
      </c>
      <c r="J92" s="5" t="inlineStr">
        <is>
          <t>Manual verification completed.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ready for manual test</t>
        </is>
      </c>
      <c r="H93" s="9" t="inlineStr">
        <is>
          <t>covered</t>
        </is>
      </c>
      <c r="I93" s="5" t="inlineStr">
        <is>
          <t>OTPField playground scenario.</t>
        </is>
      </c>
      <c r="J93" s="5" t="inlineStr">
        <is>
          <t>Manual verification completed.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OTPField</t>
        </is>
      </c>
      <c r="D94" s="5" t="inlineStr">
        <is>
          <t>disabled state blocks or exposes behavior correctly where supported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ready for manual test</t>
        </is>
      </c>
      <c r="H94" s="9" t="inlineStr">
        <is>
          <t>covered</t>
        </is>
      </c>
      <c r="I94" s="5" t="inlineStr">
        <is>
          <t>OTPField playground scenario.</t>
        </is>
      </c>
      <c r="J94" s="5" t="inlineStr">
        <is>
          <t>Manual verification completed.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State</t>
        </is>
      </c>
      <c r="C95" s="5" t="inlineStr">
        <is>
          <t>OTPField</t>
        </is>
      </c>
      <c r="D95" s="5" t="inlineStr">
        <is>
          <t>readonly/readOnly state blocks or exposes behavior correctly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ready for manual test</t>
        </is>
      </c>
      <c r="H95" s="9" t="inlineStr">
        <is>
          <t>covered</t>
        </is>
      </c>
      <c r="I95" s="5" t="inlineStr">
        <is>
          <t>OTPField playground scenario.</t>
        </is>
      </c>
      <c r="J95" s="5" t="inlineStr">
        <is>
          <t>Manual verification completed.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State</t>
        </is>
      </c>
      <c r="C96" s="5" t="inlineStr">
        <is>
          <t>OTPField</t>
        </is>
      </c>
      <c r="D96" s="5" t="inlineStr">
        <is>
          <t>required state blocks or exposes behavior correctly where supported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ready for manual test</t>
        </is>
      </c>
      <c r="H96" s="9" t="inlineStr">
        <is>
          <t>covered</t>
        </is>
      </c>
      <c r="I96" s="5" t="inlineStr">
        <is>
          <t>OTPField playground scenario.</t>
        </is>
      </c>
      <c r="J96" s="5" t="inlineStr">
        <is>
          <t>Manual verification completed.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State</t>
        </is>
      </c>
      <c r="C97" s="5" t="inlineStr">
        <is>
          <t>OTPField</t>
        </is>
      </c>
      <c r="D97" s="5" t="inlineStr">
        <is>
          <t>invalid state blocks or exposes behavior correctly where supported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ready for manual test</t>
        </is>
      </c>
      <c r="H97" s="9" t="inlineStr">
        <is>
          <t>covered</t>
        </is>
      </c>
      <c r="I97" s="5" t="inlineStr">
        <is>
          <t>OTPField playground scenario.</t>
        </is>
      </c>
      <c r="J97" s="5" t="inlineStr">
        <is>
          <t>Manual verification completed.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Forms</t>
        </is>
      </c>
      <c r="C98" s="5" t="inlineStr">
        <is>
          <t>OTPField</t>
        </is>
      </c>
      <c r="D98" s="5" t="inlineStr">
        <is>
          <t>form value participates correctly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ready for manual test</t>
        </is>
      </c>
      <c r="H98" s="9" t="inlineStr">
        <is>
          <t>covered</t>
        </is>
      </c>
      <c r="I98" s="5" t="inlineStr">
        <is>
          <t>OTPField playground scenario.</t>
        </is>
      </c>
      <c r="J98" s="5" t="inlineStr">
        <is>
          <t>Manual verification completed.</t>
        </is>
      </c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Forms</t>
        </is>
      </c>
      <c r="C99" s="5" t="inlineStr">
        <is>
          <t>OTPField</t>
        </is>
      </c>
      <c r="D99" s="5" t="inlineStr">
        <is>
          <t>hidden input mirrors value/checked/disabled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ready for manual test</t>
        </is>
      </c>
      <c r="H99" s="9" t="inlineStr">
        <is>
          <t>covered</t>
        </is>
      </c>
      <c r="I99" s="5" t="inlineStr">
        <is>
          <t>OTPField playground scenario.</t>
        </is>
      </c>
      <c r="J99" s="5" t="inlineStr">
        <is>
          <t>Manual verification completed.</t>
        </is>
      </c>
      <c r="K99" s="6">
        <f>IF(AND(E99="yes",F99="yes",H99="covered"),1,IF(H99="partial",0.5,0))</f>
        <v/>
      </c>
    </row>
    <row r="100" ht="15" customHeight="1" s="60"/>
    <row r="101" ht="15" customHeight="1" s="60"/>
    <row r="102" ht="15" customHeight="1" s="60"/>
    <row r="103" ht="15" customHeight="1" s="60"/>
    <row r="104" ht="15" customHeight="1" s="60"/>
    <row r="105" ht="30" customHeight="1" s="60"/>
    <row r="106" ht="30" customHeight="1" s="60"/>
    <row r="107" ht="30" customHeight="1" s="60"/>
    <row r="108" ht="30" customHeight="1" s="60"/>
    <row r="109" ht="15" customHeight="1" s="60"/>
    <row r="110" ht="30" customHeight="1" s="60"/>
    <row r="111" ht="30" customHeight="1" s="60"/>
    <row r="112" ht="30" customHeight="1" s="60"/>
    <row r="11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1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Pagination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manual-tests/pagination.md</t>
        </is>
      </c>
      <c r="J9" s="5" t="inlineStr">
        <is>
          <t>Passed Pagination Manual Test Protocol.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manual-tests/pagination.md</t>
        </is>
      </c>
      <c r="J10" s="5" t="inlineStr">
        <is>
          <t>Passed Pagination Manual Test Protocol.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Pagination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manual-tests/pagination.md</t>
        </is>
      </c>
      <c r="J11" s="5" t="inlineStr">
        <is>
          <t>Passed Pagination Manual Test Protocol.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Pagination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manual-tests/pagination.md</t>
        </is>
      </c>
      <c r="J12" s="5" t="inlineStr">
        <is>
          <t>Passed Pagination Manual Test Protocol.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Pagination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manual-tests/pagination.md</t>
        </is>
      </c>
      <c r="J13" s="5" t="inlineStr">
        <is>
          <t>Passed Pagination Manual Test Protocol.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Pagination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manual-tests/pagination.md</t>
        </is>
      </c>
      <c r="J14" s="5" t="inlineStr">
        <is>
          <t>Passed Pagination Manual Test Protocol.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Pagination</t>
        </is>
      </c>
      <c r="D15" s="5" t="inlineStr">
        <is>
          <t>Renders a navigation landmark and ordered page list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manual-tests/pagination.md</t>
        </is>
      </c>
      <c r="J15" s="5" t="inlineStr">
        <is>
          <t>Passed Pagination Manual Test Protocol.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Pagination</t>
        </is>
      </c>
      <c r="D16" s="5" t="inlineStr">
        <is>
          <t>Supports controlled and uncontrolled current page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manual-tests/pagination.md</t>
        </is>
      </c>
      <c r="J16" s="5" t="inlineStr">
        <is>
          <t>Passed Pagination Manual Test Protocol.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Pagination</t>
        </is>
      </c>
      <c r="D17" s="5" t="inlineStr">
        <is>
          <t>Generates stable-length page ranges to reduce layout shift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manual-tests/pagination.md</t>
        </is>
      </c>
      <c r="J17" s="5" t="inlineStr">
        <is>
          <t>Passed Pagination Manual Test Protocol.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Pagination</t>
        </is>
      </c>
      <c r="D18" s="5" t="inlineStr">
        <is>
          <t>Supports sibling and boundary page counts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manual-tests/pagination.md</t>
        </is>
      </c>
      <c r="J18" s="5" t="inlineStr">
        <is>
          <t>Passed Pagination Manual Test Protocol.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Pagination</t>
        </is>
      </c>
      <c r="D19" s="5" t="inlineStr">
        <is>
          <t>Supports previous, next, page item, and decorative ellipsis parts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manual-tests/pagination.md</t>
        </is>
      </c>
      <c r="J19" s="5" t="inlineStr">
        <is>
          <t>Passed Pagination Manual Test Protocol.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Pagination</t>
        </is>
      </c>
      <c r="D20" s="5" t="inlineStr">
        <is>
          <t>Allows localized page labels through native `aria-label`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manual-tests/pagination.md</t>
        </is>
      </c>
      <c r="J20" s="5" t="inlineStr">
        <is>
          <t>Passed Pagination Manual Test Protocol.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manual-tests/pagination.md</t>
        </is>
      </c>
      <c r="J21" s="5" t="inlineStr">
        <is>
          <t>Passed Pagination Manual Test Protocol.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manual-tests/pagination.md</t>
        </is>
      </c>
      <c r="J22" s="5" t="inlineStr">
        <is>
          <t>Passed Pagination Manual Test Protocol.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manual-tests/pagination.md</t>
        </is>
      </c>
      <c r="J23" s="5" t="inlineStr">
        <is>
          <t>Passed Pagination Manual Test Protocol.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manual-tests/pagination.md</t>
        </is>
      </c>
      <c r="J24" s="5" t="inlineStr">
        <is>
          <t>Passed Pagination Manual Test Protocol.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manual-tests/pagination.md</t>
        </is>
      </c>
      <c r="J25" s="5" t="inlineStr">
        <is>
          <t>Passed Pagination Manual Test Protocol.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manual-tests/pagination.md</t>
        </is>
      </c>
      <c r="J26" s="5" t="inlineStr">
        <is>
          <t>Passed Pagination Manual Test Protocol.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totalPages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manual-tests/pagination.md</t>
        </is>
      </c>
      <c r="J27" s="5" t="inlineStr">
        <is>
          <t>Passed Pagination Manual Test Protocol.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page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manual-tests/pagination.md</t>
        </is>
      </c>
      <c r="J28" s="5" t="inlineStr">
        <is>
          <t>Passed Pagination Manual Test Protocol.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defaultPage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manual-tests/pagination.md</t>
        </is>
      </c>
      <c r="J29" s="5" t="inlineStr">
        <is>
          <t>Passed Pagination Manual Test Protocol.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onPageChange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manual-tests/pagination.md</t>
        </is>
      </c>
      <c r="J30" s="5" t="inlineStr">
        <is>
          <t>Passed Pagination Manual Test Protocol.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siblingCount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manual-tests/pagination.md</t>
        </is>
      </c>
      <c r="J31" s="5" t="inlineStr">
        <is>
          <t>Passed Pagination Manual Test Protocol.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boundaryCount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manual-tests/pagination.md</t>
        </is>
      </c>
      <c r="J32" s="5" t="inlineStr">
        <is>
          <t>Passed Pagination Manual Test Protocol.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manual-tests/pagination.md</t>
        </is>
      </c>
      <c r="J33" s="5" t="inlineStr">
        <is>
          <t>Passed Pagination Manual Test Protocol.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Composition</t>
        </is>
      </c>
      <c r="C34" s="5" t="inlineStr">
        <is>
          <t>Root</t>
        </is>
      </c>
      <c r="D34" s="5" t="inlineStr">
        <is>
          <t>asChild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manual-tests/pagination.md</t>
        </is>
      </c>
      <c r="J34" s="5" t="inlineStr">
        <is>
          <t>Passed Pagination Manual Test Protocol.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Composition</t>
        </is>
      </c>
      <c r="C35" s="5" t="inlineStr">
        <is>
          <t>Root</t>
        </is>
      </c>
      <c r="D35" s="5" t="inlineStr">
        <is>
          <t>render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manual-tests/pagination.md</t>
        </is>
      </c>
      <c r="J35" s="5" t="inlineStr">
        <is>
          <t>Passed Pagination Manual Test Protocol.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[data-slot]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manual-tests/pagination.md</t>
        </is>
      </c>
      <c r="J36" s="5" t="inlineStr">
        <is>
          <t>Passed Pagination Manual Test Protocol.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[data-disabled]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manual-tests/pagination.md</t>
        </is>
      </c>
      <c r="J37" s="5" t="inlineStr">
        <is>
          <t>Passed Pagination Manual Test Protocol.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List</t>
        </is>
      </c>
      <c r="D38" s="5" t="inlineStr">
        <is>
          <t>renders correct part when expected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manual-tests/pagination.md</t>
        </is>
      </c>
      <c r="J38" s="5" t="inlineStr">
        <is>
          <t>Passed Pagination Manual Test Protocol.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List</t>
        </is>
      </c>
      <c r="D39" s="5" t="inlineStr">
        <is>
          <t>appears in documented order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manual-tests/pagination.md</t>
        </is>
      </c>
      <c r="J39" s="5" t="inlineStr">
        <is>
          <t>Passed Pagination Manual Test Protocol.</t>
        </is>
      </c>
      <c r="K39" s="6">
        <f>IF(AND(E39="yes",F39="yes",H39="covered"),1,IF(H39="partial",0.5,0))</f>
        <v/>
      </c>
    </row>
    <row r="40" ht="30" customHeight="1" s="60">
      <c r="A40" s="4" t="n">
        <v>32</v>
      </c>
      <c r="B40" s="5" t="inlineStr">
        <is>
          <t>Identity</t>
        </is>
      </c>
      <c r="C40" s="5" t="inlineStr">
        <is>
          <t>List</t>
        </is>
      </c>
      <c r="D40" s="5" t="inlineStr">
        <is>
          <t>default tag is visible in Anatomy/Inspector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manual-tests/pagination.md</t>
        </is>
      </c>
      <c r="J40" s="5" t="inlineStr">
        <is>
          <t>Passed Pagination Manual Test Protocol.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Identity</t>
        </is>
      </c>
      <c r="C41" s="5" t="inlineStr">
        <is>
          <t>List</t>
        </is>
      </c>
      <c r="D41" s="5" t="inlineStr">
        <is>
          <t>data-slot is present and correct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manual-tests/pagination.md</t>
        </is>
      </c>
      <c r="J41" s="5" t="inlineStr">
        <is>
          <t>Passed Pagination Manual Test Protocol.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Props</t>
        </is>
      </c>
      <c r="C42" s="5" t="inlineStr">
        <is>
          <t>List</t>
        </is>
      </c>
      <c r="D42" s="5" t="inlineStr">
        <is>
          <t>non-Atom native props pass through with data-prop-check marker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manual-tests/pagination.md</t>
        </is>
      </c>
      <c r="J42" s="5" t="inlineStr">
        <is>
          <t>Passed Pagination Manual Test Protocol.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Refs</t>
        </is>
      </c>
      <c r="C43" s="5" t="inlineStr">
        <is>
          <t>List</t>
        </is>
      </c>
      <c r="D43" s="5" t="inlineStr">
        <is>
          <t>consumer ref receives the rendered element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manual-tests/pagination.md</t>
        </is>
      </c>
      <c r="J43" s="5" t="inlineStr">
        <is>
          <t>Passed Pagination Manual Test Protocol.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List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manual-tests/pagination.md</t>
        </is>
      </c>
      <c r="J44" s="5" t="inlineStr">
        <is>
          <t>Passed Pagination Manual Test Protocol.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List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manual-tests/pagination.md</t>
        </is>
      </c>
      <c r="J45" s="5" t="inlineStr">
        <is>
          <t>Passed Pagination Manual Test Protocol.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List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manual-tests/pagination.md</t>
        </is>
      </c>
      <c r="J46" s="5" t="inlineStr">
        <is>
          <t>Passed Pagination Manual Test Protocol.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manual-tests/pagination.md</t>
        </is>
      </c>
      <c r="J47" s="5" t="inlineStr">
        <is>
          <t>Passed Pagination Manual Test Protocol.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Item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manual-tests/pagination.md</t>
        </is>
      </c>
      <c r="J48" s="5" t="inlineStr">
        <is>
          <t>Passed Pagination Manual Test Protocol.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manual-tests/pagination.md</t>
        </is>
      </c>
      <c r="J49" s="5" t="inlineStr">
        <is>
          <t>Passed Pagination Manual Test Protocol.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Item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manual-tests/pagination.md</t>
        </is>
      </c>
      <c r="J50" s="5" t="inlineStr">
        <is>
          <t>Passed Pagination Manual Test Protocol.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Item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manual-tests/pagination.md</t>
        </is>
      </c>
      <c r="J51" s="5" t="inlineStr">
        <is>
          <t>Passed Pagination Manual Test Protocol.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Item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manual-tests/pagination.md</t>
        </is>
      </c>
      <c r="J52" s="5" t="inlineStr">
        <is>
          <t>Passed Pagination Manual Test Protocol.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Item</t>
        </is>
      </c>
      <c r="D53" s="5" t="inlineStr">
        <is>
          <t>page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manual-tests/pagination.md</t>
        </is>
      </c>
      <c r="J53" s="5" t="inlineStr">
        <is>
          <t>Passed Pagination Manual Test Protocol.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Accessibility</t>
        </is>
      </c>
      <c r="C54" s="5" t="inlineStr">
        <is>
          <t>Item</t>
        </is>
      </c>
      <c r="D54" s="5" t="inlineStr">
        <is>
          <t>aria-label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manual-tests/pagination.md</t>
        </is>
      </c>
      <c r="J54" s="5" t="inlineStr">
        <is>
          <t>Passed Pagination Manual Test Protocol.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Item</t>
        </is>
      </c>
      <c r="D55" s="5" t="inlineStr">
        <is>
          <t>asChild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manual-tests/pagination.md</t>
        </is>
      </c>
      <c r="J55" s="5" t="inlineStr">
        <is>
          <t>Passed Pagination Manual Test Protocol.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Composition</t>
        </is>
      </c>
      <c r="C56" s="5" t="inlineStr">
        <is>
          <t>Item</t>
        </is>
      </c>
      <c r="D56" s="5" t="inlineStr">
        <is>
          <t>render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manual-tests/pagination.md</t>
        </is>
      </c>
      <c r="J56" s="5" t="inlineStr">
        <is>
          <t>Passed Pagination Manual Test Protocol.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Item</t>
        </is>
      </c>
      <c r="D57" s="5" t="inlineStr">
        <is>
          <t>[data-slot]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manual-tests/pagination.md</t>
        </is>
      </c>
      <c r="J57" s="5" t="inlineStr">
        <is>
          <t>Passed Pagination Manual Test Protocol.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Item</t>
        </is>
      </c>
      <c r="D58" s="5" t="inlineStr">
        <is>
          <t>[data-state]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manual-tests/pagination.md</t>
        </is>
      </c>
      <c r="J58" s="5" t="inlineStr">
        <is>
          <t>Passed Pagination Manual Test Protocol.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Item</t>
        </is>
      </c>
      <c r="D59" s="5" t="inlineStr">
        <is>
          <t>[data-page]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manual-tests/pagination.md</t>
        </is>
      </c>
      <c r="J59" s="5" t="inlineStr">
        <is>
          <t>Passed Pagination Manual Test Protocol.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State</t>
        </is>
      </c>
      <c r="C60" s="5" t="inlineStr">
        <is>
          <t>Item</t>
        </is>
      </c>
      <c r="D60" s="5" t="inlineStr">
        <is>
          <t>[data-disabled]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manual-tests/pagination.md</t>
        </is>
      </c>
      <c r="J60" s="5" t="inlineStr">
        <is>
          <t>Passed Pagination Manual Test Protocol.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Anatomy</t>
        </is>
      </c>
      <c r="C61" s="5" t="inlineStr">
        <is>
          <t>Previous</t>
        </is>
      </c>
      <c r="D61" s="5" t="inlineStr">
        <is>
          <t>owns generated outer list item wrapper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manual-tests/pagination.md</t>
        </is>
      </c>
      <c r="J61" s="5" t="inlineStr">
        <is>
          <t>Passed Pagination Manual Test Protocol.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Previous</t>
        </is>
      </c>
      <c r="D62" s="5" t="inlineStr">
        <is>
          <t>generated outer wrapper has data-slot="pagination-list-item"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manual-tests/pagination.md</t>
        </is>
      </c>
      <c r="J62" s="5" t="inlineStr">
        <is>
          <t>Passed Pagination Manual Test Protocol.</t>
        </is>
      </c>
      <c r="K62" s="6">
        <f>IF(AND(E62="yes",F62="yes",H62="covered"),1,IF(H62="partial",0.5,0))</f>
        <v/>
      </c>
    </row>
    <row r="63" ht="30" customHeight="1" s="60">
      <c r="A63" s="4" t="n">
        <v>55</v>
      </c>
      <c r="B63" s="5" t="inlineStr">
        <is>
          <t>Anatomy</t>
        </is>
      </c>
      <c r="C63" s="5" t="inlineStr">
        <is>
          <t>Item</t>
        </is>
      </c>
      <c r="D63" s="5" t="inlineStr">
        <is>
          <t>owns generated outer list item wrapper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manual-tests/pagination.md</t>
        </is>
      </c>
      <c r="J63" s="5" t="inlineStr">
        <is>
          <t>Passed Pagination Manual Test Protocol.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Identity</t>
        </is>
      </c>
      <c r="C64" s="5" t="inlineStr">
        <is>
          <t>Item</t>
        </is>
      </c>
      <c r="D64" s="5" t="inlineStr">
        <is>
          <t>generated outer wrapper has data-slot="pagination-list-item"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manual-tests/pagination.md</t>
        </is>
      </c>
      <c r="J64" s="5" t="inlineStr">
        <is>
          <t>Passed Pagination Manual Test Protocol.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Ellipsis</t>
        </is>
      </c>
      <c r="D65" s="5" t="inlineStr">
        <is>
          <t>owns generated outer list item wrapper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manual-tests/pagination.md</t>
        </is>
      </c>
      <c r="J65" s="5" t="inlineStr">
        <is>
          <t>Passed Pagination Manual Test Protocol.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Ellipsis</t>
        </is>
      </c>
      <c r="D66" s="5" t="inlineStr">
        <is>
          <t>generated outer wrapper has data-slot="pagination-list-item"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manual-tests/pagination.md</t>
        </is>
      </c>
      <c r="J66" s="5" t="inlineStr">
        <is>
          <t>Passed Pagination Manual Test Protocol.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Ellipsis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manual-tests/pagination.md</t>
        </is>
      </c>
      <c r="J67" s="5" t="inlineStr">
        <is>
          <t>Passed Pagination Manual Test Protocol.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Ellipsis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manual-tests/pagination.md</t>
        </is>
      </c>
      <c r="J68" s="5" t="inlineStr">
        <is>
          <t>Passed Pagination Manual Test Protocol.</t>
        </is>
      </c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Ellipsis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manual-tests/pagination.md</t>
        </is>
      </c>
      <c r="J69" s="5" t="inlineStr">
        <is>
          <t>Passed Pagination Manual Test Protocol.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Identity</t>
        </is>
      </c>
      <c r="C70" s="5" t="inlineStr">
        <is>
          <t>Ellipsis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protocol</t>
        </is>
      </c>
      <c r="H70" s="9" t="inlineStr">
        <is>
          <t>covered</t>
        </is>
      </c>
      <c r="I70" s="5" t="inlineStr">
        <is>
          <t>manual-tests/pagination.md</t>
        </is>
      </c>
      <c r="J70" s="5" t="inlineStr">
        <is>
          <t>Passed Pagination Manual Test Protocol.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Ellipsis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protocol</t>
        </is>
      </c>
      <c r="H71" s="9" t="inlineStr">
        <is>
          <t>covered</t>
        </is>
      </c>
      <c r="I71" s="5" t="inlineStr">
        <is>
          <t>manual-tests/pagination.md</t>
        </is>
      </c>
      <c r="J71" s="5" t="inlineStr">
        <is>
          <t>Passed Pagination Manual Test Protocol.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Ellipsis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protocol</t>
        </is>
      </c>
      <c r="H72" s="9" t="inlineStr">
        <is>
          <t>covered</t>
        </is>
      </c>
      <c r="I72" s="5" t="inlineStr">
        <is>
          <t>manual-tests/pagination.md</t>
        </is>
      </c>
      <c r="J72" s="5" t="inlineStr">
        <is>
          <t>Passed Pagination Manual Test Protocol.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Ellipsis</t>
        </is>
      </c>
      <c r="D73" s="5" t="inlineStr">
        <is>
          <t>asChild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protocol</t>
        </is>
      </c>
      <c r="H73" s="9" t="inlineStr">
        <is>
          <t>covered</t>
        </is>
      </c>
      <c r="I73" s="5" t="inlineStr">
        <is>
          <t>manual-tests/pagination.md</t>
        </is>
      </c>
      <c r="J73" s="5" t="inlineStr">
        <is>
          <t>Passed Pagination Manual Test Protocol.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Ellipsis</t>
        </is>
      </c>
      <c r="D74" s="5" t="inlineStr">
        <is>
          <t>render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protocol</t>
        </is>
      </c>
      <c r="H74" s="9" t="inlineStr">
        <is>
          <t>covered</t>
        </is>
      </c>
      <c r="I74" s="5" t="inlineStr">
        <is>
          <t>manual-tests/pagination.md</t>
        </is>
      </c>
      <c r="J74" s="5" t="inlineStr">
        <is>
          <t>Passed Pagination Manual Test Protocol.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Ellipsis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protocol</t>
        </is>
      </c>
      <c r="H75" s="9" t="inlineStr">
        <is>
          <t>covered</t>
        </is>
      </c>
      <c r="I75" s="5" t="inlineStr">
        <is>
          <t>manual-tests/pagination.md</t>
        </is>
      </c>
      <c r="J75" s="5" t="inlineStr">
        <is>
          <t>Passed Pagination Manual Test Protocol.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Next</t>
        </is>
      </c>
      <c r="D76" s="5" t="inlineStr">
        <is>
          <t>renders correct part when expected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protocol</t>
        </is>
      </c>
      <c r="H76" s="9" t="inlineStr">
        <is>
          <t>covered</t>
        </is>
      </c>
      <c r="I76" s="5" t="inlineStr">
        <is>
          <t>manual-tests/pagination.md</t>
        </is>
      </c>
      <c r="J76" s="5" t="inlineStr">
        <is>
          <t>Passed Pagination Manual Test Protocol.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Anatomy</t>
        </is>
      </c>
      <c r="C77" s="5" t="inlineStr">
        <is>
          <t>Next</t>
        </is>
      </c>
      <c r="D77" s="5" t="inlineStr">
        <is>
          <t>appears in documented order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protocol</t>
        </is>
      </c>
      <c r="H77" s="9" t="inlineStr">
        <is>
          <t>covered</t>
        </is>
      </c>
      <c r="I77" s="5" t="inlineStr">
        <is>
          <t>manual-tests/pagination.md</t>
        </is>
      </c>
      <c r="J77" s="5" t="inlineStr">
        <is>
          <t>Passed Pagination Manual Test Protocol.</t>
        </is>
      </c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Identity</t>
        </is>
      </c>
      <c r="C78" s="5" t="inlineStr">
        <is>
          <t>Next</t>
        </is>
      </c>
      <c r="D78" s="5" t="inlineStr">
        <is>
          <t>default tag is visible in Anatomy/Inspector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protocol</t>
        </is>
      </c>
      <c r="H78" s="9" t="inlineStr">
        <is>
          <t>covered</t>
        </is>
      </c>
      <c r="I78" s="5" t="inlineStr">
        <is>
          <t>manual-tests/pagination.md</t>
        </is>
      </c>
      <c r="J78" s="5" t="inlineStr">
        <is>
          <t>Passed Pagination Manual Test Protocol.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Identity</t>
        </is>
      </c>
      <c r="C79" s="5" t="inlineStr">
        <is>
          <t>Next</t>
        </is>
      </c>
      <c r="D79" s="5" t="inlineStr">
        <is>
          <t>data-slot is present and correct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protocol</t>
        </is>
      </c>
      <c r="H79" s="9" t="inlineStr">
        <is>
          <t>covered</t>
        </is>
      </c>
      <c r="I79" s="5" t="inlineStr">
        <is>
          <t>manual-tests/pagination.md</t>
        </is>
      </c>
      <c r="J79" s="5" t="inlineStr">
        <is>
          <t>Passed Pagination Manual Test Protocol.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Props</t>
        </is>
      </c>
      <c r="C80" s="5" t="inlineStr">
        <is>
          <t>Next</t>
        </is>
      </c>
      <c r="D80" s="5" t="inlineStr">
        <is>
          <t>non-Atom native props pass through with data-prop-check marker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protocol</t>
        </is>
      </c>
      <c r="H80" s="9" t="inlineStr">
        <is>
          <t>covered</t>
        </is>
      </c>
      <c r="I80" s="5" t="inlineStr">
        <is>
          <t>manual-tests/pagination.md</t>
        </is>
      </c>
      <c r="J80" s="5" t="inlineStr">
        <is>
          <t>Passed Pagination Manual Test Protocol.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Refs</t>
        </is>
      </c>
      <c r="C81" s="5" t="inlineStr">
        <is>
          <t>Next</t>
        </is>
      </c>
      <c r="D81" s="5" t="inlineStr">
        <is>
          <t>consumer ref receives the rendered element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protocol</t>
        </is>
      </c>
      <c r="H81" s="9" t="inlineStr">
        <is>
          <t>covered</t>
        </is>
      </c>
      <c r="I81" s="5" t="inlineStr">
        <is>
          <t>manual-tests/pagination.md</t>
        </is>
      </c>
      <c r="J81" s="5" t="inlineStr">
        <is>
          <t>Passed Pagination Manual Test Protocol.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Accessibility</t>
        </is>
      </c>
      <c r="C82" s="5" t="inlineStr">
        <is>
          <t>Next</t>
        </is>
      </c>
      <c r="D82" s="5" t="inlineStr">
        <is>
          <t>aria-label prop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protocol</t>
        </is>
      </c>
      <c r="H82" s="9" t="inlineStr">
        <is>
          <t>covered</t>
        </is>
      </c>
      <c r="I82" s="5" t="inlineStr">
        <is>
          <t>manual-tests/pagination.md</t>
        </is>
      </c>
      <c r="J82" s="5" t="inlineStr">
        <is>
          <t>Passed Pagination Manual Test Protocol.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Next</t>
        </is>
      </c>
      <c r="D83" s="5" t="inlineStr">
        <is>
          <t>asChild prop behavior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protocol</t>
        </is>
      </c>
      <c r="H83" s="9" t="inlineStr">
        <is>
          <t>covered</t>
        </is>
      </c>
      <c r="I83" s="5" t="inlineStr">
        <is>
          <t>manual-tests/pagination.md</t>
        </is>
      </c>
      <c r="J83" s="5" t="inlineStr">
        <is>
          <t>Passed Pagination Manual Test Protocol.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Next</t>
        </is>
      </c>
      <c r="D84" s="5" t="inlineStr">
        <is>
          <t>render prop behavior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protocol</t>
        </is>
      </c>
      <c r="H84" s="9" t="inlineStr">
        <is>
          <t>covered</t>
        </is>
      </c>
      <c r="I84" s="5" t="inlineStr">
        <is>
          <t>manual-tests/pagination.md</t>
        </is>
      </c>
      <c r="J84" s="5" t="inlineStr">
        <is>
          <t>Passed Pagination Manual Test Protocol.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Next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protocol</t>
        </is>
      </c>
      <c r="H85" s="9" t="inlineStr">
        <is>
          <t>covered</t>
        </is>
      </c>
      <c r="I85" s="5" t="inlineStr">
        <is>
          <t>manual-tests/pagination.md</t>
        </is>
      </c>
      <c r="J85" s="5" t="inlineStr">
        <is>
          <t>Passed Pagination Manual Test Protocol.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Next</t>
        </is>
      </c>
      <c r="D86" s="5" t="inlineStr">
        <is>
          <t>[data-direction]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protocol</t>
        </is>
      </c>
      <c r="H86" s="9" t="inlineStr">
        <is>
          <t>covered</t>
        </is>
      </c>
      <c r="I86" s="5" t="inlineStr">
        <is>
          <t>manual-tests/pagination.md</t>
        </is>
      </c>
      <c r="J86" s="5" t="inlineStr">
        <is>
          <t>Passed Pagination Manual Test Protocol.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State</t>
        </is>
      </c>
      <c r="C87" s="5" t="inlineStr">
        <is>
          <t>Next</t>
        </is>
      </c>
      <c r="D87" s="5" t="inlineStr">
        <is>
          <t>[data-disabled]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protocol</t>
        </is>
      </c>
      <c r="H87" s="9" t="inlineStr">
        <is>
          <t>covered</t>
        </is>
      </c>
      <c r="I87" s="5" t="inlineStr">
        <is>
          <t>manual-tests/pagination.md</t>
        </is>
      </c>
      <c r="J87" s="5" t="inlineStr">
        <is>
          <t>Passed Pagination Manual Test Protocol.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Anatomy</t>
        </is>
      </c>
      <c r="C88" s="5" t="inlineStr">
        <is>
          <t>Previous</t>
        </is>
      </c>
      <c r="D88" s="5" t="inlineStr">
        <is>
          <t>renders correct part when expected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protocol</t>
        </is>
      </c>
      <c r="H88" s="9" t="inlineStr">
        <is>
          <t>covered</t>
        </is>
      </c>
      <c r="I88" s="5" t="inlineStr">
        <is>
          <t>manual-tests/pagination.md</t>
        </is>
      </c>
      <c r="J88" s="5" t="inlineStr">
        <is>
          <t>Passed Pagination Manual Test Protocol.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Anatomy</t>
        </is>
      </c>
      <c r="C89" s="5" t="inlineStr">
        <is>
          <t>Previous</t>
        </is>
      </c>
      <c r="D89" s="5" t="inlineStr">
        <is>
          <t>appears in documented order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protocol</t>
        </is>
      </c>
      <c r="H89" s="9" t="inlineStr">
        <is>
          <t>covered</t>
        </is>
      </c>
      <c r="I89" s="5" t="inlineStr">
        <is>
          <t>manual-tests/pagination.md</t>
        </is>
      </c>
      <c r="J89" s="5" t="inlineStr">
        <is>
          <t>Passed Pagination Manual Test Protocol.</t>
        </is>
      </c>
      <c r="K89" s="6">
        <f>IF(AND(E89="yes",F89="yes",H89="covered"),1,IF(H89="partial",0.5,0))</f>
        <v/>
      </c>
    </row>
    <row r="90" ht="30" customHeight="1" s="60">
      <c r="A90" s="4" t="n">
        <v>82</v>
      </c>
      <c r="B90" s="5" t="inlineStr">
        <is>
          <t>Identity</t>
        </is>
      </c>
      <c r="C90" s="5" t="inlineStr">
        <is>
          <t>Previous</t>
        </is>
      </c>
      <c r="D90" s="5" t="inlineStr">
        <is>
          <t>default tag is visible in Anatomy/Inspector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protocol</t>
        </is>
      </c>
      <c r="H90" s="9" t="inlineStr">
        <is>
          <t>covered</t>
        </is>
      </c>
      <c r="I90" s="5" t="inlineStr">
        <is>
          <t>manual-tests/pagination.md</t>
        </is>
      </c>
      <c r="J90" s="5" t="inlineStr">
        <is>
          <t>Passed Pagination Manual Test Protocol.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Identity</t>
        </is>
      </c>
      <c r="C91" s="5" t="inlineStr">
        <is>
          <t>Previous</t>
        </is>
      </c>
      <c r="D91" s="5" t="inlineStr">
        <is>
          <t>data-slot is present and correct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protocol</t>
        </is>
      </c>
      <c r="H91" s="9" t="inlineStr">
        <is>
          <t>covered</t>
        </is>
      </c>
      <c r="I91" s="5" t="inlineStr">
        <is>
          <t>manual-tests/pagination.md</t>
        </is>
      </c>
      <c r="J91" s="5" t="inlineStr">
        <is>
          <t>Passed Pagination Manual Test Protocol.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Props</t>
        </is>
      </c>
      <c r="C92" s="5" t="inlineStr">
        <is>
          <t>Previous</t>
        </is>
      </c>
      <c r="D92" s="5" t="inlineStr">
        <is>
          <t>non-Atom native props pass through with data-prop-check marker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protocol</t>
        </is>
      </c>
      <c r="H92" s="9" t="inlineStr">
        <is>
          <t>covered</t>
        </is>
      </c>
      <c r="I92" s="5" t="inlineStr">
        <is>
          <t>manual-tests/pagination.md</t>
        </is>
      </c>
      <c r="J92" s="5" t="inlineStr">
        <is>
          <t>Passed Pagination Manual Test Protocol.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Refs</t>
        </is>
      </c>
      <c r="C93" s="5" t="inlineStr">
        <is>
          <t>Previous</t>
        </is>
      </c>
      <c r="D93" s="5" t="inlineStr">
        <is>
          <t>consumer ref receives the rendered element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protocol</t>
        </is>
      </c>
      <c r="H93" s="9" t="inlineStr">
        <is>
          <t>covered</t>
        </is>
      </c>
      <c r="I93" s="5" t="inlineStr">
        <is>
          <t>manual-tests/pagination.md</t>
        </is>
      </c>
      <c r="J93" s="5" t="inlineStr">
        <is>
          <t>Passed Pagination Manual Test Protocol.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Accessibility</t>
        </is>
      </c>
      <c r="C94" s="5" t="inlineStr">
        <is>
          <t>Previous</t>
        </is>
      </c>
      <c r="D94" s="5" t="inlineStr">
        <is>
          <t>aria-label prop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protocol</t>
        </is>
      </c>
      <c r="H94" s="9" t="inlineStr">
        <is>
          <t>covered</t>
        </is>
      </c>
      <c r="I94" s="5" t="inlineStr">
        <is>
          <t>manual-tests/pagination.md</t>
        </is>
      </c>
      <c r="J94" s="5" t="inlineStr">
        <is>
          <t>Passed Pagination Manual Test Protocol.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Previous</t>
        </is>
      </c>
      <c r="D95" s="5" t="inlineStr">
        <is>
          <t>asChild prop behavior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protocol</t>
        </is>
      </c>
      <c r="H95" s="9" t="inlineStr">
        <is>
          <t>covered</t>
        </is>
      </c>
      <c r="I95" s="5" t="inlineStr">
        <is>
          <t>manual-tests/pagination.md</t>
        </is>
      </c>
      <c r="J95" s="5" t="inlineStr">
        <is>
          <t>Passed Pagination Manual Test Protocol.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Previous</t>
        </is>
      </c>
      <c r="D96" s="5" t="inlineStr">
        <is>
          <t>render prop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protocol</t>
        </is>
      </c>
      <c r="H96" s="9" t="inlineStr">
        <is>
          <t>covered</t>
        </is>
      </c>
      <c r="I96" s="5" t="inlineStr">
        <is>
          <t>manual-tests/pagination.md</t>
        </is>
      </c>
      <c r="J96" s="5" t="inlineStr">
        <is>
          <t>Passed Pagination Manual Test Protocol.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Public API</t>
        </is>
      </c>
      <c r="C97" s="5" t="inlineStr">
        <is>
          <t>Previous</t>
        </is>
      </c>
      <c r="D97" s="5" t="inlineStr">
        <is>
          <t>[data-slot] prop behavior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protocol</t>
        </is>
      </c>
      <c r="H97" s="9" t="inlineStr">
        <is>
          <t>covered</t>
        </is>
      </c>
      <c r="I97" s="5" t="inlineStr">
        <is>
          <t>manual-tests/pagination.md</t>
        </is>
      </c>
      <c r="J97" s="5" t="inlineStr">
        <is>
          <t>Passed Pagination Manual Test Protocol.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Public API</t>
        </is>
      </c>
      <c r="C98" s="5" t="inlineStr">
        <is>
          <t>Previous</t>
        </is>
      </c>
      <c r="D98" s="5" t="inlineStr">
        <is>
          <t>[data-direction] prop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protocol</t>
        </is>
      </c>
      <c r="H98" s="9" t="inlineStr">
        <is>
          <t>covered</t>
        </is>
      </c>
      <c r="I98" s="5" t="inlineStr">
        <is>
          <t>manual-tests/pagination.md</t>
        </is>
      </c>
      <c r="J98" s="5" t="inlineStr">
        <is>
          <t>Passed Pagination Manual Test Protocol.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State</t>
        </is>
      </c>
      <c r="C99" s="5" t="inlineStr">
        <is>
          <t>Previous</t>
        </is>
      </c>
      <c r="D99" s="5" t="inlineStr">
        <is>
          <t>[data-disabled] prop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protocol</t>
        </is>
      </c>
      <c r="H99" s="9" t="inlineStr">
        <is>
          <t>covered</t>
        </is>
      </c>
      <c r="I99" s="5" t="inlineStr">
        <is>
          <t>manual-tests/pagination.md</t>
        </is>
      </c>
      <c r="J99" s="5" t="inlineStr">
        <is>
          <t>Passed Pagination Manual Test Protocol.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Anatomy</t>
        </is>
      </c>
      <c r="C100" s="5" t="inlineStr">
        <is>
          <t>Next</t>
        </is>
      </c>
      <c r="D100" s="5" t="inlineStr">
        <is>
          <t>owns generated outer list item wrapper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protocol</t>
        </is>
      </c>
      <c r="H100" s="9" t="inlineStr">
        <is>
          <t>covered</t>
        </is>
      </c>
      <c r="I100" s="5" t="inlineStr">
        <is>
          <t>manual-tests/pagination.md</t>
        </is>
      </c>
      <c r="J100" s="5" t="inlineStr">
        <is>
          <t>Passed Pagination Manual Test Protocol.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Next</t>
        </is>
      </c>
      <c r="D101" s="5" t="inlineStr">
        <is>
          <t>generated outer wrapper has data-slot="pagination-list-item"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protocol</t>
        </is>
      </c>
      <c r="H101" s="9" t="inlineStr">
        <is>
          <t>covered</t>
        </is>
      </c>
      <c r="I101" s="5" t="inlineStr">
        <is>
          <t>manual-tests/pagination.md</t>
        </is>
      </c>
      <c r="J101" s="5" t="inlineStr">
        <is>
          <t>Passed Pagination Manual Test Protocol.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ARIA</t>
        </is>
      </c>
      <c r="C102" s="5" t="inlineStr">
        <is>
          <t>Live DOM</t>
        </is>
      </c>
      <c r="D102" s="5" t="inlineStr">
        <is>
          <t>aria-current is present at the correct time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protocol</t>
        </is>
      </c>
      <c r="H102" s="9" t="inlineStr">
        <is>
          <t>covered</t>
        </is>
      </c>
      <c r="I102" s="5" t="inlineStr">
        <is>
          <t>manual-tests/pagination.md</t>
        </is>
      </c>
      <c r="J102" s="5" t="inlineStr">
        <is>
          <t>Passed Pagination Manual Test Protocol.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ARIA</t>
        </is>
      </c>
      <c r="C103" s="5" t="inlineStr">
        <is>
          <t>Live DOM</t>
        </is>
      </c>
      <c r="D103" s="5" t="inlineStr">
        <is>
          <t>aria-hidden is present at the correct time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protocol</t>
        </is>
      </c>
      <c r="H103" s="9" t="inlineStr">
        <is>
          <t>covered</t>
        </is>
      </c>
      <c r="I103" s="5" t="inlineStr">
        <is>
          <t>manual-tests/pagination.md</t>
        </is>
      </c>
      <c r="J103" s="5" t="inlineStr">
        <is>
          <t>Passed Pagination Manual Test Protocol.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ARIA</t>
        </is>
      </c>
      <c r="C104" s="5" t="inlineStr">
        <is>
          <t>Live DOM</t>
        </is>
      </c>
      <c r="D104" s="5" t="inlineStr">
        <is>
          <t>aria-label is present at the correct time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protocol</t>
        </is>
      </c>
      <c r="H104" s="9" t="inlineStr">
        <is>
          <t>covered</t>
        </is>
      </c>
      <c r="I104" s="5" t="inlineStr">
        <is>
          <t>manual-tests/pagination.md</t>
        </is>
      </c>
      <c r="J104" s="5" t="inlineStr">
        <is>
          <t>Passed Pagination Manual Test Protocol.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Data</t>
        </is>
      </c>
      <c r="C105" s="5" t="inlineStr">
        <is>
          <t>Live DOM</t>
        </is>
      </c>
      <c r="D105" s="5" t="inlineStr">
        <is>
          <t>data-direction is present at the correct time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protocol</t>
        </is>
      </c>
      <c r="H105" s="9" t="inlineStr">
        <is>
          <t>covered</t>
        </is>
      </c>
      <c r="I105" s="5" t="inlineStr">
        <is>
          <t>manual-tests/pagination.md</t>
        </is>
      </c>
      <c r="J105" s="5" t="inlineStr">
        <is>
          <t>Passed Pagination Manual Test Protocol.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Data</t>
        </is>
      </c>
      <c r="C106" s="5" t="inlineStr">
        <is>
          <t>Live DOM</t>
        </is>
      </c>
      <c r="D106" s="5" t="inlineStr">
        <is>
          <t>data-disabled is present at the correct time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protocol</t>
        </is>
      </c>
      <c r="H106" s="9" t="inlineStr">
        <is>
          <t>covered</t>
        </is>
      </c>
      <c r="I106" s="5" t="inlineStr">
        <is>
          <t>manual-tests/pagination.md</t>
        </is>
      </c>
      <c r="J106" s="5" t="inlineStr">
        <is>
          <t>Passed Pagination Manual Test Protocol.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Data</t>
        </is>
      </c>
      <c r="C107" s="5" t="inlineStr">
        <is>
          <t>Live DOM</t>
        </is>
      </c>
      <c r="D107" s="5" t="inlineStr">
        <is>
          <t>data-page is present at the correct time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protocol</t>
        </is>
      </c>
      <c r="H107" s="9" t="inlineStr">
        <is>
          <t>covered</t>
        </is>
      </c>
      <c r="I107" s="5" t="inlineStr">
        <is>
          <t>manual-tests/pagination.md</t>
        </is>
      </c>
      <c r="J107" s="5" t="inlineStr">
        <is>
          <t>Passed Pagination Manual Test Protocol.</t>
        </is>
      </c>
      <c r="K107" s="6">
        <f>IF(AND(E107="yes",F107="yes",H107="covered"),1,IF(H107="partial",0.5,0))</f>
        <v/>
      </c>
    </row>
    <row r="108" ht="30" customHeight="1" s="60">
      <c r="A108" s="4" t="n">
        <v>100</v>
      </c>
      <c r="B108" s="5" t="inlineStr">
        <is>
          <t>Data</t>
        </is>
      </c>
      <c r="C108" s="5" t="inlineStr">
        <is>
          <t>Live DOM</t>
        </is>
      </c>
      <c r="D108" s="5" t="inlineStr">
        <is>
          <t>data-slot is present at the correct time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protocol</t>
        </is>
      </c>
      <c r="H108" s="9" t="inlineStr">
        <is>
          <t>covered</t>
        </is>
      </c>
      <c r="I108" s="5" t="inlineStr">
        <is>
          <t>manual-tests/pagination.md</t>
        </is>
      </c>
      <c r="J108" s="5" t="inlineStr">
        <is>
          <t>Passed Pagination Manual Test Protocol.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Data</t>
        </is>
      </c>
      <c r="C109" s="5" t="inlineStr">
        <is>
          <t>Live DOM</t>
        </is>
      </c>
      <c r="D109" s="5" t="inlineStr">
        <is>
          <t>data-state is present at the correct time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protocol</t>
        </is>
      </c>
      <c r="H109" s="9" t="inlineStr">
        <is>
          <t>covered</t>
        </is>
      </c>
      <c r="I109" s="5" t="inlineStr">
        <is>
          <t>manual-tests/pagination.md</t>
        </is>
      </c>
      <c r="J109" s="5" t="inlineStr">
        <is>
          <t>Passed Pagination Manual Test Protocol.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Composition</t>
        </is>
      </c>
      <c r="C110" s="5" t="inlineStr">
        <is>
          <t>Pagination</t>
        </is>
      </c>
      <c r="D110" s="5" t="inlineStr">
        <is>
          <t>asChild preserves child content without double nesting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protocol</t>
        </is>
      </c>
      <c r="H110" s="9" t="inlineStr">
        <is>
          <t>covered</t>
        </is>
      </c>
      <c r="I110" s="5" t="inlineStr">
        <is>
          <t>manual-tests/pagination.md</t>
        </is>
      </c>
      <c r="J110" s="5" t="inlineStr">
        <is>
          <t>Passed Pagination Manual Test Protocol.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Composition</t>
        </is>
      </c>
      <c r="C111" s="5" t="inlineStr">
        <is>
          <t>Pagination</t>
        </is>
      </c>
      <c r="D111" s="5" t="inlineStr">
        <is>
          <t>asChild merges Atom props and consumer props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protocol</t>
        </is>
      </c>
      <c r="H111" s="9" t="inlineStr">
        <is>
          <t>covered</t>
        </is>
      </c>
      <c r="I111" s="5" t="inlineStr">
        <is>
          <t>manual-tests/pagination.md</t>
        </is>
      </c>
      <c r="J111" s="5" t="inlineStr">
        <is>
          <t>Passed Pagination Manual Test Protocol.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Composition</t>
        </is>
      </c>
      <c r="C112" s="5" t="inlineStr">
        <is>
          <t>Pagination</t>
        </is>
      </c>
      <c r="D112" s="5" t="inlineStr">
        <is>
          <t>render prop renders custom element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protocol</t>
        </is>
      </c>
      <c r="H112" s="9" t="inlineStr">
        <is>
          <t>covered</t>
        </is>
      </c>
      <c r="I112" s="5" t="inlineStr">
        <is>
          <t>manual-tests/pagination.md</t>
        </is>
      </c>
      <c r="J112" s="5" t="inlineStr">
        <is>
          <t>Passed Pagination Manual Test Protocol.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Composition</t>
        </is>
      </c>
      <c r="C113" s="5" t="inlineStr">
        <is>
          <t>Pagination</t>
        </is>
      </c>
      <c r="D113" s="5" t="inlineStr">
        <is>
          <t>render prop preserves refs and behavior props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protocol</t>
        </is>
      </c>
      <c r="H113" s="9" t="inlineStr">
        <is>
          <t>covered</t>
        </is>
      </c>
      <c r="I113" s="5" t="inlineStr">
        <is>
          <t>manual-tests/pagination.md</t>
        </is>
      </c>
      <c r="J113" s="5" t="inlineStr">
        <is>
          <t>Passed Pagination Manual Test Protocol.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State</t>
        </is>
      </c>
      <c r="C114" s="5" t="inlineStr">
        <is>
          <t>Root</t>
        </is>
      </c>
      <c r="D114" s="5" t="inlineStr">
        <is>
          <t>controlled state path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protocol</t>
        </is>
      </c>
      <c r="H114" s="9" t="inlineStr">
        <is>
          <t>covered</t>
        </is>
      </c>
      <c r="I114" s="5" t="inlineStr">
        <is>
          <t>manual-tests/pagination.md</t>
        </is>
      </c>
      <c r="J114" s="5" t="inlineStr">
        <is>
          <t>Passed Pagination Manual Test Protocol.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State</t>
        </is>
      </c>
      <c r="C115" s="5" t="inlineStr">
        <is>
          <t>Root</t>
        </is>
      </c>
      <c r="D115" s="5" t="inlineStr">
        <is>
          <t>uncontrolled default state path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protocol</t>
        </is>
      </c>
      <c r="H115" s="9" t="inlineStr">
        <is>
          <t>covered</t>
        </is>
      </c>
      <c r="I115" s="5" t="inlineStr">
        <is>
          <t>manual-tests/pagination.md</t>
        </is>
      </c>
      <c r="J115" s="5" t="inlineStr">
        <is>
          <t>Passed Pagination Manual Test Protocol.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State</t>
        </is>
      </c>
      <c r="C116" s="5" t="inlineStr">
        <is>
          <t>Root</t>
        </is>
      </c>
      <c r="D116" s="5" t="inlineStr">
        <is>
          <t>state change callback fires once with correct value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protocol</t>
        </is>
      </c>
      <c r="H116" s="9" t="inlineStr">
        <is>
          <t>covered</t>
        </is>
      </c>
      <c r="I116" s="5" t="inlineStr">
        <is>
          <t>manual-tests/pagination.md</t>
        </is>
      </c>
      <c r="J116" s="5" t="inlineStr">
        <is>
          <t>Passed Pagination Manual Test Protocol.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Keyboard</t>
        </is>
      </c>
      <c r="C117" s="5" t="inlineStr">
        <is>
          <t>Pagination</t>
        </is>
      </c>
      <c r="D117" s="5" t="inlineStr">
        <is>
          <t>normal Tab order skips disabled pagination buttons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protocol</t>
        </is>
      </c>
      <c r="H117" s="9" t="inlineStr">
        <is>
          <t>covered</t>
        </is>
      </c>
      <c r="I117" s="5" t="inlineStr">
        <is>
          <t>manual-tests/pagination.md</t>
        </is>
      </c>
      <c r="J117" s="5" t="inlineStr">
        <is>
          <t>Passed Pagination Manual Test Protocol.</t>
        </is>
      </c>
      <c r="K117" s="6">
        <f>IF(AND(E117="yes",F117="yes",H117="covered"),1,IF(H117="partial",0.5,0))</f>
        <v/>
      </c>
    </row>
    <row r="118" ht="15" customHeight="1" s="60"/>
    <row r="119" ht="15" customHeight="1" s="60"/>
    <row r="120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K8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PasswordToggleField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PasswordToggleField playground scenario.</t>
        </is>
      </c>
      <c r="J9" s="5" t="inlineStr">
        <is>
          <t>Manual verification completed.</t>
        </is>
      </c>
      <c r="K9" s="6" t="n">
        <v>0</v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PasswordToggleField playground scenario.</t>
        </is>
      </c>
      <c r="J10" s="5" t="inlineStr">
        <is>
          <t>Manual verification completed.</t>
        </is>
      </c>
      <c r="K10" s="6" t="n">
        <v>0</v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PasswordToggleField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PasswordToggleField playground scenario.</t>
        </is>
      </c>
      <c r="J11" s="5" t="inlineStr">
        <is>
          <t>Manual verification completed.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PasswordToggleField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PasswordToggleField playground scenario.</t>
        </is>
      </c>
      <c r="J12" s="5" t="inlineStr">
        <is>
          <t>Manual verification completed.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PasswordToggleField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PasswordToggleField playground page uses shared Canvas/Source, Anatomy, Inspector, and Log infrastructure.</t>
        </is>
      </c>
      <c r="J13" s="5" t="inlineStr">
        <is>
          <t>Manual verification completed.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PasswordToggleField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PasswordToggleField playground scenario.</t>
        </is>
      </c>
      <c r="J14" s="5" t="inlineStr">
        <is>
          <t>Manual verification completed.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PasswordToggleField</t>
        </is>
      </c>
      <c r="D15" s="5" t="inlineStr">
        <is>
          <t>Controlled and uncontrolled password visibility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PasswordToggleField playground scenario.</t>
        </is>
      </c>
      <c r="J15" s="5" t="inlineStr">
        <is>
          <t>Manual verification completed.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PasswordToggleField</t>
        </is>
      </c>
      <c r="D16" s="5" t="inlineStr">
        <is>
          <t>Native password input type switching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PasswordToggleField playground scenario.</t>
        </is>
      </c>
      <c r="J16" s="5" t="inlineStr">
        <is>
          <t>Manual verification completed.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PasswordToggleField</t>
        </is>
      </c>
      <c r="D17" s="5" t="inlineStr">
        <is>
          <t>Toggle button with dynamic accessible label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PasswordToggleField playground scenario.</t>
        </is>
      </c>
      <c r="J17" s="5" t="inlineStr">
        <is>
          <t>Manual verification completed.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PasswordToggleField</t>
        </is>
      </c>
      <c r="D18" s="5" t="inlineStr">
        <is>
          <t>Optional icon part that switches visible/hidden content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PasswordToggleField playground scenario.</t>
        </is>
      </c>
      <c r="J18" s="5" t="inlineStr">
        <is>
          <t>Manual verification completed.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PasswordToggleField</t>
        </is>
      </c>
      <c r="D19" s="5" t="inlineStr">
        <is>
          <t>Disabled, read-only, required, and invalid state propagation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PasswordToggleField playground scenario.</t>
        </is>
      </c>
      <c r="J19" s="5" t="inlineStr">
        <is>
          <t>Manual verification completed.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PasswordToggleField</t>
        </is>
      </c>
      <c r="D20" s="5" t="inlineStr">
        <is>
          <t>Headless only: no icon, layout, or visual affordance is included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PasswordToggleField playground scenario.</t>
        </is>
      </c>
      <c r="J20" s="5" t="inlineStr">
        <is>
          <t>Manual verification completed.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PasswordToggleField playground scenario.</t>
        </is>
      </c>
      <c r="J21" s="5" t="inlineStr">
        <is>
          <t>Manual verification completed.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PasswordToggleField form-field playground page exposes this part/prop in Anatomy, Inspector, Source, or toolbar controls.</t>
        </is>
      </c>
      <c r="J22" s="5" t="inlineStr">
        <is>
          <t>Manual verification completed.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Public API</t>
        </is>
      </c>
      <c r="C23" s="5" t="inlineStr">
        <is>
          <t>Root</t>
        </is>
      </c>
      <c r="D23" s="5" t="inlineStr">
        <is>
          <t>visible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PasswordToggleField playground scenario.</t>
        </is>
      </c>
      <c r="J23" s="5" t="inlineStr">
        <is>
          <t>Manual verification completed.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defaultVisible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PasswordToggleField playground scenario.</t>
        </is>
      </c>
      <c r="J24" s="5" t="inlineStr">
        <is>
          <t>Manual verification completed.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onVisibleChange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PasswordToggleField playground scenario.</t>
        </is>
      </c>
      <c r="J25" s="5" t="inlineStr">
        <is>
          <t>Manual verification completed.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PasswordToggleField playground scenario.</t>
        </is>
      </c>
      <c r="J26" s="5" t="inlineStr">
        <is>
          <t>Manual verification completed.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readOnly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PasswordToggleField playground scenario.</t>
        </is>
      </c>
      <c r="J27" s="5" t="inlineStr">
        <is>
          <t>Manual verification completed.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PasswordToggleField playground scenario.</t>
        </is>
      </c>
      <c r="J28" s="5" t="inlineStr">
        <is>
          <t>Manual verification completed.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invalid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PasswordToggleField playground scenario.</t>
        </is>
      </c>
      <c r="J29" s="5" t="inlineStr">
        <is>
          <t>Manual verification completed.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Icon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PasswordToggleField playground scenario.</t>
        </is>
      </c>
      <c r="J30" s="5" t="inlineStr">
        <is>
          <t>Manual verification completed.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Icon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PasswordToggleField form-field playground page exposes this part/prop in Anatomy, Inspector, Source, or toolbar controls.</t>
        </is>
      </c>
      <c r="J31" s="5" t="inlineStr">
        <is>
          <t>Manual verification completed.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Identity</t>
        </is>
      </c>
      <c r="C32" s="5" t="inlineStr">
        <is>
          <t>Icon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PasswordToggleField playground scenario.</t>
        </is>
      </c>
      <c r="J32" s="5" t="inlineStr">
        <is>
          <t>Manual verification completed.</t>
        </is>
      </c>
      <c r="K32" s="6">
        <f>IF(AND(E32="yes",F32="yes",H32="covered"),1,IF(H32="partial",0.5,0))</f>
        <v/>
      </c>
    </row>
    <row r="33" ht="45" customHeight="1" s="60">
      <c r="A33" s="4" t="n">
        <v>25</v>
      </c>
      <c r="B33" s="5" t="inlineStr">
        <is>
          <t>Identity</t>
        </is>
      </c>
      <c r="C33" s="5" t="inlineStr">
        <is>
          <t>Icon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PasswordToggleField playground scenario.</t>
        </is>
      </c>
      <c r="J33" s="5" t="inlineStr">
        <is>
          <t>Manual verification completed.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Props</t>
        </is>
      </c>
      <c r="C34" s="5" t="inlineStr">
        <is>
          <t>Icon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PasswordToggleField playground scenario.</t>
        </is>
      </c>
      <c r="J34" s="5" t="inlineStr">
        <is>
          <t>Manual verification completed.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Refs</t>
        </is>
      </c>
      <c r="C35" s="5" t="inlineStr">
        <is>
          <t>Icon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PasswordToggleField playground scenario.</t>
        </is>
      </c>
      <c r="J35" s="5" t="inlineStr">
        <is>
          <t>Manual verification completed.</t>
        </is>
      </c>
      <c r="K35" s="6">
        <f>IF(AND(E35="yes",F35="yes",H35="covered"),1,IF(H35="partial",0.5,0))</f>
        <v/>
      </c>
    </row>
    <row r="36" ht="30" customHeight="1" s="60">
      <c r="A36" s="4" t="n">
        <v>28</v>
      </c>
      <c r="B36" s="5" t="inlineStr">
        <is>
          <t>Public API</t>
        </is>
      </c>
      <c r="C36" s="5" t="inlineStr">
        <is>
          <t>Icon</t>
        </is>
      </c>
      <c r="D36" s="5" t="inlineStr">
        <is>
          <t>visible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PasswordToggleField playground scenario.</t>
        </is>
      </c>
      <c r="J36" s="5" t="inlineStr">
        <is>
          <t>Manual verification completed.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Icon</t>
        </is>
      </c>
      <c r="D37" s="5" t="inlineStr">
        <is>
          <t>hidden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PasswordToggleField playground scenario.</t>
        </is>
      </c>
      <c r="J37" s="5" t="inlineStr">
        <is>
          <t>Manual verification completed.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Icon</t>
        </is>
      </c>
      <c r="D38" s="5" t="inlineStr">
        <is>
          <t>data-slot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PasswordToggleField playground scenario.</t>
        </is>
      </c>
      <c r="J38" s="5" t="inlineStr">
        <is>
          <t>Manual verification completed.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Icon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PasswordToggleField playground scenario.</t>
        </is>
      </c>
      <c r="J39" s="5" t="inlineStr">
        <is>
          <t>Manual verification completed.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Icon</t>
        </is>
      </c>
      <c r="D40" s="5" t="inlineStr">
        <is>
          <t>[data-state]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PasswordToggleField playground scenario.</t>
        </is>
      </c>
      <c r="J40" s="5" t="inlineStr">
        <is>
          <t>Manual verification completed.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Input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PasswordToggleField playground scenario.</t>
        </is>
      </c>
      <c r="J41" s="5" t="inlineStr">
        <is>
          <t>Manual verification completed.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Input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PasswordToggleField form-field playground page exposes this part/prop in Anatomy, Inspector, Source, or toolbar controls.</t>
        </is>
      </c>
      <c r="J42" s="5" t="inlineStr">
        <is>
          <t>Manual verification completed.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Input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PasswordToggleField playground scenario.</t>
        </is>
      </c>
      <c r="J43" s="5" t="inlineStr">
        <is>
          <t>Manual verification completed.</t>
        </is>
      </c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Identity</t>
        </is>
      </c>
      <c r="C44" s="5" t="inlineStr">
        <is>
          <t>Input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PasswordToggleField playground scenario.</t>
        </is>
      </c>
      <c r="J44" s="5" t="inlineStr">
        <is>
          <t>Manual verification completed.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Input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PasswordToggleField playground scenario.</t>
        </is>
      </c>
      <c r="J45" s="5" t="inlineStr">
        <is>
          <t>Manual verification completed.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Refs</t>
        </is>
      </c>
      <c r="C46" s="5" t="inlineStr">
        <is>
          <t>Input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PasswordToggleField playground scenario.</t>
        </is>
      </c>
      <c r="J46" s="5" t="inlineStr">
        <is>
          <t>Manual verification completed.</t>
        </is>
      </c>
      <c r="K46" s="6">
        <f>IF(AND(E46="yes",F46="yes",H46="covered"),1,IF(H46="partial",0.5,0))</f>
        <v/>
      </c>
    </row>
    <row r="47" ht="30" customHeight="1" s="60">
      <c r="A47" s="4" t="n">
        <v>39</v>
      </c>
      <c r="B47" s="5" t="inlineStr">
        <is>
          <t>Composition</t>
        </is>
      </c>
      <c r="C47" s="5" t="inlineStr">
        <is>
          <t>Input</t>
        </is>
      </c>
      <c r="D47" s="5" t="inlineStr">
        <is>
          <t>asChild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PasswordToggleField playground scenario.</t>
        </is>
      </c>
      <c r="J47" s="5" t="inlineStr">
        <is>
          <t>Manual verification completed.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Composition</t>
        </is>
      </c>
      <c r="C48" s="5" t="inlineStr">
        <is>
          <t>Input</t>
        </is>
      </c>
      <c r="D48" s="5" t="inlineStr">
        <is>
          <t>render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PasswordToggleField playground scenario.</t>
        </is>
      </c>
      <c r="J48" s="5" t="inlineStr">
        <is>
          <t>Manual verification completed.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Input</t>
        </is>
      </c>
      <c r="D49" s="5" t="inlineStr">
        <is>
          <t>data-slot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PasswordToggleField playground scenario.</t>
        </is>
      </c>
      <c r="J49" s="5" t="inlineStr">
        <is>
          <t>Manual verification completed.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Input</t>
        </is>
      </c>
      <c r="D50" s="5" t="inlineStr">
        <is>
          <t>[data-slot]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PasswordToggleField playground scenario.</t>
        </is>
      </c>
      <c r="J50" s="5" t="inlineStr">
        <is>
          <t>Manual verification completed.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Input</t>
        </is>
      </c>
      <c r="D51" s="5" t="inlineStr">
        <is>
          <t>[data-state]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PasswordToggleField playground scenario.</t>
        </is>
      </c>
      <c r="J51" s="5" t="inlineStr">
        <is>
          <t>Manual verification completed.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Input</t>
        </is>
      </c>
      <c r="D52" s="5" t="inlineStr">
        <is>
          <t>[data-disabled]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PasswordToggleField playground scenario.</t>
        </is>
      </c>
      <c r="J52" s="5" t="inlineStr">
        <is>
          <t>Manual verification completed.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Input</t>
        </is>
      </c>
      <c r="D53" s="5" t="inlineStr">
        <is>
          <t>[data-readonly]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PasswordToggleField playground scenario.</t>
        </is>
      </c>
      <c r="J53" s="5" t="inlineStr">
        <is>
          <t>Manual verification completed.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Input</t>
        </is>
      </c>
      <c r="D54" s="5" t="inlineStr">
        <is>
          <t>[data-required]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PasswordToggleField playground scenario.</t>
        </is>
      </c>
      <c r="J54" s="5" t="inlineStr">
        <is>
          <t>Manual verification completed.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Input</t>
        </is>
      </c>
      <c r="D55" s="5" t="inlineStr">
        <is>
          <t>[data-invalid]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PasswordToggleField playground scenario.</t>
        </is>
      </c>
      <c r="J55" s="5" t="inlineStr">
        <is>
          <t>Manual verification completed.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Toggle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PasswordToggleField playground scenario.</t>
        </is>
      </c>
      <c r="J56" s="5" t="inlineStr">
        <is>
          <t>Manual verification completed.</t>
        </is>
      </c>
      <c r="K56" s="6">
        <f>IF(AND(E56="yes",F56="yes",H56="covered"),1,IF(H56="partial",0.5,0))</f>
        <v/>
      </c>
    </row>
    <row r="57" ht="45" customHeight="1" s="60">
      <c r="A57" s="4" t="n">
        <v>49</v>
      </c>
      <c r="B57" s="5" t="inlineStr">
        <is>
          <t>Anatomy</t>
        </is>
      </c>
      <c r="C57" s="5" t="inlineStr">
        <is>
          <t>Toggle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PasswordToggleField form-field playground page exposes this part/prop in Anatomy, Inspector, Source, or toolbar controls.</t>
        </is>
      </c>
      <c r="J57" s="5" t="inlineStr">
        <is>
          <t>Manual verification completed.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Toggle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PasswordToggleField playground scenario.</t>
        </is>
      </c>
      <c r="J58" s="5" t="inlineStr">
        <is>
          <t>Manual verification completed.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Toggle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PasswordToggleField playground scenario.</t>
        </is>
      </c>
      <c r="J59" s="5" t="inlineStr">
        <is>
          <t>Manual verification completed.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Props</t>
        </is>
      </c>
      <c r="C60" s="5" t="inlineStr">
        <is>
          <t>Toggle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PasswordToggleField playground scenario.</t>
        </is>
      </c>
      <c r="J60" s="5" t="inlineStr">
        <is>
          <t>Manual verification completed.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Refs</t>
        </is>
      </c>
      <c r="C61" s="5" t="inlineStr">
        <is>
          <t>Toggle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PasswordToggleField playground scenario.</t>
        </is>
      </c>
      <c r="J61" s="5" t="inlineStr">
        <is>
          <t>Manual verification completed.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Toggle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PasswordToggleField playground scenario.</t>
        </is>
      </c>
      <c r="J62" s="5" t="inlineStr">
        <is>
          <t>Manual verification completed.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Toggle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PasswordToggleField playground scenario.</t>
        </is>
      </c>
      <c r="J63" s="5" t="inlineStr">
        <is>
          <t>Manual verification completed.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Toggle</t>
        </is>
      </c>
      <c r="D64" s="5" t="inlineStr">
        <is>
          <t>data-slot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PasswordToggleField playground scenario.</t>
        </is>
      </c>
      <c r="J64" s="5" t="inlineStr">
        <is>
          <t>Manual verification completed.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Toggle</t>
        </is>
      </c>
      <c r="D65" s="5" t="inlineStr">
        <is>
          <t>[data-slot]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PasswordToggleField playground scenario.</t>
        </is>
      </c>
      <c r="J65" s="5" t="inlineStr">
        <is>
          <t>Manual verification completed.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Toggle</t>
        </is>
      </c>
      <c r="D66" s="5" t="inlineStr">
        <is>
          <t>[data-state]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PasswordToggleField playground scenario.</t>
        </is>
      </c>
      <c r="J66" s="5" t="inlineStr">
        <is>
          <t>Manual verification completed.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State</t>
        </is>
      </c>
      <c r="C67" s="5" t="inlineStr">
        <is>
          <t>Toggle</t>
        </is>
      </c>
      <c r="D67" s="5" t="inlineStr">
        <is>
          <t>[data-disabled]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PasswordToggleField playground scenario.</t>
        </is>
      </c>
      <c r="J67" s="5" t="inlineStr">
        <is>
          <t>Manual verification completed.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Toggle</t>
        </is>
      </c>
      <c r="D68" s="5" t="inlineStr">
        <is>
          <t>[data-readonly]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PasswordToggleField playground scenario.</t>
        </is>
      </c>
      <c r="J68" s="5" t="inlineStr">
        <is>
          <t>Manual verification completed.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Toggle</t>
        </is>
      </c>
      <c r="D69" s="5" t="inlineStr">
        <is>
          <t>[data-required]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PasswordToggleField playground scenario.</t>
        </is>
      </c>
      <c r="J69" s="5" t="inlineStr">
        <is>
          <t>Manual verification completed.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Toggle</t>
        </is>
      </c>
      <c r="D70" s="5" t="inlineStr">
        <is>
          <t>[data-invalid]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PasswordToggleField playground scenario.</t>
        </is>
      </c>
      <c r="J70" s="5" t="inlineStr">
        <is>
          <t>Manual verification completed.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aria-hidden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PasswordToggleField playground scenario.</t>
        </is>
      </c>
      <c r="J71" s="5" t="inlineStr">
        <is>
          <t>Manual verification completed.</t>
        </is>
      </c>
      <c r="K71" s="6">
        <f>IF(AND(E71="yes",F71="yes",H71="covered"),1,IF(H71="partial",0.5,0))</f>
        <v/>
      </c>
    </row>
    <row r="72" ht="4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aria-invalid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PasswordToggleField playground scenario.</t>
        </is>
      </c>
      <c r="J72" s="5" t="inlineStr">
        <is>
          <t>Manual verification completed.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aria-label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PasswordToggleField playground scenario.</t>
        </is>
      </c>
      <c r="J73" s="5" t="inlineStr">
        <is>
          <t>Manual verification completed.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aria-readonly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PasswordToggleField playground scenario.</t>
        </is>
      </c>
      <c r="J74" s="5" t="inlineStr">
        <is>
          <t>Manual verification completed.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aria-required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PasswordToggleField playground scenario.</t>
        </is>
      </c>
      <c r="J75" s="5" t="inlineStr">
        <is>
          <t>Manual verification completed.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Data</t>
        </is>
      </c>
      <c r="C76" s="5" t="inlineStr">
        <is>
          <t>Live DOM</t>
        </is>
      </c>
      <c r="D76" s="5" t="inlineStr">
        <is>
          <t>data-disabled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PasswordToggleField playground scenario.</t>
        </is>
      </c>
      <c r="J76" s="5" t="inlineStr">
        <is>
          <t>Manual verification completed.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Data</t>
        </is>
      </c>
      <c r="C77" s="5" t="inlineStr">
        <is>
          <t>Live DOM</t>
        </is>
      </c>
      <c r="D77" s="5" t="inlineStr">
        <is>
          <t>data-invalid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PasswordToggleField playground scenario.</t>
        </is>
      </c>
      <c r="J77" s="5" t="inlineStr">
        <is>
          <t>Manual verification completed.</t>
        </is>
      </c>
      <c r="K77" s="6">
        <f>IF(AND(E77="yes",F77="yes",H77="covered"),1,IF(H77="partial",0.5,0))</f>
        <v/>
      </c>
    </row>
    <row r="78" ht="45" customHeight="1" s="60">
      <c r="A78" s="4" t="n">
        <v>70</v>
      </c>
      <c r="B78" s="5" t="inlineStr">
        <is>
          <t>Data</t>
        </is>
      </c>
      <c r="C78" s="5" t="inlineStr">
        <is>
          <t>Live DOM</t>
        </is>
      </c>
      <c r="D78" s="5" t="inlineStr">
        <is>
          <t>data-readonly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PasswordToggleField playground scenario.</t>
        </is>
      </c>
      <c r="J78" s="5" t="inlineStr">
        <is>
          <t>Manual verification completed.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data-required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PasswordToggleField playground scenario.</t>
        </is>
      </c>
      <c r="J79" s="5" t="inlineStr">
        <is>
          <t>Manual verification completed.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data-slot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PasswordToggleField playground scenario.</t>
        </is>
      </c>
      <c r="J80" s="5" t="inlineStr">
        <is>
          <t>Manual verification completed.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data-state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PasswordToggleField playground scenario.</t>
        </is>
      </c>
      <c r="J81" s="5" t="inlineStr">
        <is>
          <t>Manual verification completed.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State</t>
        </is>
      </c>
      <c r="C82" s="5" t="inlineStr">
        <is>
          <t>Root</t>
        </is>
      </c>
      <c r="D82" s="5" t="inlineStr">
        <is>
          <t>controlled state path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PasswordToggleField playground scenario.</t>
        </is>
      </c>
      <c r="J82" s="5" t="inlineStr">
        <is>
          <t>Manual verification completed.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State</t>
        </is>
      </c>
      <c r="C83" s="5" t="inlineStr">
        <is>
          <t>Root</t>
        </is>
      </c>
      <c r="D83" s="5" t="inlineStr">
        <is>
          <t>uncontrolled default state path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PasswordToggleField playground scenario.</t>
        </is>
      </c>
      <c r="J83" s="5" t="inlineStr">
        <is>
          <t>Manual verification completed.</t>
        </is>
      </c>
      <c r="K83" s="6">
        <f>IF(AND(E83="yes",F83="yes",H83="covered"),1,IF(H83="partial",0.5,0))</f>
        <v/>
      </c>
    </row>
    <row r="84" ht="45" customHeight="1" s="60">
      <c r="A84" s="4" t="n">
        <v>76</v>
      </c>
      <c r="B84" s="5" t="inlineStr">
        <is>
          <t>State</t>
        </is>
      </c>
      <c r="C84" s="5" t="inlineStr">
        <is>
          <t>Root</t>
        </is>
      </c>
      <c r="D84" s="5" t="inlineStr">
        <is>
          <t>state change callback fires once with correct value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PasswordToggleField form-field playground page exposes this part/prop in Anatomy, Inspector, Source, or toolbar controls.</t>
        </is>
      </c>
      <c r="J84" s="5" t="inlineStr">
        <is>
          <t>Manual verification completed.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State</t>
        </is>
      </c>
      <c r="C85" s="5" t="inlineStr">
        <is>
          <t>PasswordToggleField</t>
        </is>
      </c>
      <c r="D85" s="5" t="inlineStr">
        <is>
          <t>disabled state blocks or exposes behavior correctly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PasswordToggleField playground scenario.</t>
        </is>
      </c>
      <c r="J85" s="5" t="inlineStr">
        <is>
          <t>Manual verification completed.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State</t>
        </is>
      </c>
      <c r="C86" s="5" t="inlineStr">
        <is>
          <t>PasswordToggleField</t>
        </is>
      </c>
      <c r="D86" s="5" t="inlineStr">
        <is>
          <t>readonly/readOnly state blocks or exposes behavior correctly where supported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PasswordToggleField playground scenario.</t>
        </is>
      </c>
      <c r="J86" s="5" t="inlineStr">
        <is>
          <t>Manual verification completed.</t>
        </is>
      </c>
      <c r="K86" s="6">
        <f>IF(AND(E86="yes",F86="yes",H86="covered"),1,IF(H86="partial",0.5,0))</f>
        <v/>
      </c>
    </row>
    <row r="87" ht="30" customHeight="1" s="60">
      <c r="A87" s="4" t="n">
        <v>79</v>
      </c>
      <c r="B87" s="5" t="inlineStr">
        <is>
          <t>State</t>
        </is>
      </c>
      <c r="C87" s="5" t="inlineStr">
        <is>
          <t>PasswordToggleField</t>
        </is>
      </c>
      <c r="D87" s="5" t="inlineStr">
        <is>
          <t>required state blocks or exposes behavior correctly where supported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PasswordToggleField playground scenario.</t>
        </is>
      </c>
      <c r="J87" s="5" t="inlineStr">
        <is>
          <t>Manual verification completed.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State</t>
        </is>
      </c>
      <c r="C88" s="5" t="inlineStr">
        <is>
          <t>PasswordToggleField</t>
        </is>
      </c>
      <c r="D88" s="5" t="inlineStr">
        <is>
          <t>invalid state blocks or exposes behavior correctly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PasswordToggleField playground scenario.</t>
        </is>
      </c>
      <c r="J88" s="5" t="inlineStr">
        <is>
          <t>Manual verification completed.</t>
        </is>
      </c>
      <c r="K88" s="6">
        <f>IF(AND(E88="yes",F88="yes",H88="covered"),1,IF(H88="partial",0.5,0))</f>
        <v/>
      </c>
    </row>
    <row r="89" ht="15" customHeight="1" s="60"/>
    <row r="90" ht="15" customHeight="1" s="60"/>
    <row r="91" ht="15" customHeight="1" s="60"/>
    <row r="92" ht="15" customHeight="1" s="60"/>
    <row r="93" ht="15" customHeight="1" s="60"/>
    <row r="94" ht="15" customHeight="1" s="60"/>
    <row r="95" ht="15" customHeight="1" s="60"/>
    <row r="96" ht="15" customHeight="1" s="60"/>
    <row r="97" ht="15" customHeight="1" s="60"/>
    <row r="98" ht="15" customHeight="1" s="60"/>
    <row r="99" ht="15" customHeight="1" s="60"/>
    <row r="100" ht="15" customHeight="1" s="60"/>
    <row r="101" ht="15" customHeight="1" s="60"/>
    <row r="102" ht="30" customHeight="1" s="60"/>
    <row r="103" ht="15" customHeight="1" s="60"/>
    <row r="104" ht="15" customHeight="1" s="60"/>
    <row r="105" ht="15" customHeight="1" s="60"/>
    <row r="106" ht="15" customHeight="1" s="60"/>
    <row r="107" ht="45" customHeight="1" s="60"/>
    <row r="108" ht="30" customHeight="1" s="60"/>
    <row r="109" ht="30" customHeight="1" s="60"/>
    <row r="110" ht="30" customHeight="1" s="60"/>
    <row r="111" ht="30" customHeight="1" s="60"/>
    <row r="112" ht="45" customHeight="1" s="60"/>
    <row r="11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3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Popover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Popover manual protocol and live playground evidence.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Popover manual protocol and live playground evidence.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Popover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Popover manual protocol and live playground evidence.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Popover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Popover manual protocol and live playground evidence.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Popover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Popover manual protocol and live playground evidence.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Popover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Popover manual protocol and live playground evidence.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Popover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Popover manual protocol and live playground evidence.</t>
        </is>
      </c>
      <c r="J15" s="5" t="inlineStr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Popover</t>
        </is>
      </c>
      <c r="D16" s="5" t="inlineStr">
        <is>
          <t>Click or hover trigger mode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Popover manual protocol and live playground evidence.</t>
        </is>
      </c>
      <c r="J16" s="5" t="inlineStr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Popover</t>
        </is>
      </c>
      <c r="D17" s="5" t="inlineStr">
        <is>
          <t>Optional anchor separate from the trigger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Popover manual protocol and live playground evidence.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Popover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Popover manual protocol and live playground evidence.</t>
        </is>
      </c>
      <c r="J18" s="5" t="inlineStr"/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Popover</t>
        </is>
      </c>
      <c r="D19" s="5" t="inlineStr">
        <is>
          <t>Modal mode with focus trap and scroll lock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Popover manual protocol and live playground evidence.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Popover</t>
        </is>
      </c>
      <c r="D20" s="5" t="inlineStr">
        <is>
          <t>Non-modal focus guards and outside interaction dismissal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Popover manual protocol and live playground evidence.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Popover</t>
        </is>
      </c>
      <c r="D21" s="5" t="inlineStr">
        <is>
          <t>Stack-aware Escape dismissal for nested overlays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Popover manual protocol and live playground evidence.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Popover</t>
        </is>
      </c>
      <c r="D22" s="5" t="inlineStr">
        <is>
          <t>Close button part and portal support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Popover manual protocol and live playground evidence.</t>
        </is>
      </c>
      <c r="J22" s="5" t="inlineStr"/>
      <c r="K22" s="6">
        <f>IF(AND(E22="yes",F22="yes",H22="covered"),1,IF(H22="partial",0.5,0))</f>
        <v/>
      </c>
    </row>
    <row r="23" ht="4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Popover manual protocol and live playground evidence.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Popover manual protocol and live playground evidence.</t>
        </is>
      </c>
      <c r="J24" s="5" t="inlineStr"/>
      <c r="K24" s="6">
        <f>IF(AND(E24="yes",F24="yes",H24="covered"),1,IF(H24="partial",0.5,0))</f>
        <v/>
      </c>
    </row>
    <row r="25" ht="30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Root is behavior-only and renders no DOM tag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test; Root has state rows only and no raw DOM element</t>
        </is>
      </c>
      <c r="H25" s="9" t="inlineStr">
        <is>
          <t>covered</t>
        </is>
      </c>
      <c r="I25" s="5" t="inlineStr">
        <is>
          <t>Root Anatomy state rows; Root has no Attributes, ARIA, or Data groups.</t>
        </is>
      </c>
      <c r="J25" s="5" t="inlineStr"/>
      <c r="K25" s="6">
        <f>IF(AND(E25="yes",F25="yes",H25="covered"),1,IF(H25="partial",0.5,0))</f>
        <v/>
      </c>
    </row>
    <row r="26" ht="4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Root has no data-slot because it renders no DOM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test; data-slot is not applicable to Root</t>
        </is>
      </c>
      <c r="H26" s="9" t="inlineStr">
        <is>
          <t>covered</t>
        </is>
      </c>
      <c r="I26" s="5" t="inlineStr">
        <is>
          <t>Root Anatomy confirms behavior-only context with no DOM slot.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Root native DOM prop passthrough is not applicable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test; Root exposes behavior through child DOM parts</t>
        </is>
      </c>
      <c r="H27" s="9" t="inlineStr">
        <is>
          <t>covered</t>
        </is>
      </c>
      <c r="I27" s="5" t="inlineStr">
        <is>
          <t>Root is non-DOM; prop checks apply to Anchor, Trigger, Content, Arrow, and Close.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Root consumer DOM ref is not applicable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test; Root has no rendered element for a DOM ref</t>
        </is>
      </c>
      <c r="H28" s="9" t="inlineStr">
        <is>
          <t>covered</t>
        </is>
      </c>
      <c r="I28" s="5" t="inlineStr">
        <is>
          <t>Root renders context only; refs are verified on DOM parts where applicable.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open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Popover manual protocol and live playground evidence.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defaultOpen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Popover manual protocol and live playground evidence.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onOpenChange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Popover manual protocol and live playground evidence.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Positioning</t>
        </is>
      </c>
      <c r="C32" s="5" t="inlineStr">
        <is>
          <t>Root</t>
        </is>
      </c>
      <c r="D32" s="5" t="inlineStr">
        <is>
          <t>modal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Popover manual protocol and live playground evidence.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triggerMode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Popover manual protocol and live playground evidence.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Positioning</t>
        </is>
      </c>
      <c r="C34" s="5" t="inlineStr">
        <is>
          <t>Root</t>
        </is>
      </c>
      <c r="D34" s="5" t="inlineStr">
        <is>
          <t>closeOnInteractOutside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Popover manual protocol and live playground evidence.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disabled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Popover manual protocol and live playground evidence.</t>
        </is>
      </c>
      <c r="J35" s="5" t="inlineStr"/>
      <c r="K35" s="6">
        <f>IF(AND(E35="yes",F35="yes",H35="covered"),1,IF(H35="partial",0.5,0))</f>
        <v/>
      </c>
    </row>
    <row r="36" ht="45" customHeight="1" s="60">
      <c r="A36" s="4" t="n">
        <v>28</v>
      </c>
      <c r="B36" s="5" t="inlineStr">
        <is>
          <t>Anatomy</t>
        </is>
      </c>
      <c r="C36" s="5" t="inlineStr">
        <is>
          <t>Portal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Popover manual protocol and live playground evidence.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Portal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Popover manual protocol and live playground evidence.</t>
        </is>
      </c>
      <c r="J37" s="5" t="inlineStr"/>
      <c r="K37" s="6">
        <f>IF(AND(E37="yes",F37="yes",H37="covered"),1,IF(H37="partial",0.5,0))</f>
        <v/>
      </c>
    </row>
    <row r="38" ht="45" customHeight="1" s="60">
      <c r="A38" s="4" t="n">
        <v>30</v>
      </c>
      <c r="B38" s="5" t="inlineStr">
        <is>
          <t>Identity</t>
        </is>
      </c>
      <c r="C38" s="5" t="inlineStr">
        <is>
          <t>Portal</t>
        </is>
      </c>
      <c r="D38" s="5" t="inlineStr">
        <is>
          <t>Portal wrapper has no default DOM tag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test; portal behavior verified through content parent evidence</t>
        </is>
      </c>
      <c r="H38" s="9" t="inlineStr">
        <is>
          <t>covered</t>
        </is>
      </c>
      <c r="I38" s="5" t="inlineStr">
        <is>
          <t>Portal Anatomy shows body, custom container, and disabled inline placement through Content parent rows.</t>
        </is>
      </c>
      <c r="J38" s="5" t="inlineStr"/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Identity</t>
        </is>
      </c>
      <c r="C39" s="5" t="inlineStr">
        <is>
          <t>Portal</t>
        </is>
      </c>
      <c r="D39" s="5" t="inlineStr">
        <is>
          <t>Portal has no data-slot because it renders no Atom DOM part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test; data-slot is not applicable to Portal</t>
        </is>
      </c>
      <c r="H39" s="9" t="inlineStr">
        <is>
          <t>covered</t>
        </is>
      </c>
      <c r="I39" s="5" t="inlineStr">
        <is>
          <t>Portal behavior is verified through Content parent and Source portal props.</t>
        </is>
      </c>
      <c r="J39" s="5" t="inlineStr"/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Props</t>
        </is>
      </c>
      <c r="C40" s="5" t="inlineStr">
        <is>
          <t>Portal</t>
        </is>
      </c>
      <c r="D40" s="5" t="inlineStr">
        <is>
          <t>Portal native DOM prop passthrough is not applicable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test; Portal exposes portal utility props instead of DOM props</t>
        </is>
      </c>
      <c r="H40" s="9" t="inlineStr">
        <is>
          <t>covered</t>
        </is>
      </c>
      <c r="I40" s="5" t="inlineStr">
        <is>
          <t>Portal rows verify body, container, and disabled portal behavior.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Refs</t>
        </is>
      </c>
      <c r="C41" s="5" t="inlineStr">
        <is>
          <t>Portal</t>
        </is>
      </c>
      <c r="D41" s="5" t="inlineStr">
        <is>
          <t>Portal consumer DOM ref is not applicable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test; Portal has no rendered element for a DOM ref</t>
        </is>
      </c>
      <c r="H41" s="9" t="inlineStr">
        <is>
          <t>covered</t>
        </is>
      </c>
      <c r="I41" s="5" t="inlineStr">
        <is>
          <t>Portal behavior is verified through rendered Content placement evidence.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Positioning</t>
        </is>
      </c>
      <c r="C42" s="5" t="inlineStr">
        <is>
          <t>Portal</t>
        </is>
      </c>
      <c r="D42" s="5" t="inlineStr">
        <is>
          <t>container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Popover manual protocol and live playground evidence.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Portal</t>
        </is>
      </c>
      <c r="D43" s="5" t="inlineStr">
        <is>
          <t>disabled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Popover manual protocol and live playground evidence.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Anchor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Popover manual protocol and live playground evidence.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Anchor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Popover manual protocol and live playground evidence.</t>
        </is>
      </c>
      <c r="J45" s="5" t="inlineStr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Anchor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Popover manual protocol and live playground evidence.</t>
        </is>
      </c>
      <c r="J46" s="5" t="inlineStr"/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Anchor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Popover manual protocol and live playground evidence.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Anchor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Popover manual protocol and live playground evidence.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Anchor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Popover manual protocol and live playground evidence.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Anchor</t>
        </is>
      </c>
      <c r="D50" s="5" t="inlineStr">
        <is>
          <t>asChild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Popover manual protocol and live playground evidence.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Anchor</t>
        </is>
      </c>
      <c r="D51" s="5" t="inlineStr">
        <is>
          <t>render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Popover manual protocol and live playground evidence.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Anchor</t>
        </is>
      </c>
      <c r="D52" s="5" t="inlineStr">
        <is>
          <t>data-slot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Popover manual protocol and live playground evidence.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Anchor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Popover manual protocol and live playground evidence.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Trigger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Popover manual protocol and live playground evidence.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Trigger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Popover manual protocol and live playground evidence.</t>
        </is>
      </c>
      <c r="J55" s="5" t="inlineStr"/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Identity</t>
        </is>
      </c>
      <c r="C56" s="5" t="inlineStr">
        <is>
          <t>Trigger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Popover manual protocol and live playground evidence.</t>
        </is>
      </c>
      <c r="J56" s="5" t="inlineStr"/>
      <c r="K56" s="6">
        <f>IF(AND(E56="yes",F56="yes",H56="covered"),1,IF(H56="partial",0.5,0))</f>
        <v/>
      </c>
    </row>
    <row r="57" ht="45" customHeight="1" s="60">
      <c r="A57" s="4" t="n">
        <v>49</v>
      </c>
      <c r="B57" s="5" t="inlineStr">
        <is>
          <t>Identity</t>
        </is>
      </c>
      <c r="C57" s="5" t="inlineStr">
        <is>
          <t>Trigger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Popover manual protocol and live playground evidence.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Props</t>
        </is>
      </c>
      <c r="C58" s="5" t="inlineStr">
        <is>
          <t>Trigger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Popover manual protocol and live playground evidence.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Refs</t>
        </is>
      </c>
      <c r="C59" s="5" t="inlineStr">
        <is>
          <t>Trigger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Popover manual protocol and live playground evidence.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Composition</t>
        </is>
      </c>
      <c r="C60" s="5" t="inlineStr">
        <is>
          <t>Trigger</t>
        </is>
      </c>
      <c r="D60" s="5" t="inlineStr">
        <is>
          <t>asChild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Popover manual protocol and live playground evidence.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Composition</t>
        </is>
      </c>
      <c r="C61" s="5" t="inlineStr">
        <is>
          <t>Trigger</t>
        </is>
      </c>
      <c r="D61" s="5" t="inlineStr">
        <is>
          <t>render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Popover manual protocol and live playground evidence.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Trigger</t>
        </is>
      </c>
      <c r="D62" s="5" t="inlineStr">
        <is>
          <t>data-slot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Popover manual protocol and live playground evidence.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Trigger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Popover manual protocol and live playground evidence.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Trigger</t>
        </is>
      </c>
      <c r="D64" s="5" t="inlineStr">
        <is>
          <t>[data-state]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Popover manual protocol and live playground evidence.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Trigger</t>
        </is>
      </c>
      <c r="D65" s="5" t="inlineStr">
        <is>
          <t>[data-trigger-mode]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Popover manual protocol and live playground evidence.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State</t>
        </is>
      </c>
      <c r="C66" s="5" t="inlineStr">
        <is>
          <t>Trigger</t>
        </is>
      </c>
      <c r="D66" s="5" t="inlineStr">
        <is>
          <t>[data-disabled]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Popover manual protocol and live playground evidence.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Content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Popover manual protocol and live playground evidence.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Content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Popover manual protocol and live playground evidence.</t>
        </is>
      </c>
      <c r="J68" s="5" t="inlineStr"/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Content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Popover manual protocol and live playground evidence.</t>
        </is>
      </c>
      <c r="J69" s="5" t="inlineStr"/>
      <c r="K69" s="6">
        <f>IF(AND(E69="yes",F69="yes",H69="covered"),1,IF(H69="partial",0.5,0))</f>
        <v/>
      </c>
    </row>
    <row r="70" ht="45" customHeight="1" s="60">
      <c r="A70" s="4" t="n">
        <v>62</v>
      </c>
      <c r="B70" s="5" t="inlineStr">
        <is>
          <t>Identity</t>
        </is>
      </c>
      <c r="C70" s="5" t="inlineStr">
        <is>
          <t>Content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Popover manual protocol and live playground evidence.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Content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Popover manual protocol and live playground evidence.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Content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Popover manual protocol and live playground evidence.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Positioning</t>
        </is>
      </c>
      <c r="C73" s="5" t="inlineStr">
        <is>
          <t>Content</t>
        </is>
      </c>
      <c r="D73" s="5" t="inlineStr">
        <is>
          <t>side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Popover manual protocol and live playground evidence.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Positioning</t>
        </is>
      </c>
      <c r="C74" s="5" t="inlineStr">
        <is>
          <t>Content</t>
        </is>
      </c>
      <c r="D74" s="5" t="inlineStr">
        <is>
          <t>align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Popover manual protocol and live playground evidence.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Positioning</t>
        </is>
      </c>
      <c r="C75" s="5" t="inlineStr">
        <is>
          <t>Content</t>
        </is>
      </c>
      <c r="D75" s="5" t="inlineStr">
        <is>
          <t>sideOffset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Popover manual protocol and live playground evidence.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Accessibility</t>
        </is>
      </c>
      <c r="C76" s="5" t="inlineStr">
        <is>
          <t>Content</t>
        </is>
      </c>
      <c r="D76" s="5" t="inlineStr">
        <is>
          <t>ariaLabel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Popover manual protocol and live playground evidence.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Content</t>
        </is>
      </c>
      <c r="D77" s="5" t="inlineStr">
        <is>
          <t>data-slot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Popover manual protocol and live playground evidence.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Content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Popover manual protocol and live playground evidence.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Public API</t>
        </is>
      </c>
      <c r="C79" s="5" t="inlineStr">
        <is>
          <t>Content</t>
        </is>
      </c>
      <c r="D79" s="5" t="inlineStr">
        <is>
          <t>[data-state]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Popover manual protocol and live playground evidence.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Positioning</t>
        </is>
      </c>
      <c r="C80" s="5" t="inlineStr">
        <is>
          <t>Content</t>
        </is>
      </c>
      <c r="D80" s="5" t="inlineStr">
        <is>
          <t>[data-side]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Popover manual protocol and live playground evidence.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Public API</t>
        </is>
      </c>
      <c r="C81" s="5" t="inlineStr">
        <is>
          <t>Content</t>
        </is>
      </c>
      <c r="D81" s="5" t="inlineStr">
        <is>
          <t>[data-positioned] prop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Popover manual protocol and live playground evidence.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Anatomy</t>
        </is>
      </c>
      <c r="C82" s="5" t="inlineStr">
        <is>
          <t>Arrow</t>
        </is>
      </c>
      <c r="D82" s="5" t="inlineStr">
        <is>
          <t>renders correct part when expected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Popover manual protocol and live playground evidence.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Anatomy</t>
        </is>
      </c>
      <c r="C83" s="5" t="inlineStr">
        <is>
          <t>Arrow</t>
        </is>
      </c>
      <c r="D83" s="5" t="inlineStr">
        <is>
          <t>appears in documented order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Popover manual protocol and live playground evidence.</t>
        </is>
      </c>
      <c r="J83" s="5" t="inlineStr"/>
      <c r="K83" s="6">
        <f>IF(AND(E83="yes",F83="yes",H83="covered"),1,IF(H83="partial",0.5,0))</f>
        <v/>
      </c>
    </row>
    <row r="84" ht="30" customHeight="1" s="60">
      <c r="A84" s="4" t="n">
        <v>76</v>
      </c>
      <c r="B84" s="5" t="inlineStr">
        <is>
          <t>Identity</t>
        </is>
      </c>
      <c r="C84" s="5" t="inlineStr">
        <is>
          <t>Arrow</t>
        </is>
      </c>
      <c r="D84" s="5" t="inlineStr">
        <is>
          <t>default tag is visible in Anatomy/Inspector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Popover manual protocol and live playground evidence.</t>
        </is>
      </c>
      <c r="J84" s="5" t="inlineStr"/>
      <c r="K84" s="6">
        <f>IF(AND(E84="yes",F84="yes",H84="covered"),1,IF(H84="partial",0.5,0))</f>
        <v/>
      </c>
    </row>
    <row r="85" ht="45" customHeight="1" s="60">
      <c r="A85" s="4" t="n">
        <v>77</v>
      </c>
      <c r="B85" s="5" t="inlineStr">
        <is>
          <t>Identity</t>
        </is>
      </c>
      <c r="C85" s="5" t="inlineStr">
        <is>
          <t>Arrow</t>
        </is>
      </c>
      <c r="D85" s="5" t="inlineStr">
        <is>
          <t>data-slot is present and correct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Popover manual protocol and live playground evidence.</t>
        </is>
      </c>
      <c r="J85" s="5" t="inlineStr"/>
      <c r="K85" s="6">
        <f>IF(AND(E85="yes",F85="yes",H85="covered"),1,IF(H85="partial",0.5,0))</f>
        <v/>
      </c>
    </row>
    <row r="86" ht="45" customHeight="1" s="60">
      <c r="A86" s="4" t="n">
        <v>78</v>
      </c>
      <c r="B86" s="5" t="inlineStr">
        <is>
          <t>Props</t>
        </is>
      </c>
      <c r="C86" s="5" t="inlineStr">
        <is>
          <t>Arrow</t>
        </is>
      </c>
      <c r="D86" s="5" t="inlineStr">
        <is>
          <t>non-Atom native props pass through with data-prop-check marker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Popover manual protocol and live playground evidence.</t>
        </is>
      </c>
      <c r="J86" s="5" t="inlineStr"/>
      <c r="K86" s="6">
        <f>IF(AND(E86="yes",F86="yes",H86="covered"),1,IF(H86="partial",0.5,0))</f>
        <v/>
      </c>
    </row>
    <row r="87" ht="45" customHeight="1" s="60">
      <c r="A87" s="4" t="n">
        <v>79</v>
      </c>
      <c r="B87" s="5" t="inlineStr">
        <is>
          <t>Refs</t>
        </is>
      </c>
      <c r="C87" s="5" t="inlineStr">
        <is>
          <t>Arrow</t>
        </is>
      </c>
      <c r="D87" s="5" t="inlineStr">
        <is>
          <t>consumer ref receives the rendered element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Popover manual protocol and live playground evidence.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Arrow</t>
        </is>
      </c>
      <c r="D88" s="5" t="inlineStr">
        <is>
          <t>width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test; default Arrow width/height verified as 10 by 5</t>
        </is>
      </c>
      <c r="H88" s="9" t="inlineStr">
        <is>
          <t>covered</t>
        </is>
      </c>
      <c r="I88" s="5" t="inlineStr">
        <is>
          <t>Arrow Anatomy width/height rows and package geometry tests.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Arrow</t>
        </is>
      </c>
      <c r="D89" s="5" t="inlineStr">
        <is>
          <t>height prop behavior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test; wide Arrow width/height verified as 16 by 8</t>
        </is>
      </c>
      <c r="H89" s="9" t="inlineStr">
        <is>
          <t>covered</t>
        </is>
      </c>
      <c r="I89" s="5" t="inlineStr">
        <is>
          <t>Arrow Size toolbar option, Arrow Anatomy rows, and package geometry tests.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Public API</t>
        </is>
      </c>
      <c r="C90" s="5" t="inlineStr">
        <is>
          <t>Arrow</t>
        </is>
      </c>
      <c r="D90" s="5" t="inlineStr">
        <is>
          <t>data-slot prop behavior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Popover manual protocol and live playground evidence.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Arrow</t>
        </is>
      </c>
      <c r="D91" s="5" t="inlineStr">
        <is>
          <t>[data-slot] prop behavior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Popover manual protocol and live playground evidence.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Positioning</t>
        </is>
      </c>
      <c r="C92" s="5" t="inlineStr">
        <is>
          <t>Arrow</t>
        </is>
      </c>
      <c r="D92" s="5" t="inlineStr">
        <is>
          <t>[data-side]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Popover manual protocol and live playground evidence.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Anatomy</t>
        </is>
      </c>
      <c r="C93" s="5" t="inlineStr">
        <is>
          <t>Close</t>
        </is>
      </c>
      <c r="D93" s="5" t="inlineStr">
        <is>
          <t>renders correct part when expected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Popover manual protocol and live playground evidence.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Anatomy</t>
        </is>
      </c>
      <c r="C94" s="5" t="inlineStr">
        <is>
          <t>Close</t>
        </is>
      </c>
      <c r="D94" s="5" t="inlineStr">
        <is>
          <t>appears in documented order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Popover manual protocol and live playground evidence.</t>
        </is>
      </c>
      <c r="J94" s="5" t="inlineStr"/>
      <c r="K94" s="6">
        <f>IF(AND(E94="yes",F94="yes",H94="covered"),1,IF(H94="partial",0.5,0))</f>
        <v/>
      </c>
    </row>
    <row r="95" ht="30" customHeight="1" s="60">
      <c r="A95" s="4" t="n">
        <v>87</v>
      </c>
      <c r="B95" s="5" t="inlineStr">
        <is>
          <t>Identity</t>
        </is>
      </c>
      <c r="C95" s="5" t="inlineStr">
        <is>
          <t>Close</t>
        </is>
      </c>
      <c r="D95" s="5" t="inlineStr">
        <is>
          <t>default tag is visible in Anatomy/Inspector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Popover manual protocol and live playground evidence.</t>
        </is>
      </c>
      <c r="J95" s="5" t="inlineStr"/>
      <c r="K95" s="6">
        <f>IF(AND(E95="yes",F95="yes",H95="covered"),1,IF(H95="partial",0.5,0))</f>
        <v/>
      </c>
    </row>
    <row r="96" ht="45" customHeight="1" s="60">
      <c r="A96" s="4" t="n">
        <v>88</v>
      </c>
      <c r="B96" s="5" t="inlineStr">
        <is>
          <t>Identity</t>
        </is>
      </c>
      <c r="C96" s="5" t="inlineStr">
        <is>
          <t>Close</t>
        </is>
      </c>
      <c r="D96" s="5" t="inlineStr">
        <is>
          <t>data-slot is present and correct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Popover manual protocol and live playground evidence.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Props</t>
        </is>
      </c>
      <c r="C97" s="5" t="inlineStr">
        <is>
          <t>Close</t>
        </is>
      </c>
      <c r="D97" s="5" t="inlineStr">
        <is>
          <t>non-Atom native props pass through with data-prop-check marker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Popover manual protocol and live playground evidence.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Refs</t>
        </is>
      </c>
      <c r="C98" s="5" t="inlineStr">
        <is>
          <t>Close</t>
        </is>
      </c>
      <c r="D98" s="5" t="inlineStr">
        <is>
          <t>consumer ref receives the rendered element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Popover manual protocol and live playground evidence.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Composition</t>
        </is>
      </c>
      <c r="C99" s="5" t="inlineStr">
        <is>
          <t>Close</t>
        </is>
      </c>
      <c r="D99" s="5" t="inlineStr">
        <is>
          <t>asChild prop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Popover manual protocol and live playground evidence.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Composition</t>
        </is>
      </c>
      <c r="C100" s="5" t="inlineStr">
        <is>
          <t>Close</t>
        </is>
      </c>
      <c r="D100" s="5" t="inlineStr">
        <is>
          <t>render prop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Popover manual protocol and live playground evidence.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Public API</t>
        </is>
      </c>
      <c r="C101" s="5" t="inlineStr">
        <is>
          <t>Close</t>
        </is>
      </c>
      <c r="D101" s="5" t="inlineStr">
        <is>
          <t>data-slot prop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Popover manual protocol and live playground evidence.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ARIA</t>
        </is>
      </c>
      <c r="C102" s="5" t="inlineStr">
        <is>
          <t>Live DOM</t>
        </is>
      </c>
      <c r="D102" s="5" t="inlineStr">
        <is>
          <t>aria-controls is present at the correct time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Popover manual protocol and live playground evidence.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ARIA</t>
        </is>
      </c>
      <c r="C103" s="5" t="inlineStr">
        <is>
          <t>Live DOM</t>
        </is>
      </c>
      <c r="D103" s="5" t="inlineStr">
        <is>
          <t>aria-disabled is present at the correct time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Popover manual protocol and live playground evidence.</t>
        </is>
      </c>
      <c r="J103" s="5" t="inlineStr"/>
      <c r="K103" s="6">
        <f>IF(AND(E103="yes",F103="yes",H103="covered"),1,IF(H103="partial",0.5,0))</f>
        <v/>
      </c>
    </row>
    <row r="104" ht="30" customHeight="1" s="60">
      <c r="A104" s="4" t="n">
        <v>96</v>
      </c>
      <c r="B104" s="5" t="inlineStr">
        <is>
          <t>ARIA</t>
        </is>
      </c>
      <c r="C104" s="5" t="inlineStr">
        <is>
          <t>Live DOM</t>
        </is>
      </c>
      <c r="D104" s="5" t="inlineStr">
        <is>
          <t>aria-expanded is present at the correct time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Popover manual protocol and live playground evidence.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ARIA</t>
        </is>
      </c>
      <c r="C105" s="5" t="inlineStr">
        <is>
          <t>Live DOM</t>
        </is>
      </c>
      <c r="D105" s="5" t="inlineStr">
        <is>
          <t>aria-haspopup is present at the correct time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Popover manual protocol and live playground evidence.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ARIA</t>
        </is>
      </c>
      <c r="C106" s="5" t="inlineStr">
        <is>
          <t>Live DOM</t>
        </is>
      </c>
      <c r="D106" s="5" t="inlineStr">
        <is>
          <t>aria-hidden is present at the correct time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Popover manual protocol and live playground evidence.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ARIA</t>
        </is>
      </c>
      <c r="C107" s="5" t="inlineStr">
        <is>
          <t>Live DOM</t>
        </is>
      </c>
      <c r="D107" s="5" t="inlineStr">
        <is>
          <t>aria-label is present at the correct time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Popover manual protocol and live playground evidence.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ARIA</t>
        </is>
      </c>
      <c r="C108" s="5" t="inlineStr">
        <is>
          <t>Live DOM</t>
        </is>
      </c>
      <c r="D108" s="5" t="inlineStr">
        <is>
          <t>aria-modal is present at the correct time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Popover manual protocol and live playground evidence.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Data</t>
        </is>
      </c>
      <c r="C109" s="5" t="inlineStr">
        <is>
          <t>Live DOM</t>
        </is>
      </c>
      <c r="D109" s="5" t="inlineStr">
        <is>
          <t>data-disabled is present at the correct time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Popover manual protocol and live playground evidence.</t>
        </is>
      </c>
      <c r="J109" s="5" t="inlineStr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Data</t>
        </is>
      </c>
      <c r="C110" s="5" t="inlineStr">
        <is>
          <t>Live DOM</t>
        </is>
      </c>
      <c r="D110" s="5" t="inlineStr">
        <is>
          <t>data-positioned is present at the correct time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Popover manual protocol and live playground evidence.</t>
        </is>
      </c>
      <c r="J110" s="5" t="inlineStr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Data</t>
        </is>
      </c>
      <c r="C111" s="5" t="inlineStr">
        <is>
          <t>Live DOM</t>
        </is>
      </c>
      <c r="D111" s="5" t="inlineStr">
        <is>
          <t>data-side is present at the correct time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Popover manual protocol and live playground evidence.</t>
        </is>
      </c>
      <c r="J111" s="5" t="inlineStr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Data</t>
        </is>
      </c>
      <c r="C112" s="5" t="inlineStr">
        <is>
          <t>Live DOM</t>
        </is>
      </c>
      <c r="D112" s="5" t="inlineStr">
        <is>
          <t>data-slot is present at the correct time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Popover manual protocol and live playground evidence.</t>
        </is>
      </c>
      <c r="J112" s="5" t="inlineStr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Data</t>
        </is>
      </c>
      <c r="C113" s="5" t="inlineStr">
        <is>
          <t>Live DOM</t>
        </is>
      </c>
      <c r="D113" s="5" t="inlineStr">
        <is>
          <t>data-state is present at the correct time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9" t="inlineStr">
        <is>
          <t>covered</t>
        </is>
      </c>
      <c r="I113" s="5" t="inlineStr">
        <is>
          <t>Popover manual protocol and live playground evidence.</t>
        </is>
      </c>
      <c r="J113" s="5" t="inlineStr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Data</t>
        </is>
      </c>
      <c r="C114" s="5" t="inlineStr">
        <is>
          <t>Live DOM</t>
        </is>
      </c>
      <c r="D114" s="5" t="inlineStr">
        <is>
          <t>data-trigger-mode is present at the correct time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9" t="inlineStr">
        <is>
          <t>covered</t>
        </is>
      </c>
      <c r="I114" s="5" t="inlineStr">
        <is>
          <t>Popover manual protocol and live playground evidence.</t>
        </is>
      </c>
      <c r="J114" s="5" t="inlineStr"/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Composition</t>
        </is>
      </c>
      <c r="C115" s="5" t="inlineStr">
        <is>
          <t>Popover</t>
        </is>
      </c>
      <c r="D115" s="5" t="inlineStr">
        <is>
          <t>asChild preserves child content without double nesting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9" t="inlineStr">
        <is>
          <t>covered</t>
        </is>
      </c>
      <c r="I115" s="5" t="inlineStr">
        <is>
          <t>Popover manual protocol and live playground evidence.</t>
        </is>
      </c>
      <c r="J115" s="5" t="inlineStr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Composition</t>
        </is>
      </c>
      <c r="C116" s="5" t="inlineStr">
        <is>
          <t>Popover</t>
        </is>
      </c>
      <c r="D116" s="5" t="inlineStr">
        <is>
          <t>asChild merges Atom props and consumer props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9" t="inlineStr">
        <is>
          <t>covered</t>
        </is>
      </c>
      <c r="I116" s="5" t="inlineStr">
        <is>
          <t>Popover manual protocol and live playground evidence.</t>
        </is>
      </c>
      <c r="J116" s="5" t="inlineStr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Composition</t>
        </is>
      </c>
      <c r="C117" s="5" t="inlineStr">
        <is>
          <t>Popover</t>
        </is>
      </c>
      <c r="D117" s="5" t="inlineStr">
        <is>
          <t>asChild lets preventDefault block Atom behavior where supported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9" t="inlineStr">
        <is>
          <t>covered</t>
        </is>
      </c>
      <c r="I117" s="5" t="inlineStr">
        <is>
          <t>Popover manual protocol and live playground evidence.</t>
        </is>
      </c>
      <c r="J117" s="5" t="inlineStr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Composition</t>
        </is>
      </c>
      <c r="C118" s="5" t="inlineStr">
        <is>
          <t>Popover</t>
        </is>
      </c>
      <c r="D118" s="5" t="inlineStr">
        <is>
          <t>render prop renders custom element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9" t="inlineStr">
        <is>
          <t>covered</t>
        </is>
      </c>
      <c r="I118" s="5" t="inlineStr">
        <is>
          <t>Popover manual protocol and live playground evidence.</t>
        </is>
      </c>
      <c r="J118" s="5" t="inlineStr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Composition</t>
        </is>
      </c>
      <c r="C119" s="5" t="inlineStr">
        <is>
          <t>Popover</t>
        </is>
      </c>
      <c r="D119" s="5" t="inlineStr">
        <is>
          <t>render prop preserves refs and behavior props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test</t>
        </is>
      </c>
      <c r="H119" s="9" t="inlineStr">
        <is>
          <t>covered</t>
        </is>
      </c>
      <c r="I119" s="5" t="inlineStr">
        <is>
          <t>Popover manual protocol and live playground evidence.</t>
        </is>
      </c>
      <c r="J119" s="5" t="inlineStr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State</t>
        </is>
      </c>
      <c r="C120" s="5" t="inlineStr">
        <is>
          <t>Root</t>
        </is>
      </c>
      <c r="D120" s="5" t="inlineStr">
        <is>
          <t>controlled state path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test</t>
        </is>
      </c>
      <c r="H120" s="9" t="inlineStr">
        <is>
          <t>covered</t>
        </is>
      </c>
      <c r="I120" s="5" t="inlineStr">
        <is>
          <t>Popover manual protocol and live playground evidence.</t>
        </is>
      </c>
      <c r="J120" s="5" t="inlineStr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State</t>
        </is>
      </c>
      <c r="C121" s="5" t="inlineStr">
        <is>
          <t>Root</t>
        </is>
      </c>
      <c r="D121" s="5" t="inlineStr">
        <is>
          <t>uncontrolled default state path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test</t>
        </is>
      </c>
      <c r="H121" s="9" t="inlineStr">
        <is>
          <t>covered</t>
        </is>
      </c>
      <c r="I121" s="5" t="inlineStr">
        <is>
          <t>Popover manual protocol and live playground evidence.</t>
        </is>
      </c>
      <c r="J121" s="5" t="inlineStr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State</t>
        </is>
      </c>
      <c r="C122" s="5" t="inlineStr">
        <is>
          <t>Root</t>
        </is>
      </c>
      <c r="D122" s="5" t="inlineStr">
        <is>
          <t>state change callback fires once with correct value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test</t>
        </is>
      </c>
      <c r="H122" s="9" t="inlineStr">
        <is>
          <t>covered</t>
        </is>
      </c>
      <c r="I122" s="5" t="inlineStr">
        <is>
          <t>Popover manual protocol and live playground evidence.</t>
        </is>
      </c>
      <c r="J122" s="5" t="inlineStr"/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Interaction</t>
        </is>
      </c>
      <c r="C123" s="5" t="inlineStr">
        <is>
          <t>Trigger</t>
        </is>
      </c>
      <c r="D123" s="5" t="inlineStr">
        <is>
          <t>mouse click or pointer activation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test</t>
        </is>
      </c>
      <c r="H123" s="9" t="inlineStr">
        <is>
          <t>covered</t>
        </is>
      </c>
      <c r="I123" s="5" t="inlineStr">
        <is>
          <t>Popover manual protocol and live playground evidence.</t>
        </is>
      </c>
      <c r="J123" s="5" t="inlineStr"/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Interaction</t>
        </is>
      </c>
      <c r="C124" s="5" t="inlineStr">
        <is>
          <t>Trigger</t>
        </is>
      </c>
      <c r="D124" s="5" t="inlineStr">
        <is>
          <t>Enter key activation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test</t>
        </is>
      </c>
      <c r="H124" s="9" t="inlineStr">
        <is>
          <t>covered</t>
        </is>
      </c>
      <c r="I124" s="5" t="inlineStr">
        <is>
          <t>Popover manual protocol and live playground evidence.</t>
        </is>
      </c>
      <c r="J124" s="5" t="inlineStr"/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Interaction</t>
        </is>
      </c>
      <c r="C125" s="5" t="inlineStr">
        <is>
          <t>Trigger</t>
        </is>
      </c>
      <c r="D125" s="5" t="inlineStr">
        <is>
          <t>Space key activation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test</t>
        </is>
      </c>
      <c r="H125" s="9" t="inlineStr">
        <is>
          <t>covered</t>
        </is>
      </c>
      <c r="I125" s="5" t="inlineStr">
        <is>
          <t>Popover manual protocol and live playground evidence.</t>
        </is>
      </c>
      <c r="J125" s="5" t="inlineStr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Interaction</t>
        </is>
      </c>
      <c r="C126" s="5" t="inlineStr">
        <is>
          <t>Trigger</t>
        </is>
      </c>
      <c r="D126" s="5" t="inlineStr">
        <is>
          <t>disabled trigger blocks pointer and keyboard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test</t>
        </is>
      </c>
      <c r="H126" s="9" t="inlineStr">
        <is>
          <t>covered</t>
        </is>
      </c>
      <c r="I126" s="5" t="inlineStr">
        <is>
          <t>Popover manual protocol and live playground evidence.</t>
        </is>
      </c>
      <c r="J126" s="5" t="inlineStr"/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Focus</t>
        </is>
      </c>
      <c r="C127" s="5" t="inlineStr">
        <is>
          <t>Trigger</t>
        </is>
      </c>
      <c r="D127" s="5" t="inlineStr">
        <is>
          <t>focus ring and focus restoration are correct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test</t>
        </is>
      </c>
      <c r="H127" s="9" t="inlineStr">
        <is>
          <t>covered</t>
        </is>
      </c>
      <c r="I127" s="5" t="inlineStr">
        <is>
          <t>Popover manual protocol and live playground evidence.</t>
        </is>
      </c>
      <c r="J127" s="5" t="inlineStr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Dismiss</t>
        </is>
      </c>
      <c r="C128" s="5" t="inlineStr">
        <is>
          <t>Popover</t>
        </is>
      </c>
      <c r="D128" s="5" t="inlineStr">
        <is>
          <t>Escape closes only the topmost active layer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test; Escape closes nested layer before parent Popover</t>
        </is>
      </c>
      <c r="H128" s="9" t="inlineStr">
        <is>
          <t>covered</t>
        </is>
      </c>
      <c r="I128" s="5" t="inlineStr">
        <is>
          <t>Nested Popover manual protocol and package dismissable layer behavior.</t>
        </is>
      </c>
      <c r="J128" s="5" t="inlineStr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Dismiss</t>
        </is>
      </c>
      <c r="C129" s="5" t="inlineStr">
        <is>
          <t>Popover</t>
        </is>
      </c>
      <c r="D129" s="5" t="inlineStr">
        <is>
          <t>outside click/interact closes when enabled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test</t>
        </is>
      </c>
      <c r="H129" s="9" t="inlineStr">
        <is>
          <t>covered</t>
        </is>
      </c>
      <c r="I129" s="5" t="inlineStr">
        <is>
          <t>Popover manual protocol and live playground evidence.</t>
        </is>
      </c>
      <c r="J129" s="5" t="inlineStr"/>
      <c r="K129" s="6">
        <f>IF(AND(E129="yes",F129="yes",H129="covered"),1,IF(H129="partial",0.5,0))</f>
        <v/>
      </c>
    </row>
    <row r="130" ht="45" customHeight="1" s="60">
      <c r="A130" s="4" t="n">
        <v>122</v>
      </c>
      <c r="B130" s="5" t="inlineStr">
        <is>
          <t>Dismiss</t>
        </is>
      </c>
      <c r="C130" s="5" t="inlineStr">
        <is>
          <t>Popover</t>
        </is>
      </c>
      <c r="D130" s="5" t="inlineStr">
        <is>
          <t>outside click/interact is blocked when disabled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 manual test</t>
        </is>
      </c>
      <c r="H130" s="9" t="inlineStr">
        <is>
          <t>covered</t>
        </is>
      </c>
      <c r="I130" s="5" t="inlineStr">
        <is>
          <t>Popover manual protocol and live playground evidence.</t>
        </is>
      </c>
      <c r="J130" s="5" t="inlineStr"/>
      <c r="K130" s="6">
        <f>IF(AND(E130="yes",F130="yes",H130="covered"),1,IF(H130="partial",0.5,0))</f>
        <v/>
      </c>
    </row>
    <row r="131" ht="45" customHeight="1" s="60">
      <c r="A131" s="4" t="n">
        <v>123</v>
      </c>
      <c r="B131" s="5" t="inlineStr">
        <is>
          <t>Focus</t>
        </is>
      </c>
      <c r="C131" s="5" t="inlineStr">
        <is>
          <t>Popover</t>
        </is>
      </c>
      <c r="D131" s="5" t="inlineStr">
        <is>
          <t>focus returns to the correct trigger/anchor after close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 manual test</t>
        </is>
      </c>
      <c r="H131" s="9" t="inlineStr">
        <is>
          <t>covered</t>
        </is>
      </c>
      <c r="I131" s="5" t="inlineStr">
        <is>
          <t>Popover manual protocol and live playground evidence.</t>
        </is>
      </c>
      <c r="J131" s="5" t="inlineStr"/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Focus</t>
        </is>
      </c>
      <c r="C132" s="5" t="inlineStr">
        <is>
          <t>Popover</t>
        </is>
      </c>
      <c r="D132" s="5" t="inlineStr">
        <is>
          <t>nested overlays keep focus and Escape order correct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 manual test; nested portalled Popover interaction stays inside parent layer</t>
        </is>
      </c>
      <c r="H132" s="9" t="inlineStr">
        <is>
          <t>covered</t>
        </is>
      </c>
      <c r="I132" s="5" t="inlineStr">
        <is>
          <t>Nested Popover manual protocol; package click-away ignores descendant portalled layers controlled inside parent content.</t>
        </is>
      </c>
      <c r="J132" s="5" t="inlineStr"/>
      <c r="K132" s="6">
        <f>IF(AND(E132="yes",F132="yes",H132="covered"),1,IF(H132="partial",0.5,0))</f>
        <v/>
      </c>
    </row>
    <row r="133" ht="45" customHeight="1" s="60">
      <c r="A133" s="4" t="n">
        <v>125</v>
      </c>
      <c r="B133" s="5" t="inlineStr">
        <is>
          <t>Mobile</t>
        </is>
      </c>
      <c r="C133" s="5" t="inlineStr">
        <is>
          <t>Popover</t>
        </is>
      </c>
      <c r="D133" s="5" t="inlineStr">
        <is>
          <t>desktop browser manual workflow covers pointer and keyboard behavior; mobile touch remains responsive smoke only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 desktop manual test; mobile-specific device testing not separately required for this row</t>
        </is>
      </c>
      <c r="H133" s="9" t="inlineStr">
        <is>
          <t>covered</t>
        </is>
      </c>
      <c r="I133" s="5" t="inlineStr">
        <is>
          <t>Popover playground manual protocol covers pointer, keyboard, portal, modal, and nested overlay behavior in browser.</t>
        </is>
      </c>
      <c r="J133" s="5" t="inlineStr"/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Portal</t>
        </is>
      </c>
      <c r="C134" s="5" t="inlineStr">
        <is>
          <t>Popover</t>
        </is>
      </c>
      <c r="D134" s="5" t="inlineStr">
        <is>
          <t>portal renders in body by default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 manual test</t>
        </is>
      </c>
      <c r="H134" s="9" t="inlineStr">
        <is>
          <t>covered</t>
        </is>
      </c>
      <c r="I134" s="5" t="inlineStr">
        <is>
          <t>Popover manual protocol and live playground evidence.</t>
        </is>
      </c>
      <c r="J134" s="5" t="inlineStr"/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Portal</t>
        </is>
      </c>
      <c r="C135" s="5" t="inlineStr">
        <is>
          <t>Popover</t>
        </is>
      </c>
      <c r="D135" s="5" t="inlineStr">
        <is>
          <t>custom/disabled portal path works where supported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 manual test; body, custom container, and disabled portal paths verified</t>
        </is>
      </c>
      <c r="H135" s="9" t="inlineStr">
        <is>
          <t>covered</t>
        </is>
      </c>
      <c r="I135" s="5" t="inlineStr">
        <is>
          <t>Portal toolbar mode, Portal Anatomy rows, and Source output.</t>
        </is>
      </c>
      <c r="J135" s="5" t="inlineStr"/>
      <c r="K135" s="6">
        <f>IF(AND(E135="yes",F135="yes",H135="covered"),1,IF(H135="partial",0.5,0))</f>
        <v/>
      </c>
    </row>
    <row r="136" ht="45" customHeight="1" s="60">
      <c r="A136" s="4" t="n">
        <v>128</v>
      </c>
      <c r="B136" s="5" t="inlineStr">
        <is>
          <t>Positioning</t>
        </is>
      </c>
      <c r="C136" s="5" t="inlineStr">
        <is>
          <t>Popover</t>
        </is>
      </c>
      <c r="D136" s="5" t="inlineStr">
        <is>
          <t>side options position content correctly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 manual test</t>
        </is>
      </c>
      <c r="H136" s="9" t="inlineStr">
        <is>
          <t>covered</t>
        </is>
      </c>
      <c r="I136" s="5" t="inlineStr">
        <is>
          <t>Popover manual protocol and live playground evidence.</t>
        </is>
      </c>
      <c r="J136" s="5" t="inlineStr"/>
      <c r="K136" s="6">
        <f>IF(AND(E136="yes",F136="yes",H136="covered"),1,IF(H136="partial",0.5,0))</f>
        <v/>
      </c>
    </row>
    <row r="137" ht="30" customHeight="1" s="60">
      <c r="A137" s="4" t="n">
        <v>129</v>
      </c>
      <c r="B137" s="5" t="inlineStr">
        <is>
          <t>Positioning</t>
        </is>
      </c>
      <c r="C137" s="5" t="inlineStr">
        <is>
          <t>Popover</t>
        </is>
      </c>
      <c r="D137" s="5" t="inlineStr">
        <is>
          <t>align options position content correctly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 manual test</t>
        </is>
      </c>
      <c r="H137" s="9" t="inlineStr">
        <is>
          <t>covered</t>
        </is>
      </c>
      <c r="I137" s="5" t="inlineStr">
        <is>
          <t>Popover manual protocol and live playground evidence.</t>
        </is>
      </c>
      <c r="J137" s="5" t="inlineStr"/>
      <c r="K137" s="6">
        <f>IF(AND(E137="yes",F137="yes",H137="covered"),1,IF(H137="partial",0.5,0))</f>
        <v/>
      </c>
    </row>
    <row r="138" ht="45" customHeight="1" s="60">
      <c r="A138" s="4" t="n">
        <v>130</v>
      </c>
      <c r="B138" s="5" t="inlineStr">
        <is>
          <t>Positioning</t>
        </is>
      </c>
      <c r="C138" s="5" t="inlineStr">
        <is>
          <t>Popover</t>
        </is>
      </c>
      <c r="D138" s="5" t="inlineStr">
        <is>
          <t>collision/flip/shift behavior stays in viewport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 manual test; side/align/offset and collision-aware data-side behavior verified</t>
        </is>
      </c>
      <c r="H138" s="9" t="inlineStr">
        <is>
          <t>covered</t>
        </is>
      </c>
      <c r="I138" s="5" t="inlineStr">
        <is>
          <t>Content placement controls and live Content data-side/positioned evidence.</t>
        </is>
      </c>
      <c r="J138" s="5" t="inlineStr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Positioning</t>
        </is>
      </c>
      <c r="C139" s="5" t="inlineStr">
        <is>
          <t>Popover</t>
        </is>
      </c>
      <c r="D139" s="5" t="inlineStr">
        <is>
          <t>arrow or anchor geometry matches content where supported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 manual test; Arrow geometry and default Anchor child reference behavior verified</t>
        </is>
      </c>
      <c r="H139" s="9" t="inlineStr">
        <is>
          <t>covered</t>
        </is>
      </c>
      <c r="I139" s="5" t="inlineStr">
        <is>
          <t>Anchor positioning manual test, Arrow Anatomy rows, and package PopoverContent reference tests.</t>
        </is>
      </c>
      <c r="J139" s="5" t="inlineStr"/>
      <c r="K139" s="6">
        <f>IF(AND(E139="yes",F139="yes",H139="covered"),1,IF(H139="partial",0.5,0))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K3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Portal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IFERROR(SUM(K9:K31)/COUNTA(A9:A31),0)</f>
        <v/>
      </c>
      <c r="C4" s="1" t="inlineStr">
        <is>
          <t>Covered</t>
        </is>
      </c>
      <c r="D4" s="2">
        <f>COUNTIF(H9:H31,"covered")</f>
        <v/>
      </c>
      <c r="E4" s="1" t="inlineStr">
        <is>
          <t>Partial</t>
        </is>
      </c>
      <c r="F4" s="2">
        <f>COUNTIF(H9:H31,"partial")</f>
        <v/>
      </c>
      <c r="G4" s="1" t="inlineStr">
        <is>
          <t>Missing</t>
        </is>
      </c>
      <c r="H4" s="2">
        <f>COUNTIF(H9:H31,"missing")</f>
        <v/>
      </c>
      <c r="I4" s="1" t="inlineStr">
        <is>
          <t>Untested</t>
        </is>
      </c>
      <c r="J4" s="2">
        <f>COUNTIF(F9:F31,"no")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No slot-owning Atom DOM part for this utility; no custom slot override applies.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Portal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Portal playground manual verification.</t>
        </is>
      </c>
      <c r="J11" s="20" t="n"/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Portal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Portal playground manual verification.</t>
        </is>
      </c>
      <c r="J12" s="20" t="n"/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Portal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Portal playground manual verification.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Portal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Portal playground manual verification.</t>
        </is>
      </c>
      <c r="J14" s="20" t="n"/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Portal</t>
        </is>
      </c>
      <c r="D15" s="20" t="inlineStr">
        <is>
          <t>Portals to `document.body` after mount by default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Portal playground manual verification.</t>
        </is>
      </c>
      <c r="J15" s="20" t="n"/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Portal</t>
        </is>
      </c>
      <c r="D16" s="20" t="inlineStr">
        <is>
          <t>Accepts a custom container element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Portal playground manual verification.</t>
        </is>
      </c>
      <c r="J16" s="20" t="n"/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Portal</t>
        </is>
      </c>
      <c r="D17" s="20" t="inlineStr">
        <is>
          <t>Can be disabled to render children in place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Portal playground manual verification.</t>
        </is>
      </c>
      <c r="J17" s="20" t="n"/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Portal</t>
        </is>
      </c>
      <c r="D18" s="20" t="inlineStr">
        <is>
          <t>Returns `null` before a client-side target exists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Portal playground manual verification.</t>
        </is>
      </c>
      <c r="J18" s="20" t="n"/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Portal</t>
        </is>
      </c>
      <c r="D19" s="20" t="inlineStr">
        <is>
          <t>shows Portal behavioral state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Portal playground manual verification.</t>
        </is>
      </c>
      <c r="J19" s="20" t="n"/>
      <c r="K19" s="21">
        <f>IF(H19="covered",1,IF(H19="partial",0.5,0))</f>
        <v/>
      </c>
    </row>
    <row r="20" ht="30" customHeight="1" s="60">
      <c r="A20" s="19" t="n">
        <v>12</v>
      </c>
      <c r="B20" s="20" t="inlineStr">
        <is>
          <t>Anatomy</t>
        </is>
      </c>
      <c r="C20" s="20" t="inlineStr">
        <is>
          <t>Portal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Portal playground manual verification.</t>
        </is>
      </c>
      <c r="J20" s="20" t="n"/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Portal</t>
        </is>
      </c>
      <c r="D21" s="20" t="inlineStr">
        <is>
          <t>documents that Portal renders no DOM tag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Portal playground manual verification.</t>
        </is>
      </c>
      <c r="J21" s="20" t="n"/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Portal</t>
        </is>
      </c>
      <c r="D22" s="20" t="inlineStr">
        <is>
          <t>documents that Portal exposes no data-slot because it renders no wrapper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Portal playground manual verification.</t>
        </is>
      </c>
      <c r="J22" s="20" t="n"/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Portaled child</t>
        </is>
      </c>
      <c r="D23" s="20" t="inlineStr">
        <is>
          <t>child content can carry native props/data-prop-check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Portal playground manual verification.</t>
        </is>
      </c>
      <c r="J23" s="20" t="n"/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Anatomy</t>
        </is>
      </c>
      <c r="C24" s="20" t="inlineStr">
        <is>
          <t>Portaled child</t>
        </is>
      </c>
      <c r="D24" s="20" t="inlineStr">
        <is>
          <t>child content can be inspected when mounted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Portal playground manual verification.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Anatomy</t>
        </is>
      </c>
      <c r="C25" s="20" t="inlineStr">
        <is>
          <t>Portaled child</t>
        </is>
      </c>
      <c r="D25" s="20" t="inlineStr">
        <is>
          <t>child inspection is separate from Portal behavior anatomy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Portal playground manual verification.</t>
        </is>
      </c>
      <c r="J25" s="20" t="n"/>
      <c r="K25" s="21">
        <f>IF(H25="covered",1,IF(H25="partial",0.5,0))</f>
        <v/>
      </c>
    </row>
    <row r="26" ht="30" customHeight="1" s="60">
      <c r="A26" s="19" t="n">
        <v>18</v>
      </c>
      <c r="B26" s="20" t="inlineStr">
        <is>
          <t>Identity</t>
        </is>
      </c>
      <c r="C26" s="20" t="inlineStr">
        <is>
          <t>Portaled child</t>
        </is>
      </c>
      <c r="D26" s="20" t="inlineStr">
        <is>
          <t>child default tag is visible in 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Portal playground manual verification.</t>
        </is>
      </c>
      <c r="J26" s="20" t="n"/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Identity</t>
        </is>
      </c>
      <c r="C27" s="20" t="inlineStr">
        <is>
          <t>Portaled child</t>
        </is>
      </c>
      <c r="D27" s="20" t="inlineStr">
        <is>
          <t>child data attributes are visible in Inspector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Portal playground manual verification.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Props</t>
        </is>
      </c>
      <c r="C28" s="20" t="inlineStr">
        <is>
          <t>Portaled child</t>
        </is>
      </c>
      <c r="D28" s="20" t="inlineStr">
        <is>
          <t>child non-Atom props pass through with data-prop-check marker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Portal playground manual verification.</t>
        </is>
      </c>
      <c r="J28" s="20" t="n"/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Utility</t>
        </is>
      </c>
      <c r="C29" s="20" t="inlineStr">
        <is>
          <t>Portal</t>
        </is>
      </c>
      <c r="D29" s="20" t="inlineStr">
        <is>
          <t>default container is document.body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Portal playground manual verification.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Utility</t>
        </is>
      </c>
      <c r="C30" s="20" t="inlineStr">
        <is>
          <t>Portal</t>
        </is>
      </c>
      <c r="D30" s="20" t="inlineStr">
        <is>
          <t>custom container receives children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Portal playground manual verification.</t>
        </is>
      </c>
      <c r="J30" s="20" t="n"/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Utility</t>
        </is>
      </c>
      <c r="C31" s="20" t="inlineStr">
        <is>
          <t>Portal</t>
        </is>
      </c>
      <c r="D31" s="20" t="inlineStr">
        <is>
          <t>disabled portal renders in place where supported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Portal playground manual verification.</t>
        </is>
      </c>
      <c r="J31" s="20" t="n"/>
      <c r="K31" s="21">
        <f>IF(H31="covered",1,IF(H31="partial",0.5,0))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Pressable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Pressable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1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Pressable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Pressable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Pressable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Playground</t>
        </is>
      </c>
      <c r="C12" s="38" t="inlineStr">
        <is>
          <t>Pressable</t>
        </is>
      </c>
      <c r="D12" s="38" t="inlineStr">
        <is>
          <t>canvas source reflects current toggles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Pressable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Pressable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Pressable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Playground</t>
        </is>
      </c>
      <c r="C14" s="38" t="inlineStr">
        <is>
          <t>Pressable</t>
        </is>
      </c>
      <c r="D14" s="38" t="inlineStr">
        <is>
          <t>inspector selected/focused/logs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Pressable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Feature</t>
        </is>
      </c>
      <c r="C15" s="38" t="inlineStr">
        <is>
          <t>Pressable</t>
        </is>
      </c>
      <c r="D15" s="38" t="inlineStr">
        <is>
          <t>Renders a native `&lt;button&gt;` by default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Pressable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Feature</t>
        </is>
      </c>
      <c r="C16" s="38" t="inlineStr">
        <is>
          <t>Pressable</t>
        </is>
      </c>
      <c r="D16" s="38" t="inlineStr">
        <is>
          <t>Adds button semantics for custom non-native renders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Pressable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Feature</t>
        </is>
      </c>
      <c r="C17" s="38" t="inlineStr">
        <is>
          <t>Pressable</t>
        </is>
      </c>
      <c r="D17" s="38" t="inlineStr">
        <is>
          <t>Supports pointer press state through `data-pressed`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Pressable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Feature</t>
        </is>
      </c>
      <c r="C18" s="38" t="inlineStr">
        <is>
          <t>Pressable</t>
        </is>
      </c>
      <c r="D18" s="38" t="inlineStr">
        <is>
          <t>Supports disabled state and press cancellation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Pressable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Feature</t>
        </is>
      </c>
      <c r="C19" s="38" t="inlineStr">
        <is>
          <t>Pressable</t>
        </is>
      </c>
      <c r="D19" s="38" t="inlineStr">
        <is>
          <t>Fires `onPress` for pointer and keyboard activation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Pressable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Feature</t>
        </is>
      </c>
      <c r="C20" s="38" t="inlineStr">
        <is>
          <t>Pressable</t>
        </is>
      </c>
      <c r="D20" s="38" t="inlineStr">
        <is>
          <t>Handles Space activation on keyup for ARIA button parity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Pressable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Anatomy</t>
        </is>
      </c>
      <c r="C21" s="38" t="inlineStr">
        <is>
          <t>Root</t>
        </is>
      </c>
      <c r="D21" s="38" t="inlineStr">
        <is>
          <t>renders correct part when expected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Pressable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Anatomy</t>
        </is>
      </c>
      <c r="C22" s="38" t="inlineStr">
        <is>
          <t>Root</t>
        </is>
      </c>
      <c r="D22" s="38" t="inlineStr">
        <is>
          <t>appears in documented order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Pressable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60">
      <c r="A23" s="37" t="n">
        <v>15</v>
      </c>
      <c r="B23" s="38" t="inlineStr">
        <is>
          <t>Identity</t>
        </is>
      </c>
      <c r="C23" s="38" t="inlineStr">
        <is>
          <t>Root</t>
        </is>
      </c>
      <c r="D23" s="38" t="inlineStr">
        <is>
          <t>default tag is visible in Anatomy/Inspector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Pressable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Identity</t>
        </is>
      </c>
      <c r="C24" s="38" t="inlineStr">
        <is>
          <t>Root</t>
        </is>
      </c>
      <c r="D24" s="38" t="inlineStr">
        <is>
          <t>data-slot is present and correct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Pressable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60">
      <c r="A25" s="37" t="n">
        <v>17</v>
      </c>
      <c r="B25" s="38" t="inlineStr">
        <is>
          <t>Props</t>
        </is>
      </c>
      <c r="C25" s="38" t="inlineStr">
        <is>
          <t>Root</t>
        </is>
      </c>
      <c r="D25" s="38" t="inlineStr">
        <is>
          <t>non-Atom native props pass through with data-prop-check marker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Pressable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Refs</t>
        </is>
      </c>
      <c r="C26" s="38" t="inlineStr">
        <is>
          <t>Root</t>
        </is>
      </c>
      <c r="D26" s="38" t="inlineStr">
        <is>
          <t>consumer ref receives the rendered element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Pressable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State</t>
        </is>
      </c>
      <c r="C27" s="38" t="inlineStr">
        <is>
          <t>Root</t>
        </is>
      </c>
      <c r="D27" s="38" t="inlineStr">
        <is>
          <t>disabled prop behavior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Pressable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State</t>
        </is>
      </c>
      <c r="C28" s="38" t="inlineStr">
        <is>
          <t>Root</t>
        </is>
      </c>
      <c r="D28" s="38" t="inlineStr">
        <is>
          <t>onPress prop behavior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Pressable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State</t>
        </is>
      </c>
      <c r="C29" s="38" t="inlineStr">
        <is>
          <t>Root</t>
        </is>
      </c>
      <c r="D29" s="38" t="inlineStr">
        <is>
          <t>onClick prop behavior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Pressable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State</t>
        </is>
      </c>
      <c r="C30" s="38" t="inlineStr">
        <is>
          <t>Root</t>
        </is>
      </c>
      <c r="D30" s="38" t="inlineStr">
        <is>
          <t>onKeyDown prop behavior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Pressable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State</t>
        </is>
      </c>
      <c r="C31" s="38" t="inlineStr">
        <is>
          <t>Root</t>
        </is>
      </c>
      <c r="D31" s="38" t="inlineStr">
        <is>
          <t>onKeyUp prop behavior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Pressable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State</t>
        </is>
      </c>
      <c r="C32" s="38" t="inlineStr">
        <is>
          <t>Root</t>
        </is>
      </c>
      <c r="D32" s="38" t="inlineStr">
        <is>
          <t>onPointerDown prop behavior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Pressable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State</t>
        </is>
      </c>
      <c r="C33" s="38" t="inlineStr">
        <is>
          <t>Root</t>
        </is>
      </c>
      <c r="D33" s="38" t="inlineStr">
        <is>
          <t>onPointerUp prop behavior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Pressable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State</t>
        </is>
      </c>
      <c r="C34" s="38" t="inlineStr">
        <is>
          <t>Root</t>
        </is>
      </c>
      <c r="D34" s="38" t="inlineStr">
        <is>
          <t>onPointerCancel prop behavior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Pressable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State</t>
        </is>
      </c>
      <c r="C35" s="38" t="inlineStr">
        <is>
          <t>Root</t>
        </is>
      </c>
      <c r="D35" s="38" t="inlineStr">
        <is>
          <t>onLostPointerCapture prop behavior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Pressable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Composition</t>
        </is>
      </c>
      <c r="C36" s="38" t="inlineStr">
        <is>
          <t>Root</t>
        </is>
      </c>
      <c r="D36" s="38" t="inlineStr">
        <is>
          <t>asChild prop behavior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Pressable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Composition</t>
        </is>
      </c>
      <c r="C37" s="38" t="inlineStr">
        <is>
          <t>Root</t>
        </is>
      </c>
      <c r="D37" s="38" t="inlineStr">
        <is>
          <t>render prop behavior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Pressable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Public API</t>
        </is>
      </c>
      <c r="C38" s="38" t="inlineStr">
        <is>
          <t>Root</t>
        </is>
      </c>
      <c r="D38" s="38" t="inlineStr">
        <is>
          <t>[data-slot] prop behavior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Pressable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State</t>
        </is>
      </c>
      <c r="C39" s="38" t="inlineStr">
        <is>
          <t>Root</t>
        </is>
      </c>
      <c r="D39" s="38" t="inlineStr">
        <is>
          <t>[data-disabled] prop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Pressable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Public API</t>
        </is>
      </c>
      <c r="C40" s="38" t="inlineStr">
        <is>
          <t>Root</t>
        </is>
      </c>
      <c r="D40" s="38" t="inlineStr">
        <is>
          <t>[data-pressed] prop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Pressable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ARIA</t>
        </is>
      </c>
      <c r="C41" s="38" t="inlineStr">
        <is>
          <t>Live DOM</t>
        </is>
      </c>
      <c r="D41" s="38" t="inlineStr">
        <is>
          <t>aria-disabled is present at the correct time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Pressable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0" customHeight="1" s="60">
      <c r="A42" s="37" t="n">
        <v>34</v>
      </c>
      <c r="B42" s="38" t="inlineStr">
        <is>
          <t>Data</t>
        </is>
      </c>
      <c r="C42" s="38" t="inlineStr">
        <is>
          <t>Live DOM</t>
        </is>
      </c>
      <c r="D42" s="38" t="inlineStr">
        <is>
          <t>data-disabled is present at the correct time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Pressable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Data</t>
        </is>
      </c>
      <c r="C43" s="38" t="inlineStr">
        <is>
          <t>Live DOM</t>
        </is>
      </c>
      <c r="D43" s="38" t="inlineStr">
        <is>
          <t>data-pressed is present at the correct time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Pressable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Data</t>
        </is>
      </c>
      <c r="C44" s="38" t="inlineStr">
        <is>
          <t>Live DOM</t>
        </is>
      </c>
      <c r="D44" s="38" t="inlineStr">
        <is>
          <t>data-slot is present at the correct time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Pressable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60">
      <c r="A45" s="37" t="n">
        <v>37</v>
      </c>
      <c r="B45" s="38" t="inlineStr">
        <is>
          <t>Composition</t>
        </is>
      </c>
      <c r="C45" s="38" t="inlineStr">
        <is>
          <t>Pressable</t>
        </is>
      </c>
      <c r="D45" s="38" t="inlineStr">
        <is>
          <t>asChild preserves child content without double nesting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Pressable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>
      <c r="A46" s="37" t="n">
        <v>38</v>
      </c>
      <c r="B46" s="38" t="inlineStr">
        <is>
          <t>Composition</t>
        </is>
      </c>
      <c r="C46" s="38" t="inlineStr">
        <is>
          <t>Pressable</t>
        </is>
      </c>
      <c r="D46" s="38" t="inlineStr">
        <is>
          <t>asChild merges Atom props and consumer props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Pressable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Composition</t>
        </is>
      </c>
      <c r="C47" s="38" t="inlineStr">
        <is>
          <t>Pressable</t>
        </is>
      </c>
      <c r="D47" s="38" t="inlineStr">
        <is>
          <t>asChild lets preventDefault block Atom behavior where supported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Pressable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60" customHeight="1" s="60">
      <c r="A48" s="37" t="n">
        <v>40</v>
      </c>
      <c r="B48" s="38" t="inlineStr">
        <is>
          <t>Composition</t>
        </is>
      </c>
      <c r="C48" s="38" t="inlineStr">
        <is>
          <t>Pressable</t>
        </is>
      </c>
      <c r="D48" s="38" t="inlineStr">
        <is>
          <t>render prop renders custom element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Pressable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Composition</t>
        </is>
      </c>
      <c r="C49" s="38" t="inlineStr">
        <is>
          <t>Pressable</t>
        </is>
      </c>
      <c r="D49" s="38" t="inlineStr">
        <is>
          <t>render prop preserves refs and behavior props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Pressable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60" customHeight="1" s="60">
      <c r="A50" s="37" t="n">
        <v>42</v>
      </c>
      <c r="B50" s="38" t="inlineStr">
        <is>
          <t>Pointer</t>
        </is>
      </c>
      <c r="C50" s="38" t="inlineStr">
        <is>
          <t>Root composition</t>
        </is>
      </c>
      <c r="D50" s="38" t="inlineStr">
        <is>
          <t>custom render/asChild pointer down then release outside does not fire press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Pressable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K6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Progress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IFERROR(SUM(K9:K67)/COUNTA(A9:A67),0)</f>
        <v/>
      </c>
      <c r="C4" s="1" t="inlineStr">
        <is>
          <t>Covered</t>
        </is>
      </c>
      <c r="D4" s="2">
        <f>COUNTIF(H9:H67,"covered")</f>
        <v/>
      </c>
      <c r="E4" s="1" t="inlineStr">
        <is>
          <t>Partial</t>
        </is>
      </c>
      <c r="F4" s="2">
        <f>COUNTIF(H9:H67,"partial")</f>
        <v/>
      </c>
      <c r="G4" s="1" t="inlineStr">
        <is>
          <t>Missing</t>
        </is>
      </c>
      <c r="H4" s="2">
        <f>COUNTIF(H9:H67,"missing")</f>
        <v/>
      </c>
      <c r="I4" s="1" t="inlineStr">
        <is>
          <t>Untested</t>
        </is>
      </c>
      <c r="J4" s="2">
        <f>COUNTIF(F9:F67,"no")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Shared playground prop rule.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Shared playground prop rule.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Progress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Progress playground manual pass.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Progress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Progress playground manual pass.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Progress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Progress playground manual pass.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Progress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Progress playground manual pass.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Progress</t>
        </is>
      </c>
      <c r="D15" s="5" t="inlineStr">
        <is>
          <t>Implements `role="progressbar"`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Progress playground manual pass.</t>
        </is>
      </c>
      <c r="J15" s="5" t="n"/>
      <c r="K15" s="6">
        <f>IF(AND(E15="yes",F15="yes",H15="covered"),1,IF(AND(E15="yes",H15="partial"),0.5,0))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Progress</t>
        </is>
      </c>
      <c r="D16" s="5" t="inlineStr">
        <is>
          <t>Supports determinate values and indeterminate progress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Progress playground manual pass.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Progress</t>
        </is>
      </c>
      <c r="D17" s="5" t="inlineStr">
        <is>
          <t>Normalizes invalid `min`/`max` ranges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Progress playground manual pass.</t>
        </is>
      </c>
      <c r="J17" s="5" t="n"/>
      <c r="K17" s="6">
        <f>IF(AND(E17="yes",F17="yes",H17="covered"),1,IF(AND(E17="yes",H17="partial"),0.5,0))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Progress</t>
        </is>
      </c>
      <c r="D18" s="5" t="inlineStr">
        <is>
          <t>Exposes progress state, value, min, max, and percent through data attributes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Progress playground manual pass.</t>
        </is>
      </c>
      <c r="J18" s="5" t="n"/>
      <c r="K18" s="6">
        <f>IF(AND(E18="yes",F18="yes",H18="covered"),1,IF(AND(E18="yes",H18="partial"),0.5,0))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Progress</t>
        </is>
      </c>
      <c r="D19" s="5" t="inlineStr">
        <is>
          <t>Supports custom assistive value text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Progress playground manual pass.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Progress playground manual pass.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Progress playground manual pass.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Progress playground manual pass.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Progress playground manual pass.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Progress playground manual pass.</t>
        </is>
      </c>
      <c r="J24" s="5" t="n"/>
      <c r="K24" s="6">
        <f>IF(AND(E24="yes",F24="yes",H24="covered"),1,IF(AND(E24="yes",H24="partial"),0.5,0))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Progress playground manual pass.</t>
        </is>
      </c>
      <c r="J25" s="5" t="n"/>
      <c r="K25" s="6">
        <f>IF(AND(E25="yes",F25="yes",H25="covered"),1,IF(AND(E25="yes",H25="partial"),0.5,0))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Progress playground manual pass.</t>
        </is>
      </c>
      <c r="J26" s="5" t="n"/>
      <c r="K26" s="6">
        <f>IF(AND(E26="yes",F26="yes",H26="covered"),1,IF(AND(E26="yes",H26="partial"),0.5,0))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Progress playground manual pass.</t>
        </is>
      </c>
      <c r="J27" s="5" t="n"/>
      <c r="K27" s="6">
        <f>IF(AND(E27="yes",F27="yes",H27="covered"),1,IF(AND(E27="yes",H27="partial"),0.5,0))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value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Progress playground manual pass.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min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Progress playground manual pass.</t>
        </is>
      </c>
      <c r="J29" s="5" t="n"/>
      <c r="K29" s="6">
        <f>IF(AND(E29="yes",F29="yes",H29="covered"),1,IF(AND(E29="yes",H29="partial"),0.5,0))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max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Progress playground manual pass.</t>
        </is>
      </c>
      <c r="J30" s="5" t="n"/>
      <c r="K30" s="6">
        <f>IF(AND(E30="yes",F30="yes",H30="covered"),1,IF(AND(E30="yes",H30="partial"),0.5,0))</f>
        <v/>
      </c>
    </row>
    <row r="31" ht="15" customHeight="1" s="60">
      <c r="A31" s="4" t="n">
        <v>23</v>
      </c>
      <c r="B31" s="5" t="inlineStr">
        <is>
          <t>Accessibility</t>
        </is>
      </c>
      <c r="C31" s="5" t="inlineStr">
        <is>
          <t>Root</t>
        </is>
      </c>
      <c r="D31" s="5" t="inlineStr">
        <is>
          <t>aria-valuetext prop behavior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Progress playground manual pass.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getValueLabel prop behavior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Progress playground manual pass.</t>
        </is>
      </c>
      <c r="J32" s="5" t="n"/>
      <c r="K32" s="6">
        <f>IF(AND(E32="yes",F32="yes",H32="covered"),1,IF(AND(E32="yes",H32="partial"),0.5,0))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Progress playground manual pass.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[data-state] prop behavior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Progress playground manual pass.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[data-min] prop behavior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Progress playground manual pass.</t>
        </is>
      </c>
      <c r="J35" s="5" t="n"/>
      <c r="K35" s="6">
        <f>IF(AND(E35="yes",F35="yes",H35="covered"),1,IF(AND(E35="yes",H35="partial"),0.5,0))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[data-max] prop behavior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Progress playground manual pass.</t>
        </is>
      </c>
      <c r="J36" s="5" t="n"/>
      <c r="K36" s="6">
        <f>IF(AND(E36="yes",F36="yes",H36="covered"),1,IF(AND(E36="yes",H36="partial"),0.5,0))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[data-value]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Progress playground manual pass.</t>
        </is>
      </c>
      <c r="J37" s="5" t="n"/>
      <c r="K37" s="6">
        <f>IF(AND(E37="yes",F37="yes",H37="covered"),1,IF(AND(E37="yes",H37="partial"),0.5,0))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[data-percent]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Progress playground manual pass.</t>
        </is>
      </c>
      <c r="J38" s="5" t="n"/>
      <c r="K38" s="6">
        <f>IF(AND(E38="yes",F38="yes",H38="covered"),1,IF(AND(E38="yes",H38="partial"),0.5,0))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Indicator</t>
        </is>
      </c>
      <c r="D39" s="5" t="inlineStr">
        <is>
          <t>renders correct part when expected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Progress playground manual pass.</t>
        </is>
      </c>
      <c r="J39" s="5" t="n"/>
      <c r="K39" s="6">
        <f>IF(AND(E39="yes",F39="yes",H39="covered"),1,IF(AND(E39="yes",H39="partial"),0.5,0))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Indicator</t>
        </is>
      </c>
      <c r="D40" s="5" t="inlineStr">
        <is>
          <t>appears in documented order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Progress playground manual pass.</t>
        </is>
      </c>
      <c r="J40" s="5" t="n"/>
      <c r="K40" s="6">
        <f>IF(AND(E40="yes",F40="yes",H40="covered"),1,IF(AND(E40="yes",H40="partial"),0.5,0))</f>
        <v/>
      </c>
    </row>
    <row r="41" ht="30" customHeight="1" s="60">
      <c r="A41" s="4" t="n">
        <v>33</v>
      </c>
      <c r="B41" s="5" t="inlineStr">
        <is>
          <t>Identity</t>
        </is>
      </c>
      <c r="C41" s="5" t="inlineStr">
        <is>
          <t>Indicator</t>
        </is>
      </c>
      <c r="D41" s="5" t="inlineStr">
        <is>
          <t>default tag is visible in Anatomy/Inspector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Progress playground manual pass.</t>
        </is>
      </c>
      <c r="J41" s="5" t="n"/>
      <c r="K41" s="6">
        <f>IF(AND(E41="yes",F41="yes",H41="covered"),1,IF(AND(E41="yes",H41="partial"),0.5,0))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Indicator</t>
        </is>
      </c>
      <c r="D42" s="5" t="inlineStr">
        <is>
          <t>data-slot is present and correct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Progress playground manual pass.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Props</t>
        </is>
      </c>
      <c r="C43" s="5" t="inlineStr">
        <is>
          <t>Indicator</t>
        </is>
      </c>
      <c r="D43" s="5" t="inlineStr">
        <is>
          <t>non-Atom native props pass through with data-prop-check marker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Progress playground manual pass.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Refs</t>
        </is>
      </c>
      <c r="C44" s="5" t="inlineStr">
        <is>
          <t>Indicator</t>
        </is>
      </c>
      <c r="D44" s="5" t="inlineStr">
        <is>
          <t>consumer ref receives the rendered element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Progress playground manual pass.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Indicator</t>
        </is>
      </c>
      <c r="D45" s="5" t="inlineStr">
        <is>
          <t>asChild prop behavior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Progress playground manual pass.</t>
        </is>
      </c>
      <c r="J45" s="5" t="n"/>
      <c r="K45" s="6">
        <f>IF(AND(E45="yes",F45="yes",H45="covered"),1,IF(AND(E45="yes",H45="partial"),0.5,0))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Indicator</t>
        </is>
      </c>
      <c r="D46" s="5" t="inlineStr">
        <is>
          <t>render prop behavior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Progress playground manual pass.</t>
        </is>
      </c>
      <c r="J46" s="5" t="n"/>
      <c r="K46" s="6">
        <f>IF(AND(E46="yes",F46="yes",H46="covered"),1,IF(AND(E46="yes",H46="partial"),0.5,0))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Indicator</t>
        </is>
      </c>
      <c r="D47" s="5" t="inlineStr">
        <is>
          <t>[data-slot] prop behavior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Progress playground manual pass.</t>
        </is>
      </c>
      <c r="J47" s="5" t="n"/>
      <c r="K47" s="6">
        <f>IF(AND(E47="yes",F47="yes",H47="covered"),1,IF(AND(E47="yes",H47="partial"),0.5,0))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Indicator</t>
        </is>
      </c>
      <c r="D48" s="5" t="inlineStr">
        <is>
          <t>[data-state] prop behavior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Progress playground manual pass.</t>
        </is>
      </c>
      <c r="J48" s="5" t="n"/>
      <c r="K48" s="6">
        <f>IF(AND(E48="yes",F48="yes",H48="covered"),1,IF(AND(E48="yes",H48="partial"),0.5,0))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Indicator</t>
        </is>
      </c>
      <c r="D49" s="5" t="inlineStr">
        <is>
          <t>[data-min] prop behavior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Progress playground manual pass.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Indicator</t>
        </is>
      </c>
      <c r="D50" s="5" t="inlineStr">
        <is>
          <t>[data-max] prop behavior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Progress playground manual pass.</t>
        </is>
      </c>
      <c r="J50" s="5" t="n"/>
      <c r="K50" s="6">
        <f>IF(AND(E50="yes",F50="yes",H50="covered"),1,IF(AND(E50="yes",H50="partial"),0.5,0))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Indicator</t>
        </is>
      </c>
      <c r="D51" s="5" t="inlineStr">
        <is>
          <t>[data-value] prop behavior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</t>
        </is>
      </c>
      <c r="H51" s="11" t="inlineStr">
        <is>
          <t>covered</t>
        </is>
      </c>
      <c r="I51" s="5" t="inlineStr">
        <is>
          <t>Progress playground manual pass.</t>
        </is>
      </c>
      <c r="J51" s="5" t="n"/>
      <c r="K51" s="6">
        <f>IF(AND(E51="yes",F51="yes",H51="covered"),1,IF(AND(E51="yes",H51="partial"),0.5,0))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Indicator</t>
        </is>
      </c>
      <c r="D52" s="5" t="inlineStr">
        <is>
          <t>[data-percent] prop behavior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</t>
        </is>
      </c>
      <c r="H52" s="11" t="inlineStr">
        <is>
          <t>covered</t>
        </is>
      </c>
      <c r="I52" s="5" t="inlineStr">
        <is>
          <t>Progress playground manual pass.</t>
        </is>
      </c>
      <c r="J52" s="5" t="n"/>
      <c r="K52" s="6">
        <f>IF(AND(E52="yes",F52="yes",H52="covered"),1,IF(AND(E52="yes",H52="partial"),0.5,0))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aria-hidden is present at the correct time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</t>
        </is>
      </c>
      <c r="H53" s="11" t="inlineStr">
        <is>
          <t>covered</t>
        </is>
      </c>
      <c r="I53" s="5" t="inlineStr">
        <is>
          <t>Progress playground manual pass.</t>
        </is>
      </c>
      <c r="J53" s="5" t="n"/>
      <c r="K53" s="6">
        <f>IF(AND(E53="yes",F53="yes",H53="covered"),1,IF(AND(E53="yes",H53="partial"),0.5,0))</f>
        <v/>
      </c>
    </row>
    <row r="54" ht="15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aria-valuemax is present at the correct time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</t>
        </is>
      </c>
      <c r="H54" s="11" t="inlineStr">
        <is>
          <t>covered</t>
        </is>
      </c>
      <c r="I54" s="5" t="inlineStr">
        <is>
          <t>Progress playground manual pass.</t>
        </is>
      </c>
      <c r="J54" s="5" t="n"/>
      <c r="K54" s="6">
        <f>IF(AND(E54="yes",F54="yes",H54="covered"),1,IF(AND(E54="yes",H54="partial"),0.5,0))</f>
        <v/>
      </c>
    </row>
    <row r="55" ht="15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aria-valuemin is present at the correct time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</t>
        </is>
      </c>
      <c r="H55" s="11" t="inlineStr">
        <is>
          <t>covered</t>
        </is>
      </c>
      <c r="I55" s="5" t="inlineStr">
        <is>
          <t>Progress playground manual pass.</t>
        </is>
      </c>
      <c r="J55" s="5" t="n"/>
      <c r="K55" s="6">
        <f>IF(AND(E55="yes",F55="yes",H55="covered"),1,IF(AND(E55="yes",H55="partial"),0.5,0))</f>
        <v/>
      </c>
    </row>
    <row r="56" ht="15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aria-valuenow is present at the correct time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</t>
        </is>
      </c>
      <c r="H56" s="11" t="inlineStr">
        <is>
          <t>covered</t>
        </is>
      </c>
      <c r="I56" s="5" t="inlineStr">
        <is>
          <t>Progress playground manual pass.</t>
        </is>
      </c>
      <c r="J56" s="5" t="n"/>
      <c r="K56" s="6">
        <f>IF(AND(E56="yes",F56="yes",H56="covered"),1,IF(AND(E56="yes",H56="partial"),0.5,0))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aria-valuetext is present at the correct time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</t>
        </is>
      </c>
      <c r="H57" s="11" t="inlineStr">
        <is>
          <t>covered</t>
        </is>
      </c>
      <c r="I57" s="5" t="inlineStr">
        <is>
          <t>Progress playground manual pass.</t>
        </is>
      </c>
      <c r="J57" s="5" t="n"/>
      <c r="K57" s="6">
        <f>IF(AND(E57="yes",F57="yes",H57="covered"),1,IF(AND(E57="yes",H57="partial"),0.5,0))</f>
        <v/>
      </c>
    </row>
    <row r="58" ht="15" customHeight="1" s="60">
      <c r="A58" s="4" t="n">
        <v>50</v>
      </c>
      <c r="B58" s="5" t="inlineStr">
        <is>
          <t>Data</t>
        </is>
      </c>
      <c r="C58" s="5" t="inlineStr">
        <is>
          <t>Live DOM</t>
        </is>
      </c>
      <c r="D58" s="5" t="inlineStr">
        <is>
          <t>data-max is present at the correct time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</t>
        </is>
      </c>
      <c r="H58" s="11" t="inlineStr">
        <is>
          <t>covered</t>
        </is>
      </c>
      <c r="I58" s="5" t="inlineStr">
        <is>
          <t>Progress playground manual pass.</t>
        </is>
      </c>
      <c r="J58" s="5" t="n"/>
      <c r="K58" s="6">
        <f>IF(AND(E58="yes",F58="yes",H58="covered"),1,IF(AND(E58="yes",H58="partial"),0.5,0))</f>
        <v/>
      </c>
    </row>
    <row r="59" ht="15" customHeight="1" s="60">
      <c r="A59" s="4" t="n">
        <v>51</v>
      </c>
      <c r="B59" s="5" t="inlineStr">
        <is>
          <t>Data</t>
        </is>
      </c>
      <c r="C59" s="5" t="inlineStr">
        <is>
          <t>Live DOM</t>
        </is>
      </c>
      <c r="D59" s="5" t="inlineStr">
        <is>
          <t>data-min is present at the correct time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</t>
        </is>
      </c>
      <c r="H59" s="11" t="inlineStr">
        <is>
          <t>covered</t>
        </is>
      </c>
      <c r="I59" s="5" t="inlineStr">
        <is>
          <t>Progress playground manual pass.</t>
        </is>
      </c>
      <c r="J59" s="5" t="n"/>
      <c r="K59" s="6">
        <f>IF(AND(E59="yes",F59="yes",H59="covered"),1,IF(AND(E59="yes",H59="partial"),0.5,0))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data-percent is present at the correct time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</t>
        </is>
      </c>
      <c r="H60" s="11" t="inlineStr">
        <is>
          <t>covered</t>
        </is>
      </c>
      <c r="I60" s="5" t="inlineStr">
        <is>
          <t>Progress playground manual pass.</t>
        </is>
      </c>
      <c r="J60" s="5" t="n"/>
      <c r="K60" s="6">
        <f>IF(AND(E60="yes",F60="yes",H60="covered"),1,IF(AND(E60="yes",H60="partial"),0.5,0))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data-slot is present at the correct time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</t>
        </is>
      </c>
      <c r="H61" s="11" t="inlineStr">
        <is>
          <t>covered</t>
        </is>
      </c>
      <c r="I61" s="5" t="inlineStr">
        <is>
          <t>Progress playground manual pass.</t>
        </is>
      </c>
      <c r="J61" s="5" t="n"/>
      <c r="K61" s="6">
        <f>IF(AND(E61="yes",F61="yes",H61="covered"),1,IF(AND(E61="yes",H61="partial"),0.5,0))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data-state is present at the correct time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</t>
        </is>
      </c>
      <c r="H62" s="11" t="inlineStr">
        <is>
          <t>covered</t>
        </is>
      </c>
      <c r="I62" s="5" t="inlineStr">
        <is>
          <t>Progress playground manual pass.</t>
        </is>
      </c>
      <c r="J62" s="5" t="n"/>
      <c r="K62" s="6">
        <f>IF(AND(E62="yes",F62="yes",H62="covered"),1,IF(AND(E62="yes",H62="partial"),0.5,0))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data-value is present at the correct time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</t>
        </is>
      </c>
      <c r="H63" s="11" t="inlineStr">
        <is>
          <t>covered</t>
        </is>
      </c>
      <c r="I63" s="5" t="inlineStr">
        <is>
          <t>Progress playground manual pass.</t>
        </is>
      </c>
      <c r="J63" s="5" t="n"/>
      <c r="K63" s="6">
        <f>IF(AND(E63="yes",F63="yes",H63="covered"),1,IF(AND(E63="yes",H63="partial"),0.5,0))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Progress</t>
        </is>
      </c>
      <c r="D64" s="5" t="inlineStr">
        <is>
          <t>asChild preserves child content without double nesting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</t>
        </is>
      </c>
      <c r="H64" s="11" t="inlineStr">
        <is>
          <t>covered</t>
        </is>
      </c>
      <c r="I64" s="5" t="inlineStr">
        <is>
          <t>Progress playground manual pass.</t>
        </is>
      </c>
      <c r="J64" s="5" t="n"/>
      <c r="K64" s="6">
        <f>IF(AND(E64="yes",F64="yes",H64="covered"),1,IF(AND(E64="yes",H64="partial"),0.5,0))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Progress</t>
        </is>
      </c>
      <c r="D65" s="5" t="inlineStr">
        <is>
          <t>asChild merges Atom props and consumer props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</t>
        </is>
      </c>
      <c r="H65" s="11" t="inlineStr">
        <is>
          <t>covered</t>
        </is>
      </c>
      <c r="I65" s="5" t="inlineStr">
        <is>
          <t>Progress playground manual pass.</t>
        </is>
      </c>
      <c r="J65" s="5" t="n"/>
      <c r="K65" s="6">
        <f>IF(AND(E65="yes",F65="yes",H65="covered"),1,IF(AND(E65="yes",H65="partial"),0.5,0))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Progress</t>
        </is>
      </c>
      <c r="D66" s="5" t="inlineStr">
        <is>
          <t>render prop renders custom element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</t>
        </is>
      </c>
      <c r="H66" s="11" t="inlineStr">
        <is>
          <t>covered</t>
        </is>
      </c>
      <c r="I66" s="5" t="inlineStr">
        <is>
          <t>Progress playground manual pass.</t>
        </is>
      </c>
      <c r="J66" s="5" t="n"/>
      <c r="K66" s="6">
        <f>IF(AND(E66="yes",F66="yes",H66="covered"),1,IF(AND(E66="yes",H66="partial"),0.5,0))</f>
        <v/>
      </c>
    </row>
    <row r="67" ht="15" customHeight="1" s="60">
      <c r="A67" s="4" t="n">
        <v>59</v>
      </c>
      <c r="B67" s="5" t="inlineStr">
        <is>
          <t>Composition</t>
        </is>
      </c>
      <c r="C67" s="5" t="inlineStr">
        <is>
          <t>Progress</t>
        </is>
      </c>
      <c r="D67" s="5" t="inlineStr">
        <is>
          <t>render prop preserves refs and behavior props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passed</t>
        </is>
      </c>
      <c r="H67" s="11" t="inlineStr">
        <is>
          <t>covered</t>
        </is>
      </c>
      <c r="I67" s="5" t="inlineStr">
        <is>
          <t>Progress playground manual pass.</t>
        </is>
      </c>
      <c r="J67" s="5" t="n"/>
      <c r="K67" s="6">
        <f>IF(AND(E67="yes",F67="yes",H67="covered"),1,IF(AND(E67="yes",H67="partial"),0.5,0))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K9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RadioGroup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RadioGroup playground scenario.</t>
        </is>
      </c>
      <c r="J9" s="5" t="inlineStr">
        <is>
          <t>Manual verification needed.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RadioGroup playground scenario.</t>
        </is>
      </c>
      <c r="J10" s="5" t="inlineStr">
        <is>
          <t>Manual verification needed.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RadioGroup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RadioGroup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RadioGroup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RadioGroup playground page uses shared Canvas/Source, Anatomy, Inspector, and Log infrastructure.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RadioGroup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RadioGroup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RadioGroup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RadioGroup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RadioGroup</t>
        </is>
      </c>
      <c r="D15" s="5" t="inlineStr">
        <is>
          <t>Manages one selected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RadioGroup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RadioGroup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RadioGroup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RadioGroup</t>
        </is>
      </c>
      <c r="D17" s="5" t="inlineStr">
        <is>
          <t>Supports horizontal and vertical keyboard navigation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RadioGroup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RadioGroup</t>
        </is>
      </c>
      <c r="D18" s="5" t="inlineStr">
        <is>
          <t>Supports optional looping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RadioGroup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RadioGroup</t>
        </is>
      </c>
      <c r="D19" s="5" t="inlineStr">
        <is>
          <t>Renders hidden native radio inputs for form submission when named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RadioGroup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RadioGroup</t>
        </is>
      </c>
      <c r="D20" s="5" t="inlineStr">
        <is>
          <t>Keeps only the selected or first enabled item in the tab order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RadioGroup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RadioGroup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RadioGroup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RadioGroup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RadioGroup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RadioGroup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Package tests/source review verify consumer ref plumbing for RadioGroup; playground manual pass can inspect rendered DOM behavior.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RadioGroup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RadioGroup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RadioGroup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name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RadioGroup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form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RadioGroup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disabled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RadioGroup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RadioGroup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RadioGroup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RadioGroup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RadioGroup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Accessibility</t>
        </is>
      </c>
      <c r="C37" s="5" t="inlineStr">
        <is>
          <t>Root</t>
        </is>
      </c>
      <c r="D37" s="5" t="inlineStr">
        <is>
          <t>ariaLabel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RadioGroup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asChild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RadioGroup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render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RadioGroup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[data-slot]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RadioGroup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[data-orientation]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RadioGroup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RadioGroup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RadioGroup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Item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RadioGroup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Item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RadioGroup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Item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RadioGroup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Item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RadioGroup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Item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RadioGroup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Item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Package tests/source review verify consumer ref plumbing for RadioGroup; playground manual pass can inspect rendered DOM behavior.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Item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RadioGroup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disabled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RadioGroup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Accessibility</t>
        </is>
      </c>
      <c r="C52" s="5" t="inlineStr">
        <is>
          <t>Item</t>
        </is>
      </c>
      <c r="D52" s="5" t="inlineStr">
        <is>
          <t>ariaLabel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RadioGroup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Item</t>
        </is>
      </c>
      <c r="D53" s="5" t="inlineStr">
        <is>
          <t>asChild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RadioGroup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Composition</t>
        </is>
      </c>
      <c r="C54" s="5" t="inlineStr">
        <is>
          <t>Item</t>
        </is>
      </c>
      <c r="D54" s="5" t="inlineStr">
        <is>
          <t>render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RadioGroup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Item</t>
        </is>
      </c>
      <c r="D55" s="5" t="inlineStr">
        <is>
          <t>[data-slot]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RadioGroup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Item</t>
        </is>
      </c>
      <c r="D56" s="5" t="inlineStr">
        <is>
          <t>[data-value]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RadioGroup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Item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RadioGroup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State</t>
        </is>
      </c>
      <c r="C58" s="5" t="inlineStr">
        <is>
          <t>Item</t>
        </is>
      </c>
      <c r="D58" s="5" t="inlineStr">
        <is>
          <t>[data-disabled]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RadioGroup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State</t>
        </is>
      </c>
      <c r="C59" s="5" t="inlineStr">
        <is>
          <t>Item</t>
        </is>
      </c>
      <c r="D59" s="5" t="inlineStr">
        <is>
          <t>[data-invalid]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RadioGroup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aria-checked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RadioGroup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aria-disabled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RadioGroup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ARIA</t>
        </is>
      </c>
      <c r="C62" s="5" t="inlineStr">
        <is>
          <t>Live DOM</t>
        </is>
      </c>
      <c r="D62" s="5" t="inlineStr">
        <is>
          <t>aria-hidden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RadioGroup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ARIA</t>
        </is>
      </c>
      <c r="C63" s="5" t="inlineStr">
        <is>
          <t>Live DOM</t>
        </is>
      </c>
      <c r="D63" s="5" t="inlineStr">
        <is>
          <t>aria-invalid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RadioGroup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ARIA</t>
        </is>
      </c>
      <c r="C64" s="5" t="inlineStr">
        <is>
          <t>Live DOM</t>
        </is>
      </c>
      <c r="D64" s="5" t="inlineStr">
        <is>
          <t>aria-label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RadioGroup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ARIA</t>
        </is>
      </c>
      <c r="C65" s="5" t="inlineStr">
        <is>
          <t>Live DOM</t>
        </is>
      </c>
      <c r="D65" s="5" t="inlineStr">
        <is>
          <t>aria-orientation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RadioGroup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ARIA</t>
        </is>
      </c>
      <c r="C66" s="5" t="inlineStr">
        <is>
          <t>Live DOM</t>
        </is>
      </c>
      <c r="D66" s="5" t="inlineStr">
        <is>
          <t>aria-required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RadioGroup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data-disabled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RadioGroup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data-invalid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RadioGroup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data-orientation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RadioGroup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data-slot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RadioGroup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data-state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RadioGroup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data-value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RadioGroup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Composition</t>
        </is>
      </c>
      <c r="C73" s="5" t="inlineStr">
        <is>
          <t>RadioGroup</t>
        </is>
      </c>
      <c r="D73" s="5" t="inlineStr">
        <is>
          <t>asChild preserves child content without double nesting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RadioGroup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RadioGroup</t>
        </is>
      </c>
      <c r="D74" s="5" t="inlineStr">
        <is>
          <t>asChild merges Atom props and consumer props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RadioGroup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45" customHeight="1" s="60">
      <c r="A75" s="4" t="n">
        <v>67</v>
      </c>
      <c r="B75" s="5" t="inlineStr">
        <is>
          <t>Composition</t>
        </is>
      </c>
      <c r="C75" s="5" t="inlineStr">
        <is>
          <t>RadioGroup</t>
        </is>
      </c>
      <c r="D75" s="5" t="inlineStr">
        <is>
          <t>asChild lets preventDefault block Atom behavior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RadioGroup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RadioGroup</t>
        </is>
      </c>
      <c r="D76" s="5" t="inlineStr">
        <is>
          <t>render prop renders custom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RadioGroup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RadioGroup</t>
        </is>
      </c>
      <c r="D77" s="5" t="inlineStr">
        <is>
          <t>render prop preserves refs and behavior props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Composition controls/package tests cover render/asChild behavior for RadioGroup; ready for manual verification where exposed.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Root</t>
        </is>
      </c>
      <c r="D78" s="5" t="inlineStr">
        <is>
          <t>controlled state path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RadioGroup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30" customHeight="1" s="60">
      <c r="A79" s="4" t="n">
        <v>71</v>
      </c>
      <c r="B79" s="5" t="inlineStr">
        <is>
          <t>State</t>
        </is>
      </c>
      <c r="C79" s="5" t="inlineStr">
        <is>
          <t>Root</t>
        </is>
      </c>
      <c r="D79" s="5" t="inlineStr">
        <is>
          <t>uncontrolled default state path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RadioGroup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30" customHeight="1" s="60">
      <c r="A80" s="4" t="n">
        <v>72</v>
      </c>
      <c r="B80" s="5" t="inlineStr">
        <is>
          <t>State</t>
        </is>
      </c>
      <c r="C80" s="5" t="inlineStr">
        <is>
          <t>Root</t>
        </is>
      </c>
      <c r="D80" s="5" t="inlineStr">
        <is>
          <t>state change callback fires once with correct value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RadioGroup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State</t>
        </is>
      </c>
      <c r="C81" s="5" t="inlineStr">
        <is>
          <t>RadioGroup</t>
        </is>
      </c>
      <c r="D81" s="5" t="inlineStr">
        <is>
          <t>disabled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RadioGroup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State</t>
        </is>
      </c>
      <c r="C82" s="5" t="inlineStr">
        <is>
          <t>RadioGroup</t>
        </is>
      </c>
      <c r="D82" s="5" t="inlineStr">
        <is>
          <t>required state blocks or exposes behavior correctly where supported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RadioGroup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State</t>
        </is>
      </c>
      <c r="C83" s="5" t="inlineStr">
        <is>
          <t>RadioGroup</t>
        </is>
      </c>
      <c r="D83" s="5" t="inlineStr">
        <is>
          <t>invalid state blocks or exposes behavior correctly where supported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RadioGroup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30" customHeight="1" s="60">
      <c r="A84" s="4" t="n">
        <v>76</v>
      </c>
      <c r="B84" s="5" t="inlineStr">
        <is>
          <t>Forms</t>
        </is>
      </c>
      <c r="C84" s="5" t="inlineStr">
        <is>
          <t>RadioGroup</t>
        </is>
      </c>
      <c r="D84" s="5" t="inlineStr">
        <is>
          <t>form value participates correctly where supported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RadioGroup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Forms</t>
        </is>
      </c>
      <c r="C85" s="5" t="inlineStr">
        <is>
          <t>RadioGroup</t>
        </is>
      </c>
      <c r="D85" s="5" t="inlineStr">
        <is>
          <t>hidden input mirrors value/checked/disabled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RadioGroup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Keyboard</t>
        </is>
      </c>
      <c r="C86" s="5" t="inlineStr">
        <is>
          <t>RadioGroup</t>
        </is>
      </c>
      <c r="D86" s="5" t="inlineStr">
        <is>
          <t>End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RadioGroup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Keyboard</t>
        </is>
      </c>
      <c r="C87" s="5" t="inlineStr">
        <is>
          <t>RadioGroup</t>
        </is>
      </c>
      <c r="D87" s="5" t="inlineStr">
        <is>
          <t>Home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RadioGroup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Keyboard</t>
        </is>
      </c>
      <c r="C88" s="5" t="inlineStr">
        <is>
          <t>RadioGroup</t>
        </is>
      </c>
      <c r="D88" s="5" t="inlineStr">
        <is>
          <t>Arrow key navigation follows documented orientation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RadioGroup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Keyboard</t>
        </is>
      </c>
      <c r="C89" s="5" t="inlineStr">
        <is>
          <t>RadioGroup</t>
        </is>
      </c>
      <c r="D89" s="5" t="inlineStr">
        <is>
          <t>Home and End navigation where supported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ready for manual test</t>
        </is>
      </c>
      <c r="H89" s="9" t="inlineStr">
        <is>
          <t>covered</t>
        </is>
      </c>
      <c r="I89" s="5" t="inlineStr">
        <is>
          <t>RadioGroup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Keyboard</t>
        </is>
      </c>
      <c r="C90" s="5" t="inlineStr">
        <is>
          <t>RadioGroup</t>
        </is>
      </c>
      <c r="D90" s="5" t="inlineStr">
        <is>
          <t>disabled items are skipped or exposed according to pattern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ready for manual test</t>
        </is>
      </c>
      <c r="H90" s="9" t="inlineStr">
        <is>
          <t>covered</t>
        </is>
      </c>
      <c r="I90" s="5" t="inlineStr">
        <is>
          <t>RadioGroup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Focus</t>
        </is>
      </c>
      <c r="C91" s="5" t="inlineStr">
        <is>
          <t>RadioGroup</t>
        </is>
      </c>
      <c r="D91" s="5" t="inlineStr">
        <is>
          <t>roving focus or active descendant state is visible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ready for manual test</t>
        </is>
      </c>
      <c r="H91" s="9" t="inlineStr">
        <is>
          <t>covered</t>
        </is>
      </c>
      <c r="I91" s="5" t="inlineStr">
        <is>
          <t>RadioGroup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30" customHeight="1" s="60">
      <c r="A92" s="4" t="n">
        <v>84</v>
      </c>
      <c r="B92" s="5" t="inlineStr">
        <is>
          <t>Direction</t>
        </is>
      </c>
      <c r="C92" s="5" t="inlineStr">
        <is>
          <t>Root</t>
        </is>
      </c>
      <c r="D92" s="5" t="inlineStr">
        <is>
          <t>reads Direction.Provider context for horizontal keyboard navigation</t>
        </is>
      </c>
      <c r="E92" s="10" t="inlineStr">
        <is>
          <t>yes</t>
        </is>
      </c>
      <c r="F92" s="8" t="inlineStr">
        <is>
          <t>yes</t>
        </is>
      </c>
      <c r="G92" s="4" t="inlineStr">
        <is>
          <t>ready for manual test</t>
        </is>
      </c>
      <c r="H92" s="10" t="inlineStr">
        <is>
          <t>covered</t>
        </is>
      </c>
      <c r="I92" s="5" t="inlineStr">
        <is>
          <t>RadioGroup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Direction</t>
        </is>
      </c>
      <c r="C93" s="5" t="inlineStr">
        <is>
          <t>Root</t>
        </is>
      </c>
      <c r="D93" s="5" t="inlineStr">
        <is>
          <t>RTL mirrors horizontal ArrowLeft and ArrowRight navigation</t>
        </is>
      </c>
      <c r="E93" s="10" t="inlineStr">
        <is>
          <t>yes</t>
        </is>
      </c>
      <c r="F93" s="8" t="inlineStr">
        <is>
          <t>yes</t>
        </is>
      </c>
      <c r="G93" s="4" t="inlineStr">
        <is>
          <t>ready for manual test</t>
        </is>
      </c>
      <c r="H93" s="10" t="inlineStr">
        <is>
          <t>covered</t>
        </is>
      </c>
      <c r="I93" s="5" t="inlineStr">
        <is>
          <t>RadioGroup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Playground</t>
        </is>
      </c>
      <c r="C94" s="5" t="inlineStr">
        <is>
          <t>Direction controls</t>
        </is>
      </c>
      <c r="D94" s="5" t="inlineStr">
        <is>
          <t>scenario exposes provider direction controls</t>
        </is>
      </c>
      <c r="E94" s="10" t="inlineStr">
        <is>
          <t>yes</t>
        </is>
      </c>
      <c r="F94" s="8" t="inlineStr">
        <is>
          <t>yes</t>
        </is>
      </c>
      <c r="G94" s="4" t="inlineStr">
        <is>
          <t>ready for manual test</t>
        </is>
      </c>
      <c r="H94" s="10" t="inlineStr">
        <is>
          <t>covered</t>
        </is>
      </c>
      <c r="I94" s="5" t="inlineStr">
        <is>
          <t>RadioGroup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30" customHeight="1" s="60"/>
    <row r="96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K10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Rating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 t="n">
        <v>1</v>
      </c>
      <c r="C4" s="1" t="inlineStr">
        <is>
          <t>Covered</t>
        </is>
      </c>
      <c r="D4" s="2" t="n">
        <v>99</v>
      </c>
      <c r="E4" s="1" t="inlineStr">
        <is>
          <t>Partial</t>
        </is>
      </c>
      <c r="F4" s="2" t="n">
        <v>0</v>
      </c>
      <c r="G4" s="1" t="inlineStr">
        <is>
          <t>Missing</t>
        </is>
      </c>
      <c r="H4" s="2" t="n">
        <v>0</v>
      </c>
      <c r="I4" s="1" t="inlineStr">
        <is>
          <t>Untested</t>
        </is>
      </c>
      <c r="J4" s="2" t="n">
        <v>0</v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</t>
        </is>
      </c>
      <c r="H9" s="9" t="inlineStr">
        <is>
          <t>covered</t>
        </is>
      </c>
      <c r="I9" s="5" t="inlineStr">
        <is>
          <t>Rating playground scenario.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</t>
        </is>
      </c>
      <c r="H10" s="9" t="inlineStr">
        <is>
          <t>covered</t>
        </is>
      </c>
      <c r="I10" s="5" t="inlineStr">
        <is>
          <t>Rating playground scenario.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Rating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</t>
        </is>
      </c>
      <c r="H11" s="9" t="inlineStr">
        <is>
          <t>covered</t>
        </is>
      </c>
      <c r="I11" s="5" t="inlineStr">
        <is>
          <t>Rating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Rating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</t>
        </is>
      </c>
      <c r="H12" s="9" t="inlineStr">
        <is>
          <t>covered</t>
        </is>
      </c>
      <c r="I12" s="5" t="inlineStr">
        <is>
          <t>Rating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Rating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</t>
        </is>
      </c>
      <c r="H13" s="9" t="inlineStr">
        <is>
          <t>covered</t>
        </is>
      </c>
      <c r="I13" s="5" t="inlineStr">
        <is>
          <t>Rating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Rating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</t>
        </is>
      </c>
      <c r="H14" s="9" t="inlineStr">
        <is>
          <t>covered</t>
        </is>
      </c>
      <c r="I14" s="5" t="inlineStr">
        <is>
          <t>Rating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Rating</t>
        </is>
      </c>
      <c r="D15" s="5" t="inlineStr">
        <is>
          <t>Implements rating as a WAI-ARIA slider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</t>
        </is>
      </c>
      <c r="H15" s="9" t="inlineStr">
        <is>
          <t>covered</t>
        </is>
      </c>
      <c r="I15" s="5" t="inlineStr">
        <is>
          <t>Rating playground scenario.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Rating</t>
        </is>
      </c>
      <c r="D16" s="5" t="inlineStr">
        <is>
          <t>Supports controlled and uncontrolled values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</t>
        </is>
      </c>
      <c r="H16" s="9" t="inlineStr">
        <is>
          <t>covered</t>
        </is>
      </c>
      <c r="I16" s="5" t="inlineStr">
        <is>
          <t>Rating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Rating</t>
        </is>
      </c>
      <c r="D17" s="5" t="inlineStr">
        <is>
          <t>Supports fractional values with configurable `step`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</t>
        </is>
      </c>
      <c r="H17" s="9" t="inlineStr">
        <is>
          <t>covered</t>
        </is>
      </c>
      <c r="I17" s="5" t="inlineStr">
        <is>
          <t>Rating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Rating</t>
        </is>
      </c>
      <c r="D18" s="5" t="inlineStr">
        <is>
          <t>Supports pointer selection, drag updates, keyboard control, and click-to-clear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</t>
        </is>
      </c>
      <c r="H18" s="9" t="inlineStr">
        <is>
          <t>covered</t>
        </is>
      </c>
      <c r="I18" s="5" t="inlineStr">
        <is>
          <t>Rating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Rating</t>
        </is>
      </c>
      <c r="D19" s="5" t="inlineStr">
        <is>
          <t>Supports disabled, read-only, invalid, and required states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</t>
        </is>
      </c>
      <c r="H19" s="9" t="inlineStr">
        <is>
          <t>covered</t>
        </is>
      </c>
      <c r="I19" s="5" t="inlineStr">
        <is>
          <t>Rating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Rating</t>
        </is>
      </c>
      <c r="D20" s="5" t="inlineStr">
        <is>
          <t>Renders an optional hidden input for form submission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</t>
        </is>
      </c>
      <c r="H20" s="9" t="inlineStr">
        <is>
          <t>covered</t>
        </is>
      </c>
      <c r="I20" s="5" t="inlineStr">
        <is>
          <t>Rating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</t>
        </is>
      </c>
      <c r="H21" s="9" t="inlineStr">
        <is>
          <t>covered</t>
        </is>
      </c>
      <c r="I21" s="5" t="inlineStr">
        <is>
          <t>Rating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</t>
        </is>
      </c>
      <c r="H22" s="9" t="inlineStr">
        <is>
          <t>covered</t>
        </is>
      </c>
      <c r="I22" s="5" t="inlineStr">
        <is>
          <t>Rating playground scenario.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</t>
        </is>
      </c>
      <c r="H23" s="9" t="inlineStr">
        <is>
          <t>covered</t>
        </is>
      </c>
      <c r="I23" s="5" t="inlineStr">
        <is>
          <t>Rating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</t>
        </is>
      </c>
      <c r="H24" s="9" t="inlineStr">
        <is>
          <t>covered</t>
        </is>
      </c>
      <c r="I24" s="5" t="inlineStr">
        <is>
          <t>Rating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</t>
        </is>
      </c>
      <c r="H25" s="9" t="inlineStr">
        <is>
          <t>covered</t>
        </is>
      </c>
      <c r="I25" s="5" t="inlineStr">
        <is>
          <t>Rating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</t>
        </is>
      </c>
      <c r="H26" s="9" t="inlineStr">
        <is>
          <t>covered</t>
        </is>
      </c>
      <c r="I26" s="5" t="inlineStr">
        <is>
          <t>Rating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</t>
        </is>
      </c>
      <c r="H27" s="9" t="inlineStr">
        <is>
          <t>covered</t>
        </is>
      </c>
      <c r="I27" s="5" t="inlineStr">
        <is>
          <t>Rating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</t>
        </is>
      </c>
      <c r="H28" s="9" t="inlineStr">
        <is>
          <t>covered</t>
        </is>
      </c>
      <c r="I28" s="5" t="inlineStr">
        <is>
          <t>Rating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</t>
        </is>
      </c>
      <c r="H29" s="9" t="inlineStr">
        <is>
          <t>covered</t>
        </is>
      </c>
      <c r="I29" s="5" t="inlineStr">
        <is>
          <t>Rating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min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</t>
        </is>
      </c>
      <c r="H30" s="9" t="inlineStr">
        <is>
          <t>covered</t>
        </is>
      </c>
      <c r="I30" s="5" t="inlineStr">
        <is>
          <t>Rating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max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</t>
        </is>
      </c>
      <c r="H31" s="9" t="inlineStr">
        <is>
          <t>covered</t>
        </is>
      </c>
      <c r="I31" s="5" t="inlineStr">
        <is>
          <t>Rating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step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</t>
        </is>
      </c>
      <c r="H32" s="9" t="inlineStr">
        <is>
          <t>covered</t>
        </is>
      </c>
      <c r="I32" s="5" t="inlineStr">
        <is>
          <t>Rating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largeStep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</t>
        </is>
      </c>
      <c r="H33" s="9" t="inlineStr">
        <is>
          <t>covered</t>
        </is>
      </c>
      <c r="I33" s="5" t="inlineStr">
        <is>
          <t>Rating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</t>
        </is>
      </c>
      <c r="H34" s="9" t="inlineStr">
        <is>
          <t>covered</t>
        </is>
      </c>
      <c r="I34" s="5" t="inlineStr">
        <is>
          <t>Rating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</t>
        </is>
      </c>
      <c r="H35" s="9" t="inlineStr">
        <is>
          <t>covered</t>
        </is>
      </c>
      <c r="I35" s="5" t="inlineStr">
        <is>
          <t>Rating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invalid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</t>
        </is>
      </c>
      <c r="H36" s="9" t="inlineStr">
        <is>
          <t>covered</t>
        </is>
      </c>
      <c r="I36" s="5" t="inlineStr">
        <is>
          <t>Rating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required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</t>
        </is>
      </c>
      <c r="H37" s="9" t="inlineStr">
        <is>
          <t>covered</t>
        </is>
      </c>
      <c r="I37" s="5" t="inlineStr">
        <is>
          <t>Rating playground scenario.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name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</t>
        </is>
      </c>
      <c r="H38" s="9" t="inlineStr">
        <is>
          <t>covered</t>
        </is>
      </c>
      <c r="I38" s="5" t="inlineStr">
        <is>
          <t>Rating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formValue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</t>
        </is>
      </c>
      <c r="H39" s="9" t="inlineStr">
        <is>
          <t>covered</t>
        </is>
      </c>
      <c r="I39" s="5" t="inlineStr">
        <is>
          <t>Rating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form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</t>
        </is>
      </c>
      <c r="H40" s="9" t="inlineStr">
        <is>
          <t>covered</t>
        </is>
      </c>
      <c r="I40" s="5" t="inlineStr">
        <is>
          <t>Rating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Accessibility</t>
        </is>
      </c>
      <c r="C41" s="5" t="inlineStr">
        <is>
          <t>Root</t>
        </is>
      </c>
      <c r="D41" s="5" t="inlineStr">
        <is>
          <t>aria-valuetext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</t>
        </is>
      </c>
      <c r="H41" s="9" t="inlineStr">
        <is>
          <t>covered</t>
        </is>
      </c>
      <c r="I41" s="5" t="inlineStr">
        <is>
          <t>Rating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getValueLabel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</t>
        </is>
      </c>
      <c r="H42" s="9" t="inlineStr">
        <is>
          <t>covered</t>
        </is>
      </c>
      <c r="I42" s="5" t="inlineStr">
        <is>
          <t>Rating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tabIndex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</t>
        </is>
      </c>
      <c r="H43" s="9" t="inlineStr">
        <is>
          <t>covered</t>
        </is>
      </c>
      <c r="I43" s="5" t="inlineStr">
        <is>
          <t>Rating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Root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</t>
        </is>
      </c>
      <c r="H44" s="9" t="inlineStr">
        <is>
          <t>covered</t>
        </is>
      </c>
      <c r="I44" s="5" t="inlineStr">
        <is>
          <t>Rating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Root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</t>
        </is>
      </c>
      <c r="H45" s="9" t="inlineStr">
        <is>
          <t>covered</t>
        </is>
      </c>
      <c r="I45" s="5" t="inlineStr">
        <is>
          <t>Rating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</t>
        </is>
      </c>
      <c r="H46" s="9" t="inlineStr">
        <is>
          <t>covered</t>
        </is>
      </c>
      <c r="I46" s="5" t="inlineStr">
        <is>
          <t>Rating playground scenario.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[data-value]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</t>
        </is>
      </c>
      <c r="H47" s="9" t="inlineStr">
        <is>
          <t>covered</t>
        </is>
      </c>
      <c r="I47" s="5" t="inlineStr">
        <is>
          <t>Rating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Root</t>
        </is>
      </c>
      <c r="D48" s="5" t="inlineStr">
        <is>
          <t>[data-min]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</t>
        </is>
      </c>
      <c r="H48" s="9" t="inlineStr">
        <is>
          <t>covered</t>
        </is>
      </c>
      <c r="I48" s="5" t="inlineStr">
        <is>
          <t>Rating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Root</t>
        </is>
      </c>
      <c r="D49" s="5" t="inlineStr">
        <is>
          <t>[data-max]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</t>
        </is>
      </c>
      <c r="H49" s="9" t="inlineStr">
        <is>
          <t>covered</t>
        </is>
      </c>
      <c r="I49" s="5" t="inlineStr">
        <is>
          <t>Rating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Root</t>
        </is>
      </c>
      <c r="D50" s="5" t="inlineStr">
        <is>
          <t>[data-step]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</t>
        </is>
      </c>
      <c r="H50" s="9" t="inlineStr">
        <is>
          <t>covered</t>
        </is>
      </c>
      <c r="I50" s="5" t="inlineStr">
        <is>
          <t>Rating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Root</t>
        </is>
      </c>
      <c r="D51" s="5" t="inlineStr">
        <is>
          <t>[data-disabled]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</t>
        </is>
      </c>
      <c r="H51" s="9" t="inlineStr">
        <is>
          <t>covered</t>
        </is>
      </c>
      <c r="I51" s="5" t="inlineStr">
        <is>
          <t>Rating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Root</t>
        </is>
      </c>
      <c r="D52" s="5" t="inlineStr">
        <is>
          <t>[data-readonly]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</t>
        </is>
      </c>
      <c r="H52" s="9" t="inlineStr">
        <is>
          <t>covered</t>
        </is>
      </c>
      <c r="I52" s="5" t="inlineStr">
        <is>
          <t>Rating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Root</t>
        </is>
      </c>
      <c r="D53" s="5" t="inlineStr">
        <is>
          <t>[data-invalid]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</t>
        </is>
      </c>
      <c r="H53" s="9" t="inlineStr">
        <is>
          <t>covered</t>
        </is>
      </c>
      <c r="I53" s="5" t="inlineStr">
        <is>
          <t>Rating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Root</t>
        </is>
      </c>
      <c r="D54" s="5" t="inlineStr">
        <is>
          <t>[data-required]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</t>
        </is>
      </c>
      <c r="H54" s="9" t="inlineStr">
        <is>
          <t>covered</t>
        </is>
      </c>
      <c r="I54" s="5" t="inlineStr">
        <is>
          <t>Rating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Item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</t>
        </is>
      </c>
      <c r="H55" s="9" t="inlineStr">
        <is>
          <t>covered</t>
        </is>
      </c>
      <c r="I55" s="5" t="inlineStr">
        <is>
          <t>Rating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Item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</t>
        </is>
      </c>
      <c r="H56" s="9" t="inlineStr">
        <is>
          <t>covered</t>
        </is>
      </c>
      <c r="I56" s="5" t="inlineStr">
        <is>
          <t>Rating playground scenario.</t>
        </is>
      </c>
      <c r="J56" s="5" t="n"/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Item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</t>
        </is>
      </c>
      <c r="H57" s="9" t="inlineStr">
        <is>
          <t>covered</t>
        </is>
      </c>
      <c r="I57" s="5" t="inlineStr">
        <is>
          <t>Rating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Item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</t>
        </is>
      </c>
      <c r="H58" s="9" t="inlineStr">
        <is>
          <t>covered</t>
        </is>
      </c>
      <c r="I58" s="5" t="inlineStr">
        <is>
          <t>Rating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Item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</t>
        </is>
      </c>
      <c r="H59" s="9" t="inlineStr">
        <is>
          <t>covered</t>
        </is>
      </c>
      <c r="I59" s="5" t="inlineStr">
        <is>
          <t>Rating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Item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</t>
        </is>
      </c>
      <c r="H60" s="9" t="inlineStr">
        <is>
          <t>covered</t>
        </is>
      </c>
      <c r="I60" s="5" t="inlineStr">
        <is>
          <t>Rating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value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</t>
        </is>
      </c>
      <c r="H61" s="9" t="inlineStr">
        <is>
          <t>covered</t>
        </is>
      </c>
      <c r="I61" s="5" t="inlineStr">
        <is>
          <t>Rating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Item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</t>
        </is>
      </c>
      <c r="H62" s="9" t="inlineStr">
        <is>
          <t>covered</t>
        </is>
      </c>
      <c r="I62" s="5" t="inlineStr">
        <is>
          <t>Rating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Item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</t>
        </is>
      </c>
      <c r="H63" s="9" t="inlineStr">
        <is>
          <t>covered</t>
        </is>
      </c>
      <c r="I63" s="5" t="inlineStr">
        <is>
          <t>Rating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Item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</t>
        </is>
      </c>
      <c r="H64" s="9" t="inlineStr">
        <is>
          <t>covered</t>
        </is>
      </c>
      <c r="I64" s="5" t="inlineStr">
        <is>
          <t>Rating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[data-value]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</t>
        </is>
      </c>
      <c r="H65" s="9" t="inlineStr">
        <is>
          <t>covered</t>
        </is>
      </c>
      <c r="I65" s="5" t="inlineStr">
        <is>
          <t>Rating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Item</t>
        </is>
      </c>
      <c r="D66" s="5" t="inlineStr">
        <is>
          <t>[data-fill]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</t>
        </is>
      </c>
      <c r="H66" s="9" t="inlineStr">
        <is>
          <t>covered</t>
        </is>
      </c>
      <c r="I66" s="5" t="inlineStr">
        <is>
          <t>Rating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[data-state]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</t>
        </is>
      </c>
      <c r="H67" s="9" t="inlineStr">
        <is>
          <t>covered</t>
        </is>
      </c>
      <c r="I67" s="5" t="inlineStr">
        <is>
          <t>Rating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Item</t>
        </is>
      </c>
      <c r="D68" s="5" t="inlineStr">
        <is>
          <t>[data-disabled]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</t>
        </is>
      </c>
      <c r="H68" s="9" t="inlineStr">
        <is>
          <t>covered</t>
        </is>
      </c>
      <c r="I68" s="5" t="inlineStr">
        <is>
          <t>Rating playground scenario.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Item</t>
        </is>
      </c>
      <c r="D69" s="5" t="inlineStr">
        <is>
          <t>[data-readonly]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</t>
        </is>
      </c>
      <c r="H69" s="9" t="inlineStr">
        <is>
          <t>covered</t>
        </is>
      </c>
      <c r="I69" s="5" t="inlineStr">
        <is>
          <t>Rating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Item</t>
        </is>
      </c>
      <c r="D70" s="5" t="inlineStr">
        <is>
          <t>[data-invalid]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</t>
        </is>
      </c>
      <c r="H70" s="9" t="inlineStr">
        <is>
          <t>covered</t>
        </is>
      </c>
      <c r="I70" s="5" t="inlineStr">
        <is>
          <t>Rating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aria-disabled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</t>
        </is>
      </c>
      <c r="H71" s="9" t="inlineStr">
        <is>
          <t>covered</t>
        </is>
      </c>
      <c r="I71" s="5" t="inlineStr">
        <is>
          <t>Rating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aria-hidden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</t>
        </is>
      </c>
      <c r="H72" s="9" t="inlineStr">
        <is>
          <t>covered</t>
        </is>
      </c>
      <c r="I72" s="5" t="inlineStr">
        <is>
          <t>Rating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aria-invalid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</t>
        </is>
      </c>
      <c r="H73" s="9" t="inlineStr">
        <is>
          <t>covered</t>
        </is>
      </c>
      <c r="I73" s="5" t="inlineStr">
        <is>
          <t>Rating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aria-readonly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</t>
        </is>
      </c>
      <c r="H74" s="9" t="inlineStr">
        <is>
          <t>covered</t>
        </is>
      </c>
      <c r="I74" s="5" t="inlineStr">
        <is>
          <t>Rating playground scenario.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aria-required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</t>
        </is>
      </c>
      <c r="H75" s="9" t="inlineStr">
        <is>
          <t>covered</t>
        </is>
      </c>
      <c r="I75" s="5" t="inlineStr">
        <is>
          <t>Rating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aria-valuemax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</t>
        </is>
      </c>
      <c r="H76" s="9" t="inlineStr">
        <is>
          <t>covered</t>
        </is>
      </c>
      <c r="I76" s="5" t="inlineStr">
        <is>
          <t>Rating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aria-valuemin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</t>
        </is>
      </c>
      <c r="H77" s="9" t="inlineStr">
        <is>
          <t>covered</t>
        </is>
      </c>
      <c r="I77" s="5" t="inlineStr">
        <is>
          <t>Rating playground scenario.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aria-valuenow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</t>
        </is>
      </c>
      <c r="H78" s="9" t="inlineStr">
        <is>
          <t>covered</t>
        </is>
      </c>
      <c r="I78" s="5" t="inlineStr">
        <is>
          <t>Rating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aria-valuetext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</t>
        </is>
      </c>
      <c r="H79" s="9" t="inlineStr">
        <is>
          <t>covered</t>
        </is>
      </c>
      <c r="I79" s="5" t="inlineStr">
        <is>
          <t>Rating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</t>
        </is>
      </c>
      <c r="H80" s="9" t="inlineStr">
        <is>
          <t>covered</t>
        </is>
      </c>
      <c r="I80" s="5" t="inlineStr">
        <is>
          <t>Rating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data-fill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</t>
        </is>
      </c>
      <c r="H81" s="9" t="inlineStr">
        <is>
          <t>covered</t>
        </is>
      </c>
      <c r="I81" s="5" t="inlineStr">
        <is>
          <t>Rating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data-invalid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</t>
        </is>
      </c>
      <c r="H82" s="9" t="inlineStr">
        <is>
          <t>covered</t>
        </is>
      </c>
      <c r="I82" s="5" t="inlineStr">
        <is>
          <t>Rating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data-max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</t>
        </is>
      </c>
      <c r="H83" s="9" t="inlineStr">
        <is>
          <t>covered</t>
        </is>
      </c>
      <c r="I83" s="5" t="inlineStr">
        <is>
          <t>Rating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data-min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</t>
        </is>
      </c>
      <c r="H84" s="9" t="inlineStr">
        <is>
          <t>covered</t>
        </is>
      </c>
      <c r="I84" s="5" t="inlineStr">
        <is>
          <t>Rating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data-readonly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</t>
        </is>
      </c>
      <c r="H85" s="9" t="inlineStr">
        <is>
          <t>covered</t>
        </is>
      </c>
      <c r="I85" s="5" t="inlineStr">
        <is>
          <t>Rating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data-required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</t>
        </is>
      </c>
      <c r="H86" s="9" t="inlineStr">
        <is>
          <t>covered</t>
        </is>
      </c>
      <c r="I86" s="5" t="inlineStr">
        <is>
          <t>Rating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data-slot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</t>
        </is>
      </c>
      <c r="H87" s="9" t="inlineStr">
        <is>
          <t>covered</t>
        </is>
      </c>
      <c r="I87" s="5" t="inlineStr">
        <is>
          <t>Rating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data-state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</t>
        </is>
      </c>
      <c r="H88" s="9" t="inlineStr">
        <is>
          <t>covered</t>
        </is>
      </c>
      <c r="I88" s="5" t="inlineStr">
        <is>
          <t>Rating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data-step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</t>
        </is>
      </c>
      <c r="H89" s="9" t="inlineStr">
        <is>
          <t>covered</t>
        </is>
      </c>
      <c r="I89" s="5" t="inlineStr">
        <is>
          <t>Rating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data-value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</t>
        </is>
      </c>
      <c r="H90" s="9" t="inlineStr">
        <is>
          <t>covered</t>
        </is>
      </c>
      <c r="I90" s="5" t="inlineStr">
        <is>
          <t>Rating playground scenario.</t>
        </is>
      </c>
      <c r="J90" s="5" t="n"/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Composition</t>
        </is>
      </c>
      <c r="C91" s="5" t="inlineStr">
        <is>
          <t>Rating</t>
        </is>
      </c>
      <c r="D91" s="5" t="inlineStr">
        <is>
          <t>asChild preserves child content without double nesting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</t>
        </is>
      </c>
      <c r="H91" s="9" t="inlineStr">
        <is>
          <t>covered</t>
        </is>
      </c>
      <c r="I91" s="5" t="inlineStr">
        <is>
          <t>Rating playground scenario.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Composition</t>
        </is>
      </c>
      <c r="C92" s="5" t="inlineStr">
        <is>
          <t>Rating</t>
        </is>
      </c>
      <c r="D92" s="5" t="inlineStr">
        <is>
          <t>asChild merges Atom props and consumer props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</t>
        </is>
      </c>
      <c r="H92" s="9" t="inlineStr">
        <is>
          <t>covered</t>
        </is>
      </c>
      <c r="I92" s="5" t="inlineStr">
        <is>
          <t>Rating playground scenario.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Composition</t>
        </is>
      </c>
      <c r="C93" s="5" t="inlineStr">
        <is>
          <t>Rating</t>
        </is>
      </c>
      <c r="D93" s="5" t="inlineStr">
        <is>
          <t>asChild lets preventDefault block Atom behavior where supported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</t>
        </is>
      </c>
      <c r="H93" s="9" t="inlineStr">
        <is>
          <t>covered</t>
        </is>
      </c>
      <c r="I93" s="5" t="inlineStr">
        <is>
          <t>Rating playground scenario.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Rating</t>
        </is>
      </c>
      <c r="D94" s="5" t="inlineStr">
        <is>
          <t>render prop renders custom element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</t>
        </is>
      </c>
      <c r="H94" s="9" t="inlineStr">
        <is>
          <t>covered</t>
        </is>
      </c>
      <c r="I94" s="5" t="inlineStr">
        <is>
          <t>Rating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Rating</t>
        </is>
      </c>
      <c r="D95" s="5" t="inlineStr">
        <is>
          <t>render prop preserves refs and behavior props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</t>
        </is>
      </c>
      <c r="H95" s="9" t="inlineStr">
        <is>
          <t>covered</t>
        </is>
      </c>
      <c r="I95" s="5" t="inlineStr">
        <is>
          <t>Rating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State</t>
        </is>
      </c>
      <c r="C96" s="5" t="inlineStr">
        <is>
          <t>Root</t>
        </is>
      </c>
      <c r="D96" s="5" t="inlineStr">
        <is>
          <t>controlled state path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</t>
        </is>
      </c>
      <c r="H96" s="9" t="inlineStr">
        <is>
          <t>covered</t>
        </is>
      </c>
      <c r="I96" s="5" t="inlineStr">
        <is>
          <t>Rating playground scenario.</t>
        </is>
      </c>
      <c r="J96" s="5" t="n"/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State</t>
        </is>
      </c>
      <c r="C97" s="5" t="inlineStr">
        <is>
          <t>Root</t>
        </is>
      </c>
      <c r="D97" s="5" t="inlineStr">
        <is>
          <t>uncontrolled default state path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</t>
        </is>
      </c>
      <c r="H97" s="9" t="inlineStr">
        <is>
          <t>covered</t>
        </is>
      </c>
      <c r="I97" s="5" t="inlineStr">
        <is>
          <t>Rating playground scenario.</t>
        </is>
      </c>
      <c r="J97" s="5" t="n"/>
      <c r="K97" s="6">
        <f>IF(AND(E97="yes",F97="yes",H97="covered"),1,IF(H97="partial",0.5,0))</f>
        <v/>
      </c>
    </row>
    <row r="98" ht="30" customHeight="1" s="60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state change callback fires once with correct value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</t>
        </is>
      </c>
      <c r="H98" s="9" t="inlineStr">
        <is>
          <t>covered</t>
        </is>
      </c>
      <c r="I98" s="5" t="inlineStr">
        <is>
          <t>Rating playground scenario.</t>
        </is>
      </c>
      <c r="J98" s="5" t="n"/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State</t>
        </is>
      </c>
      <c r="C99" s="5" t="inlineStr">
        <is>
          <t>Rating</t>
        </is>
      </c>
      <c r="D99" s="5" t="inlineStr">
        <is>
          <t>disabled state blocks or exposes behavior correctly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</t>
        </is>
      </c>
      <c r="H99" s="9" t="inlineStr">
        <is>
          <t>covered</t>
        </is>
      </c>
      <c r="I99" s="5" t="inlineStr">
        <is>
          <t>Rating playground scenario.</t>
        </is>
      </c>
      <c r="J99" s="5" t="n"/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State</t>
        </is>
      </c>
      <c r="C100" s="5" t="inlineStr">
        <is>
          <t>Rating</t>
        </is>
      </c>
      <c r="D100" s="5" t="inlineStr">
        <is>
          <t>readonly/readOnly state blocks or exposes behavior correctly where supported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</t>
        </is>
      </c>
      <c r="H100" s="9" t="inlineStr">
        <is>
          <t>covered</t>
        </is>
      </c>
      <c r="I100" s="5" t="inlineStr">
        <is>
          <t>Rating playground scenario.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Rating</t>
        </is>
      </c>
      <c r="D101" s="5" t="inlineStr">
        <is>
          <t>required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</t>
        </is>
      </c>
      <c r="H101" s="9" t="inlineStr">
        <is>
          <t>covered</t>
        </is>
      </c>
      <c r="I101" s="5" t="inlineStr">
        <is>
          <t>Rating playground scenario.</t>
        </is>
      </c>
      <c r="J101" s="5" t="n"/>
      <c r="K101" s="6">
        <f>IF(AND(E101="yes",F101="yes",H101="covered"),1,IF(H101="partial",0.5,0))</f>
        <v/>
      </c>
    </row>
    <row r="102" ht="30" customHeight="1" s="60">
      <c r="A102" s="4" t="n">
        <v>94</v>
      </c>
      <c r="B102" s="5" t="inlineStr">
        <is>
          <t>State</t>
        </is>
      </c>
      <c r="C102" s="5" t="inlineStr">
        <is>
          <t>Rating</t>
        </is>
      </c>
      <c r="D102" s="5" t="inlineStr">
        <is>
          <t>invalid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</t>
        </is>
      </c>
      <c r="H102" s="9" t="inlineStr">
        <is>
          <t>covered</t>
        </is>
      </c>
      <c r="I102" s="5" t="inlineStr">
        <is>
          <t>Rating playground scenario.</t>
        </is>
      </c>
      <c r="J102" s="5" t="n"/>
      <c r="K102" s="6">
        <f>IF(AND(E102="yes",F102="yes",H102="covered"),1,IF(H102="partial",0.5,0))</f>
        <v/>
      </c>
    </row>
    <row r="103" ht="30" customHeight="1" s="60">
      <c r="A103" s="4" t="n">
        <v>95</v>
      </c>
      <c r="B103" s="5" t="inlineStr">
        <is>
          <t>Forms</t>
        </is>
      </c>
      <c r="C103" s="5" t="inlineStr">
        <is>
          <t>Rating</t>
        </is>
      </c>
      <c r="D103" s="5" t="inlineStr">
        <is>
          <t>form value participates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</t>
        </is>
      </c>
      <c r="H103" s="9" t="inlineStr">
        <is>
          <t>covered</t>
        </is>
      </c>
      <c r="I103" s="5" t="inlineStr">
        <is>
          <t>Rating playground scenario.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Forms</t>
        </is>
      </c>
      <c r="C104" s="5" t="inlineStr">
        <is>
          <t>Rating</t>
        </is>
      </c>
      <c r="D104" s="5" t="inlineStr">
        <is>
          <t>hidden input mirrors value/checked/disabled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</t>
        </is>
      </c>
      <c r="H104" s="9" t="inlineStr">
        <is>
          <t>covered</t>
        </is>
      </c>
      <c r="I104" s="5" t="inlineStr">
        <is>
          <t>Rating playground scenario.</t>
        </is>
      </c>
      <c r="J104" s="5" t="n"/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Direction</t>
        </is>
      </c>
      <c r="C105" s="5" t="inlineStr">
        <is>
          <t>Root</t>
        </is>
      </c>
      <c r="D105" s="5" t="inlineStr">
        <is>
          <t>reads Direction.Provider context for horizontal rating movement</t>
        </is>
      </c>
      <c r="E105" s="10" t="inlineStr">
        <is>
          <t>yes</t>
        </is>
      </c>
      <c r="F105" s="8" t="inlineStr">
        <is>
          <t>yes</t>
        </is>
      </c>
      <c r="G105" s="4" t="inlineStr">
        <is>
          <t>pass</t>
        </is>
      </c>
      <c r="H105" s="10" t="inlineStr">
        <is>
          <t>covered</t>
        </is>
      </c>
      <c r="I105" s="5" t="inlineStr">
        <is>
          <t>Rating playground scenario.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Direction</t>
        </is>
      </c>
      <c r="C106" s="5" t="inlineStr">
        <is>
          <t>Root</t>
        </is>
      </c>
      <c r="D106" s="5" t="inlineStr">
        <is>
          <t>RTL mirrors ArrowLeft and ArrowRight rating changes</t>
        </is>
      </c>
      <c r="E106" s="10" t="inlineStr">
        <is>
          <t>yes</t>
        </is>
      </c>
      <c r="F106" s="8" t="inlineStr">
        <is>
          <t>yes</t>
        </is>
      </c>
      <c r="G106" s="4" t="inlineStr">
        <is>
          <t>pass</t>
        </is>
      </c>
      <c r="H106" s="10" t="inlineStr">
        <is>
          <t>covered</t>
        </is>
      </c>
      <c r="I106" s="5" t="inlineStr">
        <is>
          <t>Rating playground scenario.</t>
        </is>
      </c>
      <c r="J106" s="5" t="n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Playground</t>
        </is>
      </c>
      <c r="C107" s="5" t="inlineStr">
        <is>
          <t>Direction controls</t>
        </is>
      </c>
      <c r="D107" s="5" t="inlineStr">
        <is>
          <t>scenario exposes provider direction controls</t>
        </is>
      </c>
      <c r="E107" s="10" t="inlineStr">
        <is>
          <t>yes</t>
        </is>
      </c>
      <c r="F107" s="8" t="inlineStr">
        <is>
          <t>yes</t>
        </is>
      </c>
      <c r="G107" s="4" t="inlineStr">
        <is>
          <t>pass</t>
        </is>
      </c>
      <c r="H107" s="10" t="inlineStr">
        <is>
          <t>covered</t>
        </is>
      </c>
      <c r="I107" s="5" t="inlineStr">
        <is>
          <t>Rating playground scenario.</t>
        </is>
      </c>
      <c r="J107" s="5" t="n"/>
      <c r="K107" s="6">
        <f>IF(AND(E107="yes",F107="yes",H107="covered"),1,IF(H107="partial",0.5,0))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ScrollArea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IFERROR(SUM(K9:K54)/COUNTA(A9:A54),0)</f>
        <v/>
      </c>
      <c r="C4" s="1" t="inlineStr">
        <is>
          <t>Covered</t>
        </is>
      </c>
      <c r="D4" s="2">
        <f>COUNTIF(H9:H54,"covered")</f>
        <v/>
      </c>
      <c r="E4" s="1" t="inlineStr">
        <is>
          <t>Partial</t>
        </is>
      </c>
      <c r="F4" s="2">
        <f>COUNTIF(H9:H54,"partial")</f>
        <v/>
      </c>
      <c r="G4" s="1" t="inlineStr">
        <is>
          <t>Missing</t>
        </is>
      </c>
      <c r="H4" s="2">
        <f>COUNTIF(H9:H54,"missing")</f>
        <v/>
      </c>
      <c r="I4" s="1" t="inlineStr">
        <is>
          <t>Untested</t>
        </is>
      </c>
      <c r="J4" s="2">
        <f>COUNTIF(F9:F54,"no")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ScrollArea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ScrollArea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ScrollArea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ScrollArea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ScrollArea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ScrollArea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30" customHeight="1" s="60">
      <c r="A14" s="19" t="n">
        <v>6</v>
      </c>
      <c r="B14" s="20" t="inlineStr">
        <is>
          <t>Playground</t>
        </is>
      </c>
      <c r="C14" s="20" t="inlineStr">
        <is>
          <t>ScrollArea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ScrollArea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ScrollArea</t>
        </is>
      </c>
      <c r="D15" s="20" t="inlineStr">
        <is>
          <t>Provides root and viewport parts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ScrollArea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30" customHeight="1" s="60">
      <c r="A16" s="19" t="n">
        <v>8</v>
      </c>
      <c r="B16" s="20" t="inlineStr">
        <is>
          <t>Feature</t>
        </is>
      </c>
      <c r="C16" s="20" t="inlineStr">
        <is>
          <t>ScrollArea</t>
        </is>
      </c>
      <c r="D16" s="20" t="inlineStr">
        <is>
          <t>Supports vertical, horizontal, and both-axis orientation metadata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ScrollArea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ScrollArea</t>
        </is>
      </c>
      <c r="D17" s="20" t="inlineStr">
        <is>
          <t>Keeps the viewport out of the Tab order by default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ScrollArea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ScrollArea</t>
        </is>
      </c>
      <c r="D18" s="20" t="inlineStr">
        <is>
          <t>Adds `role="region"` only when the viewport has an accessible name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ScrollArea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Feature</t>
        </is>
      </c>
      <c r="C19" s="20" t="inlineStr">
        <is>
          <t>ScrollArea</t>
        </is>
      </c>
      <c r="D19" s="20" t="inlineStr">
        <is>
          <t>Supports `asChild` and `render` on every part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ScrollArea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ScrollArea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15" customHeight="1" s="60">
      <c r="A21" s="19" t="n">
        <v>13</v>
      </c>
      <c r="B21" s="20" t="inlineStr">
        <is>
          <t>Anatomy</t>
        </is>
      </c>
      <c r="C21" s="20" t="inlineStr">
        <is>
          <t>Root</t>
        </is>
      </c>
      <c r="D21" s="20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ScrollArea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30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ScrollArea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Identity</t>
        </is>
      </c>
      <c r="C23" s="20" t="inlineStr">
        <is>
          <t>Root</t>
        </is>
      </c>
      <c r="D23" s="20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ScrollArea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Props</t>
        </is>
      </c>
      <c r="C24" s="20" t="inlineStr">
        <is>
          <t>Root</t>
        </is>
      </c>
      <c r="D24" s="20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ScrollArea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Refs</t>
        </is>
      </c>
      <c r="C25" s="20" t="inlineStr">
        <is>
          <t>Root</t>
        </is>
      </c>
      <c r="D25" s="20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ScrollArea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ScrollArea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Composition</t>
        </is>
      </c>
      <c r="C27" s="20" t="inlineStr">
        <is>
          <t>Root</t>
        </is>
      </c>
      <c r="D27" s="20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ScrollArea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orientation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ScrollArea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[data-slot]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ScrollArea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Public API</t>
        </is>
      </c>
      <c r="C30" s="20" t="inlineStr">
        <is>
          <t>Root</t>
        </is>
      </c>
      <c r="D30" s="20" t="inlineStr">
        <is>
          <t>[data-orientation]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ScrollArea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Anatomy</t>
        </is>
      </c>
      <c r="C31" s="20" t="inlineStr">
        <is>
          <t>Viewport</t>
        </is>
      </c>
      <c r="D31" s="20" t="inlineStr">
        <is>
          <t>renders correct part when expected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ScrollArea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Anatomy</t>
        </is>
      </c>
      <c r="C32" s="20" t="inlineStr">
        <is>
          <t>Viewport</t>
        </is>
      </c>
      <c r="D32" s="20" t="inlineStr">
        <is>
          <t>appears in documented order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ScrollArea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30" customHeight="1" s="60">
      <c r="A33" s="19" t="n">
        <v>25</v>
      </c>
      <c r="B33" s="20" t="inlineStr">
        <is>
          <t>Identity</t>
        </is>
      </c>
      <c r="C33" s="20" t="inlineStr">
        <is>
          <t>Viewport</t>
        </is>
      </c>
      <c r="D33" s="20" t="inlineStr">
        <is>
          <t>default tag is visible in Anatomy/Inspector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ScrollArea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Identity</t>
        </is>
      </c>
      <c r="C34" s="20" t="inlineStr">
        <is>
          <t>Viewport</t>
        </is>
      </c>
      <c r="D34" s="20" t="inlineStr">
        <is>
          <t>data-slot is present and correct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ScrollArea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Props</t>
        </is>
      </c>
      <c r="C35" s="20" t="inlineStr">
        <is>
          <t>Viewport</t>
        </is>
      </c>
      <c r="D35" s="20" t="inlineStr">
        <is>
          <t>non-Atom native props pass through with data-prop-check marker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ScrollArea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60">
      <c r="A36" s="19" t="n">
        <v>28</v>
      </c>
      <c r="B36" s="20" t="inlineStr">
        <is>
          <t>Refs</t>
        </is>
      </c>
      <c r="C36" s="20" t="inlineStr">
        <is>
          <t>Viewport</t>
        </is>
      </c>
      <c r="D36" s="20" t="inlineStr">
        <is>
          <t>consumer ref receives the rendered element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ScrollArea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  <row r="37" ht="15" customHeight="1" s="60">
      <c r="A37" s="19" t="n">
        <v>29</v>
      </c>
      <c r="B37" s="20" t="inlineStr">
        <is>
          <t>Composition</t>
        </is>
      </c>
      <c r="C37" s="20" t="inlineStr">
        <is>
          <t>Viewport</t>
        </is>
      </c>
      <c r="D37" s="20" t="inlineStr">
        <is>
          <t>asChild prop behavior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ScrollArea playground scenario.</t>
        </is>
      </c>
      <c r="J37" s="20" t="inlineStr">
        <is>
          <t>Manual verification passed.</t>
        </is>
      </c>
      <c r="K37" s="21">
        <f>IF(H37="covered",1,IF(H37="partial",0.5,0))</f>
        <v/>
      </c>
    </row>
    <row r="38" ht="15" customHeight="1" s="60">
      <c r="A38" s="19" t="n">
        <v>30</v>
      </c>
      <c r="B38" s="20" t="inlineStr">
        <is>
          <t>Composition</t>
        </is>
      </c>
      <c r="C38" s="20" t="inlineStr">
        <is>
          <t>Viewport</t>
        </is>
      </c>
      <c r="D38" s="20" t="inlineStr">
        <is>
          <t>render prop behavior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ScrollArea playground scenario.</t>
        </is>
      </c>
      <c r="J38" s="20" t="inlineStr">
        <is>
          <t>Manual verification passed.</t>
        </is>
      </c>
      <c r="K38" s="21">
        <f>IF(H38="covered",1,IF(H38="partial",0.5,0))</f>
        <v/>
      </c>
    </row>
    <row r="39" ht="15" customHeight="1" s="60">
      <c r="A39" s="19" t="n">
        <v>31</v>
      </c>
      <c r="B39" s="20" t="inlineStr">
        <is>
          <t>Public API</t>
        </is>
      </c>
      <c r="C39" s="20" t="inlineStr">
        <is>
          <t>Viewport</t>
        </is>
      </c>
      <c r="D39" s="20" t="inlineStr">
        <is>
          <t>focusable prop behavior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ScrollArea playground scenario.</t>
        </is>
      </c>
      <c r="J39" s="20" t="inlineStr">
        <is>
          <t>Manual verification passed.</t>
        </is>
      </c>
      <c r="K39" s="21">
        <f>IF(H39="covered",1,IF(H39="partial",0.5,0))</f>
        <v/>
      </c>
    </row>
    <row r="40" ht="15" customHeight="1" s="60">
      <c r="A40" s="19" t="n">
        <v>32</v>
      </c>
      <c r="B40" s="20" t="inlineStr">
        <is>
          <t>Public API</t>
        </is>
      </c>
      <c r="C40" s="20" t="inlineStr">
        <is>
          <t>Viewport</t>
        </is>
      </c>
      <c r="D40" s="20" t="inlineStr">
        <is>
          <t>role prop behavior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ScrollArea playground scenario.</t>
        </is>
      </c>
      <c r="J40" s="20" t="inlineStr">
        <is>
          <t>Manual verification passed.</t>
        </is>
      </c>
      <c r="K40" s="21">
        <f>IF(H40="covered",1,IF(H40="partial",0.5,0))</f>
        <v/>
      </c>
    </row>
    <row r="41" ht="15" customHeight="1" s="60">
      <c r="A41" s="19" t="n">
        <v>33</v>
      </c>
      <c r="B41" s="20" t="inlineStr">
        <is>
          <t>Accessibility</t>
        </is>
      </c>
      <c r="C41" s="20" t="inlineStr">
        <is>
          <t>Viewport</t>
        </is>
      </c>
      <c r="D41" s="20" t="inlineStr">
        <is>
          <t>aria-label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ScrollArea playground scenario.</t>
        </is>
      </c>
      <c r="J41" s="20" t="inlineStr">
        <is>
          <t>Manual verification passed.</t>
        </is>
      </c>
      <c r="K41" s="21">
        <f>IF(H41="covered",1,IF(H41="partial",0.5,0))</f>
        <v/>
      </c>
    </row>
    <row r="42" ht="15" customHeight="1" s="60">
      <c r="A42" s="19" t="n">
        <v>34</v>
      </c>
      <c r="B42" s="20" t="inlineStr">
        <is>
          <t>Accessibility</t>
        </is>
      </c>
      <c r="C42" s="20" t="inlineStr">
        <is>
          <t>Viewport</t>
        </is>
      </c>
      <c r="D42" s="20" t="inlineStr">
        <is>
          <t>aria-labelledby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ScrollArea playground scenario.</t>
        </is>
      </c>
      <c r="J42" s="20" t="inlineStr">
        <is>
          <t>Manual verification passed.</t>
        </is>
      </c>
      <c r="K42" s="21">
        <f>IF(H42="covered",1,IF(H42="partial",0.5,0))</f>
        <v/>
      </c>
    </row>
    <row r="43" ht="15" customHeight="1" s="60">
      <c r="A43" s="19" t="n">
        <v>35</v>
      </c>
      <c r="B43" s="20" t="inlineStr">
        <is>
          <t>Public API</t>
        </is>
      </c>
      <c r="C43" s="20" t="inlineStr">
        <is>
          <t>Viewport</t>
        </is>
      </c>
      <c r="D43" s="20" t="inlineStr">
        <is>
          <t>[data-slot] prop behavior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ScrollArea playground scenario.</t>
        </is>
      </c>
      <c r="J43" s="20" t="inlineStr">
        <is>
          <t>Manual verification passed.</t>
        </is>
      </c>
      <c r="K43" s="21">
        <f>IF(H43="covered",1,IF(H43="partial",0.5,0))</f>
        <v/>
      </c>
    </row>
    <row r="44" ht="15" customHeight="1" s="60">
      <c r="A44" s="19" t="n">
        <v>36</v>
      </c>
      <c r="B44" s="20" t="inlineStr">
        <is>
          <t>Public API</t>
        </is>
      </c>
      <c r="C44" s="20" t="inlineStr">
        <is>
          <t>Viewport</t>
        </is>
      </c>
      <c r="D44" s="20" t="inlineStr">
        <is>
          <t>[data-orientation] prop behavior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ScrollArea playground scenario.</t>
        </is>
      </c>
      <c r="J44" s="20" t="inlineStr">
        <is>
          <t>Manual verification passed.</t>
        </is>
      </c>
      <c r="K44" s="21">
        <f>IF(H44="covered",1,IF(H44="partial",0.5,0))</f>
        <v/>
      </c>
    </row>
    <row r="45" ht="15" customHeight="1" s="60">
      <c r="A45" s="19" t="n">
        <v>37</v>
      </c>
      <c r="B45" s="20" t="inlineStr">
        <is>
          <t>ARIA</t>
        </is>
      </c>
      <c r="C45" s="20" t="inlineStr">
        <is>
          <t>Live DOM</t>
        </is>
      </c>
      <c r="D45" s="20" t="inlineStr">
        <is>
          <t>aria-label is present at the correct time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ScrollArea playground scenario.</t>
        </is>
      </c>
      <c r="J45" s="20" t="inlineStr">
        <is>
          <t>Manual verification passed.</t>
        </is>
      </c>
      <c r="K45" s="21">
        <f>IF(H45="covered",1,IF(H45="partial",0.5,0))</f>
        <v/>
      </c>
    </row>
    <row r="46" ht="15" customHeight="1" s="60">
      <c r="A46" s="19" t="n">
        <v>38</v>
      </c>
      <c r="B46" s="20" t="inlineStr">
        <is>
          <t>ARIA</t>
        </is>
      </c>
      <c r="C46" s="20" t="inlineStr">
        <is>
          <t>Live DOM</t>
        </is>
      </c>
      <c r="D46" s="20" t="inlineStr">
        <is>
          <t>aria-labelledby is present at the correct time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ScrollArea playground scenario.</t>
        </is>
      </c>
      <c r="J46" s="20" t="inlineStr">
        <is>
          <t>Manual verification passed.</t>
        </is>
      </c>
      <c r="K46" s="21">
        <f>IF(H46="covered",1,IF(H46="partial",0.5,0))</f>
        <v/>
      </c>
    </row>
    <row r="47" ht="15" customHeight="1" s="60">
      <c r="A47" s="19" t="n">
        <v>39</v>
      </c>
      <c r="B47" s="20" t="inlineStr">
        <is>
          <t>Data</t>
        </is>
      </c>
      <c r="C47" s="20" t="inlineStr">
        <is>
          <t>Live DOM</t>
        </is>
      </c>
      <c r="D47" s="20" t="inlineStr">
        <is>
          <t>data-orientation is present at the correct time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ScrollArea playground scenario.</t>
        </is>
      </c>
      <c r="J47" s="20" t="inlineStr">
        <is>
          <t>Manual verification passed.</t>
        </is>
      </c>
      <c r="K47" s="21">
        <f>IF(H47="covered",1,IF(H47="partial",0.5,0))</f>
        <v/>
      </c>
    </row>
    <row r="48" ht="15" customHeight="1" s="60">
      <c r="A48" s="19" t="n">
        <v>40</v>
      </c>
      <c r="B48" s="20" t="inlineStr">
        <is>
          <t>Data</t>
        </is>
      </c>
      <c r="C48" s="20" t="inlineStr">
        <is>
          <t>Live DOM</t>
        </is>
      </c>
      <c r="D48" s="20" t="inlineStr">
        <is>
          <t>data-slot is present at the correct time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ScrollArea playground scenario.</t>
        </is>
      </c>
      <c r="J48" s="20" t="inlineStr">
        <is>
          <t>Manual verification passed.</t>
        </is>
      </c>
      <c r="K48" s="21">
        <f>IF(H48="covered",1,IF(H48="partial",0.5,0))</f>
        <v/>
      </c>
    </row>
    <row r="49" ht="15" customHeight="1" s="60">
      <c r="A49" s="19" t="n">
        <v>41</v>
      </c>
      <c r="B49" s="20" t="inlineStr">
        <is>
          <t>Composition</t>
        </is>
      </c>
      <c r="C49" s="20" t="inlineStr">
        <is>
          <t>ScrollArea</t>
        </is>
      </c>
      <c r="D49" s="20" t="inlineStr">
        <is>
          <t>asChild preserves child content without double nesting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ScrollArea playground scenario.</t>
        </is>
      </c>
      <c r="J49" s="20" t="inlineStr">
        <is>
          <t>Manual verification passed.</t>
        </is>
      </c>
      <c r="K49" s="21">
        <f>IF(H49="covered",1,IF(H49="partial",0.5,0))</f>
        <v/>
      </c>
    </row>
    <row r="50" ht="15" customHeight="1" s="60">
      <c r="A50" s="19" t="n">
        <v>42</v>
      </c>
      <c r="B50" s="20" t="inlineStr">
        <is>
          <t>Composition</t>
        </is>
      </c>
      <c r="C50" s="20" t="inlineStr">
        <is>
          <t>ScrollArea</t>
        </is>
      </c>
      <c r="D50" s="20" t="inlineStr">
        <is>
          <t>asChild merges Atom props and consumer props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ScrollArea playground scenario.</t>
        </is>
      </c>
      <c r="J50" s="20" t="inlineStr">
        <is>
          <t>Manual verification passed.</t>
        </is>
      </c>
      <c r="K50" s="21">
        <f>IF(H50="covered",1,IF(H50="partial",0.5,0))</f>
        <v/>
      </c>
    </row>
    <row r="51" ht="15" customHeight="1" s="60">
      <c r="A51" s="19" t="n">
        <v>43</v>
      </c>
      <c r="B51" s="20" t="inlineStr">
        <is>
          <t>Composition</t>
        </is>
      </c>
      <c r="C51" s="20" t="inlineStr">
        <is>
          <t>ScrollArea</t>
        </is>
      </c>
      <c r="D51" s="20" t="inlineStr">
        <is>
          <t>render prop renders custom element</t>
        </is>
      </c>
      <c r="E51" s="19" t="inlineStr">
        <is>
          <t>yes</t>
        </is>
      </c>
      <c r="F51" s="19" t="inlineStr">
        <is>
          <t>yes</t>
        </is>
      </c>
      <c r="G51" s="19" t="inlineStr">
        <is>
          <t>passed</t>
        </is>
      </c>
      <c r="H51" s="19" t="inlineStr">
        <is>
          <t>covered</t>
        </is>
      </c>
      <c r="I51" s="20" t="inlineStr">
        <is>
          <t>ScrollArea playground scenario.</t>
        </is>
      </c>
      <c r="J51" s="20" t="inlineStr">
        <is>
          <t>Manual verification passed.</t>
        </is>
      </c>
      <c r="K51" s="21">
        <f>IF(H51="covered",1,IF(H51="partial",0.5,0))</f>
        <v/>
      </c>
    </row>
    <row r="52" ht="15" customHeight="1" s="60">
      <c r="A52" s="19" t="n">
        <v>44</v>
      </c>
      <c r="B52" s="20" t="inlineStr">
        <is>
          <t>Composition</t>
        </is>
      </c>
      <c r="C52" s="20" t="inlineStr">
        <is>
          <t>ScrollArea</t>
        </is>
      </c>
      <c r="D52" s="20" t="inlineStr">
        <is>
          <t>render prop preserves refs and behavior props</t>
        </is>
      </c>
      <c r="E52" s="19" t="inlineStr">
        <is>
          <t>yes</t>
        </is>
      </c>
      <c r="F52" s="19" t="inlineStr">
        <is>
          <t>yes</t>
        </is>
      </c>
      <c r="G52" s="19" t="inlineStr">
        <is>
          <t>passed</t>
        </is>
      </c>
      <c r="H52" s="19" t="inlineStr">
        <is>
          <t>covered</t>
        </is>
      </c>
      <c r="I52" s="20" t="inlineStr">
        <is>
          <t>ScrollArea playground scenario.</t>
        </is>
      </c>
      <c r="J52" s="20" t="inlineStr">
        <is>
          <t>Manual verification passed.</t>
        </is>
      </c>
      <c r="K52" s="21">
        <f>IF(H52="covered",1,IF(H52="partial",0.5,0))</f>
        <v/>
      </c>
    </row>
    <row r="53" ht="15" customHeight="1" s="60">
      <c r="A53" s="19" t="n">
        <v>45</v>
      </c>
      <c r="B53" s="20" t="inlineStr">
        <is>
          <t>Utility</t>
        </is>
      </c>
      <c r="C53" s="20" t="inlineStr">
        <is>
          <t>ScrollArea</t>
        </is>
      </c>
      <c r="D53" s="20" t="inlineStr">
        <is>
          <t>viewport keyboard accessibility is opt-in</t>
        </is>
      </c>
      <c r="E53" s="19" t="inlineStr">
        <is>
          <t>yes</t>
        </is>
      </c>
      <c r="F53" s="19" t="inlineStr">
        <is>
          <t>yes</t>
        </is>
      </c>
      <c r="G53" s="19" t="inlineStr">
        <is>
          <t>passed</t>
        </is>
      </c>
      <c r="H53" s="19" t="inlineStr">
        <is>
          <t>covered</t>
        </is>
      </c>
      <c r="I53" s="20" t="inlineStr">
        <is>
          <t>ScrollArea playground scenario.</t>
        </is>
      </c>
      <c r="J53" s="20" t="inlineStr">
        <is>
          <t>Manual verification passed.</t>
        </is>
      </c>
      <c r="K53" s="21">
        <f>IF(H53="covered",1,IF(H53="partial",0.5,0))</f>
        <v/>
      </c>
    </row>
    <row r="54" ht="15" customHeight="1" s="60">
      <c r="A54" s="19" t="n">
        <v>46</v>
      </c>
      <c r="B54" s="20" t="inlineStr">
        <is>
          <t>Utility</t>
        </is>
      </c>
      <c r="C54" s="20" t="inlineStr">
        <is>
          <t>ScrollArea</t>
        </is>
      </c>
      <c r="D54" s="20" t="inlineStr">
        <is>
          <t>named region semantics only appear when labelled</t>
        </is>
      </c>
      <c r="E54" s="19" t="inlineStr">
        <is>
          <t>yes</t>
        </is>
      </c>
      <c r="F54" s="19" t="inlineStr">
        <is>
          <t>yes</t>
        </is>
      </c>
      <c r="G54" s="19" t="inlineStr">
        <is>
          <t>passed</t>
        </is>
      </c>
      <c r="H54" s="19" t="inlineStr">
        <is>
          <t>covered</t>
        </is>
      </c>
      <c r="I54" s="20" t="inlineStr">
        <is>
          <t>ScrollArea playground scenario.</t>
        </is>
      </c>
      <c r="J54" s="20" t="inlineStr">
        <is>
          <t>Manual verification passed.</t>
        </is>
      </c>
      <c r="K54" s="21">
        <f>IF(H54="covered",1,IF(H54="partial",0.5,0))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K17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Select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Select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1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Select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controlled value prop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Select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defaultValue / uncontrolled value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Select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onValueChange callback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Select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controlled open prop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Select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defaultOpen / uncontrolled open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Select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onOpenChange callback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Select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disabled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Select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required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Select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name hidden input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Select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form hidden input association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Select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Field integration</t>
        </is>
      </c>
      <c r="C21" s="38" t="inlineStr">
        <is>
          <t>Root</t>
        </is>
      </c>
      <c r="D21" s="38" t="inlineStr">
        <is>
          <t>inherits Field disabled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Select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Field integration</t>
        </is>
      </c>
      <c r="C22" s="38" t="inlineStr">
        <is>
          <t>Root</t>
        </is>
      </c>
      <c r="D22" s="38" t="inlineStr">
        <is>
          <t>inherits Field required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Select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15" customHeight="1" s="60">
      <c r="A23" s="37" t="n">
        <v>15</v>
      </c>
      <c r="B23" s="38" t="inlineStr">
        <is>
          <t>Field integration</t>
        </is>
      </c>
      <c r="C23" s="38" t="inlineStr">
        <is>
          <t>Trigger</t>
        </is>
      </c>
      <c r="D23" s="38" t="inlineStr">
        <is>
          <t>inherits Field control id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Select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Field integration</t>
        </is>
      </c>
      <c r="C24" s="38" t="inlineStr">
        <is>
          <t>Trigger</t>
        </is>
      </c>
      <c r="D24" s="38" t="inlineStr">
        <is>
          <t>inherits Field label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Select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60">
      <c r="A25" s="37" t="n">
        <v>17</v>
      </c>
      <c r="B25" s="38" t="inlineStr">
        <is>
          <t>Field integration</t>
        </is>
      </c>
      <c r="C25" s="38" t="inlineStr">
        <is>
          <t>Trigger</t>
        </is>
      </c>
      <c r="D25" s="38" t="inlineStr">
        <is>
          <t>inherits Field description/error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Select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Field integration</t>
        </is>
      </c>
      <c r="C26" s="38" t="inlineStr">
        <is>
          <t>Trigger</t>
        </is>
      </c>
      <c r="D26" s="38" t="inlineStr">
        <is>
          <t>explicit aria-label overrides Field label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Select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Public API</t>
        </is>
      </c>
      <c r="C27" s="38" t="inlineStr">
        <is>
          <t>Trigger</t>
        </is>
      </c>
      <c r="D27" s="38" t="inlineStr">
        <is>
          <t>click opens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Select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Public API</t>
        </is>
      </c>
      <c r="C28" s="38" t="inlineStr">
        <is>
          <t>Trigger</t>
        </is>
      </c>
      <c r="D28" s="38" t="inlineStr">
        <is>
          <t>click closes when open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Select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Public API</t>
        </is>
      </c>
      <c r="C29" s="38" t="inlineStr">
        <is>
          <t>Trigger</t>
        </is>
      </c>
      <c r="D29" s="38" t="inlineStr">
        <is>
          <t>disabled blocks click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Select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Public API</t>
        </is>
      </c>
      <c r="C30" s="38" t="inlineStr">
        <is>
          <t>Trigger</t>
        </is>
      </c>
      <c r="D30" s="38" t="inlineStr">
        <is>
          <t>role combobox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Select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Public API</t>
        </is>
      </c>
      <c r="C31" s="38" t="inlineStr">
        <is>
          <t>Trigger</t>
        </is>
      </c>
      <c r="D31" s="38" t="inlineStr">
        <is>
          <t>type button on default render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Select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Public API</t>
        </is>
      </c>
      <c r="C32" s="38" t="inlineStr">
        <is>
          <t>Trigger</t>
        </is>
      </c>
      <c r="D32" s="38" t="inlineStr">
        <is>
          <t>aria-expanded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Select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Public API</t>
        </is>
      </c>
      <c r="C33" s="38" t="inlineStr">
        <is>
          <t>Trigger</t>
        </is>
      </c>
      <c r="D33" s="38" t="inlineStr">
        <is>
          <t>aria-haspopup listbox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Select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Public API</t>
        </is>
      </c>
      <c r="C34" s="38" t="inlineStr">
        <is>
          <t>Trigger</t>
        </is>
      </c>
      <c r="D34" s="38" t="inlineStr">
        <is>
          <t>aria-controls matches listbox id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Select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Public API</t>
        </is>
      </c>
      <c r="C35" s="38" t="inlineStr">
        <is>
          <t>Trigger</t>
        </is>
      </c>
      <c r="D35" s="38" t="inlineStr">
        <is>
          <t>aria-activedescendant tracks highlight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Select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Public API</t>
        </is>
      </c>
      <c r="C36" s="38" t="inlineStr">
        <is>
          <t>Trigger</t>
        </is>
      </c>
      <c r="D36" s="38" t="inlineStr">
        <is>
          <t>aria-disabled / disabled attribute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Select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Public API</t>
        </is>
      </c>
      <c r="C37" s="38" t="inlineStr">
        <is>
          <t>Trigger</t>
        </is>
      </c>
      <c r="D37" s="38" t="inlineStr">
        <is>
          <t>data-state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Select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Public API</t>
        </is>
      </c>
      <c r="C38" s="38" t="inlineStr">
        <is>
          <t>Trigger</t>
        </is>
      </c>
      <c r="D38" s="38" t="inlineStr">
        <is>
          <t>data-disabled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Select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Trigger</t>
        </is>
      </c>
      <c r="D39" s="38" t="inlineStr">
        <is>
          <t>asChild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Select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Trigger</t>
        </is>
      </c>
      <c r="D40" s="38" t="inlineStr">
        <is>
          <t>render prop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Select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Composition</t>
        </is>
      </c>
      <c r="C41" s="38" t="inlineStr">
        <is>
          <t>Trigger</t>
        </is>
      </c>
      <c r="D41" s="38" t="inlineStr">
        <is>
          <t>merged onClick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Select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45" customHeight="1" s="60">
      <c r="A42" s="37" t="n">
        <v>34</v>
      </c>
      <c r="B42" s="38" t="inlineStr">
        <is>
          <t>Composition</t>
        </is>
      </c>
      <c r="C42" s="38" t="inlineStr">
        <is>
          <t>Trigger</t>
        </is>
      </c>
      <c r="D42" s="38" t="inlineStr">
        <is>
          <t>merged onKeyDown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Select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Refs</t>
        </is>
      </c>
      <c r="C43" s="38" t="inlineStr">
        <is>
          <t>Trigger</t>
        </is>
      </c>
      <c r="D43" s="38" t="inlineStr">
        <is>
          <t>ref receives element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Select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Props</t>
        </is>
      </c>
      <c r="C44" s="38" t="inlineStr">
        <is>
          <t>Trigger</t>
        </is>
      </c>
      <c r="D44" s="38" t="inlineStr">
        <is>
          <t>native button props passthrough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Select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60">
      <c r="A45" s="37" t="n">
        <v>37</v>
      </c>
      <c r="B45" s="38" t="inlineStr">
        <is>
          <t>Styling hooks</t>
        </is>
      </c>
      <c r="C45" s="38" t="inlineStr">
        <is>
          <t>Trigger</t>
        </is>
      </c>
      <c r="D45" s="38" t="inlineStr">
        <is>
          <t>className passthrough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Select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>
      <c r="A46" s="37" t="n">
        <v>38</v>
      </c>
      <c r="B46" s="38" t="inlineStr">
        <is>
          <t>Styling hooks</t>
        </is>
      </c>
      <c r="C46" s="38" t="inlineStr">
        <is>
          <t>Trigger</t>
        </is>
      </c>
      <c r="D46" s="38" t="inlineStr">
        <is>
          <t>data-slot override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Select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Keyboard</t>
        </is>
      </c>
      <c r="C47" s="38" t="inlineStr">
        <is>
          <t>Trigger</t>
        </is>
      </c>
      <c r="D47" s="38" t="inlineStr">
        <is>
          <t>ArrowDown opens and highlights first enabled item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Select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60">
      <c r="A48" s="37" t="n">
        <v>40</v>
      </c>
      <c r="B48" s="38" t="inlineStr">
        <is>
          <t>Keyboard</t>
        </is>
      </c>
      <c r="C48" s="38" t="inlineStr">
        <is>
          <t>Trigger</t>
        </is>
      </c>
      <c r="D48" s="38" t="inlineStr">
        <is>
          <t>ArrowUp opens and highlights last enabled item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Select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Keyboard</t>
        </is>
      </c>
      <c r="C49" s="38" t="inlineStr">
        <is>
          <t>Trigger</t>
        </is>
      </c>
      <c r="D49" s="38" t="inlineStr">
        <is>
          <t>ArrowDown moves to next enabled item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Select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15" customHeight="1" s="60">
      <c r="A50" s="37" t="n">
        <v>42</v>
      </c>
      <c r="B50" s="38" t="inlineStr">
        <is>
          <t>Keyboard</t>
        </is>
      </c>
      <c r="C50" s="38" t="inlineStr">
        <is>
          <t>Trigger</t>
        </is>
      </c>
      <c r="D50" s="38" t="inlineStr">
        <is>
          <t>ArrowUp moves to previous enabled item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Select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15" customHeight="1" s="60">
      <c r="A51" s="37" t="n">
        <v>43</v>
      </c>
      <c r="B51" s="38" t="inlineStr">
        <is>
          <t>Keyboard</t>
        </is>
      </c>
      <c r="C51" s="38" t="inlineStr">
        <is>
          <t>Trigger</t>
        </is>
      </c>
      <c r="D51" s="38" t="inlineStr">
        <is>
          <t>arrow navigation wraps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Select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15" customHeight="1" s="60">
      <c r="A52" s="37" t="n">
        <v>44</v>
      </c>
      <c r="B52" s="38" t="inlineStr">
        <is>
          <t>Keyboard</t>
        </is>
      </c>
      <c r="C52" s="38" t="inlineStr">
        <is>
          <t>Trigger</t>
        </is>
      </c>
      <c r="D52" s="38" t="inlineStr">
        <is>
          <t>disabled items are skipped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Select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15" customHeight="1" s="60">
      <c r="A53" s="37" t="n">
        <v>45</v>
      </c>
      <c r="B53" s="38" t="inlineStr">
        <is>
          <t>Keyboard</t>
        </is>
      </c>
      <c r="C53" s="38" t="inlineStr">
        <is>
          <t>Trigger</t>
        </is>
      </c>
      <c r="D53" s="38" t="inlineStr">
        <is>
          <t>Enter opens when closed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Select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15" customHeight="1" s="60">
      <c r="A54" s="37" t="n">
        <v>46</v>
      </c>
      <c r="B54" s="38" t="inlineStr">
        <is>
          <t>Keyboard</t>
        </is>
      </c>
      <c r="C54" s="38" t="inlineStr">
        <is>
          <t>Trigger</t>
        </is>
      </c>
      <c r="D54" s="38" t="inlineStr">
        <is>
          <t>Enter selects highlighted item when open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Select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15" customHeight="1" s="60">
      <c r="A55" s="37" t="n">
        <v>47</v>
      </c>
      <c r="B55" s="38" t="inlineStr">
        <is>
          <t>Keyboard</t>
        </is>
      </c>
      <c r="C55" s="38" t="inlineStr">
        <is>
          <t>Trigger</t>
        </is>
      </c>
      <c r="D55" s="38" t="inlineStr">
        <is>
          <t>Space opens when closed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Select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15" customHeight="1" s="60">
      <c r="A56" s="37" t="n">
        <v>48</v>
      </c>
      <c r="B56" s="38" t="inlineStr">
        <is>
          <t>Keyboard</t>
        </is>
      </c>
      <c r="C56" s="38" t="inlineStr">
        <is>
          <t>Trigger</t>
        </is>
      </c>
      <c r="D56" s="38" t="inlineStr">
        <is>
          <t>Space selects highlighted item when open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Select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15" customHeight="1" s="60">
      <c r="A57" s="37" t="n">
        <v>49</v>
      </c>
      <c r="B57" s="38" t="inlineStr">
        <is>
          <t>Keyboard</t>
        </is>
      </c>
      <c r="C57" s="38" t="inlineStr">
        <is>
          <t>Trigger</t>
        </is>
      </c>
      <c r="D57" s="38" t="inlineStr">
        <is>
          <t>Home highlights first enabled item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Select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15" customHeight="1" s="60">
      <c r="A58" s="37" t="n">
        <v>50</v>
      </c>
      <c r="B58" s="38" t="inlineStr">
        <is>
          <t>Keyboard</t>
        </is>
      </c>
      <c r="C58" s="38" t="inlineStr">
        <is>
          <t>Trigger</t>
        </is>
      </c>
      <c r="D58" s="38" t="inlineStr">
        <is>
          <t>End highlights last enabled item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Select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15" customHeight="1" s="60">
      <c r="A59" s="37" t="n">
        <v>51</v>
      </c>
      <c r="B59" s="38" t="inlineStr">
        <is>
          <t>Keyboard</t>
        </is>
      </c>
      <c r="C59" s="38" t="inlineStr">
        <is>
          <t>Trigger</t>
        </is>
      </c>
      <c r="D59" s="38" t="inlineStr">
        <is>
          <t>Escape closes and keeps focus on trigger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Select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15" customHeight="1" s="60">
      <c r="A60" s="37" t="n">
        <v>52</v>
      </c>
      <c r="B60" s="38" t="inlineStr">
        <is>
          <t>Keyboard</t>
        </is>
      </c>
      <c r="C60" s="38" t="inlineStr">
        <is>
          <t>Trigger</t>
        </is>
      </c>
      <c r="D60" s="38" t="inlineStr">
        <is>
          <t>Tab closes and moves focus normally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Select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15" customHeight="1" s="60">
      <c r="A61" s="37" t="n">
        <v>53</v>
      </c>
      <c r="B61" s="38" t="inlineStr">
        <is>
          <t>Keyboard</t>
        </is>
      </c>
      <c r="C61" s="38" t="inlineStr">
        <is>
          <t>Trigger</t>
        </is>
      </c>
      <c r="D61" s="38" t="inlineStr">
        <is>
          <t>typeahead opens and highlights match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Select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15" customHeight="1" s="60">
      <c r="A62" s="37" t="n">
        <v>54</v>
      </c>
      <c r="B62" s="38" t="inlineStr">
        <is>
          <t>Keyboard</t>
        </is>
      </c>
      <c r="C62" s="38" t="inlineStr">
        <is>
          <t>Trigger</t>
        </is>
      </c>
      <c r="D62" s="38" t="inlineStr">
        <is>
          <t>typeahead buffer resets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Select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15" customHeight="1" s="60">
      <c r="A63" s="37" t="n">
        <v>55</v>
      </c>
      <c r="B63" s="38" t="inlineStr">
        <is>
          <t>Public API</t>
        </is>
      </c>
      <c r="C63" s="38" t="inlineStr">
        <is>
          <t>Value</t>
        </is>
      </c>
      <c r="D63" s="38" t="inlineStr">
        <is>
          <t>renders selected item label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Select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15" customHeight="1" s="60">
      <c r="A64" s="37" t="n">
        <v>56</v>
      </c>
      <c r="B64" s="38" t="inlineStr">
        <is>
          <t>Public API</t>
        </is>
      </c>
      <c r="C64" s="38" t="inlineStr">
        <is>
          <t>Value</t>
        </is>
      </c>
      <c r="D64" s="38" t="inlineStr">
        <is>
          <t>renders placeholder with no value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Select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15" customHeight="1" s="60">
      <c r="A65" s="37" t="n">
        <v>57</v>
      </c>
      <c r="B65" s="38" t="inlineStr">
        <is>
          <t>Public API</t>
        </is>
      </c>
      <c r="C65" s="38" t="inlineStr">
        <is>
          <t>Value</t>
        </is>
      </c>
      <c r="D65" s="38" t="inlineStr">
        <is>
          <t>children override displayed text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Select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45" customHeight="1" s="60">
      <c r="A66" s="37" t="n">
        <v>58</v>
      </c>
      <c r="B66" s="38" t="inlineStr">
        <is>
          <t>Public API</t>
        </is>
      </c>
      <c r="C66" s="38" t="inlineStr">
        <is>
          <t>Value</t>
        </is>
      </c>
      <c r="D66" s="38" t="inlineStr">
        <is>
          <t>data-placeholder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Select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15" customHeight="1" s="60">
      <c r="A67" s="37" t="n">
        <v>59</v>
      </c>
      <c r="B67" s="38" t="inlineStr">
        <is>
          <t>Refs</t>
        </is>
      </c>
      <c r="C67" s="38" t="inlineStr">
        <is>
          <t>Value</t>
        </is>
      </c>
      <c r="D67" s="38" t="inlineStr">
        <is>
          <t>ref receives span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Select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15" customHeight="1" s="60">
      <c r="A68" s="37" t="n">
        <v>60</v>
      </c>
      <c r="B68" s="38" t="inlineStr">
        <is>
          <t>Props</t>
        </is>
      </c>
      <c r="C68" s="38" t="inlineStr">
        <is>
          <t>Value</t>
        </is>
      </c>
      <c r="D68" s="38" t="inlineStr">
        <is>
          <t>native span props passthrough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Select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15" customHeight="1" s="60">
      <c r="A69" s="37" t="n">
        <v>61</v>
      </c>
      <c r="B69" s="38" t="inlineStr">
        <is>
          <t>Styling hooks</t>
        </is>
      </c>
      <c r="C69" s="38" t="inlineStr">
        <is>
          <t>Value</t>
        </is>
      </c>
      <c r="D69" s="38" t="inlineStr">
        <is>
          <t>data-slot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Select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15" customHeight="1" s="60">
      <c r="A70" s="37" t="n">
        <v>62</v>
      </c>
      <c r="B70" s="38" t="inlineStr">
        <is>
          <t>Public API</t>
        </is>
      </c>
      <c r="C70" s="38" t="inlineStr">
        <is>
          <t>Icon</t>
        </is>
      </c>
      <c r="D70" s="38" t="inlineStr">
        <is>
          <t>renders decorative icon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Select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45" customHeight="1" s="60">
      <c r="A71" s="37" t="n">
        <v>63</v>
      </c>
      <c r="B71" s="38" t="inlineStr">
        <is>
          <t>Accessibility</t>
        </is>
      </c>
      <c r="C71" s="38" t="inlineStr">
        <is>
          <t>Icon</t>
        </is>
      </c>
      <c r="D71" s="38" t="inlineStr">
        <is>
          <t>aria-hidden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Select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15" customHeight="1" s="60">
      <c r="A72" s="37" t="n">
        <v>64</v>
      </c>
      <c r="B72" s="38" t="inlineStr">
        <is>
          <t>Refs</t>
        </is>
      </c>
      <c r="C72" s="38" t="inlineStr">
        <is>
          <t>Icon</t>
        </is>
      </c>
      <c r="D72" s="38" t="inlineStr">
        <is>
          <t>ref receives span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Select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15" customHeight="1" s="60">
      <c r="A73" s="37" t="n">
        <v>65</v>
      </c>
      <c r="B73" s="38" t="inlineStr">
        <is>
          <t>Props</t>
        </is>
      </c>
      <c r="C73" s="38" t="inlineStr">
        <is>
          <t>Icon</t>
        </is>
      </c>
      <c r="D73" s="38" t="inlineStr">
        <is>
          <t>native span props passthrough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Select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15" customHeight="1" s="60">
      <c r="A74" s="37" t="n">
        <v>66</v>
      </c>
      <c r="B74" s="38" t="inlineStr">
        <is>
          <t>Styling hooks</t>
        </is>
      </c>
      <c r="C74" s="38" t="inlineStr">
        <is>
          <t>Icon</t>
        </is>
      </c>
      <c r="D74" s="38" t="inlineStr">
        <is>
          <t>data-slot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Select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15" customHeight="1" s="60">
      <c r="A75" s="37" t="n">
        <v>67</v>
      </c>
      <c r="B75" s="38" t="inlineStr">
        <is>
          <t>Public API</t>
        </is>
      </c>
      <c r="C75" s="38" t="inlineStr">
        <is>
          <t>Portal</t>
        </is>
      </c>
      <c r="D75" s="38" t="inlineStr">
        <is>
          <t>content mounts in body by default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Select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15" customHeight="1" s="60">
      <c r="A76" s="37" t="n">
        <v>68</v>
      </c>
      <c r="B76" s="38" t="inlineStr">
        <is>
          <t>Public API</t>
        </is>
      </c>
      <c r="C76" s="38" t="inlineStr">
        <is>
          <t>Portal</t>
        </is>
      </c>
      <c r="D76" s="38" t="inlineStr">
        <is>
          <t>disabled keeps content inline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Select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15" customHeight="1" s="60">
      <c r="A77" s="37" t="n">
        <v>69</v>
      </c>
      <c r="B77" s="38" t="inlineStr">
        <is>
          <t>Public API</t>
        </is>
      </c>
      <c r="C77" s="38" t="inlineStr">
        <is>
          <t>Portal</t>
        </is>
      </c>
      <c r="D77" s="38" t="inlineStr">
        <is>
          <t>container prop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Select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15" customHeight="1" s="60">
      <c r="A78" s="37" t="n">
        <v>70</v>
      </c>
      <c r="B78" s="38" t="inlineStr">
        <is>
          <t>Focus scope</t>
        </is>
      </c>
      <c r="C78" s="38" t="inlineStr">
        <is>
          <t>Portal</t>
        </is>
      </c>
      <c r="D78" s="38" t="inlineStr">
        <is>
          <t>registers with parent modal focus scope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Select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15" customHeight="1" s="60">
      <c r="A79" s="37" t="n">
        <v>71</v>
      </c>
      <c r="B79" s="38" t="inlineStr">
        <is>
          <t>Public API</t>
        </is>
      </c>
      <c r="C79" s="38" t="inlineStr">
        <is>
          <t>Content/Listbox</t>
        </is>
      </c>
      <c r="D79" s="38" t="inlineStr">
        <is>
          <t>Content alias renders listbox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Select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15" customHeight="1" s="60">
      <c r="A80" s="37" t="n">
        <v>72</v>
      </c>
      <c r="B80" s="38" t="inlineStr">
        <is>
          <t>Public API</t>
        </is>
      </c>
      <c r="C80" s="38" t="inlineStr">
        <is>
          <t>Content/Listbox</t>
        </is>
      </c>
      <c r="D80" s="38" t="inlineStr">
        <is>
          <t>Listbox part renders directly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Select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15" customHeight="1" s="60">
      <c r="A81" s="37" t="n">
        <v>73</v>
      </c>
      <c r="B81" s="38" t="inlineStr">
        <is>
          <t>Public API</t>
        </is>
      </c>
      <c r="C81" s="38" t="inlineStr">
        <is>
          <t>Content/Listbox</t>
        </is>
      </c>
      <c r="D81" s="38" t="inlineStr">
        <is>
          <t>renders only when open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Select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15" customHeight="1" s="60">
      <c r="A82" s="37" t="n">
        <v>74</v>
      </c>
      <c r="B82" s="38" t="inlineStr">
        <is>
          <t>Public API</t>
        </is>
      </c>
      <c r="C82" s="38" t="inlineStr">
        <is>
          <t>Content/Listbox</t>
        </is>
      </c>
      <c r="D82" s="38" t="inlineStr">
        <is>
          <t>disablePortal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Select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15" customHeight="1" s="60">
      <c r="A83" s="37" t="n">
        <v>75</v>
      </c>
      <c r="B83" s="38" t="inlineStr">
        <is>
          <t>Public API</t>
        </is>
      </c>
      <c r="C83" s="38" t="inlineStr">
        <is>
          <t>Content/Listbox</t>
        </is>
      </c>
      <c r="D83" s="38" t="inlineStr">
        <is>
          <t>container prop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Select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15" customHeight="1" s="60">
      <c r="A84" s="37" t="n">
        <v>76</v>
      </c>
      <c r="B84" s="38" t="inlineStr">
        <is>
          <t>Public API</t>
        </is>
      </c>
      <c r="C84" s="38" t="inlineStr">
        <is>
          <t>Content/Listbox</t>
        </is>
      </c>
      <c r="D84" s="38" t="inlineStr">
        <is>
          <t>role listbox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Select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15" customHeight="1" s="60">
      <c r="A85" s="37" t="n">
        <v>77</v>
      </c>
      <c r="B85" s="38" t="inlineStr">
        <is>
          <t>Public API</t>
        </is>
      </c>
      <c r="C85" s="38" t="inlineStr">
        <is>
          <t>Content/Listbox</t>
        </is>
      </c>
      <c r="D85" s="38" t="inlineStr">
        <is>
          <t>aria-label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Select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15" customHeight="1" s="60">
      <c r="A86" s="37" t="n">
        <v>78</v>
      </c>
      <c r="B86" s="38" t="inlineStr">
        <is>
          <t>Public API</t>
        </is>
      </c>
      <c r="C86" s="38" t="inlineStr">
        <is>
          <t>Content/Listbox</t>
        </is>
      </c>
      <c r="D86" s="38" t="inlineStr">
        <is>
          <t>tabIndex -1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Select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15" customHeight="1" s="60">
      <c r="A87" s="37" t="n">
        <v>79</v>
      </c>
      <c r="B87" s="38" t="inlineStr">
        <is>
          <t>Public API</t>
        </is>
      </c>
      <c r="C87" s="38" t="inlineStr">
        <is>
          <t>Content/Listbox</t>
        </is>
      </c>
      <c r="D87" s="38" t="inlineStr">
        <is>
          <t>data-state open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Select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15" customHeight="1" s="60">
      <c r="A88" s="37" t="n">
        <v>80</v>
      </c>
      <c r="B88" s="38" t="inlineStr">
        <is>
          <t>Public API</t>
        </is>
      </c>
      <c r="C88" s="38" t="inlineStr">
        <is>
          <t>Content/Listbox</t>
        </is>
      </c>
      <c r="D88" s="38" t="inlineStr">
        <is>
          <t>data-positioned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Select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15" customHeight="1" s="60">
      <c r="A89" s="37" t="n">
        <v>81</v>
      </c>
      <c r="B89" s="38" t="inlineStr">
        <is>
          <t>Positioning</t>
        </is>
      </c>
      <c r="C89" s="38" t="inlineStr">
        <is>
          <t>Content/Listbox</t>
        </is>
      </c>
      <c r="D89" s="38" t="inlineStr">
        <is>
          <t>min width matches trigger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Select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15" customHeight="1" s="60">
      <c r="A90" s="37" t="n">
        <v>82</v>
      </c>
      <c r="B90" s="38" t="inlineStr">
        <is>
          <t>Positioning</t>
        </is>
      </c>
      <c r="C90" s="38" t="inlineStr">
        <is>
          <t>Content/Listbox</t>
        </is>
      </c>
      <c r="D90" s="38" t="inlineStr">
        <is>
          <t>flips/shifts near viewport edge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Select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15" customHeight="1" s="60">
      <c r="A91" s="37" t="n">
        <v>83</v>
      </c>
      <c r="B91" s="38" t="inlineStr">
        <is>
          <t>Interaction</t>
        </is>
      </c>
      <c r="C91" s="38" t="inlineStr">
        <is>
          <t>Content/Listbox</t>
        </is>
      </c>
      <c r="D91" s="38" t="inlineStr">
        <is>
          <t>outside pointer closes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Select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15" customHeight="1" s="60">
      <c r="A92" s="37" t="n">
        <v>84</v>
      </c>
      <c r="B92" s="38" t="inlineStr">
        <is>
          <t>Interaction</t>
        </is>
      </c>
      <c r="C92" s="38" t="inlineStr">
        <is>
          <t>Content/Listbox</t>
        </is>
      </c>
      <c r="D92" s="38" t="inlineStr">
        <is>
          <t>inside click does not close unless selecting item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Select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15" customHeight="1" s="60">
      <c r="A93" s="37" t="n">
        <v>85</v>
      </c>
      <c r="B93" s="38" t="inlineStr">
        <is>
          <t>Interaction</t>
        </is>
      </c>
      <c r="C93" s="38" t="inlineStr">
        <is>
          <t>Content/Listbox</t>
        </is>
      </c>
      <c r="D93" s="38" t="inlineStr">
        <is>
          <t>Escape closes from open listbox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Select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45" customHeight="1" s="60">
      <c r="A94" s="37" t="n">
        <v>86</v>
      </c>
      <c r="B94" s="38" t="inlineStr">
        <is>
          <t>Interaction</t>
        </is>
      </c>
      <c r="C94" s="38" t="inlineStr">
        <is>
          <t>Content/Listbox</t>
        </is>
      </c>
      <c r="D94" s="38" t="inlineStr">
        <is>
          <t>highlighted item scrolls into view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Select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15" customHeight="1" s="60">
      <c r="A95" s="37" t="n">
        <v>87</v>
      </c>
      <c r="B95" s="38" t="inlineStr">
        <is>
          <t>Refs</t>
        </is>
      </c>
      <c r="C95" s="38" t="inlineStr">
        <is>
          <t>Content/Listbox</t>
        </is>
      </c>
      <c r="D95" s="38" t="inlineStr">
        <is>
          <t>ref receives div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Select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15" customHeight="1" s="60">
      <c r="A96" s="37" t="n">
        <v>88</v>
      </c>
      <c r="B96" s="38" t="inlineStr">
        <is>
          <t>Props</t>
        </is>
      </c>
      <c r="C96" s="38" t="inlineStr">
        <is>
          <t>Content/Listbox</t>
        </is>
      </c>
      <c r="D96" s="38" t="inlineStr">
        <is>
          <t>native div props passthrough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Select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15" customHeight="1" s="60">
      <c r="A97" s="37" t="n">
        <v>89</v>
      </c>
      <c r="B97" s="38" t="inlineStr">
        <is>
          <t>Styling hooks</t>
        </is>
      </c>
      <c r="C97" s="38" t="inlineStr">
        <is>
          <t>Content/Listbox</t>
        </is>
      </c>
      <c r="D97" s="38" t="inlineStr">
        <is>
          <t>className passthrough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Select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15" customHeight="1" s="60">
      <c r="A98" s="37" t="n">
        <v>90</v>
      </c>
      <c r="B98" s="38" t="inlineStr">
        <is>
          <t>Styling hooks</t>
        </is>
      </c>
      <c r="C98" s="38" t="inlineStr">
        <is>
          <t>Content/Listbox</t>
        </is>
      </c>
      <c r="D98" s="38" t="inlineStr">
        <is>
          <t>data-slot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Select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45" customHeight="1" s="60">
      <c r="A99" s="37" t="n">
        <v>91</v>
      </c>
      <c r="B99" s="38" t="inlineStr">
        <is>
          <t>Public API</t>
        </is>
      </c>
      <c r="C99" s="38" t="inlineStr">
        <is>
          <t>Viewport</t>
        </is>
      </c>
      <c r="D99" s="38" t="inlineStr">
        <is>
          <t>renders item viewport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Select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15" customHeight="1" s="60">
      <c r="A100" s="37" t="n">
        <v>92</v>
      </c>
      <c r="B100" s="38" t="inlineStr">
        <is>
          <t>Refs</t>
        </is>
      </c>
      <c r="C100" s="38" t="inlineStr">
        <is>
          <t>Viewport</t>
        </is>
      </c>
      <c r="D100" s="38" t="inlineStr">
        <is>
          <t>ref receives div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Select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15" customHeight="1" s="60">
      <c r="A101" s="37" t="n">
        <v>93</v>
      </c>
      <c r="B101" s="38" t="inlineStr">
        <is>
          <t>Props</t>
        </is>
      </c>
      <c r="C101" s="38" t="inlineStr">
        <is>
          <t>Viewport</t>
        </is>
      </c>
      <c r="D101" s="38" t="inlineStr">
        <is>
          <t>native div props passthrough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Select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15" customHeight="1" s="60">
      <c r="A102" s="37" t="n">
        <v>94</v>
      </c>
      <c r="B102" s="38" t="inlineStr">
        <is>
          <t>Styling hooks</t>
        </is>
      </c>
      <c r="C102" s="38" t="inlineStr">
        <is>
          <t>Viewport</t>
        </is>
      </c>
      <c r="D102" s="38" t="inlineStr">
        <is>
          <t>data-slot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Select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15" customHeight="1" s="60">
      <c r="A103" s="37" t="n">
        <v>95</v>
      </c>
      <c r="B103" s="38" t="inlineStr">
        <is>
          <t>Public API</t>
        </is>
      </c>
      <c r="C103" s="38" t="inlineStr">
        <is>
          <t>Group</t>
        </is>
      </c>
      <c r="D103" s="38" t="inlineStr">
        <is>
          <t>renders group role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Select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45" customHeight="1" s="60">
      <c r="A104" s="37" t="n">
        <v>96</v>
      </c>
      <c r="B104" s="38" t="inlineStr">
        <is>
          <t>Public API</t>
        </is>
      </c>
      <c r="C104" s="38" t="inlineStr">
        <is>
          <t>Group</t>
        </is>
      </c>
      <c r="D104" s="38" t="inlineStr">
        <is>
          <t>aria-labelledby matches Label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Select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15" customHeight="1" s="60">
      <c r="A105" s="37" t="n">
        <v>97</v>
      </c>
      <c r="B105" s="38" t="inlineStr">
        <is>
          <t>Refs</t>
        </is>
      </c>
      <c r="C105" s="38" t="inlineStr">
        <is>
          <t>Group</t>
        </is>
      </c>
      <c r="D105" s="38" t="inlineStr">
        <is>
          <t>ref receives div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Select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15" customHeight="1" s="60">
      <c r="A106" s="37" t="n">
        <v>98</v>
      </c>
      <c r="B106" s="38" t="inlineStr">
        <is>
          <t>Props</t>
        </is>
      </c>
      <c r="C106" s="38" t="inlineStr">
        <is>
          <t>Group</t>
        </is>
      </c>
      <c r="D106" s="38" t="inlineStr">
        <is>
          <t>native div props passthrough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Select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15" customHeight="1" s="60">
      <c r="A107" s="37" t="n">
        <v>99</v>
      </c>
      <c r="B107" s="38" t="inlineStr">
        <is>
          <t>Styling hooks</t>
        </is>
      </c>
      <c r="C107" s="38" t="inlineStr">
        <is>
          <t>Group</t>
        </is>
      </c>
      <c r="D107" s="38" t="inlineStr">
        <is>
          <t>data-slot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Select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15" customHeight="1" s="60">
      <c r="A108" s="37" t="n">
        <v>100</v>
      </c>
      <c r="B108" s="38" t="inlineStr">
        <is>
          <t>Public API</t>
        </is>
      </c>
      <c r="C108" s="38" t="inlineStr">
        <is>
          <t>Label</t>
        </is>
      </c>
      <c r="D108" s="38" t="inlineStr">
        <is>
          <t>renders group label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Select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45" customHeight="1" s="60">
      <c r="A109" s="37" t="n">
        <v>101</v>
      </c>
      <c r="B109" s="38" t="inlineStr">
        <is>
          <t>Public API</t>
        </is>
      </c>
      <c r="C109" s="38" t="inlineStr">
        <is>
          <t>Label</t>
        </is>
      </c>
      <c r="D109" s="38" t="inlineStr">
        <is>
          <t>id registration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Select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15" customHeight="1" s="60">
      <c r="A110" s="37" t="n">
        <v>102</v>
      </c>
      <c r="B110" s="38" t="inlineStr">
        <is>
          <t>Refs</t>
        </is>
      </c>
      <c r="C110" s="38" t="inlineStr">
        <is>
          <t>Label</t>
        </is>
      </c>
      <c r="D110" s="38" t="inlineStr">
        <is>
          <t>ref receives div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Select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15" customHeight="1" s="60">
      <c r="A111" s="37" t="n">
        <v>103</v>
      </c>
      <c r="B111" s="38" t="inlineStr">
        <is>
          <t>Props</t>
        </is>
      </c>
      <c r="C111" s="38" t="inlineStr">
        <is>
          <t>Label</t>
        </is>
      </c>
      <c r="D111" s="38" t="inlineStr">
        <is>
          <t>native div props passthrough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Select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15" customHeight="1" s="60">
      <c r="A112" s="37" t="n">
        <v>104</v>
      </c>
      <c r="B112" s="38" t="inlineStr">
        <is>
          <t>Styling hooks</t>
        </is>
      </c>
      <c r="C112" s="38" t="inlineStr">
        <is>
          <t>Label</t>
        </is>
      </c>
      <c r="D112" s="38" t="inlineStr">
        <is>
          <t>data-slot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Select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15" customHeight="1" s="60">
      <c r="A113" s="37" t="n">
        <v>105</v>
      </c>
      <c r="B113" s="38" t="inlineStr">
        <is>
          <t>Public API</t>
        </is>
      </c>
      <c r="C113" s="38" t="inlineStr">
        <is>
          <t>Item</t>
        </is>
      </c>
      <c r="D113" s="38" t="inlineStr">
        <is>
          <t>renders option role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Select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15" customHeight="1" s="60">
      <c r="A114" s="37" t="n">
        <v>106</v>
      </c>
      <c r="B114" s="38" t="inlineStr">
        <is>
          <t>Public API</t>
        </is>
      </c>
      <c r="C114" s="38" t="inlineStr">
        <is>
          <t>Item</t>
        </is>
      </c>
      <c r="D114" s="38" t="inlineStr">
        <is>
          <t>value is required identity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Select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15" customHeight="1" s="60">
      <c r="A115" s="37" t="n">
        <v>107</v>
      </c>
      <c r="B115" s="38" t="inlineStr">
        <is>
          <t>Public API</t>
        </is>
      </c>
      <c r="C115" s="38" t="inlineStr">
        <is>
          <t>Item</t>
        </is>
      </c>
      <c r="D115" s="38" t="inlineStr">
        <is>
          <t>label prop controls typeahead/value display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Select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15" customHeight="1" s="60">
      <c r="A116" s="37" t="n">
        <v>108</v>
      </c>
      <c r="B116" s="38" t="inlineStr">
        <is>
          <t>Public API</t>
        </is>
      </c>
      <c r="C116" s="38" t="inlineStr">
        <is>
          <t>Item</t>
        </is>
      </c>
      <c r="D116" s="38" t="inlineStr">
        <is>
          <t>selected item aria-selected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Select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15" customHeight="1" s="60">
      <c r="A117" s="37" t="n">
        <v>109</v>
      </c>
      <c r="B117" s="38" t="inlineStr">
        <is>
          <t>Public API</t>
        </is>
      </c>
      <c r="C117" s="38" t="inlineStr">
        <is>
          <t>Item</t>
        </is>
      </c>
      <c r="D117" s="38" t="inlineStr">
        <is>
          <t>data-state checked/unchecked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Select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15" customHeight="1" s="60">
      <c r="A118" s="37" t="n">
        <v>110</v>
      </c>
      <c r="B118" s="38" t="inlineStr">
        <is>
          <t>Public API</t>
        </is>
      </c>
      <c r="C118" s="38" t="inlineStr">
        <is>
          <t>Item</t>
        </is>
      </c>
      <c r="D118" s="38" t="inlineStr">
        <is>
          <t>disabled item aria-disabled/data-disabled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Select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15" customHeight="1" s="60">
      <c r="A119" s="37" t="n">
        <v>111</v>
      </c>
      <c r="B119" s="38" t="inlineStr">
        <is>
          <t>Accessibility</t>
        </is>
      </c>
      <c r="C119" s="38" t="inlineStr">
        <is>
          <t>Item</t>
        </is>
      </c>
      <c r="D119" s="38" t="inlineStr">
        <is>
          <t>aria-labelledby appears after ItemText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Select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15" customHeight="1" s="60">
      <c r="A120" s="37" t="n">
        <v>112</v>
      </c>
      <c r="B120" s="38" t="inlineStr">
        <is>
          <t>Accessibility</t>
        </is>
      </c>
      <c r="C120" s="38" t="inlineStr">
        <is>
          <t>Item</t>
        </is>
      </c>
      <c r="D120" s="38" t="inlineStr">
        <is>
          <t>omits aria-labelledby without ItemText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Select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15" customHeight="1" s="60">
      <c r="A121" s="37" t="n">
        <v>113</v>
      </c>
      <c r="B121" s="38" t="inlineStr">
        <is>
          <t>Interaction</t>
        </is>
      </c>
      <c r="C121" s="38" t="inlineStr">
        <is>
          <t>Item</t>
        </is>
      </c>
      <c r="D121" s="38" t="inlineStr">
        <is>
          <t>click selects item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Select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15" customHeight="1" s="60">
      <c r="A122" s="37" t="n">
        <v>114</v>
      </c>
      <c r="B122" s="38" t="inlineStr">
        <is>
          <t>Interaction</t>
        </is>
      </c>
      <c r="C122" s="38" t="inlineStr">
        <is>
          <t>Item</t>
        </is>
      </c>
      <c r="D122" s="38" t="inlineStr">
        <is>
          <t>click closes listbox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Select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15" customHeight="1" s="60">
      <c r="A123" s="37" t="n">
        <v>115</v>
      </c>
      <c r="B123" s="38" t="inlineStr">
        <is>
          <t>Interaction</t>
        </is>
      </c>
      <c r="C123" s="38" t="inlineStr">
        <is>
          <t>Item</t>
        </is>
      </c>
      <c r="D123" s="38" t="inlineStr">
        <is>
          <t>click restores focus to trigger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Select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15" customHeight="1" s="60">
      <c r="A124" s="37" t="n">
        <v>116</v>
      </c>
      <c r="B124" s="38" t="inlineStr">
        <is>
          <t>Interaction</t>
        </is>
      </c>
      <c r="C124" s="38" t="inlineStr">
        <is>
          <t>Item</t>
        </is>
      </c>
      <c r="D124" s="38" t="inlineStr">
        <is>
          <t>disabled item click is ignored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Select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15" customHeight="1" s="60">
      <c r="A125" s="37" t="n">
        <v>117</v>
      </c>
      <c r="B125" s="38" t="inlineStr">
        <is>
          <t>Interaction</t>
        </is>
      </c>
      <c r="C125" s="38" t="inlineStr">
        <is>
          <t>Item</t>
        </is>
      </c>
      <c r="D125" s="38" t="inlineStr">
        <is>
          <t>pointer move highlights enabled item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Select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15" customHeight="1" s="60">
      <c r="A126" s="37" t="n">
        <v>118</v>
      </c>
      <c r="B126" s="38" t="inlineStr">
        <is>
          <t>Interaction</t>
        </is>
      </c>
      <c r="C126" s="38" t="inlineStr">
        <is>
          <t>Item</t>
        </is>
      </c>
      <c r="D126" s="38" t="inlineStr">
        <is>
          <t>pointer leave clears highlight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Select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15" customHeight="1" s="60">
      <c r="A127" s="37" t="n">
        <v>119</v>
      </c>
      <c r="B127" s="38" t="inlineStr">
        <is>
          <t>Composition</t>
        </is>
      </c>
      <c r="C127" s="38" t="inlineStr">
        <is>
          <t>Item</t>
        </is>
      </c>
      <c r="D127" s="38" t="inlineStr">
        <is>
          <t>merged onClick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Select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15" customHeight="1" s="60">
      <c r="A128" s="37" t="n">
        <v>120</v>
      </c>
      <c r="B128" s="38" t="inlineStr">
        <is>
          <t>Composition</t>
        </is>
      </c>
      <c r="C128" s="38" t="inlineStr">
        <is>
          <t>Item</t>
        </is>
      </c>
      <c r="D128" s="38" t="inlineStr">
        <is>
          <t>merged onPointerMove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Select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45" customHeight="1" s="60">
      <c r="A129" s="37" t="n">
        <v>121</v>
      </c>
      <c r="B129" s="38" t="inlineStr">
        <is>
          <t>Composition</t>
        </is>
      </c>
      <c r="C129" s="38" t="inlineStr">
        <is>
          <t>Item</t>
        </is>
      </c>
      <c r="D129" s="38" t="inlineStr">
        <is>
          <t>merged onPointerLeave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Select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15" customHeight="1" s="60">
      <c r="A130" s="37" t="n">
        <v>122</v>
      </c>
      <c r="B130" s="38" t="inlineStr">
        <is>
          <t>Refs</t>
        </is>
      </c>
      <c r="C130" s="38" t="inlineStr">
        <is>
          <t>Item</t>
        </is>
      </c>
      <c r="D130" s="38" t="inlineStr">
        <is>
          <t>ref receives div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Select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15" customHeight="1" s="60">
      <c r="A131" s="37" t="n">
        <v>123</v>
      </c>
      <c r="B131" s="38" t="inlineStr">
        <is>
          <t>Props</t>
        </is>
      </c>
      <c r="C131" s="38" t="inlineStr">
        <is>
          <t>Item</t>
        </is>
      </c>
      <c r="D131" s="38" t="inlineStr">
        <is>
          <t>native div props passthrough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Select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15" customHeight="1" s="60">
      <c r="A132" s="37" t="n">
        <v>124</v>
      </c>
      <c r="B132" s="38" t="inlineStr">
        <is>
          <t>Styling hooks</t>
        </is>
      </c>
      <c r="C132" s="38" t="inlineStr">
        <is>
          <t>Item</t>
        </is>
      </c>
      <c r="D132" s="38" t="inlineStr">
        <is>
          <t>className passthrough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Select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15" customHeight="1" s="60">
      <c r="A133" s="37" t="n">
        <v>125</v>
      </c>
      <c r="B133" s="38" t="inlineStr">
        <is>
          <t>Styling hooks</t>
        </is>
      </c>
      <c r="C133" s="38" t="inlineStr">
        <is>
          <t>Item</t>
        </is>
      </c>
      <c r="D133" s="38" t="inlineStr">
        <is>
          <t>data-highlighted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Select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15" customHeight="1" s="60">
      <c r="A134" s="37" t="n">
        <v>126</v>
      </c>
      <c r="B134" s="38" t="inlineStr">
        <is>
          <t>Styling hooks</t>
        </is>
      </c>
      <c r="C134" s="38" t="inlineStr">
        <is>
          <t>Item</t>
        </is>
      </c>
      <c r="D134" s="38" t="inlineStr">
        <is>
          <t>data-value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Select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15" customHeight="1" s="60">
      <c r="A135" s="37" t="n">
        <v>127</v>
      </c>
      <c r="B135" s="38" t="inlineStr">
        <is>
          <t>Styling hooks</t>
        </is>
      </c>
      <c r="C135" s="38" t="inlineStr">
        <is>
          <t>Item</t>
        </is>
      </c>
      <c r="D135" s="38" t="inlineStr">
        <is>
          <t>data-slot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Select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15" customHeight="1" s="60">
      <c r="A136" s="37" t="n">
        <v>128</v>
      </c>
      <c r="B136" s="38" t="inlineStr">
        <is>
          <t>Public API</t>
        </is>
      </c>
      <c r="C136" s="38" t="inlineStr">
        <is>
          <t>ItemText</t>
        </is>
      </c>
      <c r="D136" s="38" t="inlineStr">
        <is>
          <t>registers item text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Select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45" customHeight="1" s="60">
      <c r="A137" s="37" t="n">
        <v>129</v>
      </c>
      <c r="B137" s="38" t="inlineStr">
        <is>
          <t>Public API</t>
        </is>
      </c>
      <c r="C137" s="38" t="inlineStr">
        <is>
          <t>ItemText</t>
        </is>
      </c>
      <c r="D137" s="38" t="inlineStr">
        <is>
          <t>id used by item aria-labelledby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Select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15" customHeight="1" s="60">
      <c r="A138" s="37" t="n">
        <v>130</v>
      </c>
      <c r="B138" s="38" t="inlineStr">
        <is>
          <t>Refs</t>
        </is>
      </c>
      <c r="C138" s="38" t="inlineStr">
        <is>
          <t>ItemText</t>
        </is>
      </c>
      <c r="D138" s="38" t="inlineStr">
        <is>
          <t>ref receives span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Select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15" customHeight="1" s="60">
      <c r="A139" s="37" t="n">
        <v>131</v>
      </c>
      <c r="B139" s="38" t="inlineStr">
        <is>
          <t>Props</t>
        </is>
      </c>
      <c r="C139" s="38" t="inlineStr">
        <is>
          <t>ItemText</t>
        </is>
      </c>
      <c r="D139" s="38" t="inlineStr">
        <is>
          <t>native span props passthrough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Select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15" customHeight="1" s="60">
      <c r="A140" s="37" t="n">
        <v>132</v>
      </c>
      <c r="B140" s="38" t="inlineStr">
        <is>
          <t>Styling hooks</t>
        </is>
      </c>
      <c r="C140" s="38" t="inlineStr">
        <is>
          <t>ItemText</t>
        </is>
      </c>
      <c r="D140" s="38" t="inlineStr">
        <is>
          <t>data-slot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Select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15" customHeight="1" s="60">
      <c r="A141" s="37" t="n">
        <v>133</v>
      </c>
      <c r="B141" s="38" t="inlineStr">
        <is>
          <t>Public API</t>
        </is>
      </c>
      <c r="C141" s="38" t="inlineStr">
        <is>
          <t>ItemIndicator</t>
        </is>
      </c>
      <c r="D141" s="38" t="inlineStr">
        <is>
          <t>renders only when selected by default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Select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15" customHeight="1" s="60">
      <c r="A142" s="37" t="n">
        <v>134</v>
      </c>
      <c r="B142" s="38" t="inlineStr">
        <is>
          <t>Public API</t>
        </is>
      </c>
      <c r="C142" s="38" t="inlineStr">
        <is>
          <t>ItemIndicator</t>
        </is>
      </c>
      <c r="D142" s="38" t="inlineStr">
        <is>
          <t>forceMount renders unchecked indicator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Select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15" customHeight="1" s="60">
      <c r="A143" s="37" t="n">
        <v>135</v>
      </c>
      <c r="B143" s="38" t="inlineStr">
        <is>
          <t>Public API</t>
        </is>
      </c>
      <c r="C143" s="38" t="inlineStr">
        <is>
          <t>ItemIndicator</t>
        </is>
      </c>
      <c r="D143" s="38" t="inlineStr">
        <is>
          <t>data-state checked/unchecked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Select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45" customHeight="1" s="60">
      <c r="A144" s="37" t="n">
        <v>136</v>
      </c>
      <c r="B144" s="38" t="inlineStr">
        <is>
          <t>Accessibility</t>
        </is>
      </c>
      <c r="C144" s="38" t="inlineStr">
        <is>
          <t>ItemIndicator</t>
        </is>
      </c>
      <c r="D144" s="38" t="inlineStr">
        <is>
          <t>aria-hidden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Select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15" customHeight="1" s="60">
      <c r="A145" s="37" t="n">
        <v>137</v>
      </c>
      <c r="B145" s="38" t="inlineStr">
        <is>
          <t>Refs</t>
        </is>
      </c>
      <c r="C145" s="38" t="inlineStr">
        <is>
          <t>ItemIndicator</t>
        </is>
      </c>
      <c r="D145" s="38" t="inlineStr">
        <is>
          <t>ref receives span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Select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15" customHeight="1" s="60">
      <c r="A146" s="37" t="n">
        <v>138</v>
      </c>
      <c r="B146" s="38" t="inlineStr">
        <is>
          <t>Props</t>
        </is>
      </c>
      <c r="C146" s="38" t="inlineStr">
        <is>
          <t>ItemIndicator</t>
        </is>
      </c>
      <c r="D146" s="38" t="inlineStr">
        <is>
          <t>native span props passthrough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Select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15" customHeight="1" s="60">
      <c r="A147" s="37" t="n">
        <v>139</v>
      </c>
      <c r="B147" s="38" t="inlineStr">
        <is>
          <t>Styling hooks</t>
        </is>
      </c>
      <c r="C147" s="38" t="inlineStr">
        <is>
          <t>ItemIndicator</t>
        </is>
      </c>
      <c r="D147" s="38" t="inlineStr">
        <is>
          <t>data-slot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Select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15" customHeight="1" s="60">
      <c r="A148" s="37" t="n">
        <v>140</v>
      </c>
      <c r="B148" s="38" t="inlineStr">
        <is>
          <t>Public API</t>
        </is>
      </c>
      <c r="C148" s="38" t="inlineStr">
        <is>
          <t>Separator</t>
        </is>
      </c>
      <c r="D148" s="38" t="inlineStr">
        <is>
          <t>renders separator role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Select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45" customHeight="1" s="60">
      <c r="A149" s="37" t="n">
        <v>141</v>
      </c>
      <c r="B149" s="38" t="inlineStr">
        <is>
          <t>Public API</t>
        </is>
      </c>
      <c r="C149" s="38" t="inlineStr">
        <is>
          <t>Separator</t>
        </is>
      </c>
      <c r="D149" s="38" t="inlineStr">
        <is>
          <t>aria-orientation horizontal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Select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15" customHeight="1" s="60">
      <c r="A150" s="37" t="n">
        <v>142</v>
      </c>
      <c r="B150" s="38" t="inlineStr">
        <is>
          <t>Refs</t>
        </is>
      </c>
      <c r="C150" s="38" t="inlineStr">
        <is>
          <t>Separator</t>
        </is>
      </c>
      <c r="D150" s="38" t="inlineStr">
        <is>
          <t>ref receives div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Select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15" customHeight="1" s="60">
      <c r="A151" s="37" t="n">
        <v>143</v>
      </c>
      <c r="B151" s="38" t="inlineStr">
        <is>
          <t>Props</t>
        </is>
      </c>
      <c r="C151" s="38" t="inlineStr">
        <is>
          <t>Separator</t>
        </is>
      </c>
      <c r="D151" s="38" t="inlineStr">
        <is>
          <t>native div props passthrough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Select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15" customHeight="1" s="60">
      <c r="A152" s="37" t="n">
        <v>144</v>
      </c>
      <c r="B152" s="38" t="inlineStr">
        <is>
          <t>Styling hooks</t>
        </is>
      </c>
      <c r="C152" s="38" t="inlineStr">
        <is>
          <t>Separator</t>
        </is>
      </c>
      <c r="D152" s="38" t="inlineStr">
        <is>
          <t>data-slot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Select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15" customHeight="1" s="60">
      <c r="A153" s="37" t="n">
        <v>145</v>
      </c>
      <c r="B153" s="38" t="inlineStr">
        <is>
          <t>Public API</t>
        </is>
      </c>
      <c r="C153" s="38" t="inlineStr">
        <is>
          <t>ScrollUpButton</t>
        </is>
      </c>
      <c r="D153" s="38" t="inlineStr">
        <is>
          <t>renders only when can scroll up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Select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15" customHeight="1" s="60">
      <c r="A154" s="37" t="n">
        <v>146</v>
      </c>
      <c r="B154" s="38" t="inlineStr">
        <is>
          <t>Public API</t>
        </is>
      </c>
      <c r="C154" s="38" t="inlineStr">
        <is>
          <t>ScrollDownButton</t>
        </is>
      </c>
      <c r="D154" s="38" t="inlineStr">
        <is>
          <t>renders only when can scroll down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Select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15" customHeight="1" s="60">
      <c r="A155" s="37" t="n">
        <v>147</v>
      </c>
      <c r="B155" s="38" t="inlineStr">
        <is>
          <t>Interaction</t>
        </is>
      </c>
      <c r="C155" s="38" t="inlineStr">
        <is>
          <t>Scroll buttons</t>
        </is>
      </c>
      <c r="D155" s="38" t="inlineStr">
        <is>
          <t>click scrolls viewport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Select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15" customHeight="1" s="60">
      <c r="A156" s="37" t="n">
        <v>148</v>
      </c>
      <c r="B156" s="38" t="inlineStr">
        <is>
          <t>Accessibility</t>
        </is>
      </c>
      <c r="C156" s="38" t="inlineStr">
        <is>
          <t>Scroll buttons</t>
        </is>
      </c>
      <c r="D156" s="38" t="inlineStr">
        <is>
          <t>aria-hidden and tabIndex -1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Select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45" customHeight="1" s="60">
      <c r="A157" s="37" t="n">
        <v>149</v>
      </c>
      <c r="B157" s="38" t="inlineStr">
        <is>
          <t>Composition</t>
        </is>
      </c>
      <c r="C157" s="38" t="inlineStr">
        <is>
          <t>Scroll buttons</t>
        </is>
      </c>
      <c r="D157" s="38" t="inlineStr">
        <is>
          <t>merged onClick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Select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15" customHeight="1" s="60">
      <c r="A158" s="37" t="n">
        <v>150</v>
      </c>
      <c r="B158" s="38" t="inlineStr">
        <is>
          <t>Refs</t>
        </is>
      </c>
      <c r="C158" s="38" t="inlineStr">
        <is>
          <t>Scroll buttons</t>
        </is>
      </c>
      <c r="D158" s="38" t="inlineStr">
        <is>
          <t>refs receive button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Select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15" customHeight="1" s="60">
      <c r="A159" s="37" t="n">
        <v>151</v>
      </c>
      <c r="B159" s="38" t="inlineStr">
        <is>
          <t>Props</t>
        </is>
      </c>
      <c r="C159" s="38" t="inlineStr">
        <is>
          <t>Scroll buttons</t>
        </is>
      </c>
      <c r="D159" s="38" t="inlineStr">
        <is>
          <t>native button props passthrough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Select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15" customHeight="1" s="60">
      <c r="A160" s="37" t="n">
        <v>152</v>
      </c>
      <c r="B160" s="38" t="inlineStr">
        <is>
          <t>Styling hooks</t>
        </is>
      </c>
      <c r="C160" s="38" t="inlineStr">
        <is>
          <t>Scroll buttons</t>
        </is>
      </c>
      <c r="D160" s="38" t="inlineStr">
        <is>
          <t>data-slot direction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Select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15" customHeight="1" s="60">
      <c r="A161" s="37" t="n">
        <v>153</v>
      </c>
      <c r="B161" s="38" t="inlineStr">
        <is>
          <t>Public API</t>
        </is>
      </c>
      <c r="C161" s="38" t="inlineStr">
        <is>
          <t>Arrow</t>
        </is>
      </c>
      <c r="D161" s="38" t="inlineStr">
        <is>
          <t>renders decorative arrow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Select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45" customHeight="1" s="60">
      <c r="A162" s="37" t="n">
        <v>154</v>
      </c>
      <c r="B162" s="38" t="inlineStr">
        <is>
          <t>Accessibility</t>
        </is>
      </c>
      <c r="C162" s="38" t="inlineStr">
        <is>
          <t>Arrow</t>
        </is>
      </c>
      <c r="D162" s="38" t="inlineStr">
        <is>
          <t>aria-hidden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Select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15" customHeight="1" s="60">
      <c r="A163" s="37" t="n">
        <v>155</v>
      </c>
      <c r="B163" s="38" t="inlineStr">
        <is>
          <t>Refs</t>
        </is>
      </c>
      <c r="C163" s="38" t="inlineStr">
        <is>
          <t>Arrow</t>
        </is>
      </c>
      <c r="D163" s="38" t="inlineStr">
        <is>
          <t>ref receives span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Select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15" customHeight="1" s="60">
      <c r="A164" s="37" t="n">
        <v>156</v>
      </c>
      <c r="B164" s="38" t="inlineStr">
        <is>
          <t>Props</t>
        </is>
      </c>
      <c r="C164" s="38" t="inlineStr">
        <is>
          <t>Arrow</t>
        </is>
      </c>
      <c r="D164" s="38" t="inlineStr">
        <is>
          <t>native span props passthrough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Select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15" customHeight="1" s="60">
      <c r="A165" s="37" t="n">
        <v>157</v>
      </c>
      <c r="B165" s="38" t="inlineStr">
        <is>
          <t>Styling hooks</t>
        </is>
      </c>
      <c r="C165" s="38" t="inlineStr">
        <is>
          <t>Arrow</t>
        </is>
      </c>
      <c r="D165" s="38" t="inlineStr">
        <is>
          <t>data-slot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Select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15" customHeight="1" s="60">
      <c r="A166" s="37" t="n">
        <v>158</v>
      </c>
      <c r="B166" s="38" t="inlineStr">
        <is>
          <t>Interaction</t>
        </is>
      </c>
      <c r="C166" s="38" t="inlineStr">
        <is>
          <t>Cycle</t>
        </is>
      </c>
      <c r="D166" s="38" t="inlineStr">
        <is>
          <t>multiple open/close cycles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Select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15" customHeight="1" s="60">
      <c r="A167" s="37" t="n">
        <v>159</v>
      </c>
      <c r="B167" s="38" t="inlineStr">
        <is>
          <t>Interaction</t>
        </is>
      </c>
      <c r="C167" s="38" t="inlineStr">
        <is>
          <t>Mobile</t>
        </is>
      </c>
      <c r="D167" s="38" t="inlineStr">
        <is>
          <t>tap trigger opens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Select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15" customHeight="1" s="60">
      <c r="A168" s="37" t="n">
        <v>160</v>
      </c>
      <c r="B168" s="38" t="inlineStr">
        <is>
          <t>Interaction</t>
        </is>
      </c>
      <c r="C168" s="38" t="inlineStr">
        <is>
          <t>Mobile</t>
        </is>
      </c>
      <c r="D168" s="38" t="inlineStr">
        <is>
          <t>tap item selects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Select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0" customHeight="1" s="60">
      <c r="A169" s="37" t="n">
        <v>161</v>
      </c>
      <c r="B169" s="38" t="inlineStr">
        <is>
          <t>Interaction</t>
        </is>
      </c>
      <c r="C169" s="38" t="inlineStr">
        <is>
          <t>Mobile</t>
        </is>
      </c>
      <c r="D169" s="38" t="inlineStr">
        <is>
          <t>tap outside closes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Select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15" customHeight="1" s="60">
      <c r="A170" s="37" t="n">
        <v>162</v>
      </c>
      <c r="B170" s="38" t="inlineStr">
        <is>
          <t>Interaction</t>
        </is>
      </c>
      <c r="C170" s="38" t="inlineStr">
        <is>
          <t>Mobile</t>
        </is>
      </c>
      <c r="D170" s="38" t="inlineStr">
        <is>
          <t>viewport fit and scroll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Select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30" customHeight="1" s="60">
      <c r="A171" s="37" t="n">
        <v>163</v>
      </c>
      <c r="B171" s="38" t="inlineStr">
        <is>
          <t>Keyboard</t>
        </is>
      </c>
      <c r="C171" s="38" t="inlineStr">
        <is>
          <t>Typeahead</t>
        </is>
      </c>
      <c r="D171" s="38" t="inlineStr">
        <is>
          <t>single-character typeahead cycles from current matching option after buffer reset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Select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Sidebar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manual-tests/sidebar.md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manual-tests/sidebar.md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Sidebar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manual-tests/sidebar.md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Sidebar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manual-tests/sidebar.md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Sidebar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manual-tests/sidebar.md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Sidebar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manual-tests/sidebar.md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Sidebar</t>
        </is>
      </c>
      <c r="D15" s="5" t="inlineStr">
        <is>
          <t>Supports controlled and uncontrolled sidebar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manual-tests/sidebar.md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Sidebar</t>
        </is>
      </c>
      <c r="D16" s="5" t="inlineStr">
        <is>
          <t>Supports `expanded`, `rail`, and `offcanvas` states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manual-tests/sidebar.md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Sidebar</t>
        </is>
      </c>
      <c r="D17" s="5" t="inlineStr">
        <is>
          <t>Supports left and right sidebars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manual-tests/sidebar.md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Sidebar</t>
        </is>
      </c>
      <c r="D18" s="5" t="inlineStr">
        <is>
          <t>Provides trigger, panel, and main content relationships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manual-tests/sidebar.md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Sidebar</t>
        </is>
      </c>
      <c r="D19" s="5" t="inlineStr">
        <is>
          <t>Keeps layout and visual sizing in consumer styles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manual-tests/sidebar.md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Sidebar</t>
        </is>
      </c>
      <c r="D20" s="5" t="inlineStr">
        <is>
          <t>Removes offcanvas panels from the accessibility tree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manual-tests/sidebar.md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manual-tests/sidebar.md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manual-tests/sidebar.md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manual-tests/sidebar.md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manual-tests/sidebar.md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manual-tests/sidebar.md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manual-tests/sidebar.md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state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manual-tests/sidebar.md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defaultState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manual-tests/sidebar.md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onStateChange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manual-tests/sidebar.md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collapsedState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manual-tests/sidebar.md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Positioning</t>
        </is>
      </c>
      <c r="C31" s="5" t="inlineStr">
        <is>
          <t>Root</t>
        </is>
      </c>
      <c r="D31" s="5" t="inlineStr">
        <is>
          <t>side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manual-tests/sidebar.md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disabled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manual-tests/sidebar.md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manual-tests/sidebar.md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[data-state]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manual-tests/sidebar.md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Positioning</t>
        </is>
      </c>
      <c r="C35" s="5" t="inlineStr">
        <is>
          <t>Root</t>
        </is>
      </c>
      <c r="D35" s="5" t="inlineStr">
        <is>
          <t>[data-side]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manual-tests/sidebar.md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[data-collapsed-state]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manual-tests/sidebar.md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renders correct part when expected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manual-tests/sidebar.md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Trigger</t>
        </is>
      </c>
      <c r="D38" s="5" t="inlineStr">
        <is>
          <t>appears in documented order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manual-tests/sidebar.md</t>
        </is>
      </c>
      <c r="J38" s="5" t="n"/>
      <c r="K38" s="6">
        <f>IF(AND(E38="yes",F38="yes",H38="covered"),1,IF(H38="partial",0.5,0))</f>
        <v/>
      </c>
    </row>
    <row r="39" ht="30" customHeight="1" s="60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default tag is visible in Anatomy/Inspector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manual-tests/sidebar.md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Identity</t>
        </is>
      </c>
      <c r="C40" s="5" t="inlineStr">
        <is>
          <t>Trigger</t>
        </is>
      </c>
      <c r="D40" s="5" t="inlineStr">
        <is>
          <t>data-slot is present and correct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manual-tests/sidebar.md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Props</t>
        </is>
      </c>
      <c r="C41" s="5" t="inlineStr">
        <is>
          <t>Trigger</t>
        </is>
      </c>
      <c r="D41" s="5" t="inlineStr">
        <is>
          <t>non-Atom native props pass through with data-prop-check marker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manual-tests/sidebar.md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Refs</t>
        </is>
      </c>
      <c r="C42" s="5" t="inlineStr">
        <is>
          <t>Trigger</t>
        </is>
      </c>
      <c r="D42" s="5" t="inlineStr">
        <is>
          <t>consumer ref receives the rendered element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manual-tests/sidebar.md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Trigger</t>
        </is>
      </c>
      <c r="D43" s="5" t="inlineStr">
        <is>
          <t>Root disabled state disables Trigger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manual-tests/sidebar.md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manual-tests/sidebar.md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Trigger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manual-tests/sidebar.md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manual-tests/sidebar.md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Trigger</t>
        </is>
      </c>
      <c r="D47" s="5" t="inlineStr">
        <is>
          <t>[data-state]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manual-tests/sidebar.md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Positioning</t>
        </is>
      </c>
      <c r="C48" s="5" t="inlineStr">
        <is>
          <t>Trigger</t>
        </is>
      </c>
      <c r="D48" s="5" t="inlineStr">
        <is>
          <t>[data-side]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manual-tests/sidebar.md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Trigger</t>
        </is>
      </c>
      <c r="D49" s="5" t="inlineStr">
        <is>
          <t>[data-disabled]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manual-tests/sidebar.md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Main</t>
        </is>
      </c>
      <c r="D50" s="5" t="inlineStr">
        <is>
          <t>renders correct part when expected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manual-tests/sidebar.md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Anatomy</t>
        </is>
      </c>
      <c r="C51" s="5" t="inlineStr">
        <is>
          <t>Main</t>
        </is>
      </c>
      <c r="D51" s="5" t="inlineStr">
        <is>
          <t>appears in documented order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manual-tests/sidebar.md</t>
        </is>
      </c>
      <c r="J51" s="5" t="n"/>
      <c r="K51" s="6">
        <f>IF(AND(E51="yes",F51="yes",H51="covered"),1,IF(H51="partial",0.5,0))</f>
        <v/>
      </c>
    </row>
    <row r="52" ht="30" customHeight="1" s="60">
      <c r="A52" s="4" t="n">
        <v>44</v>
      </c>
      <c r="B52" s="5" t="inlineStr">
        <is>
          <t>Identity</t>
        </is>
      </c>
      <c r="C52" s="5" t="inlineStr">
        <is>
          <t>Main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manual-tests/sidebar.md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Main</t>
        </is>
      </c>
      <c r="D53" s="5" t="inlineStr">
        <is>
          <t>data-slot is present and correct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manual-tests/sidebar.md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Props</t>
        </is>
      </c>
      <c r="C54" s="5" t="inlineStr">
        <is>
          <t>Main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manual-tests/sidebar.md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Refs</t>
        </is>
      </c>
      <c r="C55" s="5" t="inlineStr">
        <is>
          <t>Main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manual-tests/sidebar.md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Main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manual-tests/sidebar.md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Main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manual-tests/sidebar.md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Positioning</t>
        </is>
      </c>
      <c r="C58" s="5" t="inlineStr">
        <is>
          <t>Main</t>
        </is>
      </c>
      <c r="D58" s="5" t="inlineStr">
        <is>
          <t>[data-side]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manual-tests/sidebar.md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Panel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manual-tests/sidebar.md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Anatomy</t>
        </is>
      </c>
      <c r="C60" s="5" t="inlineStr">
        <is>
          <t>Panel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manual-tests/sidebar.md</t>
        </is>
      </c>
      <c r="J60" s="5" t="n"/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Identity</t>
        </is>
      </c>
      <c r="C61" s="5" t="inlineStr">
        <is>
          <t>Panel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manual-tests/sidebar.md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Panel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manual-tests/sidebar.md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Panel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manual-tests/sidebar.md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Refs</t>
        </is>
      </c>
      <c r="C64" s="5" t="inlineStr">
        <is>
          <t>Panel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manual-tests/sidebar.md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Panel</t>
        </is>
      </c>
      <c r="D65" s="5" t="inlineStr">
        <is>
          <t>asChild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manual-tests/sidebar.md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Panel</t>
        </is>
      </c>
      <c r="D66" s="5" t="inlineStr">
        <is>
          <t>render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manual-tests/sidebar.md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Panel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manual-tests/sidebar.md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Panel</t>
        </is>
      </c>
      <c r="D68" s="5" t="inlineStr">
        <is>
          <t>[data-state]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manual-tests/sidebar.md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Positioning</t>
        </is>
      </c>
      <c r="C69" s="5" t="inlineStr">
        <is>
          <t>Panel</t>
        </is>
      </c>
      <c r="D69" s="5" t="inlineStr">
        <is>
          <t>[data-side]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manual-tests/sidebar.md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aria-controls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protocol</t>
        </is>
      </c>
      <c r="H70" s="9" t="inlineStr">
        <is>
          <t>covered</t>
        </is>
      </c>
      <c r="I70" s="5" t="inlineStr">
        <is>
          <t>manual-tests/sidebar.md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aria-disabled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protocol</t>
        </is>
      </c>
      <c r="H71" s="9" t="inlineStr">
        <is>
          <t>covered</t>
        </is>
      </c>
      <c r="I71" s="5" t="inlineStr">
        <is>
          <t>manual-tests/sidebar.md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aria-expanded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protocol</t>
        </is>
      </c>
      <c r="H72" s="9" t="inlineStr">
        <is>
          <t>covered</t>
        </is>
      </c>
      <c r="I72" s="5" t="inlineStr">
        <is>
          <t>manual-tests/sidebar.md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aria-hidden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protocol</t>
        </is>
      </c>
      <c r="H73" s="9" t="inlineStr">
        <is>
          <t>covered</t>
        </is>
      </c>
      <c r="I73" s="5" t="inlineStr">
        <is>
          <t>manual-tests/sidebar.md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aria-label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protocol</t>
        </is>
      </c>
      <c r="H74" s="9" t="inlineStr">
        <is>
          <t>covered</t>
        </is>
      </c>
      <c r="I74" s="5" t="inlineStr">
        <is>
          <t>manual-tests/sidebar.md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Data</t>
        </is>
      </c>
      <c r="C75" s="5" t="inlineStr">
        <is>
          <t>Live DOM</t>
        </is>
      </c>
      <c r="D75" s="5" t="inlineStr">
        <is>
          <t>data-collapsed-state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protocol</t>
        </is>
      </c>
      <c r="H75" s="9" t="inlineStr">
        <is>
          <t>covered</t>
        </is>
      </c>
      <c r="I75" s="5" t="inlineStr">
        <is>
          <t>manual-tests/sidebar.md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Data</t>
        </is>
      </c>
      <c r="C76" s="5" t="inlineStr">
        <is>
          <t>Live DOM</t>
        </is>
      </c>
      <c r="D76" s="5" t="inlineStr">
        <is>
          <t>data-disabled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protocol</t>
        </is>
      </c>
      <c r="H76" s="9" t="inlineStr">
        <is>
          <t>covered</t>
        </is>
      </c>
      <c r="I76" s="5" t="inlineStr">
        <is>
          <t>manual-tests/sidebar.md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Data</t>
        </is>
      </c>
      <c r="C77" s="5" t="inlineStr">
        <is>
          <t>Live DOM</t>
        </is>
      </c>
      <c r="D77" s="5" t="inlineStr">
        <is>
          <t>data-side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protocol</t>
        </is>
      </c>
      <c r="H77" s="9" t="inlineStr">
        <is>
          <t>covered</t>
        </is>
      </c>
      <c r="I77" s="5" t="inlineStr">
        <is>
          <t>manual-tests/sidebar.md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Data</t>
        </is>
      </c>
      <c r="C78" s="5" t="inlineStr">
        <is>
          <t>Live DOM</t>
        </is>
      </c>
      <c r="D78" s="5" t="inlineStr">
        <is>
          <t>data-slot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protocol</t>
        </is>
      </c>
      <c r="H78" s="9" t="inlineStr">
        <is>
          <t>covered</t>
        </is>
      </c>
      <c r="I78" s="5" t="inlineStr">
        <is>
          <t>manual-tests/sidebar.md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data-state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protocol</t>
        </is>
      </c>
      <c r="H79" s="9" t="inlineStr">
        <is>
          <t>covered</t>
        </is>
      </c>
      <c r="I79" s="5" t="inlineStr">
        <is>
          <t>manual-tests/sidebar.md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data-target-state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protocol</t>
        </is>
      </c>
      <c r="H80" s="9" t="inlineStr">
        <is>
          <t>covered</t>
        </is>
      </c>
      <c r="I80" s="5" t="inlineStr">
        <is>
          <t>manual-tests/sidebar.md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Composition</t>
        </is>
      </c>
      <c r="C81" s="5" t="inlineStr">
        <is>
          <t>Sidebar</t>
        </is>
      </c>
      <c r="D81" s="5" t="inlineStr">
        <is>
          <t>asChild preserves child content without double nesting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protocol</t>
        </is>
      </c>
      <c r="H81" s="9" t="inlineStr">
        <is>
          <t>covered</t>
        </is>
      </c>
      <c r="I81" s="5" t="inlineStr">
        <is>
          <t>manual-tests/sidebar.md</t>
        </is>
      </c>
      <c r="J81" s="5" t="n"/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Composition</t>
        </is>
      </c>
      <c r="C82" s="5" t="inlineStr">
        <is>
          <t>Sidebar</t>
        </is>
      </c>
      <c r="D82" s="5" t="inlineStr">
        <is>
          <t>asChild merges Atom props and consumer props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protocol</t>
        </is>
      </c>
      <c r="H82" s="9" t="inlineStr">
        <is>
          <t>covered</t>
        </is>
      </c>
      <c r="I82" s="5" t="inlineStr">
        <is>
          <t>manual-tests/sidebar.md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Sidebar</t>
        </is>
      </c>
      <c r="D83" s="5" t="inlineStr">
        <is>
          <t>render prop renders custom element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protocol</t>
        </is>
      </c>
      <c r="H83" s="9" t="inlineStr">
        <is>
          <t>covered</t>
        </is>
      </c>
      <c r="I83" s="5" t="inlineStr">
        <is>
          <t>manual-tests/sidebar.md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Sidebar</t>
        </is>
      </c>
      <c r="D84" s="5" t="inlineStr">
        <is>
          <t>render prop preserves refs and behavior props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protocol</t>
        </is>
      </c>
      <c r="H84" s="9" t="inlineStr">
        <is>
          <t>covered</t>
        </is>
      </c>
      <c r="I84" s="5" t="inlineStr">
        <is>
          <t>manual-tests/sidebar.md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State</t>
        </is>
      </c>
      <c r="C85" s="5" t="inlineStr">
        <is>
          <t>Root</t>
        </is>
      </c>
      <c r="D85" s="5" t="inlineStr">
        <is>
          <t>controlled state path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protocol</t>
        </is>
      </c>
      <c r="H85" s="9" t="inlineStr">
        <is>
          <t>covered</t>
        </is>
      </c>
      <c r="I85" s="5" t="inlineStr">
        <is>
          <t>manual-tests/sidebar.md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State</t>
        </is>
      </c>
      <c r="C86" s="5" t="inlineStr">
        <is>
          <t>Root</t>
        </is>
      </c>
      <c r="D86" s="5" t="inlineStr">
        <is>
          <t>uncontrolled default state path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protocol</t>
        </is>
      </c>
      <c r="H86" s="9" t="inlineStr">
        <is>
          <t>covered</t>
        </is>
      </c>
      <c r="I86" s="5" t="inlineStr">
        <is>
          <t>manual-tests/sidebar.md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State</t>
        </is>
      </c>
      <c r="C87" s="5" t="inlineStr">
        <is>
          <t>Root</t>
        </is>
      </c>
      <c r="D87" s="5" t="inlineStr">
        <is>
          <t>state change callback fires once with correct value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protocol</t>
        </is>
      </c>
      <c r="H87" s="9" t="inlineStr">
        <is>
          <t>covered</t>
        </is>
      </c>
      <c r="I87" s="5" t="inlineStr">
        <is>
          <t>manual-tests/sidebar.md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Interaction</t>
        </is>
      </c>
      <c r="C88" s="5" t="inlineStr">
        <is>
          <t>Trigger</t>
        </is>
      </c>
      <c r="D88" s="5" t="inlineStr">
        <is>
          <t>mouse click or pointer activation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protocol</t>
        </is>
      </c>
      <c r="H88" s="9" t="inlineStr">
        <is>
          <t>covered</t>
        </is>
      </c>
      <c r="I88" s="5" t="inlineStr">
        <is>
          <t>manual-tests/sidebar.md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Interaction</t>
        </is>
      </c>
      <c r="C89" s="5" t="inlineStr">
        <is>
          <t>Trigger</t>
        </is>
      </c>
      <c r="D89" s="5" t="inlineStr">
        <is>
          <t>Enter key activation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protocol</t>
        </is>
      </c>
      <c r="H89" s="9" t="inlineStr">
        <is>
          <t>covered</t>
        </is>
      </c>
      <c r="I89" s="5" t="inlineStr">
        <is>
          <t>manual-tests/sidebar.md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Interaction</t>
        </is>
      </c>
      <c r="C90" s="5" t="inlineStr">
        <is>
          <t>Trigger</t>
        </is>
      </c>
      <c r="D90" s="5" t="inlineStr">
        <is>
          <t>Space key activation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protocol</t>
        </is>
      </c>
      <c r="H90" s="9" t="inlineStr">
        <is>
          <t>covered</t>
        </is>
      </c>
      <c r="I90" s="5" t="inlineStr">
        <is>
          <t>manual-tests/sidebar.md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Interaction</t>
        </is>
      </c>
      <c r="C91" s="5" t="inlineStr">
        <is>
          <t>Trigger</t>
        </is>
      </c>
      <c r="D91" s="5" t="inlineStr">
        <is>
          <t>disabled trigger blocks pointer and keyboard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protocol</t>
        </is>
      </c>
      <c r="H91" s="9" t="inlineStr">
        <is>
          <t>covered</t>
        </is>
      </c>
      <c r="I91" s="5" t="inlineStr">
        <is>
          <t>manual-tests/sidebar.md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Positioning</t>
        </is>
      </c>
      <c r="C92" s="5" t="inlineStr">
        <is>
          <t>Sidebar</t>
        </is>
      </c>
      <c r="D92" s="5" t="inlineStr">
        <is>
          <t>side options position content correctly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protocol</t>
        </is>
      </c>
      <c r="H92" s="9" t="inlineStr">
        <is>
          <t>covered</t>
        </is>
      </c>
      <c r="I92" s="5" t="inlineStr">
        <is>
          <t>manual-tests/sidebar.md</t>
        </is>
      </c>
      <c r="J92" s="5" t="n"/>
      <c r="K92" s="6">
        <f>IF(AND(E92="yes",F92="yes",H92="covered"),1,IF(H92="partial",0.5,0))</f>
        <v/>
      </c>
    </row>
    <row r="93" ht="15" customHeight="1" s="60"/>
    <row r="94" ht="15" customHeight="1" s="60"/>
    <row r="95" ht="15" customHeight="1" s="60"/>
    <row r="96" ht="30" customHeight="1" s="60"/>
    <row r="97" ht="15" customHeight="1" s="60"/>
    <row r="98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SkipLink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IFERROR(SUM(K9:K50)/COUNTA(A9:A50),0)</f>
        <v/>
      </c>
      <c r="C4" s="1" t="inlineStr">
        <is>
          <t>Covered</t>
        </is>
      </c>
      <c r="D4" s="2">
        <f>COUNTIF(H9:H50,"covered")</f>
        <v/>
      </c>
      <c r="E4" s="1" t="inlineStr">
        <is>
          <t>Partial</t>
        </is>
      </c>
      <c r="F4" s="2">
        <f>COUNTIF(H9:H50,"partial")</f>
        <v/>
      </c>
      <c r="G4" s="1" t="inlineStr">
        <is>
          <t>Missing</t>
        </is>
      </c>
      <c r="H4" s="2">
        <f>COUNTIF(H9:H50,"missing")</f>
        <v/>
      </c>
      <c r="I4" s="1" t="inlineStr">
        <is>
          <t>Untested</t>
        </is>
      </c>
      <c r="J4" s="2">
        <f>COUNTIF(F9:F50,"no")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SkipLink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SkipLink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SkipLink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SkipLink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SkipLink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SkipLink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SkipLink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SkipLink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SkipLink</t>
        </is>
      </c>
      <c r="D15" s="20" t="inlineStr">
        <is>
          <t>Renders a native anchor for progressive enhancement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SkipLink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SkipLink</t>
        </is>
      </c>
      <c r="D16" s="20" t="inlineStr">
        <is>
          <t>Focuses and scrolls the hash target on activation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SkipLink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SkipLink</t>
        </is>
      </c>
      <c r="D17" s="20" t="inlineStr">
        <is>
          <t>Safely handles malformed hash encoding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SkipLink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SkipLink</t>
        </is>
      </c>
      <c r="D18" s="20" t="inlineStr">
        <is>
          <t>Provides a programmatically focusable target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SkipLink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Feature</t>
        </is>
      </c>
      <c r="C19" s="20" t="inlineStr">
        <is>
          <t>SkipLink</t>
        </is>
      </c>
      <c r="D19" s="20" t="inlineStr">
        <is>
          <t>Supports `asChild` and `render` on both parts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SkipLink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SkipLink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15" customHeight="1" s="60">
      <c r="A21" s="19" t="n">
        <v>13</v>
      </c>
      <c r="B21" s="20" t="inlineStr">
        <is>
          <t>Anatomy</t>
        </is>
      </c>
      <c r="C21" s="20" t="inlineStr">
        <is>
          <t>Root</t>
        </is>
      </c>
      <c r="D21" s="20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SkipLink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30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SkipLink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Identity</t>
        </is>
      </c>
      <c r="C23" s="20" t="inlineStr">
        <is>
          <t>Root</t>
        </is>
      </c>
      <c r="D23" s="20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SkipLink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Props</t>
        </is>
      </c>
      <c r="C24" s="20" t="inlineStr">
        <is>
          <t>Root</t>
        </is>
      </c>
      <c r="D24" s="20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SkipLink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Refs</t>
        </is>
      </c>
      <c r="C25" s="20" t="inlineStr">
        <is>
          <t>Root</t>
        </is>
      </c>
      <c r="D25" s="20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SkipLink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SkipLink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Composition</t>
        </is>
      </c>
      <c r="C27" s="20" t="inlineStr">
        <is>
          <t>Root</t>
        </is>
      </c>
      <c r="D27" s="20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SkipLink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href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SkipLink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focusTarget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SkipLink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State</t>
        </is>
      </c>
      <c r="C30" s="20" t="inlineStr">
        <is>
          <t>Root</t>
        </is>
      </c>
      <c r="D30" s="20" t="inlineStr">
        <is>
          <t>onClick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SkipLink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Public API</t>
        </is>
      </c>
      <c r="C31" s="20" t="inlineStr">
        <is>
          <t>Root</t>
        </is>
      </c>
      <c r="D31" s="20" t="inlineStr">
        <is>
          <t>[data-slot] prop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SkipLink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Anatomy</t>
        </is>
      </c>
      <c r="C32" s="20" t="inlineStr">
        <is>
          <t>Target</t>
        </is>
      </c>
      <c r="D32" s="20" t="inlineStr">
        <is>
          <t>renders correct part when expected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SkipLink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Anatomy</t>
        </is>
      </c>
      <c r="C33" s="20" t="inlineStr">
        <is>
          <t>Target</t>
        </is>
      </c>
      <c r="D33" s="20" t="inlineStr">
        <is>
          <t>appears in documented order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SkipLink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30" customHeight="1" s="60">
      <c r="A34" s="19" t="n">
        <v>26</v>
      </c>
      <c r="B34" s="20" t="inlineStr">
        <is>
          <t>Identity</t>
        </is>
      </c>
      <c r="C34" s="20" t="inlineStr">
        <is>
          <t>Target</t>
        </is>
      </c>
      <c r="D34" s="20" t="inlineStr">
        <is>
          <t>default tag is visible in Anatomy/Inspector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SkipLink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Identity</t>
        </is>
      </c>
      <c r="C35" s="20" t="inlineStr">
        <is>
          <t>Target</t>
        </is>
      </c>
      <c r="D35" s="20" t="inlineStr">
        <is>
          <t>data-slot is present and correct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SkipLink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60">
      <c r="A36" s="19" t="n">
        <v>28</v>
      </c>
      <c r="B36" s="20" t="inlineStr">
        <is>
          <t>Props</t>
        </is>
      </c>
      <c r="C36" s="20" t="inlineStr">
        <is>
          <t>Target</t>
        </is>
      </c>
      <c r="D36" s="20" t="inlineStr">
        <is>
          <t>non-Atom native props pass through with data-prop-check marker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SkipLink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  <row r="37" ht="15" customHeight="1" s="60">
      <c r="A37" s="19" t="n">
        <v>29</v>
      </c>
      <c r="B37" s="20" t="inlineStr">
        <is>
          <t>Refs</t>
        </is>
      </c>
      <c r="C37" s="20" t="inlineStr">
        <is>
          <t>Target</t>
        </is>
      </c>
      <c r="D37" s="20" t="inlineStr">
        <is>
          <t>consumer ref receives the rendered element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SkipLink playground scenario.</t>
        </is>
      </c>
      <c r="J37" s="20" t="inlineStr">
        <is>
          <t>Manual verification passed.</t>
        </is>
      </c>
      <c r="K37" s="21">
        <f>IF(H37="covered",1,IF(H37="partial",0.5,0))</f>
        <v/>
      </c>
    </row>
    <row r="38" ht="15" customHeight="1" s="60">
      <c r="A38" s="19" t="n">
        <v>30</v>
      </c>
      <c r="B38" s="20" t="inlineStr">
        <is>
          <t>Composition</t>
        </is>
      </c>
      <c r="C38" s="20" t="inlineStr">
        <is>
          <t>Target</t>
        </is>
      </c>
      <c r="D38" s="20" t="inlineStr">
        <is>
          <t>asChild prop behavior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SkipLink playground scenario.</t>
        </is>
      </c>
      <c r="J38" s="20" t="inlineStr">
        <is>
          <t>Manual verification passed.</t>
        </is>
      </c>
      <c r="K38" s="21">
        <f>IF(H38="covered",1,IF(H38="partial",0.5,0))</f>
        <v/>
      </c>
    </row>
    <row r="39" ht="15" customHeight="1" s="60">
      <c r="A39" s="19" t="n">
        <v>31</v>
      </c>
      <c r="B39" s="20" t="inlineStr">
        <is>
          <t>Composition</t>
        </is>
      </c>
      <c r="C39" s="20" t="inlineStr">
        <is>
          <t>Target</t>
        </is>
      </c>
      <c r="D39" s="20" t="inlineStr">
        <is>
          <t>render prop behavior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SkipLink playground scenario.</t>
        </is>
      </c>
      <c r="J39" s="20" t="inlineStr">
        <is>
          <t>Manual verification passed.</t>
        </is>
      </c>
      <c r="K39" s="21">
        <f>IF(H39="covered",1,IF(H39="partial",0.5,0))</f>
        <v/>
      </c>
    </row>
    <row r="40" ht="15" customHeight="1" s="60">
      <c r="A40" s="19" t="n">
        <v>32</v>
      </c>
      <c r="B40" s="20" t="inlineStr">
        <is>
          <t>Public API</t>
        </is>
      </c>
      <c r="C40" s="20" t="inlineStr">
        <is>
          <t>Target</t>
        </is>
      </c>
      <c r="D40" s="20" t="inlineStr">
        <is>
          <t>id prop behavior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SkipLink playground scenario.</t>
        </is>
      </c>
      <c r="J40" s="20" t="inlineStr">
        <is>
          <t>Manual verification passed.</t>
        </is>
      </c>
      <c r="K40" s="21">
        <f>IF(H40="covered",1,IF(H40="partial",0.5,0))</f>
        <v/>
      </c>
    </row>
    <row r="41" ht="15" customHeight="1" s="60">
      <c r="A41" s="19" t="n">
        <v>33</v>
      </c>
      <c r="B41" s="20" t="inlineStr">
        <is>
          <t>Public API</t>
        </is>
      </c>
      <c r="C41" s="20" t="inlineStr">
        <is>
          <t>Target</t>
        </is>
      </c>
      <c r="D41" s="20" t="inlineStr">
        <is>
          <t>tabIndex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SkipLink playground scenario.</t>
        </is>
      </c>
      <c r="J41" s="20" t="inlineStr">
        <is>
          <t>Manual verification passed.</t>
        </is>
      </c>
      <c r="K41" s="21">
        <f>IF(H41="covered",1,IF(H41="partial",0.5,0))</f>
        <v/>
      </c>
    </row>
    <row r="42" ht="15" customHeight="1" s="60">
      <c r="A42" s="19" t="n">
        <v>34</v>
      </c>
      <c r="B42" s="20" t="inlineStr">
        <is>
          <t>Public API</t>
        </is>
      </c>
      <c r="C42" s="20" t="inlineStr">
        <is>
          <t>Target</t>
        </is>
      </c>
      <c r="D42" s="20" t="inlineStr">
        <is>
          <t>[data-slot]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SkipLink playground scenario.</t>
        </is>
      </c>
      <c r="J42" s="20" t="inlineStr">
        <is>
          <t>Manual verification passed.</t>
        </is>
      </c>
      <c r="K42" s="21">
        <f>IF(H42="covered",1,IF(H42="partial",0.5,0))</f>
        <v/>
      </c>
    </row>
    <row r="43" ht="15" customHeight="1" s="60">
      <c r="A43" s="19" t="n">
        <v>35</v>
      </c>
      <c r="B43" s="20" t="inlineStr">
        <is>
          <t>Data</t>
        </is>
      </c>
      <c r="C43" s="20" t="inlineStr">
        <is>
          <t>Live DOM</t>
        </is>
      </c>
      <c r="D43" s="20" t="inlineStr">
        <is>
          <t>data-slot is present at the correct time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SkipLink playground scenario.</t>
        </is>
      </c>
      <c r="J43" s="20" t="inlineStr">
        <is>
          <t>Manual verification passed.</t>
        </is>
      </c>
      <c r="K43" s="21">
        <f>IF(H43="covered",1,IF(H43="partial",0.5,0))</f>
        <v/>
      </c>
    </row>
    <row r="44" ht="30" customHeight="1" s="60">
      <c r="A44" s="19" t="n">
        <v>36</v>
      </c>
      <c r="B44" s="20" t="inlineStr">
        <is>
          <t>Composition</t>
        </is>
      </c>
      <c r="C44" s="20" t="inlineStr">
        <is>
          <t>SkipLink</t>
        </is>
      </c>
      <c r="D44" s="20" t="inlineStr">
        <is>
          <t>asChild preserves child content without double nesting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SkipLink playground scenario.</t>
        </is>
      </c>
      <c r="J44" s="20" t="inlineStr">
        <is>
          <t>Manual verification passed.</t>
        </is>
      </c>
      <c r="K44" s="21">
        <f>IF(H44="covered",1,IF(H44="partial",0.5,0))</f>
        <v/>
      </c>
    </row>
    <row r="45" ht="15" customHeight="1" s="60">
      <c r="A45" s="19" t="n">
        <v>37</v>
      </c>
      <c r="B45" s="20" t="inlineStr">
        <is>
          <t>Composition</t>
        </is>
      </c>
      <c r="C45" s="20" t="inlineStr">
        <is>
          <t>SkipLink</t>
        </is>
      </c>
      <c r="D45" s="20" t="inlineStr">
        <is>
          <t>asChild merges Atom props and consumer props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SkipLink playground scenario.</t>
        </is>
      </c>
      <c r="J45" s="20" t="inlineStr">
        <is>
          <t>Manual verification passed.</t>
        </is>
      </c>
      <c r="K45" s="21">
        <f>IF(H45="covered",1,IF(H45="partial",0.5,0))</f>
        <v/>
      </c>
    </row>
    <row r="46" ht="15" customHeight="1" s="60">
      <c r="A46" s="19" t="n">
        <v>38</v>
      </c>
      <c r="B46" s="20" t="inlineStr">
        <is>
          <t>Composition</t>
        </is>
      </c>
      <c r="C46" s="20" t="inlineStr">
        <is>
          <t>SkipLink</t>
        </is>
      </c>
      <c r="D46" s="20" t="inlineStr">
        <is>
          <t>asChild lets preventDefault block Atom behavior where supported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SkipLink playground scenario.</t>
        </is>
      </c>
      <c r="J46" s="20" t="inlineStr">
        <is>
          <t>Manual verification passed.</t>
        </is>
      </c>
      <c r="K46" s="21">
        <f>IF(H46="covered",1,IF(H46="partial",0.5,0))</f>
        <v/>
      </c>
    </row>
    <row r="47" ht="15" customHeight="1" s="60">
      <c r="A47" s="19" t="n">
        <v>39</v>
      </c>
      <c r="B47" s="20" t="inlineStr">
        <is>
          <t>Composition</t>
        </is>
      </c>
      <c r="C47" s="20" t="inlineStr">
        <is>
          <t>SkipLink</t>
        </is>
      </c>
      <c r="D47" s="20" t="inlineStr">
        <is>
          <t>render prop renders custom element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SkipLink playground scenario.</t>
        </is>
      </c>
      <c r="J47" s="20" t="inlineStr">
        <is>
          <t>Manual verification passed.</t>
        </is>
      </c>
      <c r="K47" s="21">
        <f>IF(H47="covered",1,IF(H47="partial",0.5,0))</f>
        <v/>
      </c>
    </row>
    <row r="48" ht="15" customHeight="1" s="60">
      <c r="A48" s="19" t="n">
        <v>40</v>
      </c>
      <c r="B48" s="20" t="inlineStr">
        <is>
          <t>Composition</t>
        </is>
      </c>
      <c r="C48" s="20" t="inlineStr">
        <is>
          <t>SkipLink</t>
        </is>
      </c>
      <c r="D48" s="20" t="inlineStr">
        <is>
          <t>render prop preserves refs and behavior props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SkipLink playground scenario.</t>
        </is>
      </c>
      <c r="J48" s="20" t="inlineStr">
        <is>
          <t>Manual verification passed.</t>
        </is>
      </c>
      <c r="K48" s="21">
        <f>IF(H48="covered",1,IF(H48="partial",0.5,0))</f>
        <v/>
      </c>
    </row>
    <row r="49" ht="15" customHeight="1" s="60">
      <c r="A49" s="19" t="n">
        <v>41</v>
      </c>
      <c r="B49" s="20" t="inlineStr">
        <is>
          <t>Utility</t>
        </is>
      </c>
      <c r="C49" s="20" t="inlineStr">
        <is>
          <t>SkipLink</t>
        </is>
      </c>
      <c r="D49" s="20" t="inlineStr">
        <is>
          <t>skip link target receives programmatic focus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SkipLink playground scenario.</t>
        </is>
      </c>
      <c r="J49" s="20" t="inlineStr">
        <is>
          <t>Manual verification passed.</t>
        </is>
      </c>
      <c r="K49" s="21">
        <f>IF(H49="covered",1,IF(H49="partial",0.5,0))</f>
        <v/>
      </c>
    </row>
    <row r="50" ht="15" customHeight="1" s="60">
      <c r="A50" s="19" t="n">
        <v>42</v>
      </c>
      <c r="B50" s="20" t="inlineStr">
        <is>
          <t>Utility</t>
        </is>
      </c>
      <c r="C50" s="20" t="inlineStr">
        <is>
          <t>SkipLink</t>
        </is>
      </c>
      <c r="D50" s="20" t="inlineStr">
        <is>
          <t>malformed hashes do not break navigation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SkipLink playground scenario.</t>
        </is>
      </c>
      <c r="J50" s="20" t="inlineStr">
        <is>
          <t>Manual verification passed.</t>
        </is>
      </c>
      <c r="K50" s="21">
        <f>IF(H50="covered",1,IF(H50="partial",0.5,0))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11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Slider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tested</t>
        </is>
      </c>
      <c r="H9" s="9" t="inlineStr">
        <is>
          <t>covered</t>
        </is>
      </c>
      <c r="I9" s="5" t="inlineStr">
        <is>
          <t>Slider playground scenario.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tested</t>
        </is>
      </c>
      <c r="H10" s="9" t="inlineStr">
        <is>
          <t>covered</t>
        </is>
      </c>
      <c r="I10" s="5" t="inlineStr">
        <is>
          <t>Slider playground scenario.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Slider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tested</t>
        </is>
      </c>
      <c r="H11" s="9" t="inlineStr">
        <is>
          <t>covered</t>
        </is>
      </c>
      <c r="I11" s="5" t="inlineStr">
        <is>
          <t>Slider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Slider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tested</t>
        </is>
      </c>
      <c r="H12" s="9" t="inlineStr">
        <is>
          <t>covered</t>
        </is>
      </c>
      <c r="I12" s="5" t="inlineStr">
        <is>
          <t>Slider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Slider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tested</t>
        </is>
      </c>
      <c r="H13" s="9" t="inlineStr">
        <is>
          <t>covered</t>
        </is>
      </c>
      <c r="I13" s="5" t="inlineStr">
        <is>
          <t>Slider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Slider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tested</t>
        </is>
      </c>
      <c r="H14" s="9" t="inlineStr">
        <is>
          <t>covered</t>
        </is>
      </c>
      <c r="I14" s="5" t="inlineStr">
        <is>
          <t>Slider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Slider</t>
        </is>
      </c>
      <c r="D15" s="5" t="inlineStr">
        <is>
          <t>Supports single-value and multi-thumb range values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tested</t>
        </is>
      </c>
      <c r="H15" s="9" t="inlineStr">
        <is>
          <t>covered</t>
        </is>
      </c>
      <c r="I15" s="5" t="inlineStr">
        <is>
          <t>Slider playground scenario.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Slider</t>
        </is>
      </c>
      <c r="D16" s="5" t="inlineStr">
        <is>
          <t>Supports controlled and uncontrolled values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tested</t>
        </is>
      </c>
      <c r="H16" s="9" t="inlineStr">
        <is>
          <t>covered</t>
        </is>
      </c>
      <c r="I16" s="5" t="inlineStr">
        <is>
          <t>Slider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Slider</t>
        </is>
      </c>
      <c r="D17" s="5" t="inlineStr">
        <is>
          <t>Supports horizontal and vertical orientation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tested</t>
        </is>
      </c>
      <c r="H17" s="9" t="inlineStr">
        <is>
          <t>covered</t>
        </is>
      </c>
      <c r="I17" s="5" t="inlineStr">
        <is>
          <t>Slider playground scenario.</t>
        </is>
      </c>
      <c r="J17" s="5" t="n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Slider</t>
        </is>
      </c>
      <c r="D18" s="5" t="inlineStr">
        <is>
          <t>Supports pointer dragging, keyboard changes, and commit callbacks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tested</t>
        </is>
      </c>
      <c r="H18" s="9" t="inlineStr">
        <is>
          <t>covered</t>
        </is>
      </c>
      <c r="I18" s="5" t="inlineStr">
        <is>
          <t>Slider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Slider</t>
        </is>
      </c>
      <c r="D19" s="5" t="inlineStr">
        <is>
          <t>Supports hidden form inputs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tested</t>
        </is>
      </c>
      <c r="H19" s="9" t="inlineStr">
        <is>
          <t>covered</t>
        </is>
      </c>
      <c r="I19" s="5" t="inlineStr">
        <is>
          <t>Slider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Slider</t>
        </is>
      </c>
      <c r="D20" s="5" t="inlineStr">
        <is>
          <t>Exposes geometry through data attributes and inline offset styles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tested</t>
        </is>
      </c>
      <c r="H20" s="9" t="inlineStr">
        <is>
          <t>covered</t>
        </is>
      </c>
      <c r="I20" s="5" t="inlineStr">
        <is>
          <t>Slider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tested</t>
        </is>
      </c>
      <c r="H21" s="9" t="inlineStr">
        <is>
          <t>covered</t>
        </is>
      </c>
      <c r="I21" s="5" t="inlineStr">
        <is>
          <t>Slider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tested</t>
        </is>
      </c>
      <c r="H22" s="9" t="inlineStr">
        <is>
          <t>covered</t>
        </is>
      </c>
      <c r="I22" s="5" t="inlineStr">
        <is>
          <t>Slider playground scenario.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tested</t>
        </is>
      </c>
      <c r="H23" s="9" t="inlineStr">
        <is>
          <t>covered</t>
        </is>
      </c>
      <c r="I23" s="5" t="inlineStr">
        <is>
          <t>Slider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tested</t>
        </is>
      </c>
      <c r="H24" s="9" t="inlineStr">
        <is>
          <t>covered</t>
        </is>
      </c>
      <c r="I24" s="5" t="inlineStr">
        <is>
          <t>Slider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tested</t>
        </is>
      </c>
      <c r="H25" s="9" t="inlineStr">
        <is>
          <t>covered</t>
        </is>
      </c>
      <c r="I25" s="5" t="inlineStr">
        <is>
          <t>Slider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tested</t>
        </is>
      </c>
      <c r="H26" s="9" t="inlineStr">
        <is>
          <t>covered</t>
        </is>
      </c>
      <c r="I26" s="5" t="inlineStr">
        <is>
          <t>Slider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tested</t>
        </is>
      </c>
      <c r="H27" s="9" t="inlineStr">
        <is>
          <t>covered</t>
        </is>
      </c>
      <c r="I27" s="5" t="inlineStr">
        <is>
          <t>Slider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tested</t>
        </is>
      </c>
      <c r="H28" s="9" t="inlineStr">
        <is>
          <t>covered</t>
        </is>
      </c>
      <c r="I28" s="5" t="inlineStr">
        <is>
          <t>Slider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tested</t>
        </is>
      </c>
      <c r="H29" s="9" t="inlineStr">
        <is>
          <t>covered</t>
        </is>
      </c>
      <c r="I29" s="5" t="inlineStr">
        <is>
          <t>Slider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onValueCommit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tested</t>
        </is>
      </c>
      <c r="H30" s="9" t="inlineStr">
        <is>
          <t>covered</t>
        </is>
      </c>
      <c r="I30" s="5" t="inlineStr">
        <is>
          <t>Slider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min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tested</t>
        </is>
      </c>
      <c r="H31" s="9" t="inlineStr">
        <is>
          <t>covered</t>
        </is>
      </c>
      <c r="I31" s="5" t="inlineStr">
        <is>
          <t>Slider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max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tested</t>
        </is>
      </c>
      <c r="H32" s="9" t="inlineStr">
        <is>
          <t>covered</t>
        </is>
      </c>
      <c r="I32" s="5" t="inlineStr">
        <is>
          <t>Slider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tested</t>
        </is>
      </c>
      <c r="H33" s="9" t="inlineStr">
        <is>
          <t>covered</t>
        </is>
      </c>
      <c r="I33" s="5" t="inlineStr">
        <is>
          <t>Slider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largeStep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tested</t>
        </is>
      </c>
      <c r="H34" s="9" t="inlineStr">
        <is>
          <t>covered</t>
        </is>
      </c>
      <c r="I34" s="5" t="inlineStr">
        <is>
          <t>Slider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minStepsBetweenThumbs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tested</t>
        </is>
      </c>
      <c r="H35" s="9" t="inlineStr">
        <is>
          <t>covered</t>
        </is>
      </c>
      <c r="I35" s="5" t="inlineStr">
        <is>
          <t>Slider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disabled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tested</t>
        </is>
      </c>
      <c r="H36" s="9" t="inlineStr">
        <is>
          <t>covered</t>
        </is>
      </c>
      <c r="I36" s="5" t="inlineStr">
        <is>
          <t>Slider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orientation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tested</t>
        </is>
      </c>
      <c r="H37" s="9" t="inlineStr">
        <is>
          <t>covered</t>
        </is>
      </c>
      <c r="I37" s="5" t="inlineStr">
        <is>
          <t>Slider playground scenario.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name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tested</t>
        </is>
      </c>
      <c r="H38" s="9" t="inlineStr">
        <is>
          <t>covered</t>
        </is>
      </c>
      <c r="I38" s="5" t="inlineStr">
        <is>
          <t>Slider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form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tested</t>
        </is>
      </c>
      <c r="H39" s="9" t="inlineStr">
        <is>
          <t>covered</t>
        </is>
      </c>
      <c r="I39" s="5" t="inlineStr">
        <is>
          <t>Slider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Accessibility</t>
        </is>
      </c>
      <c r="C40" s="5" t="inlineStr">
        <is>
          <t>Root</t>
        </is>
      </c>
      <c r="D40" s="5" t="inlineStr">
        <is>
          <t>ariaLabel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tested</t>
        </is>
      </c>
      <c r="H40" s="9" t="inlineStr">
        <is>
          <t>covered</t>
        </is>
      </c>
      <c r="I40" s="5" t="inlineStr">
        <is>
          <t>Slider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Accessibility</t>
        </is>
      </c>
      <c r="C41" s="5" t="inlineStr">
        <is>
          <t>Root</t>
        </is>
      </c>
      <c r="D41" s="5" t="inlineStr">
        <is>
          <t>ariaValueText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tested</t>
        </is>
      </c>
      <c r="H41" s="9" t="inlineStr">
        <is>
          <t>covered</t>
        </is>
      </c>
      <c r="I41" s="5" t="inlineStr">
        <is>
          <t>Slider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tested</t>
        </is>
      </c>
      <c r="H42" s="9" t="inlineStr">
        <is>
          <t>covered</t>
        </is>
      </c>
      <c r="I42" s="5" t="inlineStr">
        <is>
          <t>Slider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[data-orientation]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tested</t>
        </is>
      </c>
      <c r="H43" s="9" t="inlineStr">
        <is>
          <t>covered</t>
        </is>
      </c>
      <c r="I43" s="5" t="inlineStr">
        <is>
          <t>Slider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[data-disabled]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tested</t>
        </is>
      </c>
      <c r="H44" s="9" t="inlineStr">
        <is>
          <t>covered</t>
        </is>
      </c>
      <c r="I44" s="5" t="inlineStr">
        <is>
          <t>Slider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Range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tested</t>
        </is>
      </c>
      <c r="H45" s="9" t="inlineStr">
        <is>
          <t>covered</t>
        </is>
      </c>
      <c r="I45" s="5" t="inlineStr">
        <is>
          <t>Slider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Range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tested</t>
        </is>
      </c>
      <c r="H46" s="9" t="inlineStr">
        <is>
          <t>covered</t>
        </is>
      </c>
      <c r="I46" s="5" t="inlineStr">
        <is>
          <t>Slider playground scenario.</t>
        </is>
      </c>
      <c r="J46" s="5" t="n"/>
      <c r="K46" s="6">
        <f>IF(AND(E46="yes",F46="yes",H46="covered"),1,IF(H46="partial",0.5,0))</f>
        <v/>
      </c>
    </row>
    <row r="47" ht="30" customHeight="1" s="60">
      <c r="A47" s="4" t="n">
        <v>39</v>
      </c>
      <c r="B47" s="5" t="inlineStr">
        <is>
          <t>Identity</t>
        </is>
      </c>
      <c r="C47" s="5" t="inlineStr">
        <is>
          <t>Range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tested</t>
        </is>
      </c>
      <c r="H47" s="9" t="inlineStr">
        <is>
          <t>covered</t>
        </is>
      </c>
      <c r="I47" s="5" t="inlineStr">
        <is>
          <t>Slider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Range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Slider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Props</t>
        </is>
      </c>
      <c r="C49" s="5" t="inlineStr">
        <is>
          <t>Range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Slider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Refs</t>
        </is>
      </c>
      <c r="C50" s="5" t="inlineStr">
        <is>
          <t>Range</t>
        </is>
      </c>
      <c r="D50" s="5" t="inlineStr">
        <is>
          <t>consumer ref receives the rendered element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tested</t>
        </is>
      </c>
      <c r="H50" s="9" t="inlineStr">
        <is>
          <t>covered</t>
        </is>
      </c>
      <c r="I50" s="5" t="inlineStr">
        <is>
          <t>Slider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Range</t>
        </is>
      </c>
      <c r="D51" s="5" t="inlineStr">
        <is>
          <t>PageUp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tested</t>
        </is>
      </c>
      <c r="H51" s="9" t="inlineStr">
        <is>
          <t>covered</t>
        </is>
      </c>
      <c r="I51" s="5" t="inlineStr">
        <is>
          <t>Slider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Range</t>
        </is>
      </c>
      <c r="D52" s="5" t="inlineStr">
        <is>
          <t>PageDown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tested</t>
        </is>
      </c>
      <c r="H52" s="9" t="inlineStr">
        <is>
          <t>covered</t>
        </is>
      </c>
      <c r="I52" s="5" t="inlineStr">
        <is>
          <t>Slider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Range</t>
        </is>
      </c>
      <c r="D53" s="5" t="inlineStr">
        <is>
          <t>Home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tested</t>
        </is>
      </c>
      <c r="H53" s="9" t="inlineStr">
        <is>
          <t>covered</t>
        </is>
      </c>
      <c r="I53" s="5" t="inlineStr">
        <is>
          <t>Slider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Range</t>
        </is>
      </c>
      <c r="D54" s="5" t="inlineStr">
        <is>
          <t>End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tested</t>
        </is>
      </c>
      <c r="H54" s="9" t="inlineStr">
        <is>
          <t>covered</t>
        </is>
      </c>
      <c r="I54" s="5" t="inlineStr">
        <is>
          <t>Slider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Thumb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tested</t>
        </is>
      </c>
      <c r="H55" s="9" t="inlineStr">
        <is>
          <t>covered</t>
        </is>
      </c>
      <c r="I55" s="5" t="inlineStr">
        <is>
          <t>Slider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Thumb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tested</t>
        </is>
      </c>
      <c r="H56" s="9" t="inlineStr">
        <is>
          <t>covered</t>
        </is>
      </c>
      <c r="I56" s="5" t="inlineStr">
        <is>
          <t>Slider playground scenario.</t>
        </is>
      </c>
      <c r="J56" s="5" t="n"/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Thumb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tested</t>
        </is>
      </c>
      <c r="H57" s="9" t="inlineStr">
        <is>
          <t>covered</t>
        </is>
      </c>
      <c r="I57" s="5" t="inlineStr">
        <is>
          <t>Slider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Thumb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tested</t>
        </is>
      </c>
      <c r="H58" s="9" t="inlineStr">
        <is>
          <t>covered</t>
        </is>
      </c>
      <c r="I58" s="5" t="inlineStr">
        <is>
          <t>Slider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Thumb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tested</t>
        </is>
      </c>
      <c r="H59" s="9" t="inlineStr">
        <is>
          <t>covered</t>
        </is>
      </c>
      <c r="I59" s="5" t="inlineStr">
        <is>
          <t>Slider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Thumb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tested</t>
        </is>
      </c>
      <c r="H60" s="9" t="inlineStr">
        <is>
          <t>covered</t>
        </is>
      </c>
      <c r="I60" s="5" t="inlineStr">
        <is>
          <t>Slider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Thumb</t>
        </is>
      </c>
      <c r="D61" s="5" t="inlineStr">
        <is>
          <t>index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tested</t>
        </is>
      </c>
      <c r="H61" s="9" t="inlineStr">
        <is>
          <t>covered</t>
        </is>
      </c>
      <c r="I61" s="5" t="inlineStr">
        <is>
          <t>Slider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Thumb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tested</t>
        </is>
      </c>
      <c r="H62" s="9" t="inlineStr">
        <is>
          <t>covered</t>
        </is>
      </c>
      <c r="I62" s="5" t="inlineStr">
        <is>
          <t>Slider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Thumb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tested</t>
        </is>
      </c>
      <c r="H63" s="9" t="inlineStr">
        <is>
          <t>covered</t>
        </is>
      </c>
      <c r="I63" s="5" t="inlineStr">
        <is>
          <t>Slider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Thumb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tested</t>
        </is>
      </c>
      <c r="H64" s="9" t="inlineStr">
        <is>
          <t>covered</t>
        </is>
      </c>
      <c r="I64" s="5" t="inlineStr">
        <is>
          <t>Slider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Thumb</t>
        </is>
      </c>
      <c r="D65" s="5" t="inlineStr">
        <is>
          <t>[data-value]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tested</t>
        </is>
      </c>
      <c r="H65" s="9" t="inlineStr">
        <is>
          <t>covered</t>
        </is>
      </c>
      <c r="I65" s="5" t="inlineStr">
        <is>
          <t>Slider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Thumb</t>
        </is>
      </c>
      <c r="D66" s="5" t="inlineStr">
        <is>
          <t>[data-percent]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tested</t>
        </is>
      </c>
      <c r="H66" s="9" t="inlineStr">
        <is>
          <t>covered</t>
        </is>
      </c>
      <c r="I66" s="5" t="inlineStr">
        <is>
          <t>Slider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Track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tested</t>
        </is>
      </c>
      <c r="H67" s="9" t="inlineStr">
        <is>
          <t>covered</t>
        </is>
      </c>
      <c r="I67" s="5" t="inlineStr">
        <is>
          <t>Slider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Track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tested</t>
        </is>
      </c>
      <c r="H68" s="9" t="inlineStr">
        <is>
          <t>covered</t>
        </is>
      </c>
      <c r="I68" s="5" t="inlineStr">
        <is>
          <t>Slider playground scenario.</t>
        </is>
      </c>
      <c r="J68" s="5" t="n"/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Track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tested</t>
        </is>
      </c>
      <c r="H69" s="9" t="inlineStr">
        <is>
          <t>covered</t>
        </is>
      </c>
      <c r="I69" s="5" t="inlineStr">
        <is>
          <t>Slider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Identity</t>
        </is>
      </c>
      <c r="C70" s="5" t="inlineStr">
        <is>
          <t>Track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tested</t>
        </is>
      </c>
      <c r="H70" s="9" t="inlineStr">
        <is>
          <t>covered</t>
        </is>
      </c>
      <c r="I70" s="5" t="inlineStr">
        <is>
          <t>Slider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Track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tested</t>
        </is>
      </c>
      <c r="H71" s="9" t="inlineStr">
        <is>
          <t>covered</t>
        </is>
      </c>
      <c r="I71" s="5" t="inlineStr">
        <is>
          <t>Slider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Track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tested</t>
        </is>
      </c>
      <c r="H72" s="9" t="inlineStr">
        <is>
          <t>covered</t>
        </is>
      </c>
      <c r="I72" s="5" t="inlineStr">
        <is>
          <t>Slider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Track</t>
        </is>
      </c>
      <c r="D73" s="5" t="inlineStr">
        <is>
          <t>asChild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tested</t>
        </is>
      </c>
      <c r="H73" s="9" t="inlineStr">
        <is>
          <t>covered</t>
        </is>
      </c>
      <c r="I73" s="5" t="inlineStr">
        <is>
          <t>Slider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Track</t>
        </is>
      </c>
      <c r="D74" s="5" t="inlineStr">
        <is>
          <t>render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tested</t>
        </is>
      </c>
      <c r="H74" s="9" t="inlineStr">
        <is>
          <t>covered</t>
        </is>
      </c>
      <c r="I74" s="5" t="inlineStr">
        <is>
          <t>Slider playground scenario.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Track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tested</t>
        </is>
      </c>
      <c r="H75" s="9" t="inlineStr">
        <is>
          <t>covered</t>
        </is>
      </c>
      <c r="I75" s="5" t="inlineStr">
        <is>
          <t>Slider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Public API</t>
        </is>
      </c>
      <c r="C76" s="5" t="inlineStr">
        <is>
          <t>Track</t>
        </is>
      </c>
      <c r="D76" s="5" t="inlineStr">
        <is>
          <t>[data-orientation]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tested</t>
        </is>
      </c>
      <c r="H76" s="9" t="inlineStr">
        <is>
          <t>covered</t>
        </is>
      </c>
      <c r="I76" s="5" t="inlineStr">
        <is>
          <t>Slider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Track</t>
        </is>
      </c>
      <c r="D77" s="5" t="inlineStr">
        <is>
          <t>[data-disabled]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tested</t>
        </is>
      </c>
      <c r="H77" s="9" t="inlineStr">
        <is>
          <t>covered</t>
        </is>
      </c>
      <c r="I77" s="5" t="inlineStr">
        <is>
          <t>Slider playground scenario.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aria-disabled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tested</t>
        </is>
      </c>
      <c r="H78" s="9" t="inlineStr">
        <is>
          <t>covered</t>
        </is>
      </c>
      <c r="I78" s="5" t="inlineStr">
        <is>
          <t>Slider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aria-hidden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tested</t>
        </is>
      </c>
      <c r="H79" s="9" t="inlineStr">
        <is>
          <t>covered</t>
        </is>
      </c>
      <c r="I79" s="5" t="inlineStr">
        <is>
          <t>Slider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aria-label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tested</t>
        </is>
      </c>
      <c r="H80" s="9" t="inlineStr">
        <is>
          <t>covered</t>
        </is>
      </c>
      <c r="I80" s="5" t="inlineStr">
        <is>
          <t>Slider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aria-orientation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tested</t>
        </is>
      </c>
      <c r="H81" s="9" t="inlineStr">
        <is>
          <t>covered</t>
        </is>
      </c>
      <c r="I81" s="5" t="inlineStr">
        <is>
          <t>Slider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aria-valuemax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tested</t>
        </is>
      </c>
      <c r="H82" s="9" t="inlineStr">
        <is>
          <t>covered</t>
        </is>
      </c>
      <c r="I82" s="5" t="inlineStr">
        <is>
          <t>Slider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ARIA</t>
        </is>
      </c>
      <c r="C83" s="5" t="inlineStr">
        <is>
          <t>Live DOM</t>
        </is>
      </c>
      <c r="D83" s="5" t="inlineStr">
        <is>
          <t>aria-valuemin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tested</t>
        </is>
      </c>
      <c r="H83" s="9" t="inlineStr">
        <is>
          <t>covered</t>
        </is>
      </c>
      <c r="I83" s="5" t="inlineStr">
        <is>
          <t>Slider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aria-valuenow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tested</t>
        </is>
      </c>
      <c r="H84" s="9" t="inlineStr">
        <is>
          <t>covered</t>
        </is>
      </c>
      <c r="I84" s="5" t="inlineStr">
        <is>
          <t>Slider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aria-valuetext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tested</t>
        </is>
      </c>
      <c r="H85" s="9" t="inlineStr">
        <is>
          <t>covered</t>
        </is>
      </c>
      <c r="I85" s="5" t="inlineStr">
        <is>
          <t>Slider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data-disabled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tested</t>
        </is>
      </c>
      <c r="H86" s="9" t="inlineStr">
        <is>
          <t>covered</t>
        </is>
      </c>
      <c r="I86" s="5" t="inlineStr">
        <is>
          <t>Slider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data-end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tested</t>
        </is>
      </c>
      <c r="H87" s="9" t="inlineStr">
        <is>
          <t>covered</t>
        </is>
      </c>
      <c r="I87" s="5" t="inlineStr">
        <is>
          <t>Slider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data-orientation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tested</t>
        </is>
      </c>
      <c r="H88" s="9" t="inlineStr">
        <is>
          <t>covered</t>
        </is>
      </c>
      <c r="I88" s="5" t="inlineStr">
        <is>
          <t>Slider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data-percent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tested</t>
        </is>
      </c>
      <c r="H89" s="9" t="inlineStr">
        <is>
          <t>covered</t>
        </is>
      </c>
      <c r="I89" s="5" t="inlineStr">
        <is>
          <t>Slider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data-slot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tested</t>
        </is>
      </c>
      <c r="H90" s="9" t="inlineStr">
        <is>
          <t>covered</t>
        </is>
      </c>
      <c r="I90" s="5" t="inlineStr">
        <is>
          <t>Slider playground scenario.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data-start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tested</t>
        </is>
      </c>
      <c r="H91" s="9" t="inlineStr">
        <is>
          <t>covered</t>
        </is>
      </c>
      <c r="I91" s="5" t="inlineStr">
        <is>
          <t>Slider playground scenario.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data-value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tested</t>
        </is>
      </c>
      <c r="H92" s="9" t="inlineStr">
        <is>
          <t>covered</t>
        </is>
      </c>
      <c r="I92" s="5" t="inlineStr">
        <is>
          <t>Slider playground scenario.</t>
        </is>
      </c>
      <c r="J92" s="5" t="n"/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Composition</t>
        </is>
      </c>
      <c r="C93" s="5" t="inlineStr">
        <is>
          <t>Slider</t>
        </is>
      </c>
      <c r="D93" s="5" t="inlineStr">
        <is>
          <t>asChild preserves child content without double nesting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tested</t>
        </is>
      </c>
      <c r="H93" s="9" t="inlineStr">
        <is>
          <t>covered</t>
        </is>
      </c>
      <c r="I93" s="5" t="inlineStr">
        <is>
          <t>Slider playground scenario.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Slider</t>
        </is>
      </c>
      <c r="D94" s="5" t="inlineStr">
        <is>
          <t>asChild merges Atom props and consumer props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tested</t>
        </is>
      </c>
      <c r="H94" s="9" t="inlineStr">
        <is>
          <t>covered</t>
        </is>
      </c>
      <c r="I94" s="5" t="inlineStr">
        <is>
          <t>Slider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Slider</t>
        </is>
      </c>
      <c r="D95" s="5" t="inlineStr">
        <is>
          <t>asChild lets preventDefault block Atom behavior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tested</t>
        </is>
      </c>
      <c r="H95" s="9" t="inlineStr">
        <is>
          <t>covered</t>
        </is>
      </c>
      <c r="I95" s="5" t="inlineStr">
        <is>
          <t>Slider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Slider</t>
        </is>
      </c>
      <c r="D96" s="5" t="inlineStr">
        <is>
          <t>render prop renders custom element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tested</t>
        </is>
      </c>
      <c r="H96" s="9" t="inlineStr">
        <is>
          <t>covered</t>
        </is>
      </c>
      <c r="I96" s="5" t="inlineStr">
        <is>
          <t>Slider playground scenario.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Composition</t>
        </is>
      </c>
      <c r="C97" s="5" t="inlineStr">
        <is>
          <t>Slider</t>
        </is>
      </c>
      <c r="D97" s="5" t="inlineStr">
        <is>
          <t>render prop preserves refs and behavior props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tested</t>
        </is>
      </c>
      <c r="H97" s="9" t="inlineStr">
        <is>
          <t>covered</t>
        </is>
      </c>
      <c r="I97" s="5" t="inlineStr">
        <is>
          <t>Slider playground scenario.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controlled state path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tested</t>
        </is>
      </c>
      <c r="H98" s="9" t="inlineStr">
        <is>
          <t>covered</t>
        </is>
      </c>
      <c r="I98" s="5" t="inlineStr">
        <is>
          <t>Slider playground scenario.</t>
        </is>
      </c>
      <c r="J98" s="5" t="n"/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State</t>
        </is>
      </c>
      <c r="C99" s="5" t="inlineStr">
        <is>
          <t>Root</t>
        </is>
      </c>
      <c r="D99" s="5" t="inlineStr">
        <is>
          <t>uncontrolled default state path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tested</t>
        </is>
      </c>
      <c r="H99" s="9" t="inlineStr">
        <is>
          <t>covered</t>
        </is>
      </c>
      <c r="I99" s="5" t="inlineStr">
        <is>
          <t>Slider playground scenario.</t>
        </is>
      </c>
      <c r="J99" s="5" t="n"/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State</t>
        </is>
      </c>
      <c r="C100" s="5" t="inlineStr">
        <is>
          <t>Root</t>
        </is>
      </c>
      <c r="D100" s="5" t="inlineStr">
        <is>
          <t>state change callback fires once with correct value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tested</t>
        </is>
      </c>
      <c r="H100" s="9" t="inlineStr">
        <is>
          <t>covered</t>
        </is>
      </c>
      <c r="I100" s="5" t="inlineStr">
        <is>
          <t>Slider playground scenario.</t>
        </is>
      </c>
      <c r="J100" s="5" t="n"/>
      <c r="K100" s="6">
        <f>IF(AND(E100="yes",F100="yes",H100="covered"),1,IF(H100="partial",0.5,0))</f>
        <v/>
      </c>
    </row>
    <row r="101" ht="30" customHeight="1" s="60">
      <c r="A101" s="4" t="n">
        <v>93</v>
      </c>
      <c r="B101" s="5" t="inlineStr">
        <is>
          <t>State</t>
        </is>
      </c>
      <c r="C101" s="5" t="inlineStr">
        <is>
          <t>Slider</t>
        </is>
      </c>
      <c r="D101" s="5" t="inlineStr">
        <is>
          <t>disabled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tested</t>
        </is>
      </c>
      <c r="H101" s="9" t="inlineStr">
        <is>
          <t>covered</t>
        </is>
      </c>
      <c r="I101" s="5" t="inlineStr">
        <is>
          <t>Slider playground scenario.</t>
        </is>
      </c>
      <c r="J101" s="5" t="n"/>
      <c r="K101" s="6">
        <f>IF(AND(E101="yes",F101="yes",H101="covered"),1,IF(H101="partial",0.5,0))</f>
        <v/>
      </c>
    </row>
    <row r="102" ht="30" customHeight="1" s="60">
      <c r="A102" s="4" t="n">
        <v>94</v>
      </c>
      <c r="B102" s="5" t="inlineStr">
        <is>
          <t>State</t>
        </is>
      </c>
      <c r="C102" s="5" t="inlineStr">
        <is>
          <t>Slider</t>
        </is>
      </c>
      <c r="D102" s="5" t="inlineStr">
        <is>
          <t>readonly/readOnly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tested</t>
        </is>
      </c>
      <c r="H102" s="9" t="inlineStr">
        <is>
          <t>covered</t>
        </is>
      </c>
      <c r="I102" s="5" t="inlineStr">
        <is>
          <t>Slider playground scenario.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Slider</t>
        </is>
      </c>
      <c r="D103" s="5" t="inlineStr">
        <is>
          <t>required state blocks or exposes behavior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tested</t>
        </is>
      </c>
      <c r="H103" s="9" t="inlineStr">
        <is>
          <t>covered</t>
        </is>
      </c>
      <c r="I103" s="5" t="inlineStr">
        <is>
          <t>Slider playground scenario.</t>
        </is>
      </c>
      <c r="J103" s="5" t="n"/>
      <c r="K103" s="6">
        <f>IF(AND(E103="yes",F103="yes",H103="covered"),1,IF(H103="partial",0.5,0))</f>
        <v/>
      </c>
    </row>
    <row r="104" ht="30" customHeight="1" s="60">
      <c r="A104" s="4" t="n">
        <v>96</v>
      </c>
      <c r="B104" s="5" t="inlineStr">
        <is>
          <t>State</t>
        </is>
      </c>
      <c r="C104" s="5" t="inlineStr">
        <is>
          <t>Slider</t>
        </is>
      </c>
      <c r="D104" s="5" t="inlineStr">
        <is>
          <t>invalid state blocks or exposes behavior correctly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tested</t>
        </is>
      </c>
      <c r="H104" s="9" t="inlineStr">
        <is>
          <t>covered</t>
        </is>
      </c>
      <c r="I104" s="5" t="inlineStr">
        <is>
          <t>Slider playground scenario.</t>
        </is>
      </c>
      <c r="J104" s="5" t="n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Forms</t>
        </is>
      </c>
      <c r="C105" s="5" t="inlineStr">
        <is>
          <t>Slider</t>
        </is>
      </c>
      <c r="D105" s="5" t="inlineStr">
        <is>
          <t>form value participates correctly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tested</t>
        </is>
      </c>
      <c r="H105" s="9" t="inlineStr">
        <is>
          <t>covered</t>
        </is>
      </c>
      <c r="I105" s="5" t="inlineStr">
        <is>
          <t>Slider playground scenario.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Forms</t>
        </is>
      </c>
      <c r="C106" s="5" t="inlineStr">
        <is>
          <t>Slider</t>
        </is>
      </c>
      <c r="D106" s="5" t="inlineStr">
        <is>
          <t>hidden input mirrors value/checked/disabled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tested</t>
        </is>
      </c>
      <c r="H106" s="9" t="inlineStr">
        <is>
          <t>covered</t>
        </is>
      </c>
      <c r="I106" s="5" t="inlineStr">
        <is>
          <t>Slider playground scenario.</t>
        </is>
      </c>
      <c r="J106" s="5" t="n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Portal</t>
        </is>
      </c>
      <c r="C107" s="5" t="inlineStr">
        <is>
          <t>Slider</t>
        </is>
      </c>
      <c r="D107" s="5" t="inlineStr">
        <is>
          <t>portal renders in body by default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tested</t>
        </is>
      </c>
      <c r="H107" s="9" t="inlineStr">
        <is>
          <t>covered</t>
        </is>
      </c>
      <c r="I107" s="5" t="inlineStr">
        <is>
          <t>Slider playground scenario.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Portal</t>
        </is>
      </c>
      <c r="C108" s="5" t="inlineStr">
        <is>
          <t>Slider</t>
        </is>
      </c>
      <c r="D108" s="5" t="inlineStr">
        <is>
          <t>custom/disabled portal path works where supported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tested</t>
        </is>
      </c>
      <c r="H108" s="9" t="inlineStr">
        <is>
          <t>covered</t>
        </is>
      </c>
      <c r="I108" s="5" t="inlineStr">
        <is>
          <t>Slider playground scenario.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Direction</t>
        </is>
      </c>
      <c r="C109" s="5" t="inlineStr">
        <is>
          <t>Root</t>
        </is>
      </c>
      <c r="D109" s="5" t="inlineStr">
        <is>
          <t>reads Direction.Provider context for horizontal slider math</t>
        </is>
      </c>
      <c r="E109" s="10" t="inlineStr">
        <is>
          <t>yes</t>
        </is>
      </c>
      <c r="F109" s="8" t="inlineStr">
        <is>
          <t>yes</t>
        </is>
      </c>
      <c r="G109" s="4" t="inlineStr">
        <is>
          <t>tested</t>
        </is>
      </c>
      <c r="H109" s="10" t="inlineStr">
        <is>
          <t>covered</t>
        </is>
      </c>
      <c r="I109" s="5" t="inlineStr">
        <is>
          <t>Slider playground scenario.</t>
        </is>
      </c>
      <c r="J109" s="5" t="n"/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Direction</t>
        </is>
      </c>
      <c r="C110" s="5" t="inlineStr">
        <is>
          <t>Root</t>
        </is>
      </c>
      <c r="D110" s="5" t="inlineStr">
        <is>
          <t>RTL mirrors ArrowLeft and ArrowRight value changes</t>
        </is>
      </c>
      <c r="E110" s="10" t="inlineStr">
        <is>
          <t>yes</t>
        </is>
      </c>
      <c r="F110" s="8" t="inlineStr">
        <is>
          <t>yes</t>
        </is>
      </c>
      <c r="G110" s="4" t="inlineStr">
        <is>
          <t>tested</t>
        </is>
      </c>
      <c r="H110" s="10" t="inlineStr">
        <is>
          <t>covered</t>
        </is>
      </c>
      <c r="I110" s="5" t="inlineStr">
        <is>
          <t>Slider playground scenario.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Direction</t>
        </is>
      </c>
      <c r="C111" s="5" t="inlineStr">
        <is>
          <t>Root</t>
        </is>
      </c>
      <c r="D111" s="5" t="inlineStr">
        <is>
          <t>RTL mirrors pointer math for horizontal value changes</t>
        </is>
      </c>
      <c r="E111" s="10" t="inlineStr">
        <is>
          <t>yes</t>
        </is>
      </c>
      <c r="F111" s="8" t="inlineStr">
        <is>
          <t>yes</t>
        </is>
      </c>
      <c r="G111" s="4" t="inlineStr">
        <is>
          <t>tested</t>
        </is>
      </c>
      <c r="H111" s="10" t="inlineStr">
        <is>
          <t>covered</t>
        </is>
      </c>
      <c r="I111" s="5" t="inlineStr">
        <is>
          <t>Slider playground scenario.</t>
        </is>
      </c>
      <c r="J111" s="5" t="n"/>
      <c r="K111" s="6">
        <f>IF(AND(E111="yes",F111="yes",H111="covered"),1,IF(H111="partial",0.5,0))</f>
        <v/>
      </c>
    </row>
    <row r="112" ht="30" customHeight="1" s="60">
      <c r="A112" s="4" t="n">
        <v>104</v>
      </c>
      <c r="B112" s="5" t="inlineStr">
        <is>
          <t>Playground</t>
        </is>
      </c>
      <c r="C112" s="5" t="inlineStr">
        <is>
          <t>Direction controls</t>
        </is>
      </c>
      <c r="D112" s="5" t="inlineStr">
        <is>
          <t>scenario exposes provider direction controls</t>
        </is>
      </c>
      <c r="E112" s="10" t="inlineStr">
        <is>
          <t>yes</t>
        </is>
      </c>
      <c r="F112" s="8" t="inlineStr">
        <is>
          <t>yes</t>
        </is>
      </c>
      <c r="G112" s="4" t="inlineStr">
        <is>
          <t>tested</t>
        </is>
      </c>
      <c r="H112" s="10" t="inlineStr">
        <is>
          <t>covered</t>
        </is>
      </c>
      <c r="I112" s="5" t="inlineStr">
        <is>
          <t>Slider playground scenario.</t>
        </is>
      </c>
      <c r="J112" s="5" t="n"/>
      <c r="K112" s="6">
        <f>IF(AND(E112="yes",F112="yes",H112="covered"),1,IF(H112="partial",0.5,0))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K9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SwipeableItem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52" t="n">
        <v>1</v>
      </c>
      <c r="B9" s="53" t="inlineStr">
        <is>
          <t>Playground</t>
        </is>
      </c>
      <c r="C9" s="53" t="inlineStr">
        <is>
          <t>Props</t>
        </is>
      </c>
      <c r="D9" s="53" t="inlineStr">
        <is>
          <t>Props toolbar exposes Prop Check and keeps data-prop-check off by default</t>
        </is>
      </c>
      <c r="E9" s="52" t="inlineStr">
        <is>
          <t>yes</t>
        </is>
      </c>
      <c r="F9" s="52" t="inlineStr">
        <is>
          <t>yes</t>
        </is>
      </c>
      <c r="G9" s="52" t="inlineStr">
        <is>
          <t>passed manual test</t>
        </is>
      </c>
      <c r="H9" s="54" t="inlineStr">
        <is>
          <t>covered</t>
        </is>
      </c>
      <c r="I9" s="53" t="inlineStr">
        <is>
          <t>SwipeableItem playground scenario.</t>
        </is>
      </c>
      <c r="J9" s="53" t="n"/>
      <c r="K9" s="55">
        <f>IF(AND(E9="yes",F9="yes",H9="covered"),1,IF(H9="partial",0.5,0))</f>
        <v/>
      </c>
    </row>
    <row r="10" ht="15" customHeight="1" s="60">
      <c r="A10" s="52" t="n">
        <v>2</v>
      </c>
      <c r="B10" s="53" t="inlineStr">
        <is>
          <t>Playground</t>
        </is>
      </c>
      <c r="C10" s="53" t="inlineStr">
        <is>
          <t>Props</t>
        </is>
      </c>
      <c r="D10" s="53" t="inlineStr">
        <is>
          <t>custom data-slot override is available for every slot-owning anatomy part</t>
        </is>
      </c>
      <c r="E10" s="52" t="inlineStr">
        <is>
          <t>yes</t>
        </is>
      </c>
      <c r="F10" s="52" t="inlineStr">
        <is>
          <t>yes</t>
        </is>
      </c>
      <c r="G10" s="52" t="inlineStr">
        <is>
          <t>passed manual test</t>
        </is>
      </c>
      <c r="H10" s="54" t="inlineStr">
        <is>
          <t>covered</t>
        </is>
      </c>
      <c r="I10" s="53" t="inlineStr">
        <is>
          <t>SwipeableItem playground scenario.</t>
        </is>
      </c>
      <c r="J10" s="53" t="n"/>
      <c r="K10" s="55">
        <f>IF(AND(E10="yes",F10="yes",H10="covered"),1,IF(H10="partial",0.5,0))</f>
        <v/>
      </c>
    </row>
    <row r="11" ht="15" customHeight="1" s="60">
      <c r="A11" s="52" t="n">
        <v>3</v>
      </c>
      <c r="B11" s="53" t="inlineStr">
        <is>
          <t>Playground</t>
        </is>
      </c>
      <c r="C11" s="53" t="inlineStr">
        <is>
          <t>SwipeableItem</t>
        </is>
      </c>
      <c r="D11" s="53" t="inlineStr">
        <is>
          <t>scenario is reachable from top menu</t>
        </is>
      </c>
      <c r="E11" s="52" t="inlineStr">
        <is>
          <t>yes</t>
        </is>
      </c>
      <c r="F11" s="52" t="inlineStr">
        <is>
          <t>yes</t>
        </is>
      </c>
      <c r="G11" s="52" t="inlineStr">
        <is>
          <t>passed manual test</t>
        </is>
      </c>
      <c r="H11" s="54" t="inlineStr">
        <is>
          <t>covered</t>
        </is>
      </c>
      <c r="I11" s="53" t="inlineStr">
        <is>
          <t>SwipeableItem playground scenario.</t>
        </is>
      </c>
      <c r="J11" s="53" t="n"/>
      <c r="K11" s="55">
        <f>IF(AND(E11="yes",F11="yes",H11="covered"),1,IF(H11="partial",0.5,0))</f>
        <v/>
      </c>
    </row>
    <row r="12" ht="15" customHeight="1" s="60">
      <c r="A12" s="52" t="n">
        <v>4</v>
      </c>
      <c r="B12" s="53" t="inlineStr">
        <is>
          <t>Playground</t>
        </is>
      </c>
      <c r="C12" s="53" t="inlineStr">
        <is>
          <t>SwipeableItem</t>
        </is>
      </c>
      <c r="D12" s="53" t="inlineStr">
        <is>
          <t>canvas source reflects current toggles</t>
        </is>
      </c>
      <c r="E12" s="52" t="inlineStr">
        <is>
          <t>yes</t>
        </is>
      </c>
      <c r="F12" s="52" t="inlineStr">
        <is>
          <t>yes</t>
        </is>
      </c>
      <c r="G12" s="52" t="inlineStr">
        <is>
          <t>passed manual test</t>
        </is>
      </c>
      <c r="H12" s="54" t="inlineStr">
        <is>
          <t>covered</t>
        </is>
      </c>
      <c r="I12" s="53" t="inlineStr">
        <is>
          <t>SwipeableItem playground scenario.</t>
        </is>
      </c>
      <c r="J12" s="53" t="n"/>
      <c r="K12" s="55">
        <f>IF(AND(E12="yes",F12="yes",H12="covered"),1,IF(H12="partial",0.5,0))</f>
        <v/>
      </c>
    </row>
    <row r="13" ht="15" customHeight="1" s="60">
      <c r="A13" s="52" t="n">
        <v>5</v>
      </c>
      <c r="B13" s="53" t="inlineStr">
        <is>
          <t>Playground</t>
        </is>
      </c>
      <c r="C13" s="53" t="inlineStr">
        <is>
          <t>SwipeableItem</t>
        </is>
      </c>
      <c r="D13" s="53" t="inlineStr">
        <is>
          <t>anatomy uses live DOM attributes, ARIA, and data groups</t>
        </is>
      </c>
      <c r="E13" s="52" t="inlineStr">
        <is>
          <t>yes</t>
        </is>
      </c>
      <c r="F13" s="52" t="inlineStr">
        <is>
          <t>yes</t>
        </is>
      </c>
      <c r="G13" s="52" t="inlineStr">
        <is>
          <t>passed manual test</t>
        </is>
      </c>
      <c r="H13" s="54" t="inlineStr">
        <is>
          <t>covered</t>
        </is>
      </c>
      <c r="I13" s="53" t="inlineStr">
        <is>
          <t>SwipeableItem playground scenario.</t>
        </is>
      </c>
      <c r="J13" s="53" t="n"/>
      <c r="K13" s="55">
        <f>IF(AND(E13="yes",F13="yes",H13="covered"),1,IF(H13="partial",0.5,0))</f>
        <v/>
      </c>
    </row>
    <row r="14" ht="15" customHeight="1" s="60">
      <c r="A14" s="52" t="n">
        <v>6</v>
      </c>
      <c r="B14" s="53" t="inlineStr">
        <is>
          <t>Playground</t>
        </is>
      </c>
      <c r="C14" s="53" t="inlineStr">
        <is>
          <t>SwipeableItem</t>
        </is>
      </c>
      <c r="D14" s="53" t="inlineStr">
        <is>
          <t>inspector selected/focused/logs work for this scenario</t>
        </is>
      </c>
      <c r="E14" s="52" t="inlineStr">
        <is>
          <t>yes</t>
        </is>
      </c>
      <c r="F14" s="52" t="inlineStr">
        <is>
          <t>yes</t>
        </is>
      </c>
      <c r="G14" s="52" t="inlineStr">
        <is>
          <t>passed manual test</t>
        </is>
      </c>
      <c r="H14" s="54" t="inlineStr">
        <is>
          <t>covered</t>
        </is>
      </c>
      <c r="I14" s="53" t="inlineStr">
        <is>
          <t>SwipeableItem playground scenario.</t>
        </is>
      </c>
      <c r="J14" s="53" t="n"/>
      <c r="K14" s="55">
        <f>IF(AND(E14="yes",F14="yes",H14="covered"),1,IF(H14="partial",0.5,0))</f>
        <v/>
      </c>
    </row>
    <row r="15" ht="15" customHeight="1" s="60">
      <c r="A15" s="52" t="n">
        <v>7</v>
      </c>
      <c r="B15" s="53" t="inlineStr">
        <is>
          <t>Feature</t>
        </is>
      </c>
      <c r="C15" s="53" t="inlineStr">
        <is>
          <t>SwipeableItem</t>
        </is>
      </c>
      <c r="D15" s="53" t="inlineStr">
        <is>
          <t>Supports start and end action panels</t>
        </is>
      </c>
      <c r="E15" s="52" t="inlineStr">
        <is>
          <t>yes</t>
        </is>
      </c>
      <c r="F15" s="52" t="inlineStr">
        <is>
          <t>yes</t>
        </is>
      </c>
      <c r="G15" s="52" t="inlineStr">
        <is>
          <t>passed manual test</t>
        </is>
      </c>
      <c r="H15" s="54" t="inlineStr">
        <is>
          <t>covered</t>
        </is>
      </c>
      <c r="I15" s="53" t="inlineStr">
        <is>
          <t>SwipeableItem playground scenario.</t>
        </is>
      </c>
      <c r="J15" s="53" t="n"/>
      <c r="K15" s="55">
        <f>IF(AND(E15="yes",F15="yes",H15="covered"),1,IF(H15="partial",0.5,0))</f>
        <v/>
      </c>
    </row>
    <row r="16" ht="15" customHeight="1" s="60">
      <c r="A16" s="52" t="n">
        <v>8</v>
      </c>
      <c r="B16" s="53" t="inlineStr">
        <is>
          <t>Feature</t>
        </is>
      </c>
      <c r="C16" s="53" t="inlineStr">
        <is>
          <t>SwipeableItem</t>
        </is>
      </c>
      <c r="D16" s="53" t="inlineStr">
        <is>
          <t>Supports pointer dragging and keyboard opening</t>
        </is>
      </c>
      <c r="E16" s="52" t="inlineStr">
        <is>
          <t>yes</t>
        </is>
      </c>
      <c r="F16" s="52" t="inlineStr">
        <is>
          <t>yes</t>
        </is>
      </c>
      <c r="G16" s="52" t="inlineStr">
        <is>
          <t>passed manual test</t>
        </is>
      </c>
      <c r="H16" s="54" t="inlineStr">
        <is>
          <t>covered</t>
        </is>
      </c>
      <c r="I16" s="53" t="inlineStr">
        <is>
          <t>SwipeableItem playground scenario.</t>
        </is>
      </c>
      <c r="J16" s="53" t="n"/>
      <c r="K16" s="55">
        <f>IF(AND(E16="yes",F16="yes",H16="covered"),1,IF(H16="partial",0.5,0))</f>
        <v/>
      </c>
    </row>
    <row r="17" ht="15" customHeight="1" s="60">
      <c r="A17" s="52" t="n">
        <v>9</v>
      </c>
      <c r="B17" s="53" t="inlineStr">
        <is>
          <t>Feature</t>
        </is>
      </c>
      <c r="C17" s="53" t="inlineStr">
        <is>
          <t>SwipeableItem</t>
        </is>
      </c>
      <c r="D17" s="53" t="inlineStr">
        <is>
          <t>Supports controlled and uncontrolled open side state</t>
        </is>
      </c>
      <c r="E17" s="52" t="inlineStr">
        <is>
          <t>yes</t>
        </is>
      </c>
      <c r="F17" s="52" t="inlineStr">
        <is>
          <t>yes</t>
        </is>
      </c>
      <c r="G17" s="52" t="inlineStr">
        <is>
          <t>passed manual test</t>
        </is>
      </c>
      <c r="H17" s="54" t="inlineStr">
        <is>
          <t>covered</t>
        </is>
      </c>
      <c r="I17" s="53" t="inlineStr">
        <is>
          <t>SwipeableItem playground scenario.</t>
        </is>
      </c>
      <c r="J17" s="53" t="n"/>
      <c r="K17" s="55">
        <f>IF(AND(E17="yes",F17="yes",H17="covered"),1,IF(H17="partial",0.5,0))</f>
        <v/>
      </c>
    </row>
    <row r="18" ht="15" customHeight="1" s="60">
      <c r="A18" s="52" t="n">
        <v>10</v>
      </c>
      <c r="B18" s="53" t="inlineStr">
        <is>
          <t>Feature</t>
        </is>
      </c>
      <c r="C18" s="53" t="inlineStr">
        <is>
          <t>SwipeableItem</t>
        </is>
      </c>
      <c r="D18" s="53" t="inlineStr">
        <is>
          <t>Supports left-to-right and right-to-left direction</t>
        </is>
      </c>
      <c r="E18" s="52" t="inlineStr">
        <is>
          <t>yes</t>
        </is>
      </c>
      <c r="F18" s="52" t="inlineStr">
        <is>
          <t>yes</t>
        </is>
      </c>
      <c r="G18" s="52" t="inlineStr">
        <is>
          <t>passed manual test</t>
        </is>
      </c>
      <c r="H18" s="54" t="inlineStr">
        <is>
          <t>covered</t>
        </is>
      </c>
      <c r="I18" s="53" t="inlineStr">
        <is>
          <t>SwipeableItem playground scenario.</t>
        </is>
      </c>
      <c r="J18" s="53" t="n"/>
      <c r="K18" s="55">
        <f>IF(AND(E18="yes",F18="yes",H18="covered"),1,IF(H18="partial",0.5,0))</f>
        <v/>
      </c>
    </row>
    <row r="19" ht="15" customHeight="1" s="60">
      <c r="A19" s="52" t="n">
        <v>11</v>
      </c>
      <c r="B19" s="53" t="inlineStr">
        <is>
          <t>Feature</t>
        </is>
      </c>
      <c r="C19" s="53" t="inlineStr">
        <is>
          <t>SwipeableItem</t>
        </is>
      </c>
      <c r="D19" s="53" t="inlineStr">
        <is>
          <t>Supports optional full-swipe actions</t>
        </is>
      </c>
      <c r="E19" s="52" t="inlineStr">
        <is>
          <t>yes</t>
        </is>
      </c>
      <c r="F19" s="52" t="inlineStr">
        <is>
          <t>yes</t>
        </is>
      </c>
      <c r="G19" s="52" t="inlineStr">
        <is>
          <t>passed manual test</t>
        </is>
      </c>
      <c r="H19" s="54" t="inlineStr">
        <is>
          <t>covered</t>
        </is>
      </c>
      <c r="I19" s="53" t="inlineStr">
        <is>
          <t>SwipeableItem playground scenario.</t>
        </is>
      </c>
      <c r="J19" s="53" t="n"/>
      <c r="K19" s="55">
        <f>IF(AND(E19="yes",F19="yes",H19="covered"),1,IF(H19="partial",0.5,0))</f>
        <v/>
      </c>
    </row>
    <row r="20" ht="15" customHeight="1" s="60">
      <c r="A20" s="52" t="n">
        <v>12</v>
      </c>
      <c r="B20" s="53" t="inlineStr">
        <is>
          <t>Feature</t>
        </is>
      </c>
      <c r="C20" s="53" t="inlineStr">
        <is>
          <t>SwipeableItem</t>
        </is>
      </c>
      <c r="D20" s="53" t="inlineStr">
        <is>
          <t>Supports `asChild` and `render` on every part</t>
        </is>
      </c>
      <c r="E20" s="52" t="inlineStr">
        <is>
          <t>yes</t>
        </is>
      </c>
      <c r="F20" s="52" t="inlineStr">
        <is>
          <t>yes</t>
        </is>
      </c>
      <c r="G20" s="52" t="inlineStr">
        <is>
          <t>passed manual test</t>
        </is>
      </c>
      <c r="H20" s="54" t="inlineStr">
        <is>
          <t>covered</t>
        </is>
      </c>
      <c r="I20" s="53" t="inlineStr">
        <is>
          <t>SwipeableItem playground scenario.</t>
        </is>
      </c>
      <c r="J20" s="53" t="n"/>
      <c r="K20" s="55">
        <f>IF(AND(E20="yes",F20="yes",H20="covered"),1,IF(H20="partial",0.5,0))</f>
        <v/>
      </c>
    </row>
    <row r="21" ht="15" customHeight="1" s="60">
      <c r="A21" s="52" t="n">
        <v>13</v>
      </c>
      <c r="B21" s="53" t="inlineStr">
        <is>
          <t>Anatomy</t>
        </is>
      </c>
      <c r="C21" s="53" t="inlineStr">
        <is>
          <t>Root</t>
        </is>
      </c>
      <c r="D21" s="53" t="inlineStr">
        <is>
          <t>renders correct part when expected</t>
        </is>
      </c>
      <c r="E21" s="52" t="inlineStr">
        <is>
          <t>yes</t>
        </is>
      </c>
      <c r="F21" s="52" t="inlineStr">
        <is>
          <t>yes</t>
        </is>
      </c>
      <c r="G21" s="52" t="inlineStr">
        <is>
          <t>passed manual test</t>
        </is>
      </c>
      <c r="H21" s="54" t="inlineStr">
        <is>
          <t>covered</t>
        </is>
      </c>
      <c r="I21" s="53" t="inlineStr">
        <is>
          <t>SwipeableItem playground scenario.</t>
        </is>
      </c>
      <c r="J21" s="53" t="n"/>
      <c r="K21" s="55">
        <f>IF(AND(E21="yes",F21="yes",H21="covered"),1,IF(H21="partial",0.5,0))</f>
        <v/>
      </c>
    </row>
    <row r="22" ht="15" customHeight="1" s="60">
      <c r="A22" s="52" t="n">
        <v>14</v>
      </c>
      <c r="B22" s="53" t="inlineStr">
        <is>
          <t>Anatomy</t>
        </is>
      </c>
      <c r="C22" s="53" t="inlineStr">
        <is>
          <t>Root</t>
        </is>
      </c>
      <c r="D22" s="53" t="inlineStr">
        <is>
          <t>appears in documented order</t>
        </is>
      </c>
      <c r="E22" s="52" t="inlineStr">
        <is>
          <t>yes</t>
        </is>
      </c>
      <c r="F22" s="52" t="inlineStr">
        <is>
          <t>yes</t>
        </is>
      </c>
      <c r="G22" s="52" t="inlineStr">
        <is>
          <t>passed manual test</t>
        </is>
      </c>
      <c r="H22" s="54" t="inlineStr">
        <is>
          <t>covered</t>
        </is>
      </c>
      <c r="I22" s="53" t="inlineStr">
        <is>
          <t>SwipeableItem playground scenario.</t>
        </is>
      </c>
      <c r="J22" s="53" t="n"/>
      <c r="K22" s="55">
        <f>IF(AND(E22="yes",F22="yes",H22="covered"),1,IF(H22="partial",0.5,0))</f>
        <v/>
      </c>
    </row>
    <row r="23" ht="30" customHeight="1" s="60">
      <c r="A23" s="52" t="n">
        <v>15</v>
      </c>
      <c r="B23" s="53" t="inlineStr">
        <is>
          <t>Identity</t>
        </is>
      </c>
      <c r="C23" s="53" t="inlineStr">
        <is>
          <t>Root</t>
        </is>
      </c>
      <c r="D23" s="53" t="inlineStr">
        <is>
          <t>default tag is visible in Anatomy/Inspector</t>
        </is>
      </c>
      <c r="E23" s="52" t="inlineStr">
        <is>
          <t>yes</t>
        </is>
      </c>
      <c r="F23" s="52" t="inlineStr">
        <is>
          <t>yes</t>
        </is>
      </c>
      <c r="G23" s="52" t="inlineStr">
        <is>
          <t>passed manual test</t>
        </is>
      </c>
      <c r="H23" s="54" t="inlineStr">
        <is>
          <t>covered</t>
        </is>
      </c>
      <c r="I23" s="53" t="inlineStr">
        <is>
          <t>SwipeableItem playground scenario.</t>
        </is>
      </c>
      <c r="J23" s="53" t="n"/>
      <c r="K23" s="55">
        <f>IF(AND(E23="yes",F23="yes",H23="covered"),1,IF(H23="partial",0.5,0))</f>
        <v/>
      </c>
    </row>
    <row r="24" ht="15" customHeight="1" s="60">
      <c r="A24" s="52" t="n">
        <v>16</v>
      </c>
      <c r="B24" s="53" t="inlineStr">
        <is>
          <t>Identity</t>
        </is>
      </c>
      <c r="C24" s="53" t="inlineStr">
        <is>
          <t>Root</t>
        </is>
      </c>
      <c r="D24" s="53" t="inlineStr">
        <is>
          <t>data-slot is present and correct</t>
        </is>
      </c>
      <c r="E24" s="52" t="inlineStr">
        <is>
          <t>yes</t>
        </is>
      </c>
      <c r="F24" s="52" t="inlineStr">
        <is>
          <t>yes</t>
        </is>
      </c>
      <c r="G24" s="52" t="inlineStr">
        <is>
          <t>passed manual test</t>
        </is>
      </c>
      <c r="H24" s="54" t="inlineStr">
        <is>
          <t>covered</t>
        </is>
      </c>
      <c r="I24" s="53" t="inlineStr">
        <is>
          <t>SwipeableItem playground scenario.</t>
        </is>
      </c>
      <c r="J24" s="53" t="n"/>
      <c r="K24" s="55">
        <f>IF(AND(E24="yes",F24="yes",H24="covered"),1,IF(H24="partial",0.5,0))</f>
        <v/>
      </c>
    </row>
    <row r="25" ht="15" customHeight="1" s="60">
      <c r="A25" s="52" t="n">
        <v>17</v>
      </c>
      <c r="B25" s="53" t="inlineStr">
        <is>
          <t>Props</t>
        </is>
      </c>
      <c r="C25" s="53" t="inlineStr">
        <is>
          <t>Root</t>
        </is>
      </c>
      <c r="D25" s="53" t="inlineStr">
        <is>
          <t>non-Atom native props pass through with data-prop-check marker</t>
        </is>
      </c>
      <c r="E25" s="52" t="inlineStr">
        <is>
          <t>yes</t>
        </is>
      </c>
      <c r="F25" s="52" t="inlineStr">
        <is>
          <t>yes</t>
        </is>
      </c>
      <c r="G25" s="52" t="inlineStr">
        <is>
          <t>passed manual test</t>
        </is>
      </c>
      <c r="H25" s="54" t="inlineStr">
        <is>
          <t>covered</t>
        </is>
      </c>
      <c r="I25" s="53" t="inlineStr">
        <is>
          <t>SwipeableItem playground scenario.</t>
        </is>
      </c>
      <c r="J25" s="53" t="n"/>
      <c r="K25" s="55">
        <f>IF(AND(E25="yes",F25="yes",H25="covered"),1,IF(H25="partial",0.5,0))</f>
        <v/>
      </c>
    </row>
    <row r="26" ht="15" customHeight="1" s="60">
      <c r="A26" s="52" t="n">
        <v>18</v>
      </c>
      <c r="B26" s="53" t="inlineStr">
        <is>
          <t>Refs</t>
        </is>
      </c>
      <c r="C26" s="53" t="inlineStr">
        <is>
          <t>Root</t>
        </is>
      </c>
      <c r="D26" s="53" t="inlineStr">
        <is>
          <t>consumer ref receives the rendered element</t>
        </is>
      </c>
      <c r="E26" s="52" t="inlineStr">
        <is>
          <t>yes</t>
        </is>
      </c>
      <c r="F26" s="52" t="inlineStr">
        <is>
          <t>yes</t>
        </is>
      </c>
      <c r="G26" s="52" t="inlineStr">
        <is>
          <t>passed manual test</t>
        </is>
      </c>
      <c r="H26" s="54" t="inlineStr">
        <is>
          <t>covered</t>
        </is>
      </c>
      <c r="I26" s="53" t="inlineStr">
        <is>
          <t>SwipeableItem playground scenario.</t>
        </is>
      </c>
      <c r="J26" s="53" t="n"/>
      <c r="K26" s="55">
        <f>IF(AND(E26="yes",F26="yes",H26="covered"),1,IF(H26="partial",0.5,0))</f>
        <v/>
      </c>
    </row>
    <row r="27" ht="15" customHeight="1" s="60">
      <c r="A27" s="52" t="n">
        <v>19</v>
      </c>
      <c r="B27" s="53" t="inlineStr">
        <is>
          <t>Composition</t>
        </is>
      </c>
      <c r="C27" s="53" t="inlineStr">
        <is>
          <t>Root</t>
        </is>
      </c>
      <c r="D27" s="53" t="inlineStr">
        <is>
          <t>asChild prop behavior</t>
        </is>
      </c>
      <c r="E27" s="52" t="inlineStr">
        <is>
          <t>yes</t>
        </is>
      </c>
      <c r="F27" s="52" t="inlineStr">
        <is>
          <t>yes</t>
        </is>
      </c>
      <c r="G27" s="52" t="inlineStr">
        <is>
          <t>passed manual test</t>
        </is>
      </c>
      <c r="H27" s="54" t="inlineStr">
        <is>
          <t>covered</t>
        </is>
      </c>
      <c r="I27" s="53" t="inlineStr">
        <is>
          <t>SwipeableItem playground scenario.</t>
        </is>
      </c>
      <c r="J27" s="53" t="n"/>
      <c r="K27" s="55">
        <f>IF(AND(E27="yes",F27="yes",H27="covered"),1,IF(H27="partial",0.5,0))</f>
        <v/>
      </c>
    </row>
    <row r="28" ht="15" customHeight="1" s="60">
      <c r="A28" s="52" t="n">
        <v>20</v>
      </c>
      <c r="B28" s="53" t="inlineStr">
        <is>
          <t>Composition</t>
        </is>
      </c>
      <c r="C28" s="53" t="inlineStr">
        <is>
          <t>Root</t>
        </is>
      </c>
      <c r="D28" s="53" t="inlineStr">
        <is>
          <t>render prop behavior</t>
        </is>
      </c>
      <c r="E28" s="52" t="inlineStr">
        <is>
          <t>yes</t>
        </is>
      </c>
      <c r="F28" s="52" t="inlineStr">
        <is>
          <t>yes</t>
        </is>
      </c>
      <c r="G28" s="52" t="inlineStr">
        <is>
          <t>passed manual test</t>
        </is>
      </c>
      <c r="H28" s="54" t="inlineStr">
        <is>
          <t>covered</t>
        </is>
      </c>
      <c r="I28" s="53" t="inlineStr">
        <is>
          <t>SwipeableItem playground scenario.</t>
        </is>
      </c>
      <c r="J28" s="53" t="n"/>
      <c r="K28" s="55">
        <f>IF(AND(E28="yes",F28="yes",H28="covered"),1,IF(H28="partial",0.5,0))</f>
        <v/>
      </c>
    </row>
    <row r="29" ht="15" customHeight="1" s="60">
      <c r="A29" s="52" t="n">
        <v>21</v>
      </c>
      <c r="B29" s="53" t="inlineStr">
        <is>
          <t>State</t>
        </is>
      </c>
      <c r="C29" s="53" t="inlineStr">
        <is>
          <t>Root</t>
        </is>
      </c>
      <c r="D29" s="53" t="inlineStr">
        <is>
          <t>openSide prop behavior</t>
        </is>
      </c>
      <c r="E29" s="52" t="inlineStr">
        <is>
          <t>yes</t>
        </is>
      </c>
      <c r="F29" s="52" t="inlineStr">
        <is>
          <t>yes</t>
        </is>
      </c>
      <c r="G29" s="52" t="inlineStr">
        <is>
          <t>passed manual test</t>
        </is>
      </c>
      <c r="H29" s="54" t="inlineStr">
        <is>
          <t>covered</t>
        </is>
      </c>
      <c r="I29" s="53" t="inlineStr">
        <is>
          <t>SwipeableItem playground scenario.</t>
        </is>
      </c>
      <c r="J29" s="53" t="n"/>
      <c r="K29" s="55">
        <f>IF(AND(E29="yes",F29="yes",H29="covered"),1,IF(H29="partial",0.5,0))</f>
        <v/>
      </c>
    </row>
    <row r="30" ht="15" customHeight="1" s="60">
      <c r="A30" s="52" t="n">
        <v>22</v>
      </c>
      <c r="B30" s="53" t="inlineStr">
        <is>
          <t>State</t>
        </is>
      </c>
      <c r="C30" s="53" t="inlineStr">
        <is>
          <t>Root</t>
        </is>
      </c>
      <c r="D30" s="53" t="inlineStr">
        <is>
          <t>defaultOpenSide prop behavior</t>
        </is>
      </c>
      <c r="E30" s="52" t="inlineStr">
        <is>
          <t>yes</t>
        </is>
      </c>
      <c r="F30" s="52" t="inlineStr">
        <is>
          <t>yes</t>
        </is>
      </c>
      <c r="G30" s="52" t="inlineStr">
        <is>
          <t>passed manual test</t>
        </is>
      </c>
      <c r="H30" s="54" t="inlineStr">
        <is>
          <t>covered</t>
        </is>
      </c>
      <c r="I30" s="53" t="inlineStr">
        <is>
          <t>SwipeableItem playground scenario.</t>
        </is>
      </c>
      <c r="J30" s="53" t="n"/>
      <c r="K30" s="55">
        <f>IF(AND(E30="yes",F30="yes",H30="covered"),1,IF(H30="partial",0.5,0))</f>
        <v/>
      </c>
    </row>
    <row r="31" ht="15" customHeight="1" s="60">
      <c r="A31" s="52" t="n">
        <v>23</v>
      </c>
      <c r="B31" s="53" t="inlineStr">
        <is>
          <t>State</t>
        </is>
      </c>
      <c r="C31" s="53" t="inlineStr">
        <is>
          <t>Root</t>
        </is>
      </c>
      <c r="D31" s="53" t="inlineStr">
        <is>
          <t>onOpenSideChange prop behavior</t>
        </is>
      </c>
      <c r="E31" s="52" t="inlineStr">
        <is>
          <t>yes</t>
        </is>
      </c>
      <c r="F31" s="52" t="inlineStr">
        <is>
          <t>yes</t>
        </is>
      </c>
      <c r="G31" s="52" t="inlineStr">
        <is>
          <t>passed manual test</t>
        </is>
      </c>
      <c r="H31" s="54" t="inlineStr">
        <is>
          <t>covered</t>
        </is>
      </c>
      <c r="I31" s="53" t="inlineStr">
        <is>
          <t>SwipeableItem playground scenario.</t>
        </is>
      </c>
      <c r="J31" s="53" t="n"/>
      <c r="K31" s="55">
        <f>IF(AND(E31="yes",F31="yes",H31="covered"),1,IF(H31="partial",0.5,0))</f>
        <v/>
      </c>
    </row>
    <row r="32" ht="15" customHeight="1" s="60">
      <c r="A32" s="52" t="n">
        <v>24</v>
      </c>
      <c r="B32" s="53" t="inlineStr">
        <is>
          <t>State</t>
        </is>
      </c>
      <c r="C32" s="53" t="inlineStr">
        <is>
          <t>Root</t>
        </is>
      </c>
      <c r="D32" s="53" t="inlineStr">
        <is>
          <t>onFullSwipe prop behavior</t>
        </is>
      </c>
      <c r="E32" s="52" t="inlineStr">
        <is>
          <t>yes</t>
        </is>
      </c>
      <c r="F32" s="52" t="inlineStr">
        <is>
          <t>yes</t>
        </is>
      </c>
      <c r="G32" s="52" t="inlineStr">
        <is>
          <t>passed manual test</t>
        </is>
      </c>
      <c r="H32" s="54" t="inlineStr">
        <is>
          <t>covered</t>
        </is>
      </c>
      <c r="I32" s="53" t="inlineStr">
        <is>
          <t>SwipeableItem playground scenario.</t>
        </is>
      </c>
      <c r="J32" s="53" t="n"/>
      <c r="K32" s="55">
        <f>IF(AND(E32="yes",F32="yes",H32="covered"),1,IF(H32="partial",0.5,0))</f>
        <v/>
      </c>
    </row>
    <row r="33" ht="15" customHeight="1" s="60">
      <c r="A33" s="52" t="n">
        <v>25</v>
      </c>
      <c r="B33" s="53" t="inlineStr">
        <is>
          <t>State</t>
        </is>
      </c>
      <c r="C33" s="53" t="inlineStr">
        <is>
          <t>Root</t>
        </is>
      </c>
      <c r="D33" s="53" t="inlineStr">
        <is>
          <t>disabled prop behavior</t>
        </is>
      </c>
      <c r="E33" s="52" t="inlineStr">
        <is>
          <t>yes</t>
        </is>
      </c>
      <c r="F33" s="52" t="inlineStr">
        <is>
          <t>yes</t>
        </is>
      </c>
      <c r="G33" s="52" t="inlineStr">
        <is>
          <t>passed manual test</t>
        </is>
      </c>
      <c r="H33" s="54" t="inlineStr">
        <is>
          <t>covered</t>
        </is>
      </c>
      <c r="I33" s="53" t="inlineStr">
        <is>
          <t>SwipeableItem playground scenario.</t>
        </is>
      </c>
      <c r="J33" s="53" t="n"/>
      <c r="K33" s="55">
        <f>IF(AND(E33="yes",F33="yes",H33="covered"),1,IF(H33="partial",0.5,0))</f>
        <v/>
      </c>
    </row>
    <row r="34" ht="15" customHeight="1" s="60">
      <c r="A34" s="52" t="n">
        <v>26</v>
      </c>
      <c r="B34" s="53" t="inlineStr">
        <is>
          <t>State</t>
        </is>
      </c>
      <c r="C34" s="53" t="inlineStr">
        <is>
          <t>Root</t>
        </is>
      </c>
      <c r="D34" s="53" t="inlineStr">
        <is>
          <t>readOnly prop behavior</t>
        </is>
      </c>
      <c r="E34" s="52" t="inlineStr">
        <is>
          <t>yes</t>
        </is>
      </c>
      <c r="F34" s="52" t="inlineStr">
        <is>
          <t>yes</t>
        </is>
      </c>
      <c r="G34" s="52" t="inlineStr">
        <is>
          <t>passed manual test</t>
        </is>
      </c>
      <c r="H34" s="54" t="inlineStr">
        <is>
          <t>covered</t>
        </is>
      </c>
      <c r="I34" s="53" t="inlineStr">
        <is>
          <t>SwipeableItem playground scenario.</t>
        </is>
      </c>
      <c r="J34" s="53" t="n"/>
      <c r="K34" s="55">
        <f>IF(AND(E34="yes",F34="yes",H34="covered"),1,IF(H34="partial",0.5,0))</f>
        <v/>
      </c>
    </row>
    <row r="35" ht="15" customHeight="1" s="60">
      <c r="A35" s="52" t="n">
        <v>27</v>
      </c>
      <c r="B35" s="53" t="inlineStr">
        <is>
          <t>Public API</t>
        </is>
      </c>
      <c r="C35" s="53" t="inlineStr">
        <is>
          <t>Root</t>
        </is>
      </c>
      <c r="D35" s="53" t="inlineStr">
        <is>
          <t>threshold prop behavior</t>
        </is>
      </c>
      <c r="E35" s="52" t="inlineStr">
        <is>
          <t>yes</t>
        </is>
      </c>
      <c r="F35" s="52" t="inlineStr">
        <is>
          <t>yes</t>
        </is>
      </c>
      <c r="G35" s="52" t="inlineStr">
        <is>
          <t>passed manual test</t>
        </is>
      </c>
      <c r="H35" s="54" t="inlineStr">
        <is>
          <t>covered</t>
        </is>
      </c>
      <c r="I35" s="53" t="inlineStr">
        <is>
          <t>SwipeableItem playground scenario.</t>
        </is>
      </c>
      <c r="J35" s="53" t="n"/>
      <c r="K35" s="55">
        <f>IF(AND(E35="yes",F35="yes",H35="covered"),1,IF(H35="partial",0.5,0))</f>
        <v/>
      </c>
    </row>
    <row r="36" ht="15" customHeight="1" s="60">
      <c r="A36" s="52" t="n">
        <v>28</v>
      </c>
      <c r="B36" s="53" t="inlineStr">
        <is>
          <t>Public API</t>
        </is>
      </c>
      <c r="C36" s="53" t="inlineStr">
        <is>
          <t>Root</t>
        </is>
      </c>
      <c r="D36" s="53" t="inlineStr">
        <is>
          <t>fullSwipeThreshold prop behavior</t>
        </is>
      </c>
      <c r="E36" s="52" t="inlineStr">
        <is>
          <t>yes</t>
        </is>
      </c>
      <c r="F36" s="52" t="inlineStr">
        <is>
          <t>yes</t>
        </is>
      </c>
      <c r="G36" s="52" t="inlineStr">
        <is>
          <t>passed manual test</t>
        </is>
      </c>
      <c r="H36" s="54" t="inlineStr">
        <is>
          <t>covered</t>
        </is>
      </c>
      <c r="I36" s="53" t="inlineStr">
        <is>
          <t>SwipeableItem playground scenario.</t>
        </is>
      </c>
      <c r="J36" s="53" t="n"/>
      <c r="K36" s="55">
        <f>IF(AND(E36="yes",F36="yes",H36="covered"),1,IF(H36="partial",0.5,0))</f>
        <v/>
      </c>
    </row>
    <row r="37" ht="15" customHeight="1" s="60">
      <c r="A37" s="52" t="n">
        <v>29</v>
      </c>
      <c r="B37" s="53" t="inlineStr">
        <is>
          <t>Public API</t>
        </is>
      </c>
      <c r="C37" s="53" t="inlineStr">
        <is>
          <t>Root</t>
        </is>
      </c>
      <c r="D37" s="53" t="inlineStr">
        <is>
          <t>dir prop behavior</t>
        </is>
      </c>
      <c r="E37" s="52" t="inlineStr">
        <is>
          <t>yes</t>
        </is>
      </c>
      <c r="F37" s="52" t="inlineStr">
        <is>
          <t>yes</t>
        </is>
      </c>
      <c r="G37" s="52" t="inlineStr">
        <is>
          <t>passed manual test</t>
        </is>
      </c>
      <c r="H37" s="54" t="inlineStr">
        <is>
          <t>covered</t>
        </is>
      </c>
      <c r="I37" s="53" t="inlineStr">
        <is>
          <t>SwipeableItem playground scenario.</t>
        </is>
      </c>
      <c r="J37" s="53" t="n"/>
      <c r="K37" s="55">
        <f>IF(AND(E37="yes",F37="yes",H37="covered"),1,IF(H37="partial",0.5,0))</f>
        <v/>
      </c>
    </row>
    <row r="38" ht="15" customHeight="1" s="60">
      <c r="A38" s="52" t="n">
        <v>30</v>
      </c>
      <c r="B38" s="53" t="inlineStr">
        <is>
          <t>Public API</t>
        </is>
      </c>
      <c r="C38" s="53" t="inlineStr">
        <is>
          <t>Root</t>
        </is>
      </c>
      <c r="D38" s="53" t="inlineStr">
        <is>
          <t>[data-slot] prop behavior</t>
        </is>
      </c>
      <c r="E38" s="52" t="inlineStr">
        <is>
          <t>yes</t>
        </is>
      </c>
      <c r="F38" s="52" t="inlineStr">
        <is>
          <t>yes</t>
        </is>
      </c>
      <c r="G38" s="52" t="inlineStr">
        <is>
          <t>passed manual test</t>
        </is>
      </c>
      <c r="H38" s="54" t="inlineStr">
        <is>
          <t>covered</t>
        </is>
      </c>
      <c r="I38" s="53" t="inlineStr">
        <is>
          <t>SwipeableItem playground scenario.</t>
        </is>
      </c>
      <c r="J38" s="53" t="n"/>
      <c r="K38" s="55">
        <f>IF(AND(E38="yes",F38="yes",H38="covered"),1,IF(H38="partial",0.5,0))</f>
        <v/>
      </c>
    </row>
    <row r="39" ht="15" customHeight="1" s="60">
      <c r="A39" s="52" t="n">
        <v>31</v>
      </c>
      <c r="B39" s="53" t="inlineStr">
        <is>
          <t>Public API</t>
        </is>
      </c>
      <c r="C39" s="53" t="inlineStr">
        <is>
          <t>Root</t>
        </is>
      </c>
      <c r="D39" s="53" t="inlineStr">
        <is>
          <t>[data-state] prop behavior</t>
        </is>
      </c>
      <c r="E39" s="52" t="inlineStr">
        <is>
          <t>yes</t>
        </is>
      </c>
      <c r="F39" s="52" t="inlineStr">
        <is>
          <t>yes</t>
        </is>
      </c>
      <c r="G39" s="52" t="inlineStr">
        <is>
          <t>passed manual test</t>
        </is>
      </c>
      <c r="H39" s="54" t="inlineStr">
        <is>
          <t>covered</t>
        </is>
      </c>
      <c r="I39" s="53" t="inlineStr">
        <is>
          <t>SwipeableItem playground scenario.</t>
        </is>
      </c>
      <c r="J39" s="53" t="n"/>
      <c r="K39" s="55">
        <f>IF(AND(E39="yes",F39="yes",H39="covered"),1,IF(H39="partial",0.5,0))</f>
        <v/>
      </c>
    </row>
    <row r="40" ht="15" customHeight="1" s="60">
      <c r="A40" s="52" t="n">
        <v>32</v>
      </c>
      <c r="B40" s="53" t="inlineStr">
        <is>
          <t>Positioning</t>
        </is>
      </c>
      <c r="C40" s="53" t="inlineStr">
        <is>
          <t>Root</t>
        </is>
      </c>
      <c r="D40" s="53" t="inlineStr">
        <is>
          <t>[data-side] prop behavior</t>
        </is>
      </c>
      <c r="E40" s="52" t="inlineStr">
        <is>
          <t>yes</t>
        </is>
      </c>
      <c r="F40" s="52" t="inlineStr">
        <is>
          <t>yes</t>
        </is>
      </c>
      <c r="G40" s="52" t="inlineStr">
        <is>
          <t>passed manual test</t>
        </is>
      </c>
      <c r="H40" s="54" t="inlineStr">
        <is>
          <t>covered</t>
        </is>
      </c>
      <c r="I40" s="53" t="inlineStr">
        <is>
          <t>SwipeableItem playground scenario.</t>
        </is>
      </c>
      <c r="J40" s="53" t="n"/>
      <c r="K40" s="55">
        <f>IF(AND(E40="yes",F40="yes",H40="covered"),1,IF(H40="partial",0.5,0))</f>
        <v/>
      </c>
    </row>
    <row r="41" ht="15" customHeight="1" s="60">
      <c r="A41" s="52" t="n">
        <v>33</v>
      </c>
      <c r="B41" s="53" t="inlineStr">
        <is>
          <t>Public API</t>
        </is>
      </c>
      <c r="C41" s="53" t="inlineStr">
        <is>
          <t>Root</t>
        </is>
      </c>
      <c r="D41" s="53" t="inlineStr">
        <is>
          <t>[data-dragging] prop behavior</t>
        </is>
      </c>
      <c r="E41" s="52" t="inlineStr">
        <is>
          <t>yes</t>
        </is>
      </c>
      <c r="F41" s="52" t="inlineStr">
        <is>
          <t>yes</t>
        </is>
      </c>
      <c r="G41" s="52" t="inlineStr">
        <is>
          <t>passed manual test</t>
        </is>
      </c>
      <c r="H41" s="54" t="inlineStr">
        <is>
          <t>covered</t>
        </is>
      </c>
      <c r="I41" s="53" t="inlineStr">
        <is>
          <t>SwipeableItem playground scenario.</t>
        </is>
      </c>
      <c r="J41" s="53" t="n"/>
      <c r="K41" s="55">
        <f>IF(AND(E41="yes",F41="yes",H41="covered"),1,IF(H41="partial",0.5,0))</f>
        <v/>
      </c>
    </row>
    <row r="42" ht="15" customHeight="1" s="60">
      <c r="A42" s="52" t="n">
        <v>34</v>
      </c>
      <c r="B42" s="53" t="inlineStr">
        <is>
          <t>State</t>
        </is>
      </c>
      <c r="C42" s="53" t="inlineStr">
        <is>
          <t>Root</t>
        </is>
      </c>
      <c r="D42" s="53" t="inlineStr">
        <is>
          <t>[data-disabled] prop behavior</t>
        </is>
      </c>
      <c r="E42" s="52" t="inlineStr">
        <is>
          <t>yes</t>
        </is>
      </c>
      <c r="F42" s="52" t="inlineStr">
        <is>
          <t>yes</t>
        </is>
      </c>
      <c r="G42" s="52" t="inlineStr">
        <is>
          <t>passed manual test</t>
        </is>
      </c>
      <c r="H42" s="54" t="inlineStr">
        <is>
          <t>covered</t>
        </is>
      </c>
      <c r="I42" s="53" t="inlineStr">
        <is>
          <t>SwipeableItem playground scenario.</t>
        </is>
      </c>
      <c r="J42" s="53" t="n"/>
      <c r="K42" s="55">
        <f>IF(AND(E42="yes",F42="yes",H42="covered"),1,IF(H42="partial",0.5,0))</f>
        <v/>
      </c>
    </row>
    <row r="43" ht="15" customHeight="1" s="60">
      <c r="A43" s="52" t="n">
        <v>35</v>
      </c>
      <c r="B43" s="53" t="inlineStr">
        <is>
          <t>State</t>
        </is>
      </c>
      <c r="C43" s="53" t="inlineStr">
        <is>
          <t>Root</t>
        </is>
      </c>
      <c r="D43" s="53" t="inlineStr">
        <is>
          <t>[data-readonly] prop behavior</t>
        </is>
      </c>
      <c r="E43" s="52" t="inlineStr">
        <is>
          <t>yes</t>
        </is>
      </c>
      <c r="F43" s="52" t="inlineStr">
        <is>
          <t>yes</t>
        </is>
      </c>
      <c r="G43" s="52" t="inlineStr">
        <is>
          <t>passed manual test</t>
        </is>
      </c>
      <c r="H43" s="54" t="inlineStr">
        <is>
          <t>covered</t>
        </is>
      </c>
      <c r="I43" s="53" t="inlineStr">
        <is>
          <t>SwipeableItem playground scenario.</t>
        </is>
      </c>
      <c r="J43" s="53" t="n"/>
      <c r="K43" s="55">
        <f>IF(AND(E43="yes",F43="yes",H43="covered"),1,IF(H43="partial",0.5,0))</f>
        <v/>
      </c>
    </row>
    <row r="44" ht="15" customHeight="1" s="60">
      <c r="A44" s="52" t="n">
        <v>36</v>
      </c>
      <c r="B44" s="53" t="inlineStr">
        <is>
          <t>Positioning</t>
        </is>
      </c>
      <c r="C44" s="53" t="inlineStr">
        <is>
          <t>Root</t>
        </is>
      </c>
      <c r="D44" s="53" t="inlineStr">
        <is>
          <t>--atom-swipeable-item-offset prop behavior</t>
        </is>
      </c>
      <c r="E44" s="52" t="inlineStr">
        <is>
          <t>yes</t>
        </is>
      </c>
      <c r="F44" s="52" t="inlineStr">
        <is>
          <t>yes</t>
        </is>
      </c>
      <c r="G44" s="52" t="inlineStr">
        <is>
          <t>passed manual test</t>
        </is>
      </c>
      <c r="H44" s="54" t="inlineStr">
        <is>
          <t>covered</t>
        </is>
      </c>
      <c r="I44" s="53" t="inlineStr">
        <is>
          <t>SwipeableItem playground scenario.</t>
        </is>
      </c>
      <c r="J44" s="53" t="n"/>
      <c r="K44" s="55">
        <f>IF(AND(E44="yes",F44="yes",H44="covered"),1,IF(H44="partial",0.5,0))</f>
        <v/>
      </c>
    </row>
    <row r="45" ht="15" customHeight="1" s="60">
      <c r="A45" s="52" t="n">
        <v>37</v>
      </c>
      <c r="B45" s="53" t="inlineStr">
        <is>
          <t>Public API</t>
        </is>
      </c>
      <c r="C45" s="53" t="inlineStr">
        <is>
          <t>Root</t>
        </is>
      </c>
      <c r="D45" s="53" t="inlineStr">
        <is>
          <t>--atom-swipeable-item-start-size prop behavior</t>
        </is>
      </c>
      <c r="E45" s="52" t="inlineStr">
        <is>
          <t>yes</t>
        </is>
      </c>
      <c r="F45" s="52" t="inlineStr">
        <is>
          <t>yes</t>
        </is>
      </c>
      <c r="G45" s="52" t="inlineStr">
        <is>
          <t>passed manual test</t>
        </is>
      </c>
      <c r="H45" s="54" t="inlineStr">
        <is>
          <t>covered</t>
        </is>
      </c>
      <c r="I45" s="53" t="inlineStr">
        <is>
          <t>SwipeableItem playground scenario.</t>
        </is>
      </c>
      <c r="J45" s="53" t="n"/>
      <c r="K45" s="55">
        <f>IF(AND(E45="yes",F45="yes",H45="covered"),1,IF(H45="partial",0.5,0))</f>
        <v/>
      </c>
    </row>
    <row r="46" ht="15" customHeight="1" s="60">
      <c r="A46" s="52" t="n">
        <v>38</v>
      </c>
      <c r="B46" s="53" t="inlineStr">
        <is>
          <t>Public API</t>
        </is>
      </c>
      <c r="C46" s="53" t="inlineStr">
        <is>
          <t>Root</t>
        </is>
      </c>
      <c r="D46" s="53" t="inlineStr">
        <is>
          <t>--atom-swipeable-item-end-size prop behavior</t>
        </is>
      </c>
      <c r="E46" s="52" t="inlineStr">
        <is>
          <t>yes</t>
        </is>
      </c>
      <c r="F46" s="52" t="inlineStr">
        <is>
          <t>yes</t>
        </is>
      </c>
      <c r="G46" s="52" t="inlineStr">
        <is>
          <t>passed manual test</t>
        </is>
      </c>
      <c r="H46" s="54" t="inlineStr">
        <is>
          <t>covered</t>
        </is>
      </c>
      <c r="I46" s="53" t="inlineStr">
        <is>
          <t>SwipeableItem playground scenario.</t>
        </is>
      </c>
      <c r="J46" s="53" t="n"/>
      <c r="K46" s="55">
        <f>IF(AND(E46="yes",F46="yes",H46="covered"),1,IF(H46="partial",0.5,0))</f>
        <v/>
      </c>
    </row>
    <row r="47" ht="15" customHeight="1" s="60">
      <c r="A47" s="52" t="n">
        <v>39</v>
      </c>
      <c r="B47" s="53" t="inlineStr">
        <is>
          <t>Anatomy</t>
        </is>
      </c>
      <c r="C47" s="53" t="inlineStr">
        <is>
          <t>Content</t>
        </is>
      </c>
      <c r="D47" s="53" t="inlineStr">
        <is>
          <t>renders correct part when expected</t>
        </is>
      </c>
      <c r="E47" s="52" t="inlineStr">
        <is>
          <t>yes</t>
        </is>
      </c>
      <c r="F47" s="52" t="inlineStr">
        <is>
          <t>yes</t>
        </is>
      </c>
      <c r="G47" s="52" t="inlineStr">
        <is>
          <t>passed manual test</t>
        </is>
      </c>
      <c r="H47" s="54" t="inlineStr">
        <is>
          <t>covered</t>
        </is>
      </c>
      <c r="I47" s="53" t="inlineStr">
        <is>
          <t>SwipeableItem playground scenario.</t>
        </is>
      </c>
      <c r="J47" s="53" t="n"/>
      <c r="K47" s="55">
        <f>IF(AND(E47="yes",F47="yes",H47="covered"),1,IF(H47="partial",0.5,0))</f>
        <v/>
      </c>
    </row>
    <row r="48" ht="15" customHeight="1" s="60">
      <c r="A48" s="52" t="n">
        <v>40</v>
      </c>
      <c r="B48" s="53" t="inlineStr">
        <is>
          <t>Anatomy</t>
        </is>
      </c>
      <c r="C48" s="53" t="inlineStr">
        <is>
          <t>Content</t>
        </is>
      </c>
      <c r="D48" s="53" t="inlineStr">
        <is>
          <t>appears in documented order</t>
        </is>
      </c>
      <c r="E48" s="52" t="inlineStr">
        <is>
          <t>yes</t>
        </is>
      </c>
      <c r="F48" s="52" t="inlineStr">
        <is>
          <t>yes</t>
        </is>
      </c>
      <c r="G48" s="52" t="inlineStr">
        <is>
          <t>passed manual test</t>
        </is>
      </c>
      <c r="H48" s="54" t="inlineStr">
        <is>
          <t>covered</t>
        </is>
      </c>
      <c r="I48" s="53" t="inlineStr">
        <is>
          <t>SwipeableItem playground scenario.</t>
        </is>
      </c>
      <c r="J48" s="53" t="n"/>
      <c r="K48" s="55">
        <f>IF(AND(E48="yes",F48="yes",H48="covered"),1,IF(H48="partial",0.5,0))</f>
        <v/>
      </c>
    </row>
    <row r="49" ht="30" customHeight="1" s="60">
      <c r="A49" s="52" t="n">
        <v>41</v>
      </c>
      <c r="B49" s="53" t="inlineStr">
        <is>
          <t>Identity</t>
        </is>
      </c>
      <c r="C49" s="53" t="inlineStr">
        <is>
          <t>Content</t>
        </is>
      </c>
      <c r="D49" s="53" t="inlineStr">
        <is>
          <t>default tag is visible in Anatomy/Inspector</t>
        </is>
      </c>
      <c r="E49" s="52" t="inlineStr">
        <is>
          <t>yes</t>
        </is>
      </c>
      <c r="F49" s="52" t="inlineStr">
        <is>
          <t>yes</t>
        </is>
      </c>
      <c r="G49" s="52" t="inlineStr">
        <is>
          <t>passed manual test</t>
        </is>
      </c>
      <c r="H49" s="54" t="inlineStr">
        <is>
          <t>covered</t>
        </is>
      </c>
      <c r="I49" s="53" t="inlineStr">
        <is>
          <t>SwipeableItem playground scenario.</t>
        </is>
      </c>
      <c r="J49" s="53" t="n"/>
      <c r="K49" s="55">
        <f>IF(AND(E49="yes",F49="yes",H49="covered"),1,IF(H49="partial",0.5,0))</f>
        <v/>
      </c>
    </row>
    <row r="50" ht="15" customHeight="1" s="60">
      <c r="A50" s="52" t="n">
        <v>42</v>
      </c>
      <c r="B50" s="53" t="inlineStr">
        <is>
          <t>Identity</t>
        </is>
      </c>
      <c r="C50" s="53" t="inlineStr">
        <is>
          <t>Content</t>
        </is>
      </c>
      <c r="D50" s="53" t="inlineStr">
        <is>
          <t>data-slot is present and correct</t>
        </is>
      </c>
      <c r="E50" s="52" t="inlineStr">
        <is>
          <t>yes</t>
        </is>
      </c>
      <c r="F50" s="52" t="inlineStr">
        <is>
          <t>yes</t>
        </is>
      </c>
      <c r="G50" s="52" t="inlineStr">
        <is>
          <t>passed manual test</t>
        </is>
      </c>
      <c r="H50" s="54" t="inlineStr">
        <is>
          <t>covered</t>
        </is>
      </c>
      <c r="I50" s="53" t="inlineStr">
        <is>
          <t>SwipeableItem playground scenario.</t>
        </is>
      </c>
      <c r="J50" s="53" t="n"/>
      <c r="K50" s="55">
        <f>IF(AND(E50="yes",F50="yes",H50="covered"),1,IF(H50="partial",0.5,0))</f>
        <v/>
      </c>
    </row>
    <row r="51" ht="15" customHeight="1" s="60">
      <c r="A51" s="52" t="n">
        <v>43</v>
      </c>
      <c r="B51" s="53" t="inlineStr">
        <is>
          <t>Props</t>
        </is>
      </c>
      <c r="C51" s="53" t="inlineStr">
        <is>
          <t>Content</t>
        </is>
      </c>
      <c r="D51" s="53" t="inlineStr">
        <is>
          <t>non-Atom native props pass through with data-prop-check marker</t>
        </is>
      </c>
      <c r="E51" s="52" t="inlineStr">
        <is>
          <t>yes</t>
        </is>
      </c>
      <c r="F51" s="52" t="inlineStr">
        <is>
          <t>yes</t>
        </is>
      </c>
      <c r="G51" s="52" t="inlineStr">
        <is>
          <t>passed manual test</t>
        </is>
      </c>
      <c r="H51" s="54" t="inlineStr">
        <is>
          <t>covered</t>
        </is>
      </c>
      <c r="I51" s="53" t="inlineStr">
        <is>
          <t>SwipeableItem playground scenario.</t>
        </is>
      </c>
      <c r="J51" s="53" t="n"/>
      <c r="K51" s="55">
        <f>IF(AND(E51="yes",F51="yes",H51="covered"),1,IF(H51="partial",0.5,0))</f>
        <v/>
      </c>
    </row>
    <row r="52" ht="15" customHeight="1" s="60">
      <c r="A52" s="52" t="n">
        <v>44</v>
      </c>
      <c r="B52" s="53" t="inlineStr">
        <is>
          <t>Refs</t>
        </is>
      </c>
      <c r="C52" s="53" t="inlineStr">
        <is>
          <t>Content</t>
        </is>
      </c>
      <c r="D52" s="53" t="inlineStr">
        <is>
          <t>consumer ref receives the rendered element</t>
        </is>
      </c>
      <c r="E52" s="52" t="inlineStr">
        <is>
          <t>yes</t>
        </is>
      </c>
      <c r="F52" s="52" t="inlineStr">
        <is>
          <t>yes</t>
        </is>
      </c>
      <c r="G52" s="52" t="inlineStr">
        <is>
          <t>passed manual test</t>
        </is>
      </c>
      <c r="H52" s="54" t="inlineStr">
        <is>
          <t>covered</t>
        </is>
      </c>
      <c r="I52" s="53" t="inlineStr">
        <is>
          <t>SwipeableItem playground scenario.</t>
        </is>
      </c>
      <c r="J52" s="53" t="n"/>
      <c r="K52" s="55">
        <f>IF(AND(E52="yes",F52="yes",H52="covered"),1,IF(H52="partial",0.5,0))</f>
        <v/>
      </c>
    </row>
    <row r="53" ht="15" customHeight="1" s="60">
      <c r="A53" s="52" t="n">
        <v>45</v>
      </c>
      <c r="B53" s="53" t="inlineStr">
        <is>
          <t>Composition</t>
        </is>
      </c>
      <c r="C53" s="53" t="inlineStr">
        <is>
          <t>Content</t>
        </is>
      </c>
      <c r="D53" s="53" t="inlineStr">
        <is>
          <t>asChild prop behavior</t>
        </is>
      </c>
      <c r="E53" s="52" t="inlineStr">
        <is>
          <t>yes</t>
        </is>
      </c>
      <c r="F53" s="52" t="inlineStr">
        <is>
          <t>yes</t>
        </is>
      </c>
      <c r="G53" s="52" t="inlineStr">
        <is>
          <t>passed manual test</t>
        </is>
      </c>
      <c r="H53" s="54" t="inlineStr">
        <is>
          <t>covered</t>
        </is>
      </c>
      <c r="I53" s="53" t="inlineStr">
        <is>
          <t>SwipeableItem playground scenario.</t>
        </is>
      </c>
      <c r="J53" s="53" t="n"/>
      <c r="K53" s="55">
        <f>IF(AND(E53="yes",F53="yes",H53="covered"),1,IF(H53="partial",0.5,0))</f>
        <v/>
      </c>
    </row>
    <row r="54" ht="15" customHeight="1" s="60">
      <c r="A54" s="52" t="n">
        <v>46</v>
      </c>
      <c r="B54" s="53" t="inlineStr">
        <is>
          <t>Composition</t>
        </is>
      </c>
      <c r="C54" s="53" t="inlineStr">
        <is>
          <t>Content</t>
        </is>
      </c>
      <c r="D54" s="53" t="inlineStr">
        <is>
          <t>render prop behavior</t>
        </is>
      </c>
      <c r="E54" s="52" t="inlineStr">
        <is>
          <t>yes</t>
        </is>
      </c>
      <c r="F54" s="52" t="inlineStr">
        <is>
          <t>yes</t>
        </is>
      </c>
      <c r="G54" s="52" t="inlineStr">
        <is>
          <t>passed manual test</t>
        </is>
      </c>
      <c r="H54" s="54" t="inlineStr">
        <is>
          <t>covered</t>
        </is>
      </c>
      <c r="I54" s="53" t="inlineStr">
        <is>
          <t>SwipeableItem playground scenario.</t>
        </is>
      </c>
      <c r="J54" s="53" t="n"/>
      <c r="K54" s="55">
        <f>IF(AND(E54="yes",F54="yes",H54="covered"),1,IF(H54="partial",0.5,0))</f>
        <v/>
      </c>
    </row>
    <row r="55" ht="15" customHeight="1" s="60">
      <c r="A55" s="52" t="n">
        <v>47</v>
      </c>
      <c r="B55" s="53" t="inlineStr">
        <is>
          <t>Public API</t>
        </is>
      </c>
      <c r="C55" s="53" t="inlineStr">
        <is>
          <t>Content</t>
        </is>
      </c>
      <c r="D55" s="53" t="inlineStr">
        <is>
          <t>tabIndex prop behavior</t>
        </is>
      </c>
      <c r="E55" s="52" t="inlineStr">
        <is>
          <t>yes</t>
        </is>
      </c>
      <c r="F55" s="52" t="inlineStr">
        <is>
          <t>yes</t>
        </is>
      </c>
      <c r="G55" s="52" t="inlineStr">
        <is>
          <t>passed manual test</t>
        </is>
      </c>
      <c r="H55" s="54" t="inlineStr">
        <is>
          <t>covered</t>
        </is>
      </c>
      <c r="I55" s="53" t="inlineStr">
        <is>
          <t>SwipeableItem playground scenario.</t>
        </is>
      </c>
      <c r="J55" s="53" t="n"/>
      <c r="K55" s="55">
        <f>IF(AND(E55="yes",F55="yes",H55="covered"),1,IF(H55="partial",0.5,0))</f>
        <v/>
      </c>
    </row>
    <row r="56" ht="15" customHeight="1" s="60">
      <c r="A56" s="52" t="n">
        <v>48</v>
      </c>
      <c r="B56" s="53" t="inlineStr">
        <is>
          <t>Public API</t>
        </is>
      </c>
      <c r="C56" s="53" t="inlineStr">
        <is>
          <t>Content</t>
        </is>
      </c>
      <c r="D56" s="53" t="inlineStr">
        <is>
          <t>[data-slot] prop behavior</t>
        </is>
      </c>
      <c r="E56" s="52" t="inlineStr">
        <is>
          <t>yes</t>
        </is>
      </c>
      <c r="F56" s="52" t="inlineStr">
        <is>
          <t>yes</t>
        </is>
      </c>
      <c r="G56" s="52" t="inlineStr">
        <is>
          <t>passed manual test</t>
        </is>
      </c>
      <c r="H56" s="54" t="inlineStr">
        <is>
          <t>covered</t>
        </is>
      </c>
      <c r="I56" s="53" t="inlineStr">
        <is>
          <t>SwipeableItem playground scenario.</t>
        </is>
      </c>
      <c r="J56" s="53" t="n"/>
      <c r="K56" s="55">
        <f>IF(AND(E56="yes",F56="yes",H56="covered"),1,IF(H56="partial",0.5,0))</f>
        <v/>
      </c>
    </row>
    <row r="57" ht="15" customHeight="1" s="60">
      <c r="A57" s="52" t="n">
        <v>49</v>
      </c>
      <c r="B57" s="53" t="inlineStr">
        <is>
          <t>Public API</t>
        </is>
      </c>
      <c r="C57" s="53" t="inlineStr">
        <is>
          <t>Content</t>
        </is>
      </c>
      <c r="D57" s="53" t="inlineStr">
        <is>
          <t>[data-state] prop behavior</t>
        </is>
      </c>
      <c r="E57" s="52" t="inlineStr">
        <is>
          <t>yes</t>
        </is>
      </c>
      <c r="F57" s="52" t="inlineStr">
        <is>
          <t>yes</t>
        </is>
      </c>
      <c r="G57" s="52" t="inlineStr">
        <is>
          <t>passed manual test</t>
        </is>
      </c>
      <c r="H57" s="54" t="inlineStr">
        <is>
          <t>covered</t>
        </is>
      </c>
      <c r="I57" s="53" t="inlineStr">
        <is>
          <t>SwipeableItem playground scenario.</t>
        </is>
      </c>
      <c r="J57" s="53" t="n"/>
      <c r="K57" s="55">
        <f>IF(AND(E57="yes",F57="yes",H57="covered"),1,IF(H57="partial",0.5,0))</f>
        <v/>
      </c>
    </row>
    <row r="58" ht="15" customHeight="1" s="60">
      <c r="A58" s="52" t="n">
        <v>50</v>
      </c>
      <c r="B58" s="53" t="inlineStr">
        <is>
          <t>Positioning</t>
        </is>
      </c>
      <c r="C58" s="53" t="inlineStr">
        <is>
          <t>Content</t>
        </is>
      </c>
      <c r="D58" s="53" t="inlineStr">
        <is>
          <t>[data-side] prop behavior</t>
        </is>
      </c>
      <c r="E58" s="52" t="inlineStr">
        <is>
          <t>yes</t>
        </is>
      </c>
      <c r="F58" s="52" t="inlineStr">
        <is>
          <t>yes</t>
        </is>
      </c>
      <c r="G58" s="52" t="inlineStr">
        <is>
          <t>passed manual test</t>
        </is>
      </c>
      <c r="H58" s="54" t="inlineStr">
        <is>
          <t>covered</t>
        </is>
      </c>
      <c r="I58" s="53" t="inlineStr">
        <is>
          <t>SwipeableItem playground scenario.</t>
        </is>
      </c>
      <c r="J58" s="53" t="n"/>
      <c r="K58" s="55">
        <f>IF(AND(E58="yes",F58="yes",H58="covered"),1,IF(H58="partial",0.5,0))</f>
        <v/>
      </c>
    </row>
    <row r="59" ht="15" customHeight="1" s="60">
      <c r="A59" s="52" t="n">
        <v>51</v>
      </c>
      <c r="B59" s="53" t="inlineStr">
        <is>
          <t>Public API</t>
        </is>
      </c>
      <c r="C59" s="53" t="inlineStr">
        <is>
          <t>Content</t>
        </is>
      </c>
      <c r="D59" s="53" t="inlineStr">
        <is>
          <t>[data-dragging] prop behavior</t>
        </is>
      </c>
      <c r="E59" s="52" t="inlineStr">
        <is>
          <t>yes</t>
        </is>
      </c>
      <c r="F59" s="52" t="inlineStr">
        <is>
          <t>yes</t>
        </is>
      </c>
      <c r="G59" s="52" t="inlineStr">
        <is>
          <t>passed manual test</t>
        </is>
      </c>
      <c r="H59" s="54" t="inlineStr">
        <is>
          <t>covered</t>
        </is>
      </c>
      <c r="I59" s="53" t="inlineStr">
        <is>
          <t>SwipeableItem playground scenario.</t>
        </is>
      </c>
      <c r="J59" s="53" t="n"/>
      <c r="K59" s="55">
        <f>IF(AND(E59="yes",F59="yes",H59="covered"),1,IF(H59="partial",0.5,0))</f>
        <v/>
      </c>
    </row>
    <row r="60" ht="15" customHeight="1" s="60">
      <c r="A60" s="52" t="n">
        <v>52</v>
      </c>
      <c r="B60" s="53" t="inlineStr">
        <is>
          <t>State</t>
        </is>
      </c>
      <c r="C60" s="53" t="inlineStr">
        <is>
          <t>Content</t>
        </is>
      </c>
      <c r="D60" s="53" t="inlineStr">
        <is>
          <t>[data-disabled] prop behavior</t>
        </is>
      </c>
      <c r="E60" s="52" t="inlineStr">
        <is>
          <t>yes</t>
        </is>
      </c>
      <c r="F60" s="52" t="inlineStr">
        <is>
          <t>yes</t>
        </is>
      </c>
      <c r="G60" s="52" t="inlineStr">
        <is>
          <t>passed manual test</t>
        </is>
      </c>
      <c r="H60" s="54" t="inlineStr">
        <is>
          <t>covered</t>
        </is>
      </c>
      <c r="I60" s="53" t="inlineStr">
        <is>
          <t>SwipeableItem playground scenario.</t>
        </is>
      </c>
      <c r="J60" s="53" t="n"/>
      <c r="K60" s="55">
        <f>IF(AND(E60="yes",F60="yes",H60="covered"),1,IF(H60="partial",0.5,0))</f>
        <v/>
      </c>
    </row>
    <row r="61" ht="15" customHeight="1" s="60">
      <c r="A61" s="52" t="n">
        <v>53</v>
      </c>
      <c r="B61" s="53" t="inlineStr">
        <is>
          <t>State</t>
        </is>
      </c>
      <c r="C61" s="53" t="inlineStr">
        <is>
          <t>Content</t>
        </is>
      </c>
      <c r="D61" s="53" t="inlineStr">
        <is>
          <t>[data-readonly] prop behavior</t>
        </is>
      </c>
      <c r="E61" s="52" t="inlineStr">
        <is>
          <t>yes</t>
        </is>
      </c>
      <c r="F61" s="52" t="inlineStr">
        <is>
          <t>yes</t>
        </is>
      </c>
      <c r="G61" s="52" t="inlineStr">
        <is>
          <t>passed manual test</t>
        </is>
      </c>
      <c r="H61" s="54" t="inlineStr">
        <is>
          <t>covered</t>
        </is>
      </c>
      <c r="I61" s="53" t="inlineStr">
        <is>
          <t>SwipeableItem playground scenario.</t>
        </is>
      </c>
      <c r="J61" s="53" t="n"/>
      <c r="K61" s="55">
        <f>IF(AND(E61="yes",F61="yes",H61="covered"),1,IF(H61="partial",0.5,0))</f>
        <v/>
      </c>
    </row>
    <row r="62" ht="15" customHeight="1" s="60">
      <c r="A62" s="52" t="n">
        <v>54</v>
      </c>
      <c r="B62" s="53" t="inlineStr">
        <is>
          <t>Anatomy</t>
        </is>
      </c>
      <c r="C62" s="53" t="inlineStr">
        <is>
          <t>Actions</t>
        </is>
      </c>
      <c r="D62" s="53" t="inlineStr">
        <is>
          <t>renders correct part when expected</t>
        </is>
      </c>
      <c r="E62" s="52" t="inlineStr">
        <is>
          <t>yes</t>
        </is>
      </c>
      <c r="F62" s="52" t="inlineStr">
        <is>
          <t>yes</t>
        </is>
      </c>
      <c r="G62" s="52" t="inlineStr">
        <is>
          <t>passed manual test</t>
        </is>
      </c>
      <c r="H62" s="54" t="inlineStr">
        <is>
          <t>covered</t>
        </is>
      </c>
      <c r="I62" s="53" t="inlineStr">
        <is>
          <t>SwipeableItem playground scenario.</t>
        </is>
      </c>
      <c r="J62" s="53" t="n"/>
      <c r="K62" s="55">
        <f>IF(AND(E62="yes",F62="yes",H62="covered"),1,IF(H62="partial",0.5,0))</f>
        <v/>
      </c>
    </row>
    <row r="63" ht="15" customHeight="1" s="60">
      <c r="A63" s="52" t="n">
        <v>55</v>
      </c>
      <c r="B63" s="53" t="inlineStr">
        <is>
          <t>Anatomy</t>
        </is>
      </c>
      <c r="C63" s="53" t="inlineStr">
        <is>
          <t>Actions</t>
        </is>
      </c>
      <c r="D63" s="53" t="inlineStr">
        <is>
          <t>appears in documented order</t>
        </is>
      </c>
      <c r="E63" s="52" t="inlineStr">
        <is>
          <t>yes</t>
        </is>
      </c>
      <c r="F63" s="52" t="inlineStr">
        <is>
          <t>yes</t>
        </is>
      </c>
      <c r="G63" s="52" t="inlineStr">
        <is>
          <t>passed manual test</t>
        </is>
      </c>
      <c r="H63" s="54" t="inlineStr">
        <is>
          <t>covered</t>
        </is>
      </c>
      <c r="I63" s="53" t="inlineStr">
        <is>
          <t>SwipeableItem playground scenario.</t>
        </is>
      </c>
      <c r="J63" s="53" t="n"/>
      <c r="K63" s="55">
        <f>IF(AND(E63="yes",F63="yes",H63="covered"),1,IF(H63="partial",0.5,0))</f>
        <v/>
      </c>
    </row>
    <row r="64" ht="30" customHeight="1" s="60">
      <c r="A64" s="52" t="n">
        <v>56</v>
      </c>
      <c r="B64" s="53" t="inlineStr">
        <is>
          <t>Identity</t>
        </is>
      </c>
      <c r="C64" s="53" t="inlineStr">
        <is>
          <t>Actions</t>
        </is>
      </c>
      <c r="D64" s="53" t="inlineStr">
        <is>
          <t>default tag is visible in Anatomy/Inspector</t>
        </is>
      </c>
      <c r="E64" s="52" t="inlineStr">
        <is>
          <t>yes</t>
        </is>
      </c>
      <c r="F64" s="52" t="inlineStr">
        <is>
          <t>yes</t>
        </is>
      </c>
      <c r="G64" s="52" t="inlineStr">
        <is>
          <t>passed manual test</t>
        </is>
      </c>
      <c r="H64" s="54" t="inlineStr">
        <is>
          <t>covered</t>
        </is>
      </c>
      <c r="I64" s="53" t="inlineStr">
        <is>
          <t>SwipeableItem playground scenario.</t>
        </is>
      </c>
      <c r="J64" s="53" t="n"/>
      <c r="K64" s="55">
        <f>IF(AND(E64="yes",F64="yes",H64="covered"),1,IF(H64="partial",0.5,0))</f>
        <v/>
      </c>
    </row>
    <row r="65" ht="15" customHeight="1" s="60">
      <c r="A65" s="52" t="n">
        <v>57</v>
      </c>
      <c r="B65" s="53" t="inlineStr">
        <is>
          <t>Identity</t>
        </is>
      </c>
      <c r="C65" s="53" t="inlineStr">
        <is>
          <t>Actions</t>
        </is>
      </c>
      <c r="D65" s="53" t="inlineStr">
        <is>
          <t>data-slot is present and correct</t>
        </is>
      </c>
      <c r="E65" s="52" t="inlineStr">
        <is>
          <t>yes</t>
        </is>
      </c>
      <c r="F65" s="52" t="inlineStr">
        <is>
          <t>yes</t>
        </is>
      </c>
      <c r="G65" s="52" t="inlineStr">
        <is>
          <t>passed manual test</t>
        </is>
      </c>
      <c r="H65" s="54" t="inlineStr">
        <is>
          <t>covered</t>
        </is>
      </c>
      <c r="I65" s="53" t="inlineStr">
        <is>
          <t>SwipeableItem playground scenario.</t>
        </is>
      </c>
      <c r="J65" s="53" t="n"/>
      <c r="K65" s="55">
        <f>IF(AND(E65="yes",F65="yes",H65="covered"),1,IF(H65="partial",0.5,0))</f>
        <v/>
      </c>
    </row>
    <row r="66" ht="15" customHeight="1" s="60">
      <c r="A66" s="52" t="n">
        <v>58</v>
      </c>
      <c r="B66" s="53" t="inlineStr">
        <is>
          <t>Props</t>
        </is>
      </c>
      <c r="C66" s="53" t="inlineStr">
        <is>
          <t>Actions</t>
        </is>
      </c>
      <c r="D66" s="53" t="inlineStr">
        <is>
          <t>non-Atom native props pass through with data-prop-check marker</t>
        </is>
      </c>
      <c r="E66" s="52" t="inlineStr">
        <is>
          <t>yes</t>
        </is>
      </c>
      <c r="F66" s="52" t="inlineStr">
        <is>
          <t>yes</t>
        </is>
      </c>
      <c r="G66" s="52" t="inlineStr">
        <is>
          <t>passed manual test</t>
        </is>
      </c>
      <c r="H66" s="54" t="inlineStr">
        <is>
          <t>covered</t>
        </is>
      </c>
      <c r="I66" s="53" t="inlineStr">
        <is>
          <t>SwipeableItem playground scenario.</t>
        </is>
      </c>
      <c r="J66" s="53" t="n"/>
      <c r="K66" s="55">
        <f>IF(AND(E66="yes",F66="yes",H66="covered"),1,IF(H66="partial",0.5,0))</f>
        <v/>
      </c>
    </row>
    <row r="67" ht="15" customHeight="1" s="60">
      <c r="A67" s="52" t="n">
        <v>59</v>
      </c>
      <c r="B67" s="53" t="inlineStr">
        <is>
          <t>Refs</t>
        </is>
      </c>
      <c r="C67" s="53" t="inlineStr">
        <is>
          <t>Actions</t>
        </is>
      </c>
      <c r="D67" s="53" t="inlineStr">
        <is>
          <t>consumer ref receives the rendered element</t>
        </is>
      </c>
      <c r="E67" s="52" t="inlineStr">
        <is>
          <t>yes</t>
        </is>
      </c>
      <c r="F67" s="52" t="inlineStr">
        <is>
          <t>yes</t>
        </is>
      </c>
      <c r="G67" s="52" t="inlineStr">
        <is>
          <t>passed manual test</t>
        </is>
      </c>
      <c r="H67" s="54" t="inlineStr">
        <is>
          <t>covered</t>
        </is>
      </c>
      <c r="I67" s="53" t="inlineStr">
        <is>
          <t>SwipeableItem playground scenario.</t>
        </is>
      </c>
      <c r="J67" s="53" t="n"/>
      <c r="K67" s="55">
        <f>IF(AND(E67="yes",F67="yes",H67="covered"),1,IF(H67="partial",0.5,0))</f>
        <v/>
      </c>
    </row>
    <row r="68" ht="15" customHeight="1" s="60">
      <c r="A68" s="52" t="n">
        <v>60</v>
      </c>
      <c r="B68" s="53" t="inlineStr">
        <is>
          <t>Composition</t>
        </is>
      </c>
      <c r="C68" s="53" t="inlineStr">
        <is>
          <t>Actions</t>
        </is>
      </c>
      <c r="D68" s="53" t="inlineStr">
        <is>
          <t>asChild prop behavior</t>
        </is>
      </c>
      <c r="E68" s="52" t="inlineStr">
        <is>
          <t>yes</t>
        </is>
      </c>
      <c r="F68" s="52" t="inlineStr">
        <is>
          <t>yes</t>
        </is>
      </c>
      <c r="G68" s="52" t="inlineStr">
        <is>
          <t>passed manual test</t>
        </is>
      </c>
      <c r="H68" s="54" t="inlineStr">
        <is>
          <t>covered</t>
        </is>
      </c>
      <c r="I68" s="53" t="inlineStr">
        <is>
          <t>SwipeableItem playground scenario.</t>
        </is>
      </c>
      <c r="J68" s="53" t="n"/>
      <c r="K68" s="55">
        <f>IF(AND(E68="yes",F68="yes",H68="covered"),1,IF(H68="partial",0.5,0))</f>
        <v/>
      </c>
    </row>
    <row r="69" ht="15" customHeight="1" s="60">
      <c r="A69" s="52" t="n">
        <v>61</v>
      </c>
      <c r="B69" s="53" t="inlineStr">
        <is>
          <t>Composition</t>
        </is>
      </c>
      <c r="C69" s="53" t="inlineStr">
        <is>
          <t>Actions</t>
        </is>
      </c>
      <c r="D69" s="53" t="inlineStr">
        <is>
          <t>render prop behavior</t>
        </is>
      </c>
      <c r="E69" s="52" t="inlineStr">
        <is>
          <t>yes</t>
        </is>
      </c>
      <c r="F69" s="52" t="inlineStr">
        <is>
          <t>yes</t>
        </is>
      </c>
      <c r="G69" s="52" t="inlineStr">
        <is>
          <t>passed manual test</t>
        </is>
      </c>
      <c r="H69" s="54" t="inlineStr">
        <is>
          <t>covered</t>
        </is>
      </c>
      <c r="I69" s="53" t="inlineStr">
        <is>
          <t>SwipeableItem playground scenario.</t>
        </is>
      </c>
      <c r="J69" s="53" t="n"/>
      <c r="K69" s="55">
        <f>IF(AND(E69="yes",F69="yes",H69="covered"),1,IF(H69="partial",0.5,0))</f>
        <v/>
      </c>
    </row>
    <row r="70" ht="15" customHeight="1" s="60">
      <c r="A70" s="52" t="n">
        <v>62</v>
      </c>
      <c r="B70" s="53" t="inlineStr">
        <is>
          <t>Positioning</t>
        </is>
      </c>
      <c r="C70" s="53" t="inlineStr">
        <is>
          <t>Actions</t>
        </is>
      </c>
      <c r="D70" s="53" t="inlineStr">
        <is>
          <t>side prop behavior</t>
        </is>
      </c>
      <c r="E70" s="52" t="inlineStr">
        <is>
          <t>yes</t>
        </is>
      </c>
      <c r="F70" s="52" t="inlineStr">
        <is>
          <t>yes</t>
        </is>
      </c>
      <c r="G70" s="52" t="inlineStr">
        <is>
          <t>passed manual test</t>
        </is>
      </c>
      <c r="H70" s="54" t="inlineStr">
        <is>
          <t>covered</t>
        </is>
      </c>
      <c r="I70" s="53" t="inlineStr">
        <is>
          <t>SwipeableItem playground scenario.</t>
        </is>
      </c>
      <c r="J70" s="53" t="n"/>
      <c r="K70" s="55">
        <f>IF(AND(E70="yes",F70="yes",H70="covered"),1,IF(H70="partial",0.5,0))</f>
        <v/>
      </c>
    </row>
    <row r="71" ht="15" customHeight="1" s="60">
      <c r="A71" s="52" t="n">
        <v>63</v>
      </c>
      <c r="B71" s="53" t="inlineStr">
        <is>
          <t>Accessibility</t>
        </is>
      </c>
      <c r="C71" s="53" t="inlineStr">
        <is>
          <t>Actions</t>
        </is>
      </c>
      <c r="D71" s="53" t="inlineStr">
        <is>
          <t>aria-label prop behavior</t>
        </is>
      </c>
      <c r="E71" s="52" t="inlineStr">
        <is>
          <t>yes</t>
        </is>
      </c>
      <c r="F71" s="52" t="inlineStr">
        <is>
          <t>yes</t>
        </is>
      </c>
      <c r="G71" s="52" t="inlineStr">
        <is>
          <t>passed manual test</t>
        </is>
      </c>
      <c r="H71" s="54" t="inlineStr">
        <is>
          <t>covered</t>
        </is>
      </c>
      <c r="I71" s="53" t="inlineStr">
        <is>
          <t>SwipeableItem playground scenario.</t>
        </is>
      </c>
      <c r="J71" s="53" t="n"/>
      <c r="K71" s="55">
        <f>IF(AND(E71="yes",F71="yes",H71="covered"),1,IF(H71="partial",0.5,0))</f>
        <v/>
      </c>
    </row>
    <row r="72" ht="15" customHeight="1" s="60">
      <c r="A72" s="52" t="n">
        <v>64</v>
      </c>
      <c r="B72" s="53" t="inlineStr">
        <is>
          <t>Public API</t>
        </is>
      </c>
      <c r="C72" s="53" t="inlineStr">
        <is>
          <t>Actions</t>
        </is>
      </c>
      <c r="D72" s="53" t="inlineStr">
        <is>
          <t>[data-slot] prop behavior</t>
        </is>
      </c>
      <c r="E72" s="52" t="inlineStr">
        <is>
          <t>yes</t>
        </is>
      </c>
      <c r="F72" s="52" t="inlineStr">
        <is>
          <t>yes</t>
        </is>
      </c>
      <c r="G72" s="52" t="inlineStr">
        <is>
          <t>passed manual test</t>
        </is>
      </c>
      <c r="H72" s="54" t="inlineStr">
        <is>
          <t>covered</t>
        </is>
      </c>
      <c r="I72" s="53" t="inlineStr">
        <is>
          <t>SwipeableItem playground scenario.</t>
        </is>
      </c>
      <c r="J72" s="53" t="n"/>
      <c r="K72" s="55">
        <f>IF(AND(E72="yes",F72="yes",H72="covered"),1,IF(H72="partial",0.5,0))</f>
        <v/>
      </c>
    </row>
    <row r="73" ht="15" customHeight="1" s="60">
      <c r="A73" s="52" t="n">
        <v>65</v>
      </c>
      <c r="B73" s="53" t="inlineStr">
        <is>
          <t>Positioning</t>
        </is>
      </c>
      <c r="C73" s="53" t="inlineStr">
        <is>
          <t>Actions</t>
        </is>
      </c>
      <c r="D73" s="53" t="inlineStr">
        <is>
          <t>[data-side] prop behavior</t>
        </is>
      </c>
      <c r="E73" s="52" t="inlineStr">
        <is>
          <t>yes</t>
        </is>
      </c>
      <c r="F73" s="52" t="inlineStr">
        <is>
          <t>yes</t>
        </is>
      </c>
      <c r="G73" s="52" t="inlineStr">
        <is>
          <t>passed manual test</t>
        </is>
      </c>
      <c r="H73" s="54" t="inlineStr">
        <is>
          <t>covered</t>
        </is>
      </c>
      <c r="I73" s="53" t="inlineStr">
        <is>
          <t>SwipeableItem playground scenario.</t>
        </is>
      </c>
      <c r="J73" s="53" t="n"/>
      <c r="K73" s="55">
        <f>IF(AND(E73="yes",F73="yes",H73="covered"),1,IF(H73="partial",0.5,0))</f>
        <v/>
      </c>
    </row>
    <row r="74" ht="15" customHeight="1" s="60">
      <c r="A74" s="52" t="n">
        <v>66</v>
      </c>
      <c r="B74" s="53" t="inlineStr">
        <is>
          <t>Public API</t>
        </is>
      </c>
      <c r="C74" s="53" t="inlineStr">
        <is>
          <t>Actions</t>
        </is>
      </c>
      <c r="D74" s="53" t="inlineStr">
        <is>
          <t>[data-state] prop behavior</t>
        </is>
      </c>
      <c r="E74" s="52" t="inlineStr">
        <is>
          <t>yes</t>
        </is>
      </c>
      <c r="F74" s="52" t="inlineStr">
        <is>
          <t>yes</t>
        </is>
      </c>
      <c r="G74" s="52" t="inlineStr">
        <is>
          <t>passed manual test</t>
        </is>
      </c>
      <c r="H74" s="54" t="inlineStr">
        <is>
          <t>covered</t>
        </is>
      </c>
      <c r="I74" s="53" t="inlineStr">
        <is>
          <t>SwipeableItem playground scenario.</t>
        </is>
      </c>
      <c r="J74" s="53" t="n"/>
      <c r="K74" s="55">
        <f>IF(AND(E74="yes",F74="yes",H74="covered"),1,IF(H74="partial",0.5,0))</f>
        <v/>
      </c>
    </row>
    <row r="75" ht="15" customHeight="1" s="60">
      <c r="A75" s="52" t="n">
        <v>67</v>
      </c>
      <c r="B75" s="53" t="inlineStr">
        <is>
          <t>ARIA</t>
        </is>
      </c>
      <c r="C75" s="53" t="inlineStr">
        <is>
          <t>Live DOM</t>
        </is>
      </c>
      <c r="D75" s="53" t="inlineStr">
        <is>
          <t>aria-disabled is present at the correct time</t>
        </is>
      </c>
      <c r="E75" s="52" t="inlineStr">
        <is>
          <t>yes</t>
        </is>
      </c>
      <c r="F75" s="52" t="inlineStr">
        <is>
          <t>yes</t>
        </is>
      </c>
      <c r="G75" s="52" t="inlineStr">
        <is>
          <t>passed manual test</t>
        </is>
      </c>
      <c r="H75" s="54" t="inlineStr">
        <is>
          <t>covered</t>
        </is>
      </c>
      <c r="I75" s="53" t="inlineStr">
        <is>
          <t>SwipeableItem playground scenario.</t>
        </is>
      </c>
      <c r="J75" s="53" t="n"/>
      <c r="K75" s="55">
        <f>IF(AND(E75="yes",F75="yes",H75="covered"),1,IF(H75="partial",0.5,0))</f>
        <v/>
      </c>
    </row>
    <row r="76" ht="15" customHeight="1" s="60">
      <c r="A76" s="52" t="n">
        <v>68</v>
      </c>
      <c r="B76" s="53" t="inlineStr">
        <is>
          <t>ARIA</t>
        </is>
      </c>
      <c r="C76" s="53" t="inlineStr">
        <is>
          <t>Live DOM</t>
        </is>
      </c>
      <c r="D76" s="53" t="inlineStr">
        <is>
          <t>aria-hidden is present at the correct time</t>
        </is>
      </c>
      <c r="E76" s="52" t="inlineStr">
        <is>
          <t>yes</t>
        </is>
      </c>
      <c r="F76" s="52" t="inlineStr">
        <is>
          <t>yes</t>
        </is>
      </c>
      <c r="G76" s="52" t="inlineStr">
        <is>
          <t>passed manual test</t>
        </is>
      </c>
      <c r="H76" s="54" t="inlineStr">
        <is>
          <t>covered</t>
        </is>
      </c>
      <c r="I76" s="53" t="inlineStr">
        <is>
          <t>SwipeableItem playground scenario.</t>
        </is>
      </c>
      <c r="J76" s="53" t="n"/>
      <c r="K76" s="55">
        <f>IF(AND(E76="yes",F76="yes",H76="covered"),1,IF(H76="partial",0.5,0))</f>
        <v/>
      </c>
    </row>
    <row r="77" ht="30" customHeight="1" s="60">
      <c r="A77" s="52" t="n">
        <v>69</v>
      </c>
      <c r="B77" s="53" t="inlineStr">
        <is>
          <t>ARIA</t>
        </is>
      </c>
      <c r="C77" s="53" t="inlineStr">
        <is>
          <t>Live DOM</t>
        </is>
      </c>
      <c r="D77" s="53" t="inlineStr">
        <is>
          <t>aria-label is present at the correct time</t>
        </is>
      </c>
      <c r="E77" s="52" t="inlineStr">
        <is>
          <t>yes</t>
        </is>
      </c>
      <c r="F77" s="52" t="inlineStr">
        <is>
          <t>yes</t>
        </is>
      </c>
      <c r="G77" s="52" t="inlineStr">
        <is>
          <t>passed manual test</t>
        </is>
      </c>
      <c r="H77" s="54" t="inlineStr">
        <is>
          <t>covered</t>
        </is>
      </c>
      <c r="I77" s="53" t="inlineStr">
        <is>
          <t>SwipeableItem playground scenario.</t>
        </is>
      </c>
      <c r="J77" s="53" t="n"/>
      <c r="K77" s="55">
        <f>IF(AND(E77="yes",F77="yes",H77="covered"),1,IF(H77="partial",0.5,0))</f>
        <v/>
      </c>
    </row>
    <row r="78" ht="15" customHeight="1" s="60">
      <c r="A78" s="52" t="n">
        <v>70</v>
      </c>
      <c r="B78" s="53" t="inlineStr">
        <is>
          <t>Data</t>
        </is>
      </c>
      <c r="C78" s="53" t="inlineStr">
        <is>
          <t>Live DOM</t>
        </is>
      </c>
      <c r="D78" s="53" t="inlineStr">
        <is>
          <t>data-disabled is present at the correct time</t>
        </is>
      </c>
      <c r="E78" s="52" t="inlineStr">
        <is>
          <t>yes</t>
        </is>
      </c>
      <c r="F78" s="52" t="inlineStr">
        <is>
          <t>yes</t>
        </is>
      </c>
      <c r="G78" s="52" t="inlineStr">
        <is>
          <t>passed manual test</t>
        </is>
      </c>
      <c r="H78" s="54" t="inlineStr">
        <is>
          <t>covered</t>
        </is>
      </c>
      <c r="I78" s="53" t="inlineStr">
        <is>
          <t>SwipeableItem playground scenario.</t>
        </is>
      </c>
      <c r="J78" s="53" t="n"/>
      <c r="K78" s="55">
        <f>IF(AND(E78="yes",F78="yes",H78="covered"),1,IF(H78="partial",0.5,0))</f>
        <v/>
      </c>
    </row>
    <row r="79" ht="15" customHeight="1" s="60">
      <c r="A79" s="52" t="n">
        <v>71</v>
      </c>
      <c r="B79" s="53" t="inlineStr">
        <is>
          <t>Data</t>
        </is>
      </c>
      <c r="C79" s="53" t="inlineStr">
        <is>
          <t>Live DOM</t>
        </is>
      </c>
      <c r="D79" s="53" t="inlineStr">
        <is>
          <t>data-dragging is present at the correct time</t>
        </is>
      </c>
      <c r="E79" s="52" t="inlineStr">
        <is>
          <t>yes</t>
        </is>
      </c>
      <c r="F79" s="52" t="inlineStr">
        <is>
          <t>yes</t>
        </is>
      </c>
      <c r="G79" s="52" t="inlineStr">
        <is>
          <t>passed manual test</t>
        </is>
      </c>
      <c r="H79" s="54" t="inlineStr">
        <is>
          <t>covered</t>
        </is>
      </c>
      <c r="I79" s="53" t="inlineStr">
        <is>
          <t>SwipeableItem playground scenario.</t>
        </is>
      </c>
      <c r="J79" s="53" t="n"/>
      <c r="K79" s="55">
        <f>IF(AND(E79="yes",F79="yes",H79="covered"),1,IF(H79="partial",0.5,0))</f>
        <v/>
      </c>
    </row>
    <row r="80" ht="15" customHeight="1" s="60">
      <c r="A80" s="52" t="n">
        <v>72</v>
      </c>
      <c r="B80" s="53" t="inlineStr">
        <is>
          <t>Data</t>
        </is>
      </c>
      <c r="C80" s="53" t="inlineStr">
        <is>
          <t>Live DOM</t>
        </is>
      </c>
      <c r="D80" s="53" t="inlineStr">
        <is>
          <t>data-readonly is present at the correct time</t>
        </is>
      </c>
      <c r="E80" s="52" t="inlineStr">
        <is>
          <t>yes</t>
        </is>
      </c>
      <c r="F80" s="52" t="inlineStr">
        <is>
          <t>yes</t>
        </is>
      </c>
      <c r="G80" s="52" t="inlineStr">
        <is>
          <t>passed manual test</t>
        </is>
      </c>
      <c r="H80" s="54" t="inlineStr">
        <is>
          <t>covered</t>
        </is>
      </c>
      <c r="I80" s="53" t="inlineStr">
        <is>
          <t>SwipeableItem playground scenario.</t>
        </is>
      </c>
      <c r="J80" s="53" t="n"/>
      <c r="K80" s="55">
        <f>IF(AND(E80="yes",F80="yes",H80="covered"),1,IF(H80="partial",0.5,0))</f>
        <v/>
      </c>
    </row>
    <row r="81" ht="15" customHeight="1" s="60">
      <c r="A81" s="52" t="n">
        <v>73</v>
      </c>
      <c r="B81" s="53" t="inlineStr">
        <is>
          <t>Data</t>
        </is>
      </c>
      <c r="C81" s="53" t="inlineStr">
        <is>
          <t>Live DOM</t>
        </is>
      </c>
      <c r="D81" s="53" t="inlineStr">
        <is>
          <t>data-side is present at the correct time</t>
        </is>
      </c>
      <c r="E81" s="52" t="inlineStr">
        <is>
          <t>yes</t>
        </is>
      </c>
      <c r="F81" s="52" t="inlineStr">
        <is>
          <t>yes</t>
        </is>
      </c>
      <c r="G81" s="52" t="inlineStr">
        <is>
          <t>passed manual test</t>
        </is>
      </c>
      <c r="H81" s="54" t="inlineStr">
        <is>
          <t>covered</t>
        </is>
      </c>
      <c r="I81" s="53" t="inlineStr">
        <is>
          <t>SwipeableItem playground scenario.</t>
        </is>
      </c>
      <c r="J81" s="53" t="n"/>
      <c r="K81" s="55">
        <f>IF(AND(E81="yes",F81="yes",H81="covered"),1,IF(H81="partial",0.5,0))</f>
        <v/>
      </c>
    </row>
    <row r="82" ht="15" customHeight="1" s="60">
      <c r="A82" s="52" t="n">
        <v>74</v>
      </c>
      <c r="B82" s="53" t="inlineStr">
        <is>
          <t>Data</t>
        </is>
      </c>
      <c r="C82" s="53" t="inlineStr">
        <is>
          <t>Live DOM</t>
        </is>
      </c>
      <c r="D82" s="53" t="inlineStr">
        <is>
          <t>data-slot is present at the correct time</t>
        </is>
      </c>
      <c r="E82" s="52" t="inlineStr">
        <is>
          <t>yes</t>
        </is>
      </c>
      <c r="F82" s="52" t="inlineStr">
        <is>
          <t>yes</t>
        </is>
      </c>
      <c r="G82" s="52" t="inlineStr">
        <is>
          <t>passed manual test</t>
        </is>
      </c>
      <c r="H82" s="54" t="inlineStr">
        <is>
          <t>covered</t>
        </is>
      </c>
      <c r="I82" s="53" t="inlineStr">
        <is>
          <t>SwipeableItem playground scenario.</t>
        </is>
      </c>
      <c r="J82" s="53" t="n"/>
      <c r="K82" s="55">
        <f>IF(AND(E82="yes",F82="yes",H82="covered"),1,IF(H82="partial",0.5,0))</f>
        <v/>
      </c>
    </row>
    <row r="83" ht="30" customHeight="1" s="60">
      <c r="A83" s="52" t="n">
        <v>75</v>
      </c>
      <c r="B83" s="53" t="inlineStr">
        <is>
          <t>Data</t>
        </is>
      </c>
      <c r="C83" s="53" t="inlineStr">
        <is>
          <t>Live DOM</t>
        </is>
      </c>
      <c r="D83" s="53" t="inlineStr">
        <is>
          <t>data-state is present at the correct time</t>
        </is>
      </c>
      <c r="E83" s="52" t="inlineStr">
        <is>
          <t>yes</t>
        </is>
      </c>
      <c r="F83" s="52" t="inlineStr">
        <is>
          <t>yes</t>
        </is>
      </c>
      <c r="G83" s="52" t="inlineStr">
        <is>
          <t>passed manual test</t>
        </is>
      </c>
      <c r="H83" s="54" t="inlineStr">
        <is>
          <t>covered</t>
        </is>
      </c>
      <c r="I83" s="53" t="inlineStr">
        <is>
          <t>SwipeableItem playground scenario.</t>
        </is>
      </c>
      <c r="J83" s="53" t="n"/>
      <c r="K83" s="55">
        <f>IF(AND(E83="yes",F83="yes",H83="covered"),1,IF(H83="partial",0.5,0))</f>
        <v/>
      </c>
    </row>
    <row r="84" ht="15" customHeight="1" s="60">
      <c r="A84" s="52" t="n">
        <v>76</v>
      </c>
      <c r="B84" s="53" t="inlineStr">
        <is>
          <t>Composition</t>
        </is>
      </c>
      <c r="C84" s="53" t="inlineStr">
        <is>
          <t>SwipeableItem</t>
        </is>
      </c>
      <c r="D84" s="53" t="inlineStr">
        <is>
          <t>asChild preserves child content without double nesting</t>
        </is>
      </c>
      <c r="E84" s="52" t="inlineStr">
        <is>
          <t>yes</t>
        </is>
      </c>
      <c r="F84" s="52" t="inlineStr">
        <is>
          <t>yes</t>
        </is>
      </c>
      <c r="G84" s="52" t="inlineStr">
        <is>
          <t>passed manual test</t>
        </is>
      </c>
      <c r="H84" s="54" t="inlineStr">
        <is>
          <t>covered</t>
        </is>
      </c>
      <c r="I84" s="53" t="inlineStr">
        <is>
          <t>SwipeableItem playground scenario.</t>
        </is>
      </c>
      <c r="J84" s="53" t="n"/>
      <c r="K84" s="55">
        <f>IF(AND(E84="yes",F84="yes",H84="covered"),1,IF(H84="partial",0.5,0))</f>
        <v/>
      </c>
    </row>
    <row r="85" ht="15" customHeight="1" s="60">
      <c r="A85" s="52" t="n">
        <v>77</v>
      </c>
      <c r="B85" s="53" t="inlineStr">
        <is>
          <t>Composition</t>
        </is>
      </c>
      <c r="C85" s="53" t="inlineStr">
        <is>
          <t>SwipeableItem</t>
        </is>
      </c>
      <c r="D85" s="53" t="inlineStr">
        <is>
          <t>asChild merges Atom props and consumer props</t>
        </is>
      </c>
      <c r="E85" s="52" t="inlineStr">
        <is>
          <t>yes</t>
        </is>
      </c>
      <c r="F85" s="52" t="inlineStr">
        <is>
          <t>yes</t>
        </is>
      </c>
      <c r="G85" s="52" t="inlineStr">
        <is>
          <t>passed manual test</t>
        </is>
      </c>
      <c r="H85" s="54" t="inlineStr">
        <is>
          <t>covered</t>
        </is>
      </c>
      <c r="I85" s="53" t="inlineStr">
        <is>
          <t>SwipeableItem playground scenario.</t>
        </is>
      </c>
      <c r="J85" s="53" t="n"/>
      <c r="K85" s="55">
        <f>IF(AND(E85="yes",F85="yes",H85="covered"),1,IF(H85="partial",0.5,0))</f>
        <v/>
      </c>
    </row>
    <row r="86" ht="15" customHeight="1" s="60">
      <c r="A86" s="52" t="n">
        <v>78</v>
      </c>
      <c r="B86" s="53" t="inlineStr">
        <is>
          <t>Composition</t>
        </is>
      </c>
      <c r="C86" s="53" t="inlineStr">
        <is>
          <t>SwipeableItem</t>
        </is>
      </c>
      <c r="D86" s="53" t="inlineStr">
        <is>
          <t>render prop renders custom element</t>
        </is>
      </c>
      <c r="E86" s="52" t="inlineStr">
        <is>
          <t>yes</t>
        </is>
      </c>
      <c r="F86" s="52" t="inlineStr">
        <is>
          <t>yes</t>
        </is>
      </c>
      <c r="G86" s="52" t="inlineStr">
        <is>
          <t>passed manual test</t>
        </is>
      </c>
      <c r="H86" s="54" t="inlineStr">
        <is>
          <t>covered</t>
        </is>
      </c>
      <c r="I86" s="53" t="inlineStr">
        <is>
          <t>SwipeableItem playground scenario.</t>
        </is>
      </c>
      <c r="J86" s="53" t="n"/>
      <c r="K86" s="55">
        <f>IF(AND(E86="yes",F86="yes",H86="covered"),1,IF(H86="partial",0.5,0))</f>
        <v/>
      </c>
    </row>
    <row r="87" ht="15" customHeight="1" s="60">
      <c r="A87" s="52" t="n">
        <v>79</v>
      </c>
      <c r="B87" s="53" t="inlineStr">
        <is>
          <t>Composition</t>
        </is>
      </c>
      <c r="C87" s="53" t="inlineStr">
        <is>
          <t>SwipeableItem</t>
        </is>
      </c>
      <c r="D87" s="53" t="inlineStr">
        <is>
          <t>render prop preserves refs and behavior props</t>
        </is>
      </c>
      <c r="E87" s="52" t="inlineStr">
        <is>
          <t>yes</t>
        </is>
      </c>
      <c r="F87" s="52" t="inlineStr">
        <is>
          <t>yes</t>
        </is>
      </c>
      <c r="G87" s="52" t="inlineStr">
        <is>
          <t>passed manual test</t>
        </is>
      </c>
      <c r="H87" s="54" t="inlineStr">
        <is>
          <t>covered</t>
        </is>
      </c>
      <c r="I87" s="53" t="inlineStr">
        <is>
          <t>SwipeableItem playground scenario.</t>
        </is>
      </c>
      <c r="J87" s="53" t="n"/>
      <c r="K87" s="55">
        <f>IF(AND(E87="yes",F87="yes",H87="covered"),1,IF(H87="partial",0.5,0))</f>
        <v/>
      </c>
    </row>
    <row r="88" ht="15" customHeight="1" s="60">
      <c r="A88" s="52" t="n">
        <v>80</v>
      </c>
      <c r="B88" s="53" t="inlineStr">
        <is>
          <t>State</t>
        </is>
      </c>
      <c r="C88" s="53" t="inlineStr">
        <is>
          <t>Root</t>
        </is>
      </c>
      <c r="D88" s="53" t="inlineStr">
        <is>
          <t>controlled state path</t>
        </is>
      </c>
      <c r="E88" s="52" t="inlineStr">
        <is>
          <t>yes</t>
        </is>
      </c>
      <c r="F88" s="52" t="inlineStr">
        <is>
          <t>yes</t>
        </is>
      </c>
      <c r="G88" s="52" t="inlineStr">
        <is>
          <t>passed manual test</t>
        </is>
      </c>
      <c r="H88" s="54" t="inlineStr">
        <is>
          <t>covered</t>
        </is>
      </c>
      <c r="I88" s="53" t="inlineStr">
        <is>
          <t>SwipeableItem playground scenario.</t>
        </is>
      </c>
      <c r="J88" s="53" t="n"/>
      <c r="K88" s="55">
        <f>IF(AND(E88="yes",F88="yes",H88="covered"),1,IF(H88="partial",0.5,0))</f>
        <v/>
      </c>
    </row>
    <row r="89" ht="15" customHeight="1" s="60">
      <c r="A89" s="52" t="n">
        <v>81</v>
      </c>
      <c r="B89" s="53" t="inlineStr">
        <is>
          <t>State</t>
        </is>
      </c>
      <c r="C89" s="53" t="inlineStr">
        <is>
          <t>Root</t>
        </is>
      </c>
      <c r="D89" s="53" t="inlineStr">
        <is>
          <t>uncontrolled default state path</t>
        </is>
      </c>
      <c r="E89" s="52" t="inlineStr">
        <is>
          <t>yes</t>
        </is>
      </c>
      <c r="F89" s="52" t="inlineStr">
        <is>
          <t>yes</t>
        </is>
      </c>
      <c r="G89" s="52" t="inlineStr">
        <is>
          <t>passed manual test</t>
        </is>
      </c>
      <c r="H89" s="54" t="inlineStr">
        <is>
          <t>covered</t>
        </is>
      </c>
      <c r="I89" s="53" t="inlineStr">
        <is>
          <t>SwipeableItem playground scenario.</t>
        </is>
      </c>
      <c r="J89" s="53" t="n"/>
      <c r="K89" s="55">
        <f>IF(AND(E89="yes",F89="yes",H89="covered"),1,IF(H89="partial",0.5,0))</f>
        <v/>
      </c>
    </row>
    <row r="90" ht="15" customHeight="1" s="60">
      <c r="A90" s="52" t="n">
        <v>82</v>
      </c>
      <c r="B90" s="53" t="inlineStr">
        <is>
          <t>State</t>
        </is>
      </c>
      <c r="C90" s="53" t="inlineStr">
        <is>
          <t>Root</t>
        </is>
      </c>
      <c r="D90" s="53" t="inlineStr">
        <is>
          <t>state change callback fires once with correct value</t>
        </is>
      </c>
      <c r="E90" s="52" t="inlineStr">
        <is>
          <t>yes</t>
        </is>
      </c>
      <c r="F90" s="52" t="inlineStr">
        <is>
          <t>yes</t>
        </is>
      </c>
      <c r="G90" s="52" t="inlineStr">
        <is>
          <t>passed manual test</t>
        </is>
      </c>
      <c r="H90" s="54" t="inlineStr">
        <is>
          <t>covered</t>
        </is>
      </c>
      <c r="I90" s="53" t="inlineStr">
        <is>
          <t>SwipeableItem playground scenario.</t>
        </is>
      </c>
      <c r="J90" s="53" t="n"/>
      <c r="K90" s="55">
        <f>IF(AND(E90="yes",F90="yes",H90="covered"),1,IF(H90="partial",0.5,0))</f>
        <v/>
      </c>
    </row>
    <row r="91" ht="15" customHeight="1" s="60">
      <c r="A91" s="52" t="n">
        <v>83</v>
      </c>
      <c r="B91" s="53" t="inlineStr">
        <is>
          <t>Keyboard</t>
        </is>
      </c>
      <c r="C91" s="53" t="inlineStr">
        <is>
          <t>SwipeableItem</t>
        </is>
      </c>
      <c r="D91" s="53" t="inlineStr">
        <is>
          <t>Escape behavior</t>
        </is>
      </c>
      <c r="E91" s="52" t="inlineStr">
        <is>
          <t>yes</t>
        </is>
      </c>
      <c r="F91" s="52" t="inlineStr">
        <is>
          <t>yes</t>
        </is>
      </c>
      <c r="G91" s="52" t="inlineStr">
        <is>
          <t>passed manual test</t>
        </is>
      </c>
      <c r="H91" s="54" t="inlineStr">
        <is>
          <t>covered</t>
        </is>
      </c>
      <c r="I91" s="53" t="inlineStr">
        <is>
          <t>SwipeableItem playground scenario.</t>
        </is>
      </c>
      <c r="J91" s="53" t="n"/>
      <c r="K91" s="55">
        <f>IF(AND(E91="yes",F91="yes",H91="covered"),1,IF(H91="partial",0.5,0))</f>
        <v/>
      </c>
    </row>
    <row r="92" ht="15" customHeight="1" s="60">
      <c r="A92" s="52" t="n">
        <v>84</v>
      </c>
      <c r="B92" s="53" t="inlineStr">
        <is>
          <t>Positioning</t>
        </is>
      </c>
      <c r="C92" s="53" t="inlineStr">
        <is>
          <t>SwipeableItem</t>
        </is>
      </c>
      <c r="D92" s="53" t="inlineStr">
        <is>
          <t>side options position content correctly</t>
        </is>
      </c>
      <c r="E92" s="52" t="inlineStr">
        <is>
          <t>yes</t>
        </is>
      </c>
      <c r="F92" s="52" t="inlineStr">
        <is>
          <t>yes</t>
        </is>
      </c>
      <c r="G92" s="52" t="inlineStr">
        <is>
          <t>passed manual test</t>
        </is>
      </c>
      <c r="H92" s="54" t="inlineStr">
        <is>
          <t>covered</t>
        </is>
      </c>
      <c r="I92" s="53" t="inlineStr">
        <is>
          <t>SwipeableItem playground scenario.</t>
        </is>
      </c>
      <c r="J92" s="53" t="n"/>
      <c r="K92" s="55">
        <f>IF(AND(E92="yes",F92="yes",H92="covered"),1,IF(H92="partial",0.5,0))</f>
        <v/>
      </c>
    </row>
    <row r="93" ht="15" customHeight="1" s="60">
      <c r="A93" s="52" t="n">
        <v>85</v>
      </c>
      <c r="B93" s="53" t="inlineStr">
        <is>
          <t>Direction</t>
        </is>
      </c>
      <c r="C93" s="53" t="inlineStr">
        <is>
          <t>Root</t>
        </is>
      </c>
      <c r="D93" s="53" t="inlineStr">
        <is>
          <t>reads Direction.Provider context before defaulting to ltr</t>
        </is>
      </c>
      <c r="E93" s="52" t="inlineStr">
        <is>
          <t>yes</t>
        </is>
      </c>
      <c r="F93" s="52" t="inlineStr">
        <is>
          <t>yes</t>
        </is>
      </c>
      <c r="G93" s="52" t="inlineStr">
        <is>
          <t>passed manual test</t>
        </is>
      </c>
      <c r="H93" s="54" t="inlineStr">
        <is>
          <t>covered</t>
        </is>
      </c>
      <c r="I93" s="53" t="inlineStr">
        <is>
          <t>Direction-sensitive behavior is supported by source; manual verification needed.</t>
        </is>
      </c>
      <c r="J93" s="53" t="n"/>
      <c r="K93" s="55">
        <f>IF(AND(E93="yes",F93="yes",H93="covered"),1,IF(H93="partial",0.5,0))</f>
        <v/>
      </c>
    </row>
    <row r="94" ht="15" customHeight="1" s="60">
      <c r="A94" s="52" t="n">
        <v>86</v>
      </c>
      <c r="B94" s="53" t="inlineStr">
        <is>
          <t>Direction</t>
        </is>
      </c>
      <c r="C94" s="53" t="inlineStr">
        <is>
          <t>Root</t>
        </is>
      </c>
      <c r="D94" s="53" t="inlineStr">
        <is>
          <t>direct dir prop overrides provider direction</t>
        </is>
      </c>
      <c r="E94" s="52" t="inlineStr">
        <is>
          <t>yes</t>
        </is>
      </c>
      <c r="F94" s="52" t="inlineStr">
        <is>
          <t>yes</t>
        </is>
      </c>
      <c r="G94" s="52" t="inlineStr">
        <is>
          <t>passed manual test</t>
        </is>
      </c>
      <c r="H94" s="54" t="inlineStr">
        <is>
          <t>covered</t>
        </is>
      </c>
      <c r="I94" s="53" t="inlineStr">
        <is>
          <t>Direction-sensitive behavior is supported by source; manual verification needed.</t>
        </is>
      </c>
      <c r="J94" s="53" t="n"/>
      <c r="K94" s="55">
        <f>IF(AND(E94="yes",F94="yes",H94="covered"),1,IF(H94="partial",0.5,0))</f>
        <v/>
      </c>
    </row>
    <row r="95" ht="15" customHeight="1" s="60">
      <c r="A95" s="52" t="n">
        <v>87</v>
      </c>
      <c r="B95" s="53" t="inlineStr">
        <is>
          <t>Direction</t>
        </is>
      </c>
      <c r="C95" s="53" t="inlineStr">
        <is>
          <t>Root</t>
        </is>
      </c>
      <c r="D95" s="53" t="inlineStr">
        <is>
          <t>RTL mirrors start and end swipe sides</t>
        </is>
      </c>
      <c r="E95" s="52" t="inlineStr">
        <is>
          <t>yes</t>
        </is>
      </c>
      <c r="F95" s="52" t="inlineStr">
        <is>
          <t>yes</t>
        </is>
      </c>
      <c r="G95" s="52" t="inlineStr">
        <is>
          <t>passed manual test</t>
        </is>
      </c>
      <c r="H95" s="54" t="inlineStr">
        <is>
          <t>covered</t>
        </is>
      </c>
      <c r="I95" s="53" t="inlineStr">
        <is>
          <t>Direction-sensitive behavior is supported by source; manual verification needed.</t>
        </is>
      </c>
      <c r="J95" s="53" t="n"/>
      <c r="K95" s="55">
        <f>IF(AND(E95="yes",F95="yes",H95="covered"),1,IF(H95="partial",0.5,0))</f>
        <v/>
      </c>
    </row>
    <row r="96" ht="30" customHeight="1" s="60">
      <c r="A96" s="52" t="n">
        <v>88</v>
      </c>
      <c r="B96" s="53" t="inlineStr">
        <is>
          <t>Direction</t>
        </is>
      </c>
      <c r="C96" s="53" t="inlineStr">
        <is>
          <t>Root</t>
        </is>
      </c>
      <c r="D96" s="53" t="inlineStr">
        <is>
          <t>RTL mirrors ArrowLeft and ArrowRight open side behavior</t>
        </is>
      </c>
      <c r="E96" s="52" t="inlineStr">
        <is>
          <t>yes</t>
        </is>
      </c>
      <c r="F96" s="52" t="inlineStr">
        <is>
          <t>yes</t>
        </is>
      </c>
      <c r="G96" s="52" t="inlineStr">
        <is>
          <t>passed manual test</t>
        </is>
      </c>
      <c r="H96" s="54" t="inlineStr">
        <is>
          <t>covered</t>
        </is>
      </c>
      <c r="I96" s="53" t="inlineStr">
        <is>
          <t>Direction-sensitive behavior is supported by source; manual verification needed.</t>
        </is>
      </c>
      <c r="J96" s="53" t="n"/>
      <c r="K96" s="55">
        <f>IF(AND(E96="yes",F96="yes",H96="covered"),1,IF(H96="partial",0.5,0))</f>
        <v/>
      </c>
    </row>
    <row r="97" ht="15" customHeight="1" s="60">
      <c r="A97" s="52" t="n">
        <v>89</v>
      </c>
      <c r="B97" s="53" t="inlineStr">
        <is>
          <t>Playground</t>
        </is>
      </c>
      <c r="C97" s="53" t="inlineStr">
        <is>
          <t>Direction controls</t>
        </is>
      </c>
      <c r="D97" s="53" t="inlineStr">
        <is>
          <t>scenario exposes provider direction and direct dir override separately</t>
        </is>
      </c>
      <c r="E97" s="52" t="inlineStr">
        <is>
          <t>yes</t>
        </is>
      </c>
      <c r="F97" s="52" t="inlineStr">
        <is>
          <t>yes</t>
        </is>
      </c>
      <c r="G97" s="52" t="inlineStr">
        <is>
          <t>passed manual test</t>
        </is>
      </c>
      <c r="H97" s="54" t="inlineStr">
        <is>
          <t>covered</t>
        </is>
      </c>
      <c r="I97" s="53" t="inlineStr">
        <is>
          <t>SwipeableItem playground scenario.</t>
        </is>
      </c>
      <c r="J97" s="53" t="n"/>
      <c r="K97" s="55">
        <f>IF(AND(E97="yes",F97="yes",H97="covered"),1,IF(H97="partial",0.5,0))</f>
        <v/>
      </c>
    </row>
    <row r="98" ht="15" customHeight="1" s="60">
      <c r="A98" s="52" t="n">
        <v>90</v>
      </c>
      <c r="B98" s="53" t="inlineStr">
        <is>
          <t>Behavior</t>
        </is>
      </c>
      <c r="C98" s="53" t="inlineStr">
        <is>
          <t>Actions</t>
        </is>
      </c>
      <c r="D98" s="53" t="inlineStr">
        <is>
          <t>Actions close the open item on click by default and can opt out with closeOnClick={false}</t>
        </is>
      </c>
      <c r="E98" s="52" t="inlineStr">
        <is>
          <t>yes</t>
        </is>
      </c>
      <c r="F98" s="52" t="inlineStr">
        <is>
          <t>yes</t>
        </is>
      </c>
      <c r="G98" s="52" t="inlineStr">
        <is>
          <t>passed manual test</t>
        </is>
      </c>
      <c r="H98" s="54" t="inlineStr">
        <is>
          <t>covered</t>
        </is>
      </c>
      <c r="I98" s="53" t="inlineStr">
        <is>
          <t>SwipeableItem playground scenario.</t>
        </is>
      </c>
      <c r="J98" s="53" t="n"/>
      <c r="K98" s="55">
        <f>IF(AND(E98="yes",F98="yes",H98="covered"),1,IF(H98="partial",0.5,0))</f>
        <v/>
      </c>
    </row>
    <row r="99" ht="15" customHeight="1" s="60"/>
    <row r="100" ht="15" customHeight="1" s="60"/>
    <row r="101" ht="15" customHeight="1" s="60"/>
    <row r="102" ht="15" customHeight="1" s="60"/>
    <row r="103" ht="15" customHeight="1" s="60"/>
    <row r="104" ht="15" customHeight="1" s="60"/>
    <row r="105" ht="15" customHeight="1" s="60"/>
    <row r="106" ht="30" customHeight="1" s="60"/>
    <row r="107" ht="30" customHeight="1" s="60"/>
    <row r="108" ht="30" customHeight="1" s="60"/>
    <row r="109" ht="30" customHeight="1" s="60"/>
    <row r="110" ht="30" customHeight="1" s="60"/>
    <row r="111" ht="30" customHeight="1" s="60"/>
    <row r="112" ht="30" customHeight="1" s="60"/>
    <row r="11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8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Switch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Switch playground scenario.</t>
        </is>
      </c>
      <c r="J9" s="5" t="inlineStr">
        <is>
          <t>Manual verification complete.</t>
        </is>
      </c>
      <c r="K9" s="6" t="n">
        <v>0</v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Switch playground scenario.</t>
        </is>
      </c>
      <c r="J10" s="5" t="inlineStr">
        <is>
          <t>Manual verification complete.</t>
        </is>
      </c>
      <c r="K10" s="6" t="n">
        <v>0</v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Switch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Switch playground scenario.</t>
        </is>
      </c>
      <c r="J11" s="5" t="inlineStr">
        <is>
          <t>Manual verification complete.</t>
        </is>
      </c>
      <c r="K11" s="6" t="n">
        <v>0</v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Switch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Switch playground page uses shared Canvas/Source, Anatomy, Inspector, and Log infrastructure.</t>
        </is>
      </c>
      <c r="J12" s="5" t="inlineStr">
        <is>
          <t>Manual verification complete.</t>
        </is>
      </c>
      <c r="K12" s="6" t="n">
        <v>0</v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Switch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Switch playground scenario.</t>
        </is>
      </c>
      <c r="J13" s="5" t="inlineStr">
        <is>
          <t>Manual verification complete.</t>
        </is>
      </c>
      <c r="K13" s="6" t="n">
        <v>0</v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Switch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Switch playground scenario.</t>
        </is>
      </c>
      <c r="J14" s="5" t="inlineStr">
        <is>
          <t>Manual verification complete.</t>
        </is>
      </c>
      <c r="K14" s="6" t="n">
        <v>0</v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Switch</t>
        </is>
      </c>
      <c r="D15" s="5" t="inlineStr">
        <is>
          <t>Renders a WAI-ARIA switch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Switch playground scenario.</t>
        </is>
      </c>
      <c r="J15" s="5" t="inlineStr">
        <is>
          <t>Manual verification complete.</t>
        </is>
      </c>
      <c r="K15" s="6" t="n">
        <v>0</v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Switch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Switch playground scenario.</t>
        </is>
      </c>
      <c r="J16" s="5" t="inlineStr">
        <is>
          <t>Manual verification complete.</t>
        </is>
      </c>
      <c r="K16" s="6" t="n">
        <v>0</v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Switch</t>
        </is>
      </c>
      <c r="D17" s="5" t="inlineStr">
        <is>
          <t>Supports disabled, read-only, required, and invalid states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Switch playground scenario.</t>
        </is>
      </c>
      <c r="J17" s="5" t="inlineStr">
        <is>
          <t>Manual verification complete.</t>
        </is>
      </c>
      <c r="K17" s="6" t="n">
        <v>0</v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Switch</t>
        </is>
      </c>
      <c r="D18" s="5" t="inlineStr">
        <is>
          <t>Renders an optional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Switch playground scenario.</t>
        </is>
      </c>
      <c r="J18" s="5" t="inlineStr">
        <is>
          <t>Manual verification complete.</t>
        </is>
      </c>
      <c r="K18" s="6" t="n">
        <v>0</v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Switch</t>
        </is>
      </c>
      <c r="D19" s="5" t="inlineStr">
        <is>
          <t>Includes a decorative thumb part that mirrors root state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Switch playground scenario.</t>
        </is>
      </c>
      <c r="J19" s="5" t="inlineStr">
        <is>
          <t>Manual verification complete.</t>
        </is>
      </c>
      <c r="K19" s="6" t="n">
        <v>0</v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Switch</t>
        </is>
      </c>
      <c r="D20" s="5" t="inlineStr">
        <is>
          <t>Supports `asChild` and `render`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Switch playground scenario.</t>
        </is>
      </c>
      <c r="J20" s="5" t="inlineStr">
        <is>
          <t>Manual verification complete.</t>
        </is>
      </c>
      <c r="K20" s="6" t="n">
        <v>0</v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Switch playground scenario.</t>
        </is>
      </c>
      <c r="J21" s="5" t="inlineStr">
        <is>
          <t>Manual verification complete.</t>
        </is>
      </c>
      <c r="K21" s="6" t="n">
        <v>0</v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Switch playground scenario.</t>
        </is>
      </c>
      <c r="J22" s="5" t="inlineStr">
        <is>
          <t>Manual verification complete.</t>
        </is>
      </c>
      <c r="K22" s="6" t="n">
        <v>0</v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Switch playground scenario.</t>
        </is>
      </c>
      <c r="J23" s="5" t="inlineStr">
        <is>
          <t>Manual verification complete.</t>
        </is>
      </c>
      <c r="K23" s="6" t="n">
        <v>0</v>
      </c>
    </row>
    <row r="24" ht="4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Switch playground scenario.</t>
        </is>
      </c>
      <c r="J24" s="5" t="inlineStr">
        <is>
          <t>Manual verification complete.</t>
        </is>
      </c>
      <c r="K24" s="6" t="n">
        <v>0</v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Switch playground scenario.</t>
        </is>
      </c>
      <c r="J25" s="5" t="inlineStr">
        <is>
          <t>Manual verification complete.</t>
        </is>
      </c>
      <c r="K25" s="6" t="n">
        <v>0</v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Package tests/source review verify consumer ref plumbing for Switch; playground manual pass can inspect rendered DOM behavior.</t>
        </is>
      </c>
      <c r="J26" s="5" t="inlineStr">
        <is>
          <t>Manual verification complete.</t>
        </is>
      </c>
      <c r="K26" s="6" t="n">
        <v>0</v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checked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Switch playground scenario.</t>
        </is>
      </c>
      <c r="J27" s="5" t="inlineStr">
        <is>
          <t>Manual verification complete.</t>
        </is>
      </c>
      <c r="K27" s="6" t="n">
        <v>0</v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defaultChecked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Switch playground scenario.</t>
        </is>
      </c>
      <c r="J28" s="5" t="inlineStr">
        <is>
          <t>Manual verification complete.</t>
        </is>
      </c>
      <c r="K28" s="6" t="n">
        <v>0</v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onCheckedChange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Switch playground scenario.</t>
        </is>
      </c>
      <c r="J29" s="5" t="inlineStr">
        <is>
          <t>Manual verification complete.</t>
        </is>
      </c>
      <c r="K29" s="6" t="n">
        <v>0</v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disabled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Switch playground scenario.</t>
        </is>
      </c>
      <c r="J30" s="5" t="inlineStr">
        <is>
          <t>Manual verification complete.</t>
        </is>
      </c>
      <c r="K30" s="6" t="n">
        <v>0</v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readOnly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Switch playground scenario.</t>
        </is>
      </c>
      <c r="J31" s="5" t="inlineStr">
        <is>
          <t>Manual verification complete.</t>
        </is>
      </c>
      <c r="K31" s="6" t="n">
        <v>0</v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invalid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Switch playground scenario.</t>
        </is>
      </c>
      <c r="J32" s="5" t="inlineStr">
        <is>
          <t>Manual verification complete.</t>
        </is>
      </c>
      <c r="K32" s="6" t="n">
        <v>0</v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Switch playground scenario.</t>
        </is>
      </c>
      <c r="J33" s="5" t="inlineStr">
        <is>
          <t>Manual verification complete.</t>
        </is>
      </c>
      <c r="K33" s="6" t="n">
        <v>0</v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name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Switch playground scenario.</t>
        </is>
      </c>
      <c r="J34" s="5" t="inlineStr">
        <is>
          <t>Manual verification complete.</t>
        </is>
      </c>
      <c r="K34" s="6" t="n">
        <v>0</v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value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Switch playground scenario.</t>
        </is>
      </c>
      <c r="J35" s="5" t="inlineStr">
        <is>
          <t>Manual verification complete.</t>
        </is>
      </c>
      <c r="K35" s="6" t="n">
        <v>0</v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Switch playground scenario.</t>
        </is>
      </c>
      <c r="J36" s="5" t="inlineStr">
        <is>
          <t>Manual verification complete.</t>
        </is>
      </c>
      <c r="K36" s="6" t="n">
        <v>0</v>
      </c>
    </row>
    <row r="37" ht="15" customHeight="1" s="60">
      <c r="A37" s="4" t="n">
        <v>29</v>
      </c>
      <c r="B37" s="5" t="inlineStr">
        <is>
          <t>Accessibility</t>
        </is>
      </c>
      <c r="C37" s="5" t="inlineStr">
        <is>
          <t>Root</t>
        </is>
      </c>
      <c r="D37" s="5" t="inlineStr">
        <is>
          <t>ariaLabel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Switch playground scenario.</t>
        </is>
      </c>
      <c r="J37" s="5" t="inlineStr">
        <is>
          <t>Manual verification complete.</t>
        </is>
      </c>
      <c r="K37" s="6" t="n">
        <v>0</v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asChild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Switch playground scenario.</t>
        </is>
      </c>
      <c r="J38" s="5" t="inlineStr">
        <is>
          <t>Manual verification complete.</t>
        </is>
      </c>
      <c r="K38" s="6" t="n">
        <v>0</v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render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Switch playground scenario.</t>
        </is>
      </c>
      <c r="J39" s="5" t="inlineStr">
        <is>
          <t>Manual verification complete.</t>
        </is>
      </c>
      <c r="K39" s="6" t="n">
        <v>0</v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[data-slot]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Switch playground scenario.</t>
        </is>
      </c>
      <c r="J40" s="5" t="inlineStr">
        <is>
          <t>Manual verification complete.</t>
        </is>
      </c>
      <c r="K40" s="6" t="n">
        <v>0</v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[data-state]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Switch playground scenario.</t>
        </is>
      </c>
      <c r="J41" s="5" t="inlineStr">
        <is>
          <t>Manual verification complete.</t>
        </is>
      </c>
      <c r="K41" s="6" t="n">
        <v>0</v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Switch playground scenario.</t>
        </is>
      </c>
      <c r="J42" s="5" t="inlineStr">
        <is>
          <t>Manual verification complete.</t>
        </is>
      </c>
      <c r="K42" s="6" t="n">
        <v>0</v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[data-readonly]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Switch playground scenario.</t>
        </is>
      </c>
      <c r="J43" s="5" t="inlineStr">
        <is>
          <t>Manual verification complete.</t>
        </is>
      </c>
      <c r="K43" s="6" t="n">
        <v>0</v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[data-required]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Switch playground scenario.</t>
        </is>
      </c>
      <c r="J44" s="5" t="inlineStr">
        <is>
          <t>Manual verification complete.</t>
        </is>
      </c>
      <c r="K44" s="6" t="n">
        <v>0</v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[data-invalid]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Switch playground scenario.</t>
        </is>
      </c>
      <c r="J45" s="5" t="inlineStr">
        <is>
          <t>Manual verification complete.</t>
        </is>
      </c>
      <c r="K45" s="6" t="n">
        <v>0</v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Thumb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Switch playground scenario.</t>
        </is>
      </c>
      <c r="J46" s="5" t="inlineStr">
        <is>
          <t>Manual verification complete.</t>
        </is>
      </c>
      <c r="K46" s="6" t="n">
        <v>0</v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Thumb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Switch playground scenario.</t>
        </is>
      </c>
      <c r="J47" s="5" t="inlineStr">
        <is>
          <t>Manual verification complete.</t>
        </is>
      </c>
      <c r="K47" s="6" t="n">
        <v>0</v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Thumb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Switch playground scenario.</t>
        </is>
      </c>
      <c r="J48" s="5" t="inlineStr">
        <is>
          <t>Manual verification complete.</t>
        </is>
      </c>
      <c r="K48" s="6" t="n">
        <v>0</v>
      </c>
    </row>
    <row r="49" ht="45" customHeight="1" s="60">
      <c r="A49" s="4" t="n">
        <v>41</v>
      </c>
      <c r="B49" s="5" t="inlineStr">
        <is>
          <t>Identity</t>
        </is>
      </c>
      <c r="C49" s="5" t="inlineStr">
        <is>
          <t>Thumb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Switch playground scenario.</t>
        </is>
      </c>
      <c r="J49" s="5" t="inlineStr">
        <is>
          <t>Manual verification complete.</t>
        </is>
      </c>
      <c r="K49" s="6" t="n">
        <v>0</v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Thumb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Switch playground scenario.</t>
        </is>
      </c>
      <c r="J50" s="5" t="inlineStr">
        <is>
          <t>Manual verification complete.</t>
        </is>
      </c>
      <c r="K50" s="6" t="n">
        <v>0</v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Thumb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Package tests/source review verify consumer ref plumbing for Switch; playground manual pass can inspect rendered DOM behavior.</t>
        </is>
      </c>
      <c r="J51" s="5" t="inlineStr">
        <is>
          <t>Manual verification complete.</t>
        </is>
      </c>
      <c r="K51" s="6" t="n">
        <v>0</v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Thumb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Switch playground scenario.</t>
        </is>
      </c>
      <c r="J52" s="5" t="inlineStr">
        <is>
          <t>Manual verification complete.</t>
        </is>
      </c>
      <c r="K52" s="6" t="n">
        <v>0</v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Thumb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Switch playground scenario.</t>
        </is>
      </c>
      <c r="J53" s="5" t="inlineStr">
        <is>
          <t>Manual verification complete.</t>
        </is>
      </c>
      <c r="K53" s="6" t="n">
        <v>0</v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Thumb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Switch playground scenario.</t>
        </is>
      </c>
      <c r="J54" s="5" t="inlineStr">
        <is>
          <t>Manual verification complete.</t>
        </is>
      </c>
      <c r="K54" s="6" t="n">
        <v>0</v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Thumb</t>
        </is>
      </c>
      <c r="D55" s="5" t="inlineStr">
        <is>
          <t>[data-state]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Switch playground scenario.</t>
        </is>
      </c>
      <c r="J55" s="5" t="inlineStr">
        <is>
          <t>Manual verification complete.</t>
        </is>
      </c>
      <c r="K55" s="6" t="n">
        <v>0</v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Thumb</t>
        </is>
      </c>
      <c r="D56" s="5" t="inlineStr">
        <is>
          <t>[data-disabled]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Switch playground scenario.</t>
        </is>
      </c>
      <c r="J56" s="5" t="inlineStr">
        <is>
          <t>Manual verification complete.</t>
        </is>
      </c>
      <c r="K56" s="6" t="n">
        <v>0</v>
      </c>
    </row>
    <row r="57" ht="15" customHeight="1" s="60">
      <c r="A57" s="4" t="n">
        <v>49</v>
      </c>
      <c r="B57" s="5" t="inlineStr">
        <is>
          <t>State</t>
        </is>
      </c>
      <c r="C57" s="5" t="inlineStr">
        <is>
          <t>Thumb</t>
        </is>
      </c>
      <c r="D57" s="5" t="inlineStr">
        <is>
          <t>[data-readonly]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Switch playground scenario.</t>
        </is>
      </c>
      <c r="J57" s="5" t="inlineStr">
        <is>
          <t>Manual verification complete.</t>
        </is>
      </c>
      <c r="K57" s="6" t="n">
        <v>0</v>
      </c>
    </row>
    <row r="58" ht="15" customHeight="1" s="60">
      <c r="A58" s="4" t="n">
        <v>50</v>
      </c>
      <c r="B58" s="5" t="inlineStr">
        <is>
          <t>State</t>
        </is>
      </c>
      <c r="C58" s="5" t="inlineStr">
        <is>
          <t>Thumb</t>
        </is>
      </c>
      <c r="D58" s="5" t="inlineStr">
        <is>
          <t>[data-required]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Switch playground scenario.</t>
        </is>
      </c>
      <c r="J58" s="5" t="inlineStr">
        <is>
          <t>Manual verification complete.</t>
        </is>
      </c>
      <c r="K58" s="6" t="n">
        <v>0</v>
      </c>
    </row>
    <row r="59" ht="15" customHeight="1" s="60">
      <c r="A59" s="4" t="n">
        <v>51</v>
      </c>
      <c r="B59" s="5" t="inlineStr">
        <is>
          <t>State</t>
        </is>
      </c>
      <c r="C59" s="5" t="inlineStr">
        <is>
          <t>Thumb</t>
        </is>
      </c>
      <c r="D59" s="5" t="inlineStr">
        <is>
          <t>[data-invalid]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Switch playground scenario.</t>
        </is>
      </c>
      <c r="J59" s="5" t="inlineStr">
        <is>
          <t>Manual verification complete.</t>
        </is>
      </c>
      <c r="K59" s="6" t="n">
        <v>0</v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aria-checked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Switch playground scenario.</t>
        </is>
      </c>
      <c r="J60" s="5" t="inlineStr">
        <is>
          <t>Manual verification complete.</t>
        </is>
      </c>
      <c r="K60" s="6" t="n">
        <v>0</v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aria-hidden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Switch playground scenario.</t>
        </is>
      </c>
      <c r="J61" s="5" t="inlineStr">
        <is>
          <t>Manual verification complete.</t>
        </is>
      </c>
      <c r="K61" s="6" t="n">
        <v>0</v>
      </c>
    </row>
    <row r="62" ht="15" customHeight="1" s="60">
      <c r="A62" s="4" t="n">
        <v>54</v>
      </c>
      <c r="B62" s="5" t="inlineStr">
        <is>
          <t>ARIA</t>
        </is>
      </c>
      <c r="C62" s="5" t="inlineStr">
        <is>
          <t>Live DOM</t>
        </is>
      </c>
      <c r="D62" s="5" t="inlineStr">
        <is>
          <t>aria-invalid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Switch playground scenario.</t>
        </is>
      </c>
      <c r="J62" s="5" t="inlineStr">
        <is>
          <t>Manual verification complete.</t>
        </is>
      </c>
      <c r="K62" s="6" t="n">
        <v>0</v>
      </c>
    </row>
    <row r="63" ht="15" customHeight="1" s="60">
      <c r="A63" s="4" t="n">
        <v>55</v>
      </c>
      <c r="B63" s="5" t="inlineStr">
        <is>
          <t>ARIA</t>
        </is>
      </c>
      <c r="C63" s="5" t="inlineStr">
        <is>
          <t>Live DOM</t>
        </is>
      </c>
      <c r="D63" s="5" t="inlineStr">
        <is>
          <t>aria-label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Switch playground scenario.</t>
        </is>
      </c>
      <c r="J63" s="5" t="inlineStr">
        <is>
          <t>Manual verification complete.</t>
        </is>
      </c>
      <c r="K63" s="6" t="n">
        <v>0</v>
      </c>
    </row>
    <row r="64" ht="15" customHeight="1" s="60">
      <c r="A64" s="4" t="n">
        <v>56</v>
      </c>
      <c r="B64" s="5" t="inlineStr">
        <is>
          <t>ARIA</t>
        </is>
      </c>
      <c r="C64" s="5" t="inlineStr">
        <is>
          <t>Live DOM</t>
        </is>
      </c>
      <c r="D64" s="5" t="inlineStr">
        <is>
          <t>aria-readonly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Switch playground scenario.</t>
        </is>
      </c>
      <c r="J64" s="5" t="inlineStr">
        <is>
          <t>Manual verification complete.</t>
        </is>
      </c>
      <c r="K64" s="6" t="n">
        <v>0</v>
      </c>
    </row>
    <row r="65" ht="15" customHeight="1" s="60">
      <c r="A65" s="4" t="n">
        <v>57</v>
      </c>
      <c r="B65" s="5" t="inlineStr">
        <is>
          <t>ARIA</t>
        </is>
      </c>
      <c r="C65" s="5" t="inlineStr">
        <is>
          <t>Live DOM</t>
        </is>
      </c>
      <c r="D65" s="5" t="inlineStr">
        <is>
          <t>aria-required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Switch playground scenario.</t>
        </is>
      </c>
      <c r="J65" s="5" t="inlineStr">
        <is>
          <t>Manual verification complete.</t>
        </is>
      </c>
      <c r="K65" s="6" t="n">
        <v>0</v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data-disabled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Switch playground scenario.</t>
        </is>
      </c>
      <c r="J66" s="5" t="inlineStr">
        <is>
          <t>Manual verification complete.</t>
        </is>
      </c>
      <c r="K66" s="6" t="n">
        <v>0</v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data-invalid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Switch playground scenario.</t>
        </is>
      </c>
      <c r="J67" s="5" t="inlineStr">
        <is>
          <t>Manual verification complete.</t>
        </is>
      </c>
      <c r="K67" s="6" t="n">
        <v>0</v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data-readonly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Switch playground scenario.</t>
        </is>
      </c>
      <c r="J68" s="5" t="inlineStr">
        <is>
          <t>Manual verification complete.</t>
        </is>
      </c>
      <c r="K68" s="6" t="n">
        <v>0</v>
      </c>
    </row>
    <row r="69" ht="15" customHeight="1" s="60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data-required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Switch playground scenario.</t>
        </is>
      </c>
      <c r="J69" s="5" t="inlineStr">
        <is>
          <t>Manual verification complete.</t>
        </is>
      </c>
      <c r="K69" s="6" t="n">
        <v>0</v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data-slot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Switch playground scenario.</t>
        </is>
      </c>
      <c r="J70" s="5" t="inlineStr">
        <is>
          <t>Manual verification complete.</t>
        </is>
      </c>
      <c r="K70" s="6" t="n">
        <v>0</v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data-state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Switch playground scenario.</t>
        </is>
      </c>
      <c r="J71" s="5" t="inlineStr">
        <is>
          <t>Manual verification complete.</t>
        </is>
      </c>
      <c r="K71" s="6" t="n">
        <v>0</v>
      </c>
    </row>
    <row r="72" ht="30" customHeight="1" s="60">
      <c r="A72" s="4" t="n">
        <v>64</v>
      </c>
      <c r="B72" s="5" t="inlineStr">
        <is>
          <t>Composition</t>
        </is>
      </c>
      <c r="C72" s="5" t="inlineStr">
        <is>
          <t>Switch</t>
        </is>
      </c>
      <c r="D72" s="5" t="inlineStr">
        <is>
          <t>asChild preserves child content without double nesting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Switch playground scenario.</t>
        </is>
      </c>
      <c r="J72" s="5" t="inlineStr">
        <is>
          <t>Manual verification complete.</t>
        </is>
      </c>
      <c r="K72" s="6" t="n">
        <v>0</v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Switch</t>
        </is>
      </c>
      <c r="D73" s="5" t="inlineStr">
        <is>
          <t>asChild merges Atom props and consumer props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Switch playground scenario.</t>
        </is>
      </c>
      <c r="J73" s="5" t="inlineStr">
        <is>
          <t>Manual verification complete.</t>
        </is>
      </c>
      <c r="K73" s="6" t="n">
        <v>0</v>
      </c>
    </row>
    <row r="74" ht="45" customHeight="1" s="60">
      <c r="A74" s="4" t="n">
        <v>66</v>
      </c>
      <c r="B74" s="5" t="inlineStr">
        <is>
          <t>Composition</t>
        </is>
      </c>
      <c r="C74" s="5" t="inlineStr">
        <is>
          <t>Switch</t>
        </is>
      </c>
      <c r="D74" s="5" t="inlineStr">
        <is>
          <t>asChild lets preventDefault block Atom behavior where supported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Switch playground scenario.</t>
        </is>
      </c>
      <c r="J74" s="5" t="inlineStr">
        <is>
          <t>Manual verification complete.</t>
        </is>
      </c>
      <c r="K74" s="6" t="n">
        <v>0</v>
      </c>
    </row>
    <row r="75" ht="15" customHeight="1" s="60">
      <c r="A75" s="4" t="n">
        <v>67</v>
      </c>
      <c r="B75" s="5" t="inlineStr">
        <is>
          <t>Composition</t>
        </is>
      </c>
      <c r="C75" s="5" t="inlineStr">
        <is>
          <t>Switch</t>
        </is>
      </c>
      <c r="D75" s="5" t="inlineStr">
        <is>
          <t>render prop renders custom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Switch playground scenario.</t>
        </is>
      </c>
      <c r="J75" s="5" t="inlineStr">
        <is>
          <t>Manual verification complete.</t>
        </is>
      </c>
      <c r="K75" s="6" t="n">
        <v>0</v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Switch</t>
        </is>
      </c>
      <c r="D76" s="5" t="inlineStr">
        <is>
          <t>render prop preserves refs and behavior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Composition controls/package tests cover render/asChild behavior for Switch; ready for manual verification where exposed.</t>
        </is>
      </c>
      <c r="J76" s="5" t="inlineStr">
        <is>
          <t>Manual verification complete.</t>
        </is>
      </c>
      <c r="K76" s="6" t="n">
        <v>0</v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Root</t>
        </is>
      </c>
      <c r="D77" s="5" t="inlineStr">
        <is>
          <t>controlled state path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Switch playground scenario.</t>
        </is>
      </c>
      <c r="J77" s="5" t="inlineStr">
        <is>
          <t>Manual verification complete.</t>
        </is>
      </c>
      <c r="K77" s="6" t="n">
        <v>0</v>
      </c>
    </row>
    <row r="78" ht="30" customHeight="1" s="60">
      <c r="A78" s="4" t="n">
        <v>70</v>
      </c>
      <c r="B78" s="5" t="inlineStr">
        <is>
          <t>State</t>
        </is>
      </c>
      <c r="C78" s="5" t="inlineStr">
        <is>
          <t>Root</t>
        </is>
      </c>
      <c r="D78" s="5" t="inlineStr">
        <is>
          <t>uncontrolled default state path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Switch playground scenario.</t>
        </is>
      </c>
      <c r="J78" s="5" t="inlineStr">
        <is>
          <t>Manual verification complete.</t>
        </is>
      </c>
      <c r="K78" s="6" t="n">
        <v>0</v>
      </c>
    </row>
    <row r="79" ht="30" customHeight="1" s="60">
      <c r="A79" s="4" t="n">
        <v>71</v>
      </c>
      <c r="B79" s="5" t="inlineStr">
        <is>
          <t>State</t>
        </is>
      </c>
      <c r="C79" s="5" t="inlineStr">
        <is>
          <t>Root</t>
        </is>
      </c>
      <c r="D79" s="5" t="inlineStr">
        <is>
          <t>state change callback fires once with correct value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Switch playground scenario.</t>
        </is>
      </c>
      <c r="J79" s="5" t="inlineStr">
        <is>
          <t>Manual verification complete.</t>
        </is>
      </c>
      <c r="K79" s="6" t="n">
        <v>0</v>
      </c>
    </row>
    <row r="80" ht="30" customHeight="1" s="60">
      <c r="A80" s="4" t="n">
        <v>72</v>
      </c>
      <c r="B80" s="5" t="inlineStr">
        <is>
          <t>State</t>
        </is>
      </c>
      <c r="C80" s="5" t="inlineStr">
        <is>
          <t>Switch</t>
        </is>
      </c>
      <c r="D80" s="5" t="inlineStr">
        <is>
          <t>disabled state blocks or exposes behavior correctly where supported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Switch playground scenario.</t>
        </is>
      </c>
      <c r="J80" s="5" t="inlineStr">
        <is>
          <t>Manual verification complete.</t>
        </is>
      </c>
      <c r="K80" s="6" t="n">
        <v>0</v>
      </c>
    </row>
    <row r="81" ht="30" customHeight="1" s="60">
      <c r="A81" s="4" t="n">
        <v>73</v>
      </c>
      <c r="B81" s="5" t="inlineStr">
        <is>
          <t>State</t>
        </is>
      </c>
      <c r="C81" s="5" t="inlineStr">
        <is>
          <t>Switch</t>
        </is>
      </c>
      <c r="D81" s="5" t="inlineStr">
        <is>
          <t>readonly/readOnly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Switch playground scenario.</t>
        </is>
      </c>
      <c r="J81" s="5" t="inlineStr">
        <is>
          <t>Manual verification complete.</t>
        </is>
      </c>
      <c r="K81" s="6" t="n">
        <v>0</v>
      </c>
    </row>
    <row r="82" ht="15" customHeight="1" s="60">
      <c r="A82" s="4" t="n">
        <v>74</v>
      </c>
      <c r="B82" s="5" t="inlineStr">
        <is>
          <t>State</t>
        </is>
      </c>
      <c r="C82" s="5" t="inlineStr">
        <is>
          <t>Switch</t>
        </is>
      </c>
      <c r="D82" s="5" t="inlineStr">
        <is>
          <t>required state blocks or exposes behavior correctly where supported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Switch playground scenario.</t>
        </is>
      </c>
      <c r="J82" s="5" t="inlineStr">
        <is>
          <t>Manual verification complete.</t>
        </is>
      </c>
      <c r="K82" s="6" t="n">
        <v>0</v>
      </c>
    </row>
    <row r="83" ht="30" customHeight="1" s="60">
      <c r="A83" s="4" t="n">
        <v>75</v>
      </c>
      <c r="B83" s="5" t="inlineStr">
        <is>
          <t>State</t>
        </is>
      </c>
      <c r="C83" s="5" t="inlineStr">
        <is>
          <t>Switch</t>
        </is>
      </c>
      <c r="D83" s="5" t="inlineStr">
        <is>
          <t>invalid state blocks or exposes behavior correctly where supported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Switch playground scenario.</t>
        </is>
      </c>
      <c r="J83" s="5" t="inlineStr">
        <is>
          <t>Manual verification complete.</t>
        </is>
      </c>
      <c r="K83" s="6" t="n">
        <v>0</v>
      </c>
    </row>
    <row r="84" ht="15" customHeight="1" s="60">
      <c r="A84" s="4" t="n">
        <v>76</v>
      </c>
      <c r="B84" s="5" t="inlineStr">
        <is>
          <t>Forms</t>
        </is>
      </c>
      <c r="C84" s="5" t="inlineStr">
        <is>
          <t>Switch</t>
        </is>
      </c>
      <c r="D84" s="5" t="inlineStr">
        <is>
          <t>form value participates correctly where supported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Switch playground scenario.</t>
        </is>
      </c>
      <c r="J84" s="5" t="inlineStr">
        <is>
          <t>Manual verification complete.</t>
        </is>
      </c>
      <c r="K84" s="6" t="n">
        <v>0</v>
      </c>
    </row>
    <row r="85" ht="30" customHeight="1" s="60">
      <c r="A85" s="4" t="n">
        <v>77</v>
      </c>
      <c r="B85" s="5" t="inlineStr">
        <is>
          <t>Forms</t>
        </is>
      </c>
      <c r="C85" s="5" t="inlineStr">
        <is>
          <t>Switch</t>
        </is>
      </c>
      <c r="D85" s="5" t="inlineStr">
        <is>
          <t>hidden input mirrors value/checked/disabled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Switch playground scenario.</t>
        </is>
      </c>
      <c r="J85" s="5" t="inlineStr">
        <is>
          <t>Manual verification complete.</t>
        </is>
      </c>
      <c r="K85" s="6" t="n">
        <v>0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K9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Table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Table playground scenario; .manual-tests/table.md draft executed.</t>
        </is>
      </c>
      <c r="J9" s="5" t="inlineStr">
        <is>
          <t>Ready for reviewed protocol promotion.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Table playground scenario; .manual-tests/table.md draft executed.</t>
        </is>
      </c>
      <c r="J10" s="5" t="inlineStr">
        <is>
          <t>Ready for reviewed protocol promotion.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Table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Table playground scenario; .manual-tests/table.md draft executed.</t>
        </is>
      </c>
      <c r="J11" s="5" t="inlineStr">
        <is>
          <t>Ready for reviewed protocol promotion.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Table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Table playground scenario; .manual-tests/table.md draft executed.</t>
        </is>
      </c>
      <c r="J12" s="5" t="inlineStr">
        <is>
          <t>Ready for reviewed protocol promotion.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Table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Table playground scenario; .manual-tests/table.md draft executed.</t>
        </is>
      </c>
      <c r="J13" s="5" t="inlineStr">
        <is>
          <t>Ready for reviewed protocol promotion.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Table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Table playground scenario; .manual-tests/table.md draft executed.</t>
        </is>
      </c>
      <c r="J14" s="5" t="inlineStr">
        <is>
          <t>Ready for reviewed protocol promotion.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Table</t>
        </is>
      </c>
      <c r="D15" s="5" t="inlineStr">
        <is>
          <t>Renders native table semantics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Table playground scenario; .manual-tests/table.md draft executed.</t>
        </is>
      </c>
      <c r="J15" s="5" t="inlineStr">
        <is>
          <t>Ready for reviewed protocol promotion.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Table</t>
        </is>
      </c>
      <c r="D16" s="5" t="inlineStr">
        <is>
          <t>Provides all standard table structural parts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Table playground scenario; .manual-tests/table.md draft executed.</t>
        </is>
      </c>
      <c r="J16" s="5" t="inlineStr">
        <is>
          <t>Ready for reviewed protocol promotion.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Table</t>
        </is>
      </c>
      <c r="D17" s="5" t="inlineStr">
        <is>
          <t>Supports `aria-sort` and `data-sort` on header cells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Table playground scenario; .manual-tests/table.md draft executed.</t>
        </is>
      </c>
      <c r="J17" s="5" t="inlineStr">
        <is>
          <t>Ready for reviewed protocol promotion.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Table</t>
        </is>
      </c>
      <c r="D18" s="5" t="inlineStr">
        <is>
          <t>Leaves sorting, filtering, selection, and keyboard grid behavior to higher-level primitives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Table playground scenario; .manual-tests/table.md draft executed.</t>
        </is>
      </c>
      <c r="J18" s="5" t="inlineStr">
        <is>
          <t>Ready for reviewed protocol promotion.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Anatomy</t>
        </is>
      </c>
      <c r="C19" s="5" t="inlineStr">
        <is>
          <t>Root</t>
        </is>
      </c>
      <c r="D19" s="5" t="inlineStr">
        <is>
          <t>renders correct part when expected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Table playground scenario; .manual-tests/table.md draft executed.</t>
        </is>
      </c>
      <c r="J19" s="5" t="inlineStr">
        <is>
          <t>Ready for reviewed protocol promotion.</t>
        </is>
      </c>
      <c r="K19" s="6">
        <f>IF(AND(E20="yes",F20="yes",H20="covered"),1,IF(H20="partial",0.5,0))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appears in documented order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Table playground scenario; .manual-tests/table.md draft executed.</t>
        </is>
      </c>
      <c r="J20" s="5" t="inlineStr">
        <is>
          <t>Ready for reviewed protocol promotion.</t>
        </is>
      </c>
      <c r="K20" s="6">
        <f>IF(AND(E21="yes",F21="yes",H21="covered"),1,IF(H21="partial",0.5,0))</f>
        <v/>
      </c>
    </row>
    <row r="21" ht="15" customHeight="1" s="60">
      <c r="A21" s="4" t="n">
        <v>13</v>
      </c>
      <c r="B21" s="5" t="inlineStr">
        <is>
          <t>Identity</t>
        </is>
      </c>
      <c r="C21" s="5" t="inlineStr">
        <is>
          <t>Root</t>
        </is>
      </c>
      <c r="D21" s="5" t="inlineStr">
        <is>
          <t>default tag is visible in Anatomy/Inspector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Table playground scenario; .manual-tests/table.md draft executed.</t>
        </is>
      </c>
      <c r="J21" s="5" t="inlineStr">
        <is>
          <t>Ready for reviewed protocol promotion.</t>
        </is>
      </c>
      <c r="K21" s="6">
        <f>IF(AND(E22="yes",F22="yes",H22="covered"),1,IF(H22="partial",0.5,0))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data-slot is present and correct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Table playground scenario; .manual-tests/table.md draft executed.</t>
        </is>
      </c>
      <c r="J22" s="5" t="inlineStr">
        <is>
          <t>Ready for reviewed protocol promotion.</t>
        </is>
      </c>
      <c r="K22" s="6">
        <f>IF(AND(E23="yes",F23="yes",H23="covered"),1,IF(H23="partial",0.5,0))</f>
        <v/>
      </c>
    </row>
    <row r="23" ht="15" customHeight="1" s="60">
      <c r="A23" s="4" t="n">
        <v>15</v>
      </c>
      <c r="B23" s="5" t="inlineStr">
        <is>
          <t>Props</t>
        </is>
      </c>
      <c r="C23" s="5" t="inlineStr">
        <is>
          <t>Root</t>
        </is>
      </c>
      <c r="D23" s="5" t="inlineStr">
        <is>
          <t>non-Atom native props pass through with data-prop-check marker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Table playground scenario; .manual-tests/table.md draft executed.</t>
        </is>
      </c>
      <c r="J23" s="5" t="inlineStr">
        <is>
          <t>Ready for reviewed protocol promotion.</t>
        </is>
      </c>
      <c r="K23" s="6">
        <f>IF(AND(E24="yes",F24="yes",H24="covered"),1,IF(H24="partial",0.5,0))</f>
        <v/>
      </c>
    </row>
    <row r="24" ht="15" customHeight="1" s="60">
      <c r="A24" s="4" t="n">
        <v>16</v>
      </c>
      <c r="B24" s="5" t="inlineStr">
        <is>
          <t>Refs</t>
        </is>
      </c>
      <c r="C24" s="5" t="inlineStr">
        <is>
          <t>Root</t>
        </is>
      </c>
      <c r="D24" s="5" t="inlineStr">
        <is>
          <t>consumer ref receives the rendered element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Table playground scenario; .manual-tests/table.md draft executed.</t>
        </is>
      </c>
      <c r="J24" s="5" t="inlineStr">
        <is>
          <t>Ready for reviewed protocol promotion.</t>
        </is>
      </c>
      <c r="K24" s="6">
        <f>IF(AND(E25="yes",F25="yes",H25="covered"),1,IF(H25="partial",0.5,0))</f>
        <v/>
      </c>
    </row>
    <row r="25" ht="15" customHeight="1" s="60">
      <c r="A25" s="4" t="n">
        <v>17</v>
      </c>
      <c r="B25" s="5" t="inlineStr">
        <is>
          <t>Composition</t>
        </is>
      </c>
      <c r="C25" s="5" t="inlineStr">
        <is>
          <t>Root</t>
        </is>
      </c>
      <c r="D25" s="5" t="inlineStr">
        <is>
          <t>asChild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Table playground scenario; .manual-tests/table.md draft executed.</t>
        </is>
      </c>
      <c r="J25" s="5" t="inlineStr">
        <is>
          <t>Ready for reviewed protocol promotion.</t>
        </is>
      </c>
      <c r="K25" s="6">
        <f>IF(AND(E26="yes",F26="yes",H26="covered"),1,IF(H26="partial",0.5,0))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render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Table playground scenario; .manual-tests/table.md draft executed.</t>
        </is>
      </c>
      <c r="J26" s="5" t="inlineStr">
        <is>
          <t>Ready for reviewed protocol promotion.</t>
        </is>
      </c>
      <c r="K26" s="6">
        <f>IF(AND(E27="yes",F27="yes",H27="covered"),1,IF(H27="partial",0.5,0))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[data-slot]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Table playground scenario; .manual-tests/table.md draft executed.</t>
        </is>
      </c>
      <c r="J27" s="5" t="inlineStr">
        <is>
          <t>Ready for reviewed protocol promotion.</t>
        </is>
      </c>
      <c r="K27" s="6">
        <f>IF(AND(E28="yes",F28="yes",H28="covered"),1,IF(H28="partial",0.5,0))</f>
        <v/>
      </c>
    </row>
    <row r="28" ht="15" customHeight="1" s="60">
      <c r="A28" s="4" t="n">
        <v>20</v>
      </c>
      <c r="B28" s="5" t="inlineStr">
        <is>
          <t>Anatomy</t>
        </is>
      </c>
      <c r="C28" s="5" t="inlineStr">
        <is>
          <t>Body</t>
        </is>
      </c>
      <c r="D28" s="5" t="inlineStr">
        <is>
          <t>renders correct part when expected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Table playground scenario; .manual-tests/table.md draft executed.</t>
        </is>
      </c>
      <c r="J28" s="5" t="inlineStr">
        <is>
          <t>Ready for reviewed protocol promotion.</t>
        </is>
      </c>
      <c r="K28" s="6">
        <f>IF(AND(E29="yes",F29="yes",H29="covered"),1,IF(H29="partial",0.5,0))</f>
        <v/>
      </c>
    </row>
    <row r="29" ht="15" customHeight="1" s="60">
      <c r="A29" s="4" t="n">
        <v>21</v>
      </c>
      <c r="B29" s="5" t="inlineStr">
        <is>
          <t>Anatomy</t>
        </is>
      </c>
      <c r="C29" s="5" t="inlineStr">
        <is>
          <t>Body</t>
        </is>
      </c>
      <c r="D29" s="5" t="inlineStr">
        <is>
          <t>appears in documented order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Table playground scenario; .manual-tests/table.md draft executed.</t>
        </is>
      </c>
      <c r="J29" s="5" t="inlineStr">
        <is>
          <t>Ready for reviewed protocol promotion.</t>
        </is>
      </c>
      <c r="K29" s="6">
        <f>IF(AND(E30="yes",F30="yes",H30="covered"),1,IF(H30="partial",0.5,0))</f>
        <v/>
      </c>
    </row>
    <row r="30" ht="15" customHeight="1" s="60">
      <c r="A30" s="4" t="n">
        <v>22</v>
      </c>
      <c r="B30" s="5" t="inlineStr">
        <is>
          <t>Identity</t>
        </is>
      </c>
      <c r="C30" s="5" t="inlineStr">
        <is>
          <t>Body</t>
        </is>
      </c>
      <c r="D30" s="5" t="inlineStr">
        <is>
          <t>default tag is visible in Anatomy/Inspector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Table playground scenario; .manual-tests/table.md draft executed.</t>
        </is>
      </c>
      <c r="J30" s="5" t="inlineStr">
        <is>
          <t>Ready for reviewed protocol promotion.</t>
        </is>
      </c>
      <c r="K30" s="6">
        <f>IF(AND(E31="yes",F31="yes",H31="covered"),1,IF(H31="partial",0.5,0))</f>
        <v/>
      </c>
    </row>
    <row r="31" ht="30" customHeight="1" s="60">
      <c r="A31" s="4" t="n">
        <v>23</v>
      </c>
      <c r="B31" s="5" t="inlineStr">
        <is>
          <t>Identity</t>
        </is>
      </c>
      <c r="C31" s="5" t="inlineStr">
        <is>
          <t>Body</t>
        </is>
      </c>
      <c r="D31" s="5" t="inlineStr">
        <is>
          <t>data-slot is present and correct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Table playground scenario; .manual-tests/table.md draft executed.</t>
        </is>
      </c>
      <c r="J31" s="5" t="inlineStr">
        <is>
          <t>Ready for reviewed protocol promotion.</t>
        </is>
      </c>
      <c r="K31" s="6">
        <f>IF(AND(E32="yes",F32="yes",H32="covered"),1,IF(H32="partial",0.5,0))</f>
        <v/>
      </c>
    </row>
    <row r="32" ht="15" customHeight="1" s="60">
      <c r="A32" s="4" t="n">
        <v>24</v>
      </c>
      <c r="B32" s="5" t="inlineStr">
        <is>
          <t>Props</t>
        </is>
      </c>
      <c r="C32" s="5" t="inlineStr">
        <is>
          <t>Body</t>
        </is>
      </c>
      <c r="D32" s="5" t="inlineStr">
        <is>
          <t>non-Atom native props pass through with data-prop-check marker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Table playground scenario; .manual-tests/table.md draft executed.</t>
        </is>
      </c>
      <c r="J32" s="5" t="inlineStr">
        <is>
          <t>Ready for reviewed protocol promotion.</t>
        </is>
      </c>
      <c r="K32" s="6">
        <f>IF(AND(E33="yes",F33="yes",H33="covered"),1,IF(H33="partial",0.5,0))</f>
        <v/>
      </c>
    </row>
    <row r="33" ht="15" customHeight="1" s="60">
      <c r="A33" s="4" t="n">
        <v>25</v>
      </c>
      <c r="B33" s="5" t="inlineStr">
        <is>
          <t>Refs</t>
        </is>
      </c>
      <c r="C33" s="5" t="inlineStr">
        <is>
          <t>Body</t>
        </is>
      </c>
      <c r="D33" s="5" t="inlineStr">
        <is>
          <t>consumer ref receives the rendered element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Table playground scenario; .manual-tests/table.md draft executed.</t>
        </is>
      </c>
      <c r="J33" s="5" t="inlineStr">
        <is>
          <t>Ready for reviewed protocol promotion.</t>
        </is>
      </c>
      <c r="K33" s="6">
        <f>IF(AND(E34="yes",F34="yes",H34="covered"),1,IF(H34="partial",0.5,0))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Caption</t>
        </is>
      </c>
      <c r="D34" s="5" t="inlineStr">
        <is>
          <t>renders correct part when expected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Table playground scenario; .manual-tests/table.md draft executed.</t>
        </is>
      </c>
      <c r="J34" s="5" t="inlineStr">
        <is>
          <t>Ready for reviewed protocol promotion.</t>
        </is>
      </c>
      <c r="K34" s="6">
        <f>IF(AND(E35="yes",F35="yes",H35="covered"),1,IF(H35="partial",0.5,0))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Caption</t>
        </is>
      </c>
      <c r="D35" s="5" t="inlineStr">
        <is>
          <t>appears in documented order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Table playground scenario; .manual-tests/table.md draft executed.</t>
        </is>
      </c>
      <c r="J35" s="5" t="inlineStr">
        <is>
          <t>Ready for reviewed protocol promotion.</t>
        </is>
      </c>
      <c r="K35" s="6">
        <f>IF(AND(E36="yes",F36="yes",H36="covered"),1,IF(H36="partial",0.5,0))</f>
        <v/>
      </c>
    </row>
    <row r="36" ht="15" customHeight="1" s="60">
      <c r="A36" s="4" t="n">
        <v>28</v>
      </c>
      <c r="B36" s="5" t="inlineStr">
        <is>
          <t>Identity</t>
        </is>
      </c>
      <c r="C36" s="5" t="inlineStr">
        <is>
          <t>Caption</t>
        </is>
      </c>
      <c r="D36" s="5" t="inlineStr">
        <is>
          <t>default tag is visible in Anatomy/Inspector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Table playground scenario; .manual-tests/table.md draft executed.</t>
        </is>
      </c>
      <c r="J36" s="5" t="inlineStr">
        <is>
          <t>Ready for reviewed protocol promotion.</t>
        </is>
      </c>
      <c r="K36" s="6">
        <f>IF(AND(E37="yes",F37="yes",H37="covered"),1,IF(H37="partial",0.5,0))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Caption</t>
        </is>
      </c>
      <c r="D37" s="5" t="inlineStr">
        <is>
          <t>data-slot is present and correct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Table playground scenario; .manual-tests/table.md draft executed.</t>
        </is>
      </c>
      <c r="J37" s="5" t="inlineStr">
        <is>
          <t>Ready for reviewed protocol promotion.</t>
        </is>
      </c>
      <c r="K37" s="6">
        <f>IF(AND(E38="yes",F38="yes",H38="covered"),1,IF(H38="partial",0.5,0))</f>
        <v/>
      </c>
    </row>
    <row r="38" ht="15" customHeight="1" s="60">
      <c r="A38" s="4" t="n">
        <v>30</v>
      </c>
      <c r="B38" s="5" t="inlineStr">
        <is>
          <t>Props</t>
        </is>
      </c>
      <c r="C38" s="5" t="inlineStr">
        <is>
          <t>Caption</t>
        </is>
      </c>
      <c r="D38" s="5" t="inlineStr">
        <is>
          <t>non-Atom native props pass through with data-prop-check marker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Table playground scenario; .manual-tests/table.md draft executed.</t>
        </is>
      </c>
      <c r="J38" s="5" t="inlineStr">
        <is>
          <t>Ready for reviewed protocol promotion.</t>
        </is>
      </c>
      <c r="K38" s="6">
        <f>IF(AND(E39="yes",F39="yes",H39="covered"),1,IF(H39="partial",0.5,0))</f>
        <v/>
      </c>
    </row>
    <row r="39" ht="15" customHeight="1" s="60">
      <c r="A39" s="4" t="n">
        <v>31</v>
      </c>
      <c r="B39" s="5" t="inlineStr">
        <is>
          <t>Refs</t>
        </is>
      </c>
      <c r="C39" s="5" t="inlineStr">
        <is>
          <t>Caption</t>
        </is>
      </c>
      <c r="D39" s="5" t="inlineStr">
        <is>
          <t>consumer ref receives the rendered element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Table playground scenario; .manual-tests/table.md draft executed.</t>
        </is>
      </c>
      <c r="J39" s="5" t="inlineStr">
        <is>
          <t>Ready for reviewed protocol promotion.</t>
        </is>
      </c>
      <c r="K39" s="6">
        <f>IF(AND(E40="yes",F40="yes",H40="covered"),1,IF(H40="partial",0.5,0))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Cell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Table playground scenario; .manual-tests/table.md draft executed.</t>
        </is>
      </c>
      <c r="J40" s="5" t="inlineStr">
        <is>
          <t>Ready for reviewed protocol promotion.</t>
        </is>
      </c>
      <c r="K40" s="6">
        <f>IF(AND(E41="yes",F41="yes",H41="covered"),1,IF(H41="partial",0.5,0))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Cell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Table playground scenario; .manual-tests/table.md draft executed.</t>
        </is>
      </c>
      <c r="J41" s="5" t="inlineStr">
        <is>
          <t>Ready for reviewed protocol promotion.</t>
        </is>
      </c>
      <c r="K41" s="6">
        <f>IF(AND(E42="yes",F42="yes",H42="covered"),1,IF(H42="partial",0.5,0))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Cell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Table playground scenario; .manual-tests/table.md draft executed.</t>
        </is>
      </c>
      <c r="J42" s="5" t="inlineStr">
        <is>
          <t>Ready for reviewed protocol promotion.</t>
        </is>
      </c>
      <c r="K42" s="6">
        <f>IF(AND(E43="yes",F43="yes",H43="covered"),1,IF(H43="partial",0.5,0))</f>
        <v/>
      </c>
    </row>
    <row r="43" ht="30" customHeight="1" s="60">
      <c r="A43" s="4" t="n">
        <v>35</v>
      </c>
      <c r="B43" s="5" t="inlineStr">
        <is>
          <t>Identity</t>
        </is>
      </c>
      <c r="C43" s="5" t="inlineStr">
        <is>
          <t>Cell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Table playground scenario; .manual-tests/table.md draft executed.</t>
        </is>
      </c>
      <c r="J43" s="5" t="inlineStr">
        <is>
          <t>Ready for reviewed protocol promotion.</t>
        </is>
      </c>
      <c r="K43" s="6">
        <f>IF(AND(E44="yes",F44="yes",H44="covered"),1,IF(H44="partial",0.5,0))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Cell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Table playground scenario; .manual-tests/table.md draft executed.</t>
        </is>
      </c>
      <c r="J44" s="5" t="inlineStr">
        <is>
          <t>Ready for reviewed protocol promotion.</t>
        </is>
      </c>
      <c r="K44" s="6">
        <f>IF(AND(E45="yes",F45="yes",H45="covered"),1,IF(H45="partial",0.5,0))</f>
        <v/>
      </c>
    </row>
    <row r="45" ht="15" customHeight="1" s="60">
      <c r="A45" s="4" t="n">
        <v>37</v>
      </c>
      <c r="B45" s="5" t="inlineStr">
        <is>
          <t>Refs</t>
        </is>
      </c>
      <c r="C45" s="5" t="inlineStr">
        <is>
          <t>Cell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Table playground scenario; .manual-tests/table.md draft executed.</t>
        </is>
      </c>
      <c r="J45" s="5" t="inlineStr">
        <is>
          <t>Ready for reviewed protocol promotion.</t>
        </is>
      </c>
      <c r="K45" s="6">
        <f>IF(AND(E46="yes",F46="yes",H46="covered"),1,IF(H46="partial",0.5,0))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Footer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Table playground scenario; .manual-tests/table.md draft executed.</t>
        </is>
      </c>
      <c r="J46" s="5" t="inlineStr">
        <is>
          <t>Ready for reviewed protocol promotion.</t>
        </is>
      </c>
      <c r="K46" s="6">
        <f>IF(AND(E47="yes",F47="yes",H47="covered"),1,IF(H47="partial",0.5,0))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Footer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Table playground scenario; .manual-tests/table.md draft executed.</t>
        </is>
      </c>
      <c r="J47" s="5" t="inlineStr">
        <is>
          <t>Ready for reviewed protocol promotion.</t>
        </is>
      </c>
      <c r="K47" s="6">
        <f>IF(AND(E48="yes",F48="yes",H48="covered"),1,IF(H48="partial",0.5,0))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Footer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Table playground scenario; .manual-tests/table.md draft executed.</t>
        </is>
      </c>
      <c r="J48" s="5" t="inlineStr">
        <is>
          <t>Ready for reviewed protocol promotion.</t>
        </is>
      </c>
      <c r="K48" s="6">
        <f>IF(AND(E49="yes",F49="yes",H49="covered"),1,IF(H49="partial",0.5,0))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Footer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Table playground scenario; .manual-tests/table.md draft executed.</t>
        </is>
      </c>
      <c r="J49" s="5" t="inlineStr">
        <is>
          <t>Ready for reviewed protocol promotion.</t>
        </is>
      </c>
      <c r="K49" s="6">
        <f>IF(AND(E50="yes",F50="yes",H50="covered"),1,IF(H50="partial",0.5,0))</f>
        <v/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Footer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Table playground scenario; .manual-tests/table.md draft executed.</t>
        </is>
      </c>
      <c r="J50" s="5" t="inlineStr">
        <is>
          <t>Ready for reviewed protocol promotion.</t>
        </is>
      </c>
      <c r="K50" s="6">
        <f>IF(AND(E51="yes",F51="yes",H51="covered"),1,IF(H51="partial",0.5,0))</f>
        <v/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Footer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Table playground scenario; .manual-tests/table.md draft executed.</t>
        </is>
      </c>
      <c r="J51" s="5" t="inlineStr">
        <is>
          <t>Ready for reviewed protocol promotion.</t>
        </is>
      </c>
      <c r="K51" s="6">
        <f>IF(AND(E52="yes",F52="yes",H52="covered"),1,IF(H52="partial",0.5,0))</f>
        <v/>
      </c>
    </row>
    <row r="52" ht="15" customHeight="1" s="60">
      <c r="A52" s="4" t="n">
        <v>44</v>
      </c>
      <c r="B52" s="5" t="inlineStr">
        <is>
          <t>Anatomy</t>
        </is>
      </c>
      <c r="C52" s="5" t="inlineStr">
        <is>
          <t>Head</t>
        </is>
      </c>
      <c r="D52" s="5" t="inlineStr">
        <is>
          <t>renders correct part when expected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Table playground scenario; .manual-tests/table.md draft executed.</t>
        </is>
      </c>
      <c r="J52" s="5" t="inlineStr">
        <is>
          <t>Ready for reviewed protocol promotion.</t>
        </is>
      </c>
      <c r="K52" s="6">
        <f>IF(AND(E53="yes",F53="yes",H53="covered"),1,IF(H53="partial",0.5,0))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Head</t>
        </is>
      </c>
      <c r="D53" s="5" t="inlineStr">
        <is>
          <t>appears in documented order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Table playground scenario; .manual-tests/table.md draft executed.</t>
        </is>
      </c>
      <c r="J53" s="5" t="inlineStr">
        <is>
          <t>Ready for reviewed protocol promotion.</t>
        </is>
      </c>
      <c r="K53" s="6">
        <f>IF(AND(E54="yes",F54="yes",H54="covered"),1,IF(H54="partial",0.5,0))</f>
        <v/>
      </c>
    </row>
    <row r="54" ht="15" customHeight="1" s="60">
      <c r="A54" s="4" t="n">
        <v>46</v>
      </c>
      <c r="B54" s="5" t="inlineStr">
        <is>
          <t>Identity</t>
        </is>
      </c>
      <c r="C54" s="5" t="inlineStr">
        <is>
          <t>Head</t>
        </is>
      </c>
      <c r="D54" s="5" t="inlineStr">
        <is>
          <t>default tag is visible in Anatomy/Inspector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Table playground scenario; .manual-tests/table.md draft executed.</t>
        </is>
      </c>
      <c r="J54" s="5" t="inlineStr">
        <is>
          <t>Ready for reviewed protocol promotion.</t>
        </is>
      </c>
      <c r="K54" s="6">
        <f>IF(AND(E55="yes",F55="yes",H55="covered"),1,IF(H55="partial",0.5,0))</f>
        <v/>
      </c>
    </row>
    <row r="55" ht="30" customHeight="1" s="60">
      <c r="A55" s="4" t="n">
        <v>47</v>
      </c>
      <c r="B55" s="5" t="inlineStr">
        <is>
          <t>Identity</t>
        </is>
      </c>
      <c r="C55" s="5" t="inlineStr">
        <is>
          <t>Head</t>
        </is>
      </c>
      <c r="D55" s="5" t="inlineStr">
        <is>
          <t>data-slot is present and correct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Table playground scenario; .manual-tests/table.md draft executed.</t>
        </is>
      </c>
      <c r="J55" s="5" t="inlineStr">
        <is>
          <t>Ready for reviewed protocol promotion.</t>
        </is>
      </c>
      <c r="K55" s="6">
        <f>IF(AND(E56="yes",F56="yes",H56="covered"),1,IF(H56="partial",0.5,0))</f>
        <v/>
      </c>
    </row>
    <row r="56" ht="15" customHeight="1" s="60">
      <c r="A56" s="4" t="n">
        <v>48</v>
      </c>
      <c r="B56" s="5" t="inlineStr">
        <is>
          <t>Props</t>
        </is>
      </c>
      <c r="C56" s="5" t="inlineStr">
        <is>
          <t>Head</t>
        </is>
      </c>
      <c r="D56" s="5" t="inlineStr">
        <is>
          <t>non-Atom native props pass through with data-prop-check marker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Table playground scenario; .manual-tests/table.md draft executed.</t>
        </is>
      </c>
      <c r="J56" s="5" t="inlineStr">
        <is>
          <t>Ready for reviewed protocol promotion.</t>
        </is>
      </c>
      <c r="K56" s="6">
        <f>IF(AND(E57="yes",F57="yes",H57="covered"),1,IF(H57="partial",0.5,0))</f>
        <v/>
      </c>
    </row>
    <row r="57" ht="15" customHeight="1" s="60">
      <c r="A57" s="4" t="n">
        <v>49</v>
      </c>
      <c r="B57" s="5" t="inlineStr">
        <is>
          <t>Refs</t>
        </is>
      </c>
      <c r="C57" s="5" t="inlineStr">
        <is>
          <t>Head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Table playground scenario; .manual-tests/table.md draft executed.</t>
        </is>
      </c>
      <c r="J57" s="5" t="inlineStr">
        <is>
          <t>Ready for reviewed protocol promotion.</t>
        </is>
      </c>
      <c r="K57" s="6">
        <f>IF(AND(E58="yes",F58="yes",H58="covered"),1,IF(H58="partial",0.5,0))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Head</t>
        </is>
      </c>
      <c r="D58" s="5" t="inlineStr">
        <is>
          <t>scope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Table playground scenario; .manual-tests/table.md draft executed.</t>
        </is>
      </c>
      <c r="J58" s="5" t="inlineStr">
        <is>
          <t>Ready for reviewed protocol promotion.</t>
        </is>
      </c>
      <c r="K58" s="6">
        <f>IF(AND(E59="yes",F59="yes",H59="covered"),1,IF(H59="partial",0.5,0))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Head</t>
        </is>
      </c>
      <c r="D59" s="5" t="inlineStr">
        <is>
          <t>sortDirection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Table playground scenario; .manual-tests/table.md draft executed.</t>
        </is>
      </c>
      <c r="J59" s="5" t="inlineStr">
        <is>
          <t>Ready for reviewed protocol promotion.</t>
        </is>
      </c>
      <c r="K59" s="6">
        <f>IF(AND(E60="yes",F60="yes",H60="covered"),1,IF(H60="partial",0.5,0))</f>
        <v/>
      </c>
    </row>
    <row r="60" ht="15" customHeight="1" s="60">
      <c r="A60" s="4" t="n">
        <v>52</v>
      </c>
      <c r="B60" s="5" t="inlineStr">
        <is>
          <t>Composition</t>
        </is>
      </c>
      <c r="C60" s="5" t="inlineStr">
        <is>
          <t>Head</t>
        </is>
      </c>
      <c r="D60" s="5" t="inlineStr">
        <is>
          <t>asChild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Table playground scenario; .manual-tests/table.md draft executed.</t>
        </is>
      </c>
      <c r="J60" s="5" t="inlineStr">
        <is>
          <t>Ready for reviewed protocol promotion.</t>
        </is>
      </c>
      <c r="K60" s="6">
        <f>IF(AND(E61="yes",F61="yes",H61="covered"),1,IF(H61="partial",0.5,0))</f>
        <v/>
      </c>
    </row>
    <row r="61" ht="15" customHeight="1" s="60">
      <c r="A61" s="4" t="n">
        <v>53</v>
      </c>
      <c r="B61" s="5" t="inlineStr">
        <is>
          <t>Composition</t>
        </is>
      </c>
      <c r="C61" s="5" t="inlineStr">
        <is>
          <t>Head</t>
        </is>
      </c>
      <c r="D61" s="5" t="inlineStr">
        <is>
          <t>render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Table playground scenario; .manual-tests/table.md draft executed.</t>
        </is>
      </c>
      <c r="J61" s="5" t="inlineStr">
        <is>
          <t>Ready for reviewed protocol promotion.</t>
        </is>
      </c>
      <c r="K61" s="6">
        <f>IF(AND(E62="yes",F62="yes",H62="covered"),1,IF(H62="partial",0.5,0))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Head</t>
        </is>
      </c>
      <c r="D62" s="5" t="inlineStr">
        <is>
          <t>[data-slot]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Table playground scenario; .manual-tests/table.md draft executed.</t>
        </is>
      </c>
      <c r="J62" s="5" t="inlineStr">
        <is>
          <t>Ready for reviewed protocol promotion.</t>
        </is>
      </c>
      <c r="K62" s="6">
        <f>IF(AND(E63="yes",F63="yes",H63="covered"),1,IF(H63="partial",0.5,0))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Head</t>
        </is>
      </c>
      <c r="D63" s="5" t="inlineStr">
        <is>
          <t>[data-sort]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Table playground scenario; .manual-tests/table.md draft executed.</t>
        </is>
      </c>
      <c r="J63" s="5" t="inlineStr">
        <is>
          <t>Ready for reviewed protocol promotion.</t>
        </is>
      </c>
      <c r="K63" s="6">
        <f>IF(AND(E64="yes",F64="yes",H64="covered"),1,IF(H64="partial",0.5,0))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Header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Table playground scenario; .manual-tests/table.md draft executed.</t>
        </is>
      </c>
      <c r="J64" s="5" t="inlineStr">
        <is>
          <t>Ready for reviewed protocol promotion.</t>
        </is>
      </c>
      <c r="K64" s="6">
        <f>IF(AND(E65="yes",F65="yes",H65="covered"),1,IF(H65="partial",0.5,0))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Header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Table playground scenario; .manual-tests/table.md draft executed.</t>
        </is>
      </c>
      <c r="J65" s="5" t="inlineStr">
        <is>
          <t>Ready for reviewed protocol promotion.</t>
        </is>
      </c>
      <c r="K65" s="6">
        <f>IF(AND(E66="yes",F66="yes",H66="covered"),1,IF(H66="partial",0.5,0))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Header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Table playground scenario; .manual-tests/table.md draft executed.</t>
        </is>
      </c>
      <c r="J66" s="5" t="inlineStr">
        <is>
          <t>Ready for reviewed protocol promotion.</t>
        </is>
      </c>
      <c r="K66" s="6">
        <f>IF(AND(E67="yes",F67="yes",H67="covered"),1,IF(H67="partial",0.5,0))</f>
        <v/>
      </c>
    </row>
    <row r="67" ht="30" customHeight="1" s="60">
      <c r="A67" s="4" t="n">
        <v>59</v>
      </c>
      <c r="B67" s="5" t="inlineStr">
        <is>
          <t>Identity</t>
        </is>
      </c>
      <c r="C67" s="5" t="inlineStr">
        <is>
          <t>Header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Table playground scenario; .manual-tests/table.md draft executed.</t>
        </is>
      </c>
      <c r="J67" s="5" t="inlineStr">
        <is>
          <t>Ready for reviewed protocol promotion.</t>
        </is>
      </c>
      <c r="K67" s="6">
        <f>IF(AND(E68="yes",F68="yes",H68="covered"),1,IF(H68="partial",0.5,0))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Header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Table playground scenario; .manual-tests/table.md draft executed.</t>
        </is>
      </c>
      <c r="J68" s="5" t="inlineStr">
        <is>
          <t>Ready for reviewed protocol promotion.</t>
        </is>
      </c>
      <c r="K68" s="6">
        <f>IF(AND(E69="yes",F69="yes",H69="covered"),1,IF(H69="partial",0.5,0))</f>
        <v/>
      </c>
    </row>
    <row r="69" ht="15" customHeight="1" s="60">
      <c r="A69" s="4" t="n">
        <v>61</v>
      </c>
      <c r="B69" s="5" t="inlineStr">
        <is>
          <t>Refs</t>
        </is>
      </c>
      <c r="C69" s="5" t="inlineStr">
        <is>
          <t>Header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Table playground scenario; .manual-tests/table.md draft executed.</t>
        </is>
      </c>
      <c r="J69" s="5" t="inlineStr">
        <is>
          <t>Ready for reviewed protocol promotion.</t>
        </is>
      </c>
      <c r="K69" s="6">
        <f>IF(AND(E70="yes",F70="yes",H70="covered"),1,IF(H70="partial",0.5,0))</f>
        <v/>
      </c>
    </row>
    <row r="70" ht="15" customHeight="1" s="60">
      <c r="A70" s="4" t="n">
        <v>62</v>
      </c>
      <c r="B70" s="5" t="inlineStr">
        <is>
          <t>Anatomy</t>
        </is>
      </c>
      <c r="C70" s="5" t="inlineStr">
        <is>
          <t>Row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Table playground scenario; .manual-tests/table.md draft executed.</t>
        </is>
      </c>
      <c r="J70" s="5" t="inlineStr">
        <is>
          <t>Ready for reviewed protocol promotion.</t>
        </is>
      </c>
      <c r="K70" s="6">
        <f>IF(AND(E71="yes",F71="yes",H71="covered"),1,IF(H71="partial",0.5,0))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Row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Table playground scenario; .manual-tests/table.md draft executed.</t>
        </is>
      </c>
      <c r="J71" s="5" t="inlineStr">
        <is>
          <t>Ready for reviewed protocol promotion.</t>
        </is>
      </c>
      <c r="K71" s="6">
        <f>IF(AND(E72="yes",F72="yes",H72="covered"),1,IF(H72="partial",0.5,0))</f>
        <v/>
      </c>
    </row>
    <row r="72" ht="15" customHeight="1" s="60">
      <c r="A72" s="4" t="n">
        <v>64</v>
      </c>
      <c r="B72" s="5" t="inlineStr">
        <is>
          <t>Identity</t>
        </is>
      </c>
      <c r="C72" s="5" t="inlineStr">
        <is>
          <t>Row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Table playground scenario; .manual-tests/table.md draft executed.</t>
        </is>
      </c>
      <c r="J72" s="5" t="inlineStr">
        <is>
          <t>Ready for reviewed protocol promotion.</t>
        </is>
      </c>
      <c r="K72" s="6">
        <f>IF(AND(E73="yes",F73="yes",H73="covered"),1,IF(H73="partial",0.5,0))</f>
        <v/>
      </c>
    </row>
    <row r="73" ht="30" customHeight="1" s="60">
      <c r="A73" s="4" t="n">
        <v>65</v>
      </c>
      <c r="B73" s="5" t="inlineStr">
        <is>
          <t>Identity</t>
        </is>
      </c>
      <c r="C73" s="5" t="inlineStr">
        <is>
          <t>Row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Table playground scenario; .manual-tests/table.md draft executed.</t>
        </is>
      </c>
      <c r="J73" s="5" t="inlineStr">
        <is>
          <t>Ready for reviewed protocol promotion.</t>
        </is>
      </c>
      <c r="K73" s="6">
        <f>IF(AND(E74="yes",F74="yes",H74="covered"),1,IF(H74="partial",0.5,0))</f>
        <v/>
      </c>
    </row>
    <row r="74" ht="15" customHeight="1" s="60">
      <c r="A74" s="4" t="n">
        <v>66</v>
      </c>
      <c r="B74" s="5" t="inlineStr">
        <is>
          <t>Props</t>
        </is>
      </c>
      <c r="C74" s="5" t="inlineStr">
        <is>
          <t>Row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Table playground scenario; .manual-tests/table.md draft executed.</t>
        </is>
      </c>
      <c r="J74" s="5" t="inlineStr">
        <is>
          <t>Ready for reviewed protocol promotion.</t>
        </is>
      </c>
      <c r="K74" s="6">
        <f>IF(AND(E75="yes",F75="yes",H75="covered"),1,IF(H75="partial",0.5,0))</f>
        <v/>
      </c>
    </row>
    <row r="75" ht="15" customHeight="1" s="60">
      <c r="A75" s="4" t="n">
        <v>67</v>
      </c>
      <c r="B75" s="5" t="inlineStr">
        <is>
          <t>Refs</t>
        </is>
      </c>
      <c r="C75" s="5" t="inlineStr">
        <is>
          <t>Row</t>
        </is>
      </c>
      <c r="D75" s="5" t="inlineStr">
        <is>
          <t>consumer ref receives the rendered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Table playground scenario; .manual-tests/table.md draft executed.</t>
        </is>
      </c>
      <c r="J75" s="5" t="inlineStr">
        <is>
          <t>Ready for reviewed protocol promotion.</t>
        </is>
      </c>
      <c r="K75" s="6">
        <f>IF(AND(E76="yes",F76="yes",H76="covered"),1,IF(H76="partial",0.5,0))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aria-label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Table playground scenario; .manual-tests/table.md draft executed.</t>
        </is>
      </c>
      <c r="J76" s="5" t="inlineStr">
        <is>
          <t>Ready for reviewed protocol promotion.</t>
        </is>
      </c>
      <c r="K76" s="6">
        <f>IF(AND(E77="yes",F77="yes",H77="covered"),1,IF(H77="partial",0.5,0))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aria-labelledby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Table playground scenario; .manual-tests/table.md draft executed.</t>
        </is>
      </c>
      <c r="J77" s="5" t="inlineStr">
        <is>
          <t>Ready for reviewed protocol promotion.</t>
        </is>
      </c>
      <c r="K77" s="6">
        <f>IF(AND(E78="yes",F78="yes",H78="covered"),1,IF(H78="partial",0.5,0))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aria-sort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Table playground scenario; .manual-tests/table.md draft executed.</t>
        </is>
      </c>
      <c r="J78" s="5" t="inlineStr">
        <is>
          <t>Ready for reviewed protocol promotion.</t>
        </is>
      </c>
      <c r="K78" s="6">
        <f>IF(AND(E79="yes",F79="yes",H79="covered"),1,IF(H79="partial",0.5,0))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data-slot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Table playground scenario; .manual-tests/table.md draft executed.</t>
        </is>
      </c>
      <c r="J79" s="5" t="inlineStr">
        <is>
          <t>Ready for reviewed protocol promotion.</t>
        </is>
      </c>
      <c r="K79" s="6">
        <f>IF(AND(E80="yes",F80="yes",H80="covered"),1,IF(H80="partial",0.5,0))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data-sort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Table playground scenario; .manual-tests/table.md draft executed.</t>
        </is>
      </c>
      <c r="J80" s="5" t="inlineStr">
        <is>
          <t>Ready for reviewed protocol promotion.</t>
        </is>
      </c>
      <c r="K80" s="6">
        <f>IF(AND(E81="yes",F81="yes",H81="covered"),1,IF(H81="partial",0.5,0))</f>
        <v/>
      </c>
    </row>
    <row r="81" ht="15" customHeight="1" s="60">
      <c r="A81" s="4" t="n">
        <v>73</v>
      </c>
      <c r="B81" s="5" t="inlineStr">
        <is>
          <t>Composition</t>
        </is>
      </c>
      <c r="C81" s="5" t="inlineStr">
        <is>
          <t>Table</t>
        </is>
      </c>
      <c r="D81" s="5" t="inlineStr">
        <is>
          <t>asChild preserves child content without double nesting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Table playground scenario; .manual-tests/table.md draft executed.</t>
        </is>
      </c>
      <c r="J81" s="5" t="inlineStr">
        <is>
          <t>Ready for reviewed protocol promotion.</t>
        </is>
      </c>
      <c r="K81" s="6">
        <f>IF(AND(E82="yes",F82="yes",H82="covered"),1,IF(H82="partial",0.5,0))</f>
        <v/>
      </c>
    </row>
    <row r="82" ht="30" customHeight="1" s="60">
      <c r="A82" s="4" t="n">
        <v>74</v>
      </c>
      <c r="B82" s="5" t="inlineStr">
        <is>
          <t>Composition</t>
        </is>
      </c>
      <c r="C82" s="5" t="inlineStr">
        <is>
          <t>Table</t>
        </is>
      </c>
      <c r="D82" s="5" t="inlineStr">
        <is>
          <t>asChild merges Atom props and consumer props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Table playground scenario; .manual-tests/table.md draft executed.</t>
        </is>
      </c>
      <c r="J82" s="5" t="inlineStr">
        <is>
          <t>Ready for reviewed protocol promotion.</t>
        </is>
      </c>
      <c r="K82" s="6">
        <f>IF(AND(E83="yes",F83="yes",H83="covered"),1,IF(H83="partial",0.5,0))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Table</t>
        </is>
      </c>
      <c r="D83" s="5" t="inlineStr">
        <is>
          <t>render prop renders custom element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Table playground scenario; .manual-tests/table.md draft executed.</t>
        </is>
      </c>
      <c r="J83" s="5" t="inlineStr">
        <is>
          <t>Ready for reviewed protocol promotion.</t>
        </is>
      </c>
      <c r="K83" s="6">
        <f>IF(AND(E85="yes",F85="yes",H85="covered"),1,IF(H85="partial",0.5,0))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Table</t>
        </is>
      </c>
      <c r="D84" s="5" t="inlineStr">
        <is>
          <t>render prop preserves refs and behavior props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Table playground scenario; .manual-tests/table.md draft executed.</t>
        </is>
      </c>
      <c r="J84" s="5" t="inlineStr">
        <is>
          <t>Ready for reviewed protocol promotion.</t>
        </is>
      </c>
      <c r="K84" s="6">
        <f>IF(AND(E86="yes",F86="yes",H86="covered"),1,IF(H86="partial",0.5,0))</f>
        <v/>
      </c>
    </row>
    <row r="85" ht="15" customHeight="1" s="60">
      <c r="A85" s="4" t="n">
        <v>77</v>
      </c>
      <c r="B85" s="5" t="inlineStr">
        <is>
          <t>Composition</t>
        </is>
      </c>
      <c r="C85" s="5" t="inlineStr">
        <is>
          <t>Caption</t>
        </is>
      </c>
      <c r="D85" s="5" t="inlineStr">
        <is>
          <t>asChild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Table playground scenario; .manual-tests/table.md draft executed.</t>
        </is>
      </c>
      <c r="J85" s="5" t="inlineStr">
        <is>
          <t>Ready for reviewed protocol promotion.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Caption</t>
        </is>
      </c>
      <c r="D86" s="5" t="inlineStr">
        <is>
          <t>render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Table playground scenario; .manual-tests/table.md draft executed.</t>
        </is>
      </c>
      <c r="J86" s="5" t="inlineStr">
        <is>
          <t>Ready for reviewed protocol promotion.</t>
        </is>
      </c>
      <c r="K86" s="6">
        <f>IF(AND(E86="yes",F86="yes",H86="covered"),1,IF(H86="partial",0.5,0))</f>
        <v/>
      </c>
    </row>
    <row r="87">
      <c r="A87" s="4" t="n">
        <v>79</v>
      </c>
      <c r="B87" s="5" t="inlineStr">
        <is>
          <t>Composition</t>
        </is>
      </c>
      <c r="C87" s="5" t="inlineStr">
        <is>
          <t>Header</t>
        </is>
      </c>
      <c r="D87" s="5" t="inlineStr">
        <is>
          <t>asChild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Table playground scenario; .manual-tests/table.md draft executed.</t>
        </is>
      </c>
      <c r="J87" s="5" t="inlineStr">
        <is>
          <t>Ready for reviewed protocol promotion.</t>
        </is>
      </c>
      <c r="K87" s="6">
        <f>IF(AND(E87="yes",F87="yes",H87="covered"),1,IF(H87="partial",0.5,0))</f>
        <v/>
      </c>
    </row>
    <row r="88">
      <c r="A88" s="4" t="n">
        <v>80</v>
      </c>
      <c r="B88" s="5" t="inlineStr">
        <is>
          <t>Composition</t>
        </is>
      </c>
      <c r="C88" s="5" t="inlineStr">
        <is>
          <t>Header</t>
        </is>
      </c>
      <c r="D88" s="5" t="inlineStr">
        <is>
          <t>render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Table playground scenario; .manual-tests/table.md draft executed.</t>
        </is>
      </c>
      <c r="J88" s="5" t="inlineStr">
        <is>
          <t>Ready for reviewed protocol promotion.</t>
        </is>
      </c>
      <c r="K88" s="6">
        <f>IF(AND(E88="yes",F88="yes",H88="covered"),1,IF(H88="partial",0.5,0))</f>
        <v/>
      </c>
    </row>
    <row r="89">
      <c r="A89" s="4" t="n">
        <v>81</v>
      </c>
      <c r="B89" s="5" t="inlineStr">
        <is>
          <t>Composition</t>
        </is>
      </c>
      <c r="C89" s="5" t="inlineStr">
        <is>
          <t>Body</t>
        </is>
      </c>
      <c r="D89" s="5" t="inlineStr">
        <is>
          <t>asChild prop behavior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Table playground scenario; .manual-tests/table.md draft executed.</t>
        </is>
      </c>
      <c r="J89" s="5" t="inlineStr">
        <is>
          <t>Ready for reviewed protocol promotion.</t>
        </is>
      </c>
      <c r="K89" s="6">
        <f>IF(AND(E89="yes",F89="yes",H89="covered"),1,IF(H89="partial",0.5,0))</f>
        <v/>
      </c>
    </row>
    <row r="90">
      <c r="A90" s="4" t="n">
        <v>82</v>
      </c>
      <c r="B90" s="5" t="inlineStr">
        <is>
          <t>Composition</t>
        </is>
      </c>
      <c r="C90" s="5" t="inlineStr">
        <is>
          <t>Body</t>
        </is>
      </c>
      <c r="D90" s="5" t="inlineStr">
        <is>
          <t>render prop behavior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Table playground scenario; .manual-tests/table.md draft executed.</t>
        </is>
      </c>
      <c r="J90" s="5" t="inlineStr">
        <is>
          <t>Ready for reviewed protocol promotion.</t>
        </is>
      </c>
      <c r="K90" s="6">
        <f>IF(AND(E90="yes",F90="yes",H90="covered"),1,IF(H90="partial",0.5,0))</f>
        <v/>
      </c>
    </row>
    <row r="91">
      <c r="A91" s="4" t="n">
        <v>83</v>
      </c>
      <c r="B91" s="5" t="inlineStr">
        <is>
          <t>Composition</t>
        </is>
      </c>
      <c r="C91" s="5" t="inlineStr">
        <is>
          <t>Footer</t>
        </is>
      </c>
      <c r="D91" s="5" t="inlineStr">
        <is>
          <t>asChild prop behavior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Table playground scenario; .manual-tests/table.md draft executed.</t>
        </is>
      </c>
      <c r="J91" s="5" t="inlineStr">
        <is>
          <t>Ready for reviewed protocol promotion.</t>
        </is>
      </c>
      <c r="K91" s="6">
        <f>IF(AND(E91="yes",F91="yes",H91="covered"),1,IF(H91="partial",0.5,0))</f>
        <v/>
      </c>
    </row>
    <row r="92">
      <c r="A92" s="4" t="n">
        <v>84</v>
      </c>
      <c r="B92" s="5" t="inlineStr">
        <is>
          <t>Composition</t>
        </is>
      </c>
      <c r="C92" s="5" t="inlineStr">
        <is>
          <t>Footer</t>
        </is>
      </c>
      <c r="D92" s="5" t="inlineStr">
        <is>
          <t>render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Table playground scenario; .manual-tests/table.md draft executed.</t>
        </is>
      </c>
      <c r="J92" s="5" t="inlineStr">
        <is>
          <t>Ready for reviewed protocol promotion.</t>
        </is>
      </c>
      <c r="K92" s="6">
        <f>IF(AND(E92="yes",F92="yes",H92="covered"),1,IF(H92="partial",0.5,0))</f>
        <v/>
      </c>
    </row>
    <row r="93">
      <c r="A93" s="4" t="n">
        <v>85</v>
      </c>
      <c r="B93" s="5" t="inlineStr">
        <is>
          <t>Composition</t>
        </is>
      </c>
      <c r="C93" s="5" t="inlineStr">
        <is>
          <t>Row</t>
        </is>
      </c>
      <c r="D93" s="5" t="inlineStr">
        <is>
          <t>asChild prop behavior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Table playground scenario; .manual-tests/table.md draft executed.</t>
        </is>
      </c>
      <c r="J93" s="5" t="inlineStr">
        <is>
          <t>Ready for reviewed protocol promotion.</t>
        </is>
      </c>
      <c r="K93" s="6">
        <f>IF(AND(E93="yes",F93="yes",H93="covered"),1,IF(H93="partial",0.5,0))</f>
        <v/>
      </c>
    </row>
    <row r="94">
      <c r="A94" s="4" t="n">
        <v>86</v>
      </c>
      <c r="B94" s="5" t="inlineStr">
        <is>
          <t>Composition</t>
        </is>
      </c>
      <c r="C94" s="5" t="inlineStr">
        <is>
          <t>Row</t>
        </is>
      </c>
      <c r="D94" s="5" t="inlineStr">
        <is>
          <t>render prop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Table playground scenario; .manual-tests/table.md draft executed.</t>
        </is>
      </c>
      <c r="J94" s="5" t="inlineStr">
        <is>
          <t>Ready for reviewed protocol promotion.</t>
        </is>
      </c>
      <c r="K94" s="6">
        <f>IF(AND(E94="yes",F94="yes",H94="covered"),1,IF(H94="partial",0.5,0))</f>
        <v/>
      </c>
    </row>
    <row r="95">
      <c r="A95" s="4" t="n">
        <v>87</v>
      </c>
      <c r="B95" s="5" t="inlineStr">
        <is>
          <t>Composition</t>
        </is>
      </c>
      <c r="C95" s="5" t="inlineStr">
        <is>
          <t>Cell</t>
        </is>
      </c>
      <c r="D95" s="5" t="inlineStr">
        <is>
          <t>asChild prop behavior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Table playground scenario; .manual-tests/table.md draft executed.</t>
        </is>
      </c>
      <c r="J95" s="5" t="inlineStr">
        <is>
          <t>Ready for reviewed protocol promotion.</t>
        </is>
      </c>
      <c r="K95" s="6">
        <f>IF(AND(E95="yes",F95="yes",H95="covered"),1,IF(H95="partial",0.5,0))</f>
        <v/>
      </c>
    </row>
    <row r="96">
      <c r="A96" s="4" t="n">
        <v>88</v>
      </c>
      <c r="B96" s="5" t="inlineStr">
        <is>
          <t>Composition</t>
        </is>
      </c>
      <c r="C96" s="5" t="inlineStr">
        <is>
          <t>Cell</t>
        </is>
      </c>
      <c r="D96" s="5" t="inlineStr">
        <is>
          <t>render prop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Table playground scenario; .manual-tests/table.md draft executed.</t>
        </is>
      </c>
      <c r="J96" s="5" t="inlineStr">
        <is>
          <t>Ready for reviewed protocol promotion.</t>
        </is>
      </c>
      <c r="K96" s="6">
        <f>IF(AND(E96="yes",F96="yes",H96="covered"),1,IF(H96="partial",0.5,0))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K10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Tabs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manual-tests/tabs.md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manual-tests/tabs.md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Tabs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manual-tests/tabs.md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Tabs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manual-tests/tabs.md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Tabs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manual-tests/tabs.md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Tabs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manual-tests/tabs.md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Tabs</t>
        </is>
      </c>
      <c r="D15" s="5" t="inlineStr">
        <is>
          <t>Implements linked tab and tabpanel ARIA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manual-tests/tabs.md</t>
        </is>
      </c>
      <c r="J15" s="5" t="inlineStr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Tabs</t>
        </is>
      </c>
      <c r="D16" s="5" t="inlineStr">
        <is>
          <t>Supports controlled and uncontrolled selected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manual-tests/tabs.md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Tabs</t>
        </is>
      </c>
      <c r="D17" s="5" t="inlineStr">
        <is>
          <t>Supports horizontal and vertical orientation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manual-tests/tabs.md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Tabs</t>
        </is>
      </c>
      <c r="D18" s="5" t="inlineStr">
        <is>
          <t>Supports automatic or manual activation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manual-tests/tabs.md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Tabs</t>
        </is>
      </c>
      <c r="D19" s="5" t="inlineStr">
        <is>
          <t>Supports disabled tabs, keep-mounted panels, focusable panels, and an optional indicator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manual-tests/tabs.md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manual-tests/tabs.md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manual-tests/tabs.md</t>
        </is>
      </c>
      <c r="J21" s="5" t="inlineStr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manual-tests/tabs.md</t>
        </is>
      </c>
      <c r="J22" s="5" t="inlineStr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manual-tests/tabs.md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manual-tests/tabs.md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manual-tests/tabs.md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manual-tests/tabs.md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manual-tests/tabs.md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manual-tests/tabs.md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orientation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manual-tests/tabs.md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activationMode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manual-tests/tabs.md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loop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manual-tests/tabs.md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[data-slot]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manual-tests/tabs.md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[data-orientation]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manual-tests/tabs.md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Trigger</t>
        </is>
      </c>
      <c r="D34" s="5" t="inlineStr">
        <is>
          <t>renders correct part when expected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manual-tests/tabs.md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Trigger</t>
        </is>
      </c>
      <c r="D35" s="5" t="inlineStr">
        <is>
          <t>appears in documented order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manual-tests/tabs.md</t>
        </is>
      </c>
      <c r="J35" s="5" t="inlineStr"/>
      <c r="K35" s="6">
        <f>IF(AND(E35="yes",F35="yes",H35="covered"),1,IF(H35="partial",0.5,0))</f>
        <v/>
      </c>
    </row>
    <row r="36" ht="30" customHeight="1" s="60">
      <c r="A36" s="4" t="n">
        <v>28</v>
      </c>
      <c r="B36" s="5" t="inlineStr">
        <is>
          <t>Identity</t>
        </is>
      </c>
      <c r="C36" s="5" t="inlineStr">
        <is>
          <t>Trigger</t>
        </is>
      </c>
      <c r="D36" s="5" t="inlineStr">
        <is>
          <t>default tag is visible in Anatomy/Inspector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manual-tests/tabs.md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Identity</t>
        </is>
      </c>
      <c r="C37" s="5" t="inlineStr">
        <is>
          <t>Trigger</t>
        </is>
      </c>
      <c r="D37" s="5" t="inlineStr">
        <is>
          <t>data-slot is present and correct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manual-tests/tabs.md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Props</t>
        </is>
      </c>
      <c r="C38" s="5" t="inlineStr">
        <is>
          <t>Trigger</t>
        </is>
      </c>
      <c r="D38" s="5" t="inlineStr">
        <is>
          <t>non-Atom native props pass through with data-prop-check marker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manual-tests/tabs.md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Refs</t>
        </is>
      </c>
      <c r="C39" s="5" t="inlineStr">
        <is>
          <t>Trigger</t>
        </is>
      </c>
      <c r="D39" s="5" t="inlineStr">
        <is>
          <t>consumer ref receives the rendered element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manual-tests/tabs.md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Trigger</t>
        </is>
      </c>
      <c r="D40" s="5" t="inlineStr">
        <is>
          <t>value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manual-tests/tabs.md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Trigger</t>
        </is>
      </c>
      <c r="D41" s="5" t="inlineStr">
        <is>
          <t>disabled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manual-tests/tabs.md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asChild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manual-tests/tabs.md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render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manual-tests/tabs.md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manual-tests/tabs.md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[data-state]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manual-tests/tabs.md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Trigger</t>
        </is>
      </c>
      <c r="D46" s="5" t="inlineStr">
        <is>
          <t>[data-disabled]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manual-tests/tabs.md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Content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manual-tests/tabs.md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manual-tests/tabs.md</t>
        </is>
      </c>
      <c r="J48" s="5" t="inlineStr"/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Content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manual-tests/tabs.md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manual-tests/tabs.md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Content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manual-tests/tabs.md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Content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manual-tests/tabs.md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Content</t>
        </is>
      </c>
      <c r="D53" s="5" t="inlineStr">
        <is>
          <t>value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manual-tests/tabs.md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keepMounted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manual-tests/tabs.md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focusable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manual-tests/tabs.md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manual-tests/tabs.md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manual-tests/tabs.md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List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manual-tests/tabs.md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List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manual-tests/tabs.md</t>
        </is>
      </c>
      <c r="J59" s="5" t="inlineStr"/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List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manual-tests/tabs.md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List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manual-tests/tabs.md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List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manual-tests/tabs.md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List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manual-tests/tabs.md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List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manual-tests/tabs.md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List</t>
        </is>
      </c>
      <c r="D65" s="5" t="inlineStr">
        <is>
          <t>[data-orientation]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manual-tests/tabs.md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Indicator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manual-tests/tabs.md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Indicator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manual-tests/tabs.md</t>
        </is>
      </c>
      <c r="J67" s="5" t="inlineStr"/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Indicator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manual-tests/tabs.md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Indicator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manual-tests/tabs.md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Indicator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manual-tests/tabs.md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Indicator</t>
        </is>
      </c>
      <c r="D71" s="5" t="inlineStr">
        <is>
          <t>[data-slot]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manual-tests/tabs.md</t>
        </is>
      </c>
      <c r="J71" s="5" t="inlineStr"/>
      <c r="K71" s="6">
        <f>IF(AND(E73="yes",F73="yes",H73="covered"),1,IF(H73="partial",0.5,0))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aria-controls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manual-tests/tabs.md</t>
        </is>
      </c>
      <c r="J72" s="5" t="inlineStr"/>
      <c r="K72" s="6">
        <f>IF(AND(E75="yes",F75="yes",H75="covered"),1,IF(H75="partial",0.5,0))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aria-disabled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manual-tests/tabs.md</t>
        </is>
      </c>
      <c r="J73" s="5" t="inlineStr"/>
      <c r="K73" s="6">
        <f>IF(AND(E76="yes",F76="yes",H76="covered"),1,IF(H76="partial",0.5,0))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aria-label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manual-tests/tabs.md</t>
        </is>
      </c>
      <c r="J74" s="5" t="inlineStr"/>
      <c r="K74" s="6">
        <f>IF(AND(E77="yes",F77="yes",H77="covered"),1,IF(H77="partial",0.5,0))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aria-labelledby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manual-tests/tabs.md</t>
        </is>
      </c>
      <c r="J75" s="5" t="inlineStr"/>
      <c r="K75" s="6">
        <f>IF(AND(E78="yes",F78="yes",H78="covered"),1,IF(H78="partial",0.5,0))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aria-orientation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manual-tests/tabs.md</t>
        </is>
      </c>
      <c r="J76" s="5" t="inlineStr"/>
      <c r="K76" s="6">
        <f>IF(AND(E79="yes",F79="yes",H79="covered"),1,IF(H79="partial",0.5,0))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aria-selected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manual-tests/tabs.md</t>
        </is>
      </c>
      <c r="J77" s="5" t="inlineStr"/>
      <c r="K77" s="6">
        <f>IF(AND(E80="yes",F80="yes",H80="covered"),1,IF(H80="partial",0.5,0))</f>
        <v/>
      </c>
    </row>
    <row r="78" ht="15" customHeight="1" s="60">
      <c r="A78" s="4" t="n">
        <v>70</v>
      </c>
      <c r="B78" s="5" t="inlineStr">
        <is>
          <t>Data</t>
        </is>
      </c>
      <c r="C78" s="5" t="inlineStr">
        <is>
          <t>Live DOM</t>
        </is>
      </c>
      <c r="D78" s="5" t="inlineStr">
        <is>
          <t>data-disabled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manual-tests/tabs.md</t>
        </is>
      </c>
      <c r="J78" s="5" t="inlineStr"/>
      <c r="K78" s="6">
        <f>IF(AND(E81="yes",F81="yes",H81="covered"),1,IF(H81="partial",0.5,0))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data-orientation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manual-tests/tabs.md</t>
        </is>
      </c>
      <c r="J79" s="5" t="inlineStr"/>
      <c r="K79" s="6">
        <f>IF(AND(E82="yes",F82="yes",H82="covered"),1,IF(H82="partial",0.5,0))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data-slot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manual-tests/tabs.md</t>
        </is>
      </c>
      <c r="J80" s="5" t="inlineStr"/>
      <c r="K80" s="6">
        <f>IF(AND(E83="yes",F83="yes",H83="covered"),1,IF(H83="partial",0.5,0))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data-state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manual-tests/tabs.md</t>
        </is>
      </c>
      <c r="J81" s="5" t="inlineStr"/>
      <c r="K81" s="6">
        <f>IF(AND(E84="yes",F84="yes",H84="covered"),1,IF(H84="partial",0.5,0))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data-value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manual-tests/tabs.md</t>
        </is>
      </c>
      <c r="J82" s="5" t="inlineStr"/>
      <c r="K82" s="6">
        <f>IF(AND(E85="yes",F85="yes",H85="covered"),1,IF(H85="partial",0.5,0))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Tabs</t>
        </is>
      </c>
      <c r="D83" s="5" t="inlineStr">
        <is>
          <t>asChild preserves child content without double nesting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manual-tests/tabs.md</t>
        </is>
      </c>
      <c r="J83" s="5" t="inlineStr"/>
      <c r="K83" s="6">
        <f>IF(AND(E86="yes",F86="yes",H86="covered"),1,IF(H86="partial",0.5,0))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Tabs</t>
        </is>
      </c>
      <c r="D84" s="5" t="inlineStr">
        <is>
          <t>asChild merges Atom props and consumer props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manual-tests/tabs.md</t>
        </is>
      </c>
      <c r="J84" s="5" t="inlineStr"/>
      <c r="K84" s="6">
        <f>IF(AND(E87="yes",F87="yes",H87="covered"),1,IF(H87="partial",0.5,0))</f>
        <v/>
      </c>
    </row>
    <row r="85" ht="15" customHeight="1" s="60">
      <c r="A85" s="4" t="n">
        <v>77</v>
      </c>
      <c r="B85" s="5" t="inlineStr">
        <is>
          <t>Composition</t>
        </is>
      </c>
      <c r="C85" s="5" t="inlineStr">
        <is>
          <t>Tabs</t>
        </is>
      </c>
      <c r="D85" s="5" t="inlineStr">
        <is>
          <t>asChild lets preventDefault block Atom behavior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manual-tests/tabs.md</t>
        </is>
      </c>
      <c r="J85" s="5" t="inlineStr"/>
      <c r="K85" s="6">
        <f>IF(AND(E88="yes",F88="yes",H88="covered"),1,IF(H88="partial",0.5,0))</f>
        <v/>
      </c>
    </row>
    <row r="86" ht="30" customHeight="1" s="60">
      <c r="A86" s="4" t="n">
        <v>78</v>
      </c>
      <c r="B86" s="5" t="inlineStr">
        <is>
          <t>Composition</t>
        </is>
      </c>
      <c r="C86" s="5" t="inlineStr">
        <is>
          <t>Tabs</t>
        </is>
      </c>
      <c r="D86" s="5" t="inlineStr">
        <is>
          <t>render prop renders custom element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manual-tests/tabs.md</t>
        </is>
      </c>
      <c r="J86" s="5" t="inlineStr"/>
      <c r="K86" s="6">
        <f>IF(AND(E89="yes",F89="yes",H89="covered"),1,IF(H89="partial",0.5,0))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Tabs</t>
        </is>
      </c>
      <c r="D87" s="5" t="inlineStr">
        <is>
          <t>render prop preserves refs and behavior props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manual-tests/tabs.md</t>
        </is>
      </c>
      <c r="J87" s="5" t="inlineStr"/>
      <c r="K87" s="6">
        <f>IF(AND(E90="yes",F90="yes",H90="covered"),1,IF(H90="partial",0.5,0))</f>
        <v/>
      </c>
    </row>
    <row r="88" ht="15" customHeight="1" s="60">
      <c r="A88" s="4" t="n">
        <v>80</v>
      </c>
      <c r="B88" s="5" t="inlineStr">
        <is>
          <t>State</t>
        </is>
      </c>
      <c r="C88" s="5" t="inlineStr">
        <is>
          <t>Root</t>
        </is>
      </c>
      <c r="D88" s="5" t="inlineStr">
        <is>
          <t>controlled state path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manual-tests/tabs.md</t>
        </is>
      </c>
      <c r="J88" s="5" t="inlineStr"/>
      <c r="K88" s="6">
        <f>IF(AND(E91="yes",F91="yes",H91="covered"),1,IF(H91="partial",0.5,0))</f>
        <v/>
      </c>
    </row>
    <row r="89" ht="15" customHeight="1" s="60">
      <c r="A89" s="4" t="n">
        <v>81</v>
      </c>
      <c r="B89" s="5" t="inlineStr">
        <is>
          <t>State</t>
        </is>
      </c>
      <c r="C89" s="5" t="inlineStr">
        <is>
          <t>Root</t>
        </is>
      </c>
      <c r="D89" s="5" t="inlineStr">
        <is>
          <t>uncontrolled default state path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manual-tests/tabs.md</t>
        </is>
      </c>
      <c r="J89" s="5" t="inlineStr"/>
      <c r="K89" s="6">
        <f>IF(AND(E92="yes",F92="yes",H92="covered"),1,IF(H92="partial",0.5,0))</f>
        <v/>
      </c>
    </row>
    <row r="90" ht="15" customHeight="1" s="60">
      <c r="A90" s="4" t="n">
        <v>82</v>
      </c>
      <c r="B90" s="5" t="inlineStr">
        <is>
          <t>State</t>
        </is>
      </c>
      <c r="C90" s="5" t="inlineStr">
        <is>
          <t>Root</t>
        </is>
      </c>
      <c r="D90" s="5" t="inlineStr">
        <is>
          <t>state change callback fires once with correct value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manual-tests/tabs.md</t>
        </is>
      </c>
      <c r="J90" s="5" t="inlineStr"/>
      <c r="K90" s="6">
        <f>IF(AND(E93="yes",F93="yes",H93="covered"),1,IF(H93="partial",0.5,0))</f>
        <v/>
      </c>
    </row>
    <row r="91" ht="15" customHeight="1" s="60">
      <c r="A91" s="4" t="n">
        <v>83</v>
      </c>
      <c r="B91" s="5" t="inlineStr">
        <is>
          <t>Interaction</t>
        </is>
      </c>
      <c r="C91" s="5" t="inlineStr">
        <is>
          <t>Trigger</t>
        </is>
      </c>
      <c r="D91" s="5" t="inlineStr">
        <is>
          <t>mouse click or pointer activation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manual-tests/tabs.md</t>
        </is>
      </c>
      <c r="J91" s="5" t="inlineStr"/>
      <c r="K91" s="6">
        <f>IF(AND(E94="yes",F94="yes",H94="covered"),1,IF(H94="partial",0.5,0))</f>
        <v/>
      </c>
    </row>
    <row r="92" ht="15" customHeight="1" s="60">
      <c r="A92" s="4" t="n">
        <v>84</v>
      </c>
      <c r="B92" s="5" t="inlineStr">
        <is>
          <t>Interaction</t>
        </is>
      </c>
      <c r="C92" s="5" t="inlineStr">
        <is>
          <t>Trigger</t>
        </is>
      </c>
      <c r="D92" s="5" t="inlineStr">
        <is>
          <t>Enter key activation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manual-tests/tabs.md</t>
        </is>
      </c>
      <c r="J92" s="5" t="inlineStr"/>
      <c r="K92" s="6">
        <f>IF(AND(E95="yes",F95="yes",H95="covered"),1,IF(H95="partial",0.5,0))</f>
        <v/>
      </c>
    </row>
    <row r="93" ht="15" customHeight="1" s="60">
      <c r="A93" s="4" t="n">
        <v>85</v>
      </c>
      <c r="B93" s="5" t="inlineStr">
        <is>
          <t>Interaction</t>
        </is>
      </c>
      <c r="C93" s="5" t="inlineStr">
        <is>
          <t>Trigger</t>
        </is>
      </c>
      <c r="D93" s="5" t="inlineStr">
        <is>
          <t>Space key activation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manual-tests/tabs.md</t>
        </is>
      </c>
      <c r="J93" s="5" t="inlineStr"/>
      <c r="K93" s="6">
        <f>IF(AND(E96="yes",F96="yes",H96="covered"),1,IF(H96="partial",0.5,0))</f>
        <v/>
      </c>
    </row>
    <row r="94" ht="15" customHeight="1" s="60">
      <c r="A94" s="4" t="n">
        <v>86</v>
      </c>
      <c r="B94" s="5" t="inlineStr">
        <is>
          <t>Interaction</t>
        </is>
      </c>
      <c r="C94" s="5" t="inlineStr">
        <is>
          <t>Trigger</t>
        </is>
      </c>
      <c r="D94" s="5" t="inlineStr">
        <is>
          <t>disabled trigger blocks pointer and keyboard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manual-tests/tabs.md</t>
        </is>
      </c>
      <c r="J94" s="5" t="inlineStr"/>
      <c r="K94" s="6">
        <f>IF(AND(E97="yes",F97="yes",H97="covered"),1,IF(H97="partial",0.5,0))</f>
        <v/>
      </c>
    </row>
    <row r="95" ht="15" customHeight="1" s="60">
      <c r="A95" s="4" t="n">
        <v>87</v>
      </c>
      <c r="B95" s="5" t="inlineStr">
        <is>
          <t>Focus</t>
        </is>
      </c>
      <c r="C95" s="5" t="inlineStr">
        <is>
          <t>Trigger</t>
        </is>
      </c>
      <c r="D95" s="5" t="inlineStr">
        <is>
          <t>roving focus and tab stop state are visible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manual-tests/tabs.md</t>
        </is>
      </c>
      <c r="J95" s="5" t="inlineStr"/>
      <c r="K95" s="6">
        <f>IF(AND(E98="yes",F98="yes",H98="covered"),1,IF(H98="partial",0.5,0))</f>
        <v/>
      </c>
    </row>
    <row r="96" ht="15" customHeight="1" s="60">
      <c r="A96" s="4" t="n">
        <v>88</v>
      </c>
      <c r="B96" s="5" t="inlineStr">
        <is>
          <t>Keyboard</t>
        </is>
      </c>
      <c r="C96" s="5" t="inlineStr">
        <is>
          <t>Tabs</t>
        </is>
      </c>
      <c r="D96" s="5" t="inlineStr">
        <is>
          <t>ArrowLeft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manual-tests/tabs.md</t>
        </is>
      </c>
      <c r="J96" s="5" t="inlineStr"/>
      <c r="K96" s="6">
        <f>IF(AND(E99="yes",F99="yes",H99="covered"),1,IF(H99="partial",0.5,0))</f>
        <v/>
      </c>
    </row>
    <row r="97" ht="15" customHeight="1" s="60">
      <c r="A97" s="4" t="n">
        <v>89</v>
      </c>
      <c r="B97" s="5" t="inlineStr">
        <is>
          <t>Keyboard</t>
        </is>
      </c>
      <c r="C97" s="5" t="inlineStr">
        <is>
          <t>Tabs</t>
        </is>
      </c>
      <c r="D97" s="5" t="inlineStr">
        <is>
          <t>End behavior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manual-tests/tabs.md</t>
        </is>
      </c>
      <c r="J97" s="5" t="inlineStr"/>
      <c r="K97" s="6">
        <f>IF(AND(E100="yes",F100="yes",H100="covered"),1,IF(H100="partial",0.5,0))</f>
        <v/>
      </c>
    </row>
    <row r="98" ht="15" customHeight="1" s="60">
      <c r="A98" s="4" t="n">
        <v>90</v>
      </c>
      <c r="B98" s="5" t="inlineStr">
        <is>
          <t>Keyboard</t>
        </is>
      </c>
      <c r="C98" s="5" t="inlineStr">
        <is>
          <t>Tabs</t>
        </is>
      </c>
      <c r="D98" s="5" t="inlineStr">
        <is>
          <t>Enter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manual-tests/tabs.md</t>
        </is>
      </c>
      <c r="J98" s="5" t="inlineStr"/>
      <c r="K98" s="6">
        <f>IF(AND(E101="yes",F101="yes",H101="covered"),1,IF(H101="partial",0.5,0))</f>
        <v/>
      </c>
    </row>
    <row r="99" ht="15" customHeight="1" s="60">
      <c r="A99" s="4" t="n">
        <v>91</v>
      </c>
      <c r="B99" s="5" t="inlineStr">
        <is>
          <t>Keyboard</t>
        </is>
      </c>
      <c r="C99" s="5" t="inlineStr">
        <is>
          <t>Tabs</t>
        </is>
      </c>
      <c r="D99" s="5" t="inlineStr">
        <is>
          <t>Home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manual-tests/tabs.md</t>
        </is>
      </c>
      <c r="J99" s="5" t="inlineStr"/>
      <c r="K99" s="6">
        <f>IF(AND(E102="yes",F102="yes",H102="covered"),1,IF(H102="partial",0.5,0))</f>
        <v/>
      </c>
    </row>
    <row r="100" ht="15" customHeight="1" s="60">
      <c r="A100" s="4" t="n">
        <v>92</v>
      </c>
      <c r="B100" s="5" t="inlineStr">
        <is>
          <t>Keyboard</t>
        </is>
      </c>
      <c r="C100" s="5" t="inlineStr">
        <is>
          <t>Tabs</t>
        </is>
      </c>
      <c r="D100" s="5" t="inlineStr">
        <is>
          <t>Arrow key navigation follows documented orientation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manual-tests/tabs.md</t>
        </is>
      </c>
      <c r="J100" s="5" t="inlineStr"/>
      <c r="K100" s="6">
        <f>IF(AND(E103="yes",F103="yes",H103="covered"),1,IF(H103="partial",0.5,0))</f>
        <v/>
      </c>
    </row>
    <row r="101" ht="15" customHeight="1" s="60">
      <c r="A101" s="4" t="n">
        <v>93</v>
      </c>
      <c r="B101" s="5" t="inlineStr">
        <is>
          <t>Keyboard</t>
        </is>
      </c>
      <c r="C101" s="5" t="inlineStr">
        <is>
          <t>Tabs</t>
        </is>
      </c>
      <c r="D101" s="5" t="inlineStr">
        <is>
          <t>Home and End navigation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manual-tests/tabs.md</t>
        </is>
      </c>
      <c r="J101" s="5" t="inlineStr"/>
      <c r="K101" s="6">
        <f>IF(AND(E104="yes",F104="yes",H104="covered"),1,IF(H104="partial",0.5,0))</f>
        <v/>
      </c>
    </row>
    <row r="102" ht="15" customHeight="1" s="60">
      <c r="A102" s="4" t="n">
        <v>94</v>
      </c>
      <c r="B102" s="5" t="inlineStr">
        <is>
          <t>Keyboard</t>
        </is>
      </c>
      <c r="C102" s="5" t="inlineStr">
        <is>
          <t>Tabs</t>
        </is>
      </c>
      <c r="D102" s="5" t="inlineStr">
        <is>
          <t>disabled items are skipped or exposed according to pattern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manual-tests/tabs.md</t>
        </is>
      </c>
      <c r="J102" s="5" t="inlineStr"/>
      <c r="K102" s="6">
        <f>IF(AND(E105="yes",F105="yes",H105="covered"),1,IF(H105="partial",0.5,0))</f>
        <v/>
      </c>
    </row>
    <row r="103" ht="15" customHeight="1" s="60">
      <c r="A103" s="4" t="n">
        <v>95</v>
      </c>
      <c r="B103" s="5" t="inlineStr">
        <is>
          <t>Focus</t>
        </is>
      </c>
      <c r="C103" s="5" t="inlineStr">
        <is>
          <t>Tabs</t>
        </is>
      </c>
      <c r="D103" s="5" t="inlineStr">
        <is>
          <t>roving focus or active descendant state is visible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manual-tests/tabs.md</t>
        </is>
      </c>
      <c r="J103" s="5" t="inlineStr"/>
      <c r="K103" s="6">
        <f>IF(AND(E107="yes",F107="yes",H107="covered"),1,IF(H107="partial",0.5,0))</f>
        <v/>
      </c>
    </row>
    <row r="104" ht="15" customHeight="1" s="60">
      <c r="A104" s="4" t="n">
        <v>96</v>
      </c>
      <c r="B104" s="5" t="inlineStr">
        <is>
          <t>Direction</t>
        </is>
      </c>
      <c r="C104" s="5" t="inlineStr">
        <is>
          <t>List</t>
        </is>
      </c>
      <c r="D104" s="5" t="inlineStr">
        <is>
          <t>reads Direction.Provider context for horizontal keyboard navigation</t>
        </is>
      </c>
      <c r="E104" s="10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10" t="inlineStr">
        <is>
          <t>covered</t>
        </is>
      </c>
      <c r="I104" s="5" t="inlineStr">
        <is>
          <t>manual-tests/tabs.md</t>
        </is>
      </c>
      <c r="J104" s="5" t="inlineStr"/>
      <c r="K104" s="6">
        <f>IF(AND(E108="yes",F108="yes",H108="covered"),1,IF(H108="partial",0.5,0))</f>
        <v/>
      </c>
    </row>
    <row r="105" ht="15" customHeight="1" s="60">
      <c r="A105" s="4" t="n">
        <v>97</v>
      </c>
      <c r="B105" s="5" t="inlineStr">
        <is>
          <t>Direction</t>
        </is>
      </c>
      <c r="C105" s="5" t="inlineStr">
        <is>
          <t>List</t>
        </is>
      </c>
      <c r="D105" s="5" t="inlineStr">
        <is>
          <t>RTL mirrors horizontal ArrowLeft and ArrowRight navigation</t>
        </is>
      </c>
      <c r="E105" s="10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10" t="inlineStr">
        <is>
          <t>covered</t>
        </is>
      </c>
      <c r="I105" s="5" t="inlineStr">
        <is>
          <t>manual-tests/tabs.md</t>
        </is>
      </c>
      <c r="J105" s="5" t="inlineStr"/>
      <c r="K105" s="6">
        <f>IF(AND(E109="yes",F109="yes",H109="covered"),1,IF(H109="partial",0.5,0))</f>
        <v/>
      </c>
    </row>
    <row r="106" ht="30" customHeight="1" s="60">
      <c r="A106" s="4" t="n">
        <v>98</v>
      </c>
      <c r="B106" s="5" t="inlineStr">
        <is>
          <t>Playground</t>
        </is>
      </c>
      <c r="C106" s="5" t="inlineStr">
        <is>
          <t>Direction controls</t>
        </is>
      </c>
      <c r="D106" s="5" t="inlineStr">
        <is>
          <t>scenario exposes provider direction controls</t>
        </is>
      </c>
      <c r="E106" s="10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10" t="inlineStr">
        <is>
          <t>covered</t>
        </is>
      </c>
      <c r="I106" s="5" t="inlineStr">
        <is>
          <t>manual-tests/tabs.md</t>
        </is>
      </c>
      <c r="J106" s="5" t="inlineStr"/>
      <c r="K106" s="6">
        <f>IF(AND(E110="yes",F110="yes",H110="covered"),1,IF(H110="partial",0.5,0))</f>
        <v/>
      </c>
    </row>
    <row r="107" ht="30" customHeight="1" s="60"/>
    <row r="108" ht="30" customHeight="1" s="60"/>
    <row r="109" ht="30" customHeight="1" s="60"/>
    <row r="110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K7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Textarea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Textarea playground manual verification.</t>
        </is>
      </c>
      <c r="J9" s="5" t="inlineStr">
        <is>
          <t>Manual verification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Textarea playground manual verification.</t>
        </is>
      </c>
      <c r="J10" s="5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Textarea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Textarea playground manual verification.</t>
        </is>
      </c>
      <c r="J11" s="5" t="inlineStr">
        <is>
          <t>Manual verification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Textarea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Textarea playground manual verification.</t>
        </is>
      </c>
      <c r="J12" s="5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Textarea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Textarea playground manual verification.</t>
        </is>
      </c>
      <c r="J13" s="5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Textarea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Textarea playground manual verification.</t>
        </is>
      </c>
      <c r="J14" s="5" t="inlineStr">
        <is>
          <t>Manual verification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Textarea</t>
        </is>
      </c>
      <c r="D15" s="5" t="inlineStr">
        <is>
          <t>Renders a native `&lt;textarea&gt;`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Textarea playground manual verification.</t>
        </is>
      </c>
      <c r="J15" s="5" t="inlineStr">
        <is>
          <t>Manual verification passed.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Textarea</t>
        </is>
      </c>
      <c r="D16" s="5" t="inlineStr">
        <is>
          <t>Supports controlled and uncontrolled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Textarea playground manual verification.</t>
        </is>
      </c>
      <c r="J16" s="5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Textarea</t>
        </is>
      </c>
      <c r="D17" s="5" t="inlineStr">
        <is>
          <t>Integrates with `Field.Root` for IDs, descriptions, errors, and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Textarea playground manual verification.</t>
        </is>
      </c>
      <c r="J17" s="5" t="inlineStr">
        <is>
          <t>Manual verification passed.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Textarea</t>
        </is>
      </c>
      <c r="D18" s="5" t="inlineStr">
        <is>
          <t>Supports optional auto-resize with `minRows` and `maxRows`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Textarea playground manual verification.</t>
        </is>
      </c>
      <c r="J18" s="5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Textarea</t>
        </is>
      </c>
      <c r="D19" s="5" t="inlineStr">
        <is>
          <t>Includes an optional character count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Textarea playground manual verification.</t>
        </is>
      </c>
      <c r="J19" s="5" t="inlineStr">
        <is>
          <t>Manual verification passed.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Textarea</t>
        </is>
      </c>
      <c r="D20" s="5" t="inlineStr">
        <is>
          <t>Exposes filled, focused, disabled, readonly, invalid, and over-limit state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Textarea playground manual verification.</t>
        </is>
      </c>
      <c r="J20" s="5" t="inlineStr">
        <is>
          <t>Manual verification passed.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Textarea playground manual verification.</t>
        </is>
      </c>
      <c r="J21" s="5" t="inlineStr">
        <is>
          <t>Manual verification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Textarea playground manual verification.</t>
        </is>
      </c>
      <c r="J22" s="5" t="inlineStr">
        <is>
          <t>Manual verification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Textarea playground manual verification.</t>
        </is>
      </c>
      <c r="J23" s="5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Textarea playground manual verification.</t>
        </is>
      </c>
      <c r="J24" s="5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Textarea playground manual verification.</t>
        </is>
      </c>
      <c r="J25" s="5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Textarea playground manual verification.</t>
        </is>
      </c>
      <c r="J26" s="5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Textarea playground manual verification.</t>
        </is>
      </c>
      <c r="J27" s="5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Textarea playground manual verification.</t>
        </is>
      </c>
      <c r="J28" s="5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Textarea playground manual verification.</t>
        </is>
      </c>
      <c r="J29" s="5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autoResize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Textarea playground manual verification.</t>
        </is>
      </c>
      <c r="J30" s="5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minRows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Textarea playground manual verification.</t>
        </is>
      </c>
      <c r="J31" s="5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maxRows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Textarea playground manual verification.</t>
        </is>
      </c>
      <c r="J32" s="5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Textarea playground manual verification.</t>
        </is>
      </c>
      <c r="J33" s="5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required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Textarea playground manual verification.</t>
        </is>
      </c>
      <c r="J34" s="5" t="inlineStr">
        <is>
          <t>Manual verification passed.</t>
        </is>
      </c>
      <c r="K34" s="6">
        <f>IF(AND(E34="yes",F34="yes",H34="covered"),1,IF(H34="partial",0.5,0))</f>
        <v/>
      </c>
    </row>
    <row r="35" ht="4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Textarea playground manual verification.</t>
        </is>
      </c>
      <c r="J35" s="5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invalid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Textarea playground manual verification.</t>
        </is>
      </c>
      <c r="J36" s="5" t="inlineStr">
        <is>
          <t>Manual verification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id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Textarea playground manual verification.</t>
        </is>
      </c>
      <c r="J37" s="5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[data-slot]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Textarea playground manual verification.</t>
        </is>
      </c>
      <c r="J38" s="5" t="inlineStr">
        <is>
          <t>Manual verification passed.</t>
        </is>
      </c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[data-filled]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Textarea playground manual verification.</t>
        </is>
      </c>
      <c r="J39" s="5" t="inlineStr">
        <is>
          <t>Manual verification passed.</t>
        </is>
      </c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[data-focused]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Textarea playground manual verification.</t>
        </is>
      </c>
      <c r="J40" s="5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Textarea playground manual verification.</t>
        </is>
      </c>
      <c r="J41" s="5" t="inlineStr">
        <is>
          <t>Manual verification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Textarea playground manual verification.</t>
        </is>
      </c>
      <c r="J42" s="5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Textarea playground manual verification.</t>
        </is>
      </c>
      <c r="J43" s="5" t="inlineStr">
        <is>
          <t>Manual verification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[data-autoresize]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Textarea playground manual verification.</t>
        </is>
      </c>
      <c r="J44" s="5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Count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Textarea playground manual verification.</t>
        </is>
      </c>
      <c r="J45" s="5" t="inlineStr">
        <is>
          <t>Manual verification passed.</t>
        </is>
      </c>
      <c r="K45" s="6">
        <f>IF(AND(E45="yes",F45="yes",H45="covered"),1,IF(H45="partial",0.5,0))</f>
        <v/>
      </c>
    </row>
    <row r="46" ht="45" customHeight="1" s="60">
      <c r="A46" s="4" t="n">
        <v>38</v>
      </c>
      <c r="B46" s="5" t="inlineStr">
        <is>
          <t>Anatomy</t>
        </is>
      </c>
      <c r="C46" s="5" t="inlineStr">
        <is>
          <t>Count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Textarea playground manual verification.</t>
        </is>
      </c>
      <c r="J46" s="5" t="inlineStr">
        <is>
          <t>Manual verification passed.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Count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Textarea playground manual verification.</t>
        </is>
      </c>
      <c r="J47" s="5" t="inlineStr">
        <is>
          <t>Manual verification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Count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Textarea playground manual verification.</t>
        </is>
      </c>
      <c r="J48" s="5" t="inlineStr">
        <is>
          <t>Manual verification passed.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Props</t>
        </is>
      </c>
      <c r="C49" s="5" t="inlineStr">
        <is>
          <t>Count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Textarea playground manual verification.</t>
        </is>
      </c>
      <c r="J49" s="5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Refs</t>
        </is>
      </c>
      <c r="C50" s="5" t="inlineStr">
        <is>
          <t>Count</t>
        </is>
      </c>
      <c r="D50" s="5" t="inlineStr">
        <is>
          <t>consumer ref receives the rendered element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Textarea playground manual verification.</t>
        </is>
      </c>
      <c r="J50" s="5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Count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Textarea playground manual verification.</t>
        </is>
      </c>
      <c r="J51" s="5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Count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Textarea playground manual verification.</t>
        </is>
      </c>
      <c r="J52" s="5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Count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Textarea playground manual verification.</t>
        </is>
      </c>
      <c r="J53" s="5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Count</t>
        </is>
      </c>
      <c r="D54" s="5" t="inlineStr">
        <is>
          <t>[data-count]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Textarea playground manual verification.</t>
        </is>
      </c>
      <c r="J54" s="5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Count</t>
        </is>
      </c>
      <c r="D55" s="5" t="inlineStr">
        <is>
          <t>[data-max]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Textarea playground manual verification.</t>
        </is>
      </c>
      <c r="J55" s="5" t="inlineStr">
        <is>
          <t>Manual verification passed.</t>
        </is>
      </c>
      <c r="K55" s="6">
        <f>IF(AND(E55="yes",F55="yes",H55="covered"),1,IF(H55="partial",0.5,0))</f>
        <v/>
      </c>
    </row>
    <row r="56" ht="45" customHeight="1" s="60">
      <c r="A56" s="4" t="n">
        <v>48</v>
      </c>
      <c r="B56" s="5" t="inlineStr">
        <is>
          <t>Public API</t>
        </is>
      </c>
      <c r="C56" s="5" t="inlineStr">
        <is>
          <t>Count</t>
        </is>
      </c>
      <c r="D56" s="5" t="inlineStr">
        <is>
          <t>[data-over-limit]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Textarea playground manual verification.</t>
        </is>
      </c>
      <c r="J56" s="5" t="inlineStr">
        <is>
          <t>Manual verification passed.</t>
        </is>
      </c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aria-describedby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Textarea playground manual verification.</t>
        </is>
      </c>
      <c r="J57" s="5" t="inlineStr">
        <is>
          <t>Manual verification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aria-invalid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Textarea playground manual verification.</t>
        </is>
      </c>
      <c r="J58" s="5" t="inlineStr">
        <is>
          <t>Manual verification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aria-live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Textarea playground manual verification.</t>
        </is>
      </c>
      <c r="J59" s="5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aria-readonly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Textarea playground manual verification.</t>
        </is>
      </c>
      <c r="J60" s="5" t="inlineStr">
        <is>
          <t>Manual verification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aria-required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Textarea playground manual verification.</t>
        </is>
      </c>
      <c r="J61" s="5" t="inlineStr">
        <is>
          <t>Manual verification passed.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data-autoresize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Textarea playground manual verification.</t>
        </is>
      </c>
      <c r="J62" s="5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data-count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Textarea playground manual verification.</t>
        </is>
      </c>
      <c r="J63" s="5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data-disabled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Textarea playground manual verification.</t>
        </is>
      </c>
      <c r="J64" s="5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data-filled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Textarea playground manual verification.</t>
        </is>
      </c>
      <c r="J65" s="5" t="inlineStr">
        <is>
          <t>Manual verification passed.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data-focused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Textarea playground manual verification.</t>
        </is>
      </c>
      <c r="J66" s="5" t="inlineStr">
        <is>
          <t>Manual verification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data-invalid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Textarea playground manual verification.</t>
        </is>
      </c>
      <c r="J67" s="5" t="inlineStr">
        <is>
          <t>Manual verification passed.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data-max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Textarea playground manual verification.</t>
        </is>
      </c>
      <c r="J68" s="5" t="inlineStr">
        <is>
          <t>Manual verification passed.</t>
        </is>
      </c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data-over-limit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Textarea playground manual verification.</t>
        </is>
      </c>
      <c r="J69" s="5" t="inlineStr">
        <is>
          <t>Manual verification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data-readonly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Textarea playground manual verification.</t>
        </is>
      </c>
      <c r="J70" s="5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data-slot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Textarea playground manual verification.</t>
        </is>
      </c>
      <c r="J71" s="5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controlled state path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Textarea playground manual verification.</t>
        </is>
      </c>
      <c r="J72" s="5" t="inlineStr">
        <is>
          <t>Manual verification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Root</t>
        </is>
      </c>
      <c r="D73" s="5" t="inlineStr">
        <is>
          <t>uncontrolled default state path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Textarea playground manual verification.</t>
        </is>
      </c>
      <c r="J73" s="5" t="inlineStr">
        <is>
          <t>Manual verification passed.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State</t>
        </is>
      </c>
      <c r="C74" s="5" t="inlineStr">
        <is>
          <t>Root</t>
        </is>
      </c>
      <c r="D74" s="5" t="inlineStr">
        <is>
          <t>state change callback fires once with correct value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Textarea playground manual verification.</t>
        </is>
      </c>
      <c r="J74" s="5" t="inlineStr">
        <is>
          <t>Manual verification passed.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State</t>
        </is>
      </c>
      <c r="C75" s="5" t="inlineStr">
        <is>
          <t>Textarea</t>
        </is>
      </c>
      <c r="D75" s="5" t="inlineStr">
        <is>
          <t>disabled state blocks or exposes behavior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Textarea playground manual verification.</t>
        </is>
      </c>
      <c r="J75" s="5" t="inlineStr">
        <is>
          <t>Manual verification passed.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State</t>
        </is>
      </c>
      <c r="C76" s="5" t="inlineStr">
        <is>
          <t>Textarea</t>
        </is>
      </c>
      <c r="D76" s="5" t="inlineStr">
        <is>
          <t>readonly/readOnly state blocks or exposes behavior correctly where supported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Textarea playground manual verification.</t>
        </is>
      </c>
      <c r="J76" s="5" t="inlineStr">
        <is>
          <t>Manual verification passed.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Textarea</t>
        </is>
      </c>
      <c r="D77" s="5" t="inlineStr">
        <is>
          <t>required state blocks or exposes behavior correctly where supported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Textarea playground manual verification.</t>
        </is>
      </c>
      <c r="J77" s="5" t="inlineStr">
        <is>
          <t>Manual verification passed.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Textarea</t>
        </is>
      </c>
      <c r="D78" s="5" t="inlineStr">
        <is>
          <t>invalid state blocks or exposes behavior correctly where supported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Textarea playground manual verification.</t>
        </is>
      </c>
      <c r="J78" s="5" t="inlineStr">
        <is>
          <t>Manual verification passed.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Forms</t>
        </is>
      </c>
      <c r="C79" s="5" t="inlineStr">
        <is>
          <t>Textarea</t>
        </is>
      </c>
      <c r="D79" s="5" t="inlineStr">
        <is>
          <t>form value participates correctly where supported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Textarea playground manual verification.</t>
        </is>
      </c>
      <c r="J79" s="5" t="inlineStr">
        <is>
          <t>Manual verification passed.</t>
        </is>
      </c>
      <c r="K79" s="6">
        <f>IF(AND(E79="yes",F79="yes",H79="covered"),1,IF(H79="partial",0.5,0))</f>
        <v/>
      </c>
    </row>
    <row r="80" ht="30" customHeight="1" s="60"/>
    <row r="81" ht="30" customHeight="1" s="60"/>
    <row r="82" ht="30" customHeight="1" s="60"/>
    <row r="83" ht="30" customHeight="1" s="60"/>
    <row r="84" ht="15" customHeight="1" s="60"/>
    <row r="85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12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Toast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manual-tests/toast.md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manual-tests/toast.md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Toast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manual-tests/toast.md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Toast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manual-tests/toast.md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Toast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manual-tests/toast.md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Toast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manual-tests/toast.md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Toast</t>
        </is>
      </c>
      <c r="D15" s="5" t="inlineStr">
        <is>
          <t>Supports declarative and imperative toast rendering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manual-tests/toast.md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Toast</t>
        </is>
      </c>
      <c r="D16" s="5" t="inlineStr">
        <is>
          <t>Includes a global toast store and `toast.*` helpers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manual-tests/toast.md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Toast</t>
        </is>
      </c>
      <c r="D17" s="5" t="inlineStr">
        <is>
          <t>Supports queueing with a maximum visible count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manual-tests/toast.md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Toast</t>
        </is>
      </c>
      <c r="D18" s="5" t="inlineStr">
        <is>
          <t>Announces toast titles/descriptions through persistent live regions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manual-tests/toast.md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Toast</t>
        </is>
      </c>
      <c r="D19" s="5" t="inlineStr">
        <is>
          <t>Supports hover/focus-loss pause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manual-tests/toast.md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Toast</t>
        </is>
      </c>
      <c r="D20" s="5" t="inlineStr">
        <is>
          <t>Supports custom viewport rendering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manual-tests/toast.md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Toast</t>
        </is>
      </c>
      <c r="D21" s="5" t="inlineStr">
        <is>
          <t>Supports `asChild` and `render` on visual parts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manual-tests/toast.md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correct part when expected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manual-tests/toast.md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appears in documented order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manual-tests/toast.md</t>
        </is>
      </c>
      <c r="J23" s="5" t="n"/>
      <c r="K23" s="6">
        <f>IF(AND(E23="yes",F23="yes",H23="covered"),1,IF(H23="partial",0.5,0))</f>
        <v/>
      </c>
    </row>
    <row r="24" ht="30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default tag is visible in Anatomy/Inspector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manual-tests/toast.md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data-slot is present and correct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manual-tests/toast.md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non-Atom native props pass through with data-prop-check marker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manual-tests/toast.md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Refs</t>
        </is>
      </c>
      <c r="C27" s="5" t="inlineStr">
        <is>
          <t>Root</t>
        </is>
      </c>
      <c r="D27" s="5" t="inlineStr">
        <is>
          <t>consumer ref receives the rendered element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manual-tests/toast.md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Composition</t>
        </is>
      </c>
      <c r="C28" s="5" t="inlineStr">
        <is>
          <t>Root</t>
        </is>
      </c>
      <c r="D28" s="5" t="inlineStr">
        <is>
          <t>asChild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manual-tests/toast.md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render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manual-tests/toast.md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toast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manual-tests/toast.md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type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manual-tests/toast.md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duration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manual-tests/toast.md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paused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manual-tests/toast.md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dismissible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manual-tests/toast.md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closeButton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manual-tests/toast.md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index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manual-tests/toast.md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expanded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manual-tests/toast.md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removeDelay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manual-tests/toast.md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forceMount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manual-tests/toast.md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onAutoClose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manual-tests/toast.md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onDismiss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manual-tests/toast.md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manual-tests/toast.md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[data-state]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manual-tests/toast.md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[data-type]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manual-tests/toast.md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[data-index]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manual-tests/toast.md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[data-expanded]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manual-tests/toast.md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Provider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manual-tests/toast.md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Provider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manual-tests/toast.md</t>
        </is>
      </c>
      <c r="J48" s="5" t="n"/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Public API</t>
        </is>
      </c>
      <c r="C49" s="5" t="inlineStr">
        <is>
          <t>Provider</t>
        </is>
      </c>
      <c r="D49" s="5" t="inlineStr">
        <is>
          <t>maxVisible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manual-tests/toast.md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Provider</t>
        </is>
      </c>
      <c r="D50" s="5" t="inlineStr">
        <is>
          <t>expandOnHover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manual-tests/toast.md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Provider</t>
        </is>
      </c>
      <c r="D51" s="5" t="inlineStr">
        <is>
          <t>closeButton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manual-tests/toast.md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Provider</t>
        </is>
      </c>
      <c r="D52" s="5" t="inlineStr">
        <is>
          <t>pauseOnHover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manual-tests/toast.md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Provider</t>
        </is>
      </c>
      <c r="D53" s="5" t="inlineStr">
        <is>
          <t>pauseOnFocusLoss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manual-tests/toast.md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Viewport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manual-tests/toast.md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Viewport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manual-tests/toast.md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Identity</t>
        </is>
      </c>
      <c r="C56" s="5" t="inlineStr">
        <is>
          <t>Viewport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manual-tests/toast.md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Identity</t>
        </is>
      </c>
      <c r="C57" s="5" t="inlineStr">
        <is>
          <t>Viewport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manual-tests/toast.md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Props</t>
        </is>
      </c>
      <c r="C58" s="5" t="inlineStr">
        <is>
          <t>Viewport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manual-tests/toast.md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Refs</t>
        </is>
      </c>
      <c r="C59" s="5" t="inlineStr">
        <is>
          <t>Viewport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manual-tests/toast.md</t>
        </is>
      </c>
      <c r="J59" s="5" t="n"/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Composition</t>
        </is>
      </c>
      <c r="C60" s="5" t="inlineStr">
        <is>
          <t>Viewport</t>
        </is>
      </c>
      <c r="D60" s="5" t="inlineStr">
        <is>
          <t>asChild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manual-tests/toast.md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Composition</t>
        </is>
      </c>
      <c r="C61" s="5" t="inlineStr">
        <is>
          <t>Viewport</t>
        </is>
      </c>
      <c r="D61" s="5" t="inlineStr">
        <is>
          <t>render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manual-tests/toast.md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Viewport</t>
        </is>
      </c>
      <c r="D62" s="5" t="inlineStr">
        <is>
          <t>position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manual-tests/toast.md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Positioning</t>
        </is>
      </c>
      <c r="C63" s="5" t="inlineStr">
        <is>
          <t>Viewport</t>
        </is>
      </c>
      <c r="D63" s="5" t="inlineStr">
        <is>
          <t>container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manual-tests/toast.md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Positioning</t>
        </is>
      </c>
      <c r="C64" s="5" t="inlineStr">
        <is>
          <t>Viewport</t>
        </is>
      </c>
      <c r="D64" s="5" t="inlineStr">
        <is>
          <t>portalDisabled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manual-tests/toast.md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Viewport</t>
        </is>
      </c>
      <c r="D65" s="5" t="inlineStr">
        <is>
          <t>renderToast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manual-tests/toast.md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Viewport</t>
        </is>
      </c>
      <c r="D66" s="5" t="inlineStr">
        <is>
          <t>[data-slot]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manual-tests/toast.md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Viewport</t>
        </is>
      </c>
      <c r="D67" s="5" t="inlineStr">
        <is>
          <t>[data-position]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manual-tests/toast.md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Viewport</t>
        </is>
      </c>
      <c r="D68" s="5" t="inlineStr">
        <is>
          <t>[data-expanded]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manual-tests/toast.md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Viewport</t>
        </is>
      </c>
      <c r="D69" s="5" t="inlineStr">
        <is>
          <t>[data-slot="toast-announcer-polite"]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manual-tests/toast.md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Viewport</t>
        </is>
      </c>
      <c r="D70" s="5" t="inlineStr">
        <is>
          <t>[data-slot="toast-announcer-assertive"]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protocol</t>
        </is>
      </c>
      <c r="H70" s="9" t="inlineStr">
        <is>
          <t>covered</t>
        </is>
      </c>
      <c r="I70" s="5" t="inlineStr">
        <is>
          <t>manual-tests/toast.md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Title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protocol</t>
        </is>
      </c>
      <c r="H71" s="9" t="inlineStr">
        <is>
          <t>covered</t>
        </is>
      </c>
      <c r="I71" s="5" t="inlineStr">
        <is>
          <t>manual-tests/toast.md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Title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protocol</t>
        </is>
      </c>
      <c r="H72" s="9" t="inlineStr">
        <is>
          <t>covered</t>
        </is>
      </c>
      <c r="I72" s="5" t="inlineStr">
        <is>
          <t>manual-tests/toast.md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Title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protocol</t>
        </is>
      </c>
      <c r="H73" s="9" t="inlineStr">
        <is>
          <t>covered</t>
        </is>
      </c>
      <c r="I73" s="5" t="inlineStr">
        <is>
          <t>manual-tests/toast.md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Title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protocol</t>
        </is>
      </c>
      <c r="H74" s="9" t="inlineStr">
        <is>
          <t>covered</t>
        </is>
      </c>
      <c r="I74" s="5" t="inlineStr">
        <is>
          <t>manual-tests/toast.md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Title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protocol</t>
        </is>
      </c>
      <c r="H75" s="9" t="inlineStr">
        <is>
          <t>covered</t>
        </is>
      </c>
      <c r="I75" s="5" t="inlineStr">
        <is>
          <t>manual-tests/toast.md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Title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protocol</t>
        </is>
      </c>
      <c r="H76" s="9" t="inlineStr">
        <is>
          <t>covered</t>
        </is>
      </c>
      <c r="I76" s="5" t="inlineStr">
        <is>
          <t>manual-tests/toast.md</t>
        </is>
      </c>
      <c r="J76" s="5" t="n"/>
      <c r="K76" s="6">
        <f>IF(AND(E76="yes",F76="yes",H76="covered"),1,IF(H76="partial",0.5,0))</f>
        <v/>
      </c>
    </row>
    <row r="77" ht="30" customHeight="1" s="60">
      <c r="A77" s="4" t="n">
        <v>69</v>
      </c>
      <c r="B77" s="5" t="inlineStr">
        <is>
          <t>Composition</t>
        </is>
      </c>
      <c r="C77" s="5" t="inlineStr">
        <is>
          <t>Title</t>
        </is>
      </c>
      <c r="D77" s="5" t="inlineStr">
        <is>
          <t>asChild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protocol</t>
        </is>
      </c>
      <c r="H77" s="9" t="inlineStr">
        <is>
          <t>covered</t>
        </is>
      </c>
      <c r="I77" s="5" t="inlineStr">
        <is>
          <t>manual-tests/toast.md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Title</t>
        </is>
      </c>
      <c r="D78" s="5" t="inlineStr">
        <is>
          <t>render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protocol</t>
        </is>
      </c>
      <c r="H78" s="9" t="inlineStr">
        <is>
          <t>covered</t>
        </is>
      </c>
      <c r="I78" s="5" t="inlineStr">
        <is>
          <t>manual-tests/toast.md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Public API</t>
        </is>
      </c>
      <c r="C79" s="5" t="inlineStr">
        <is>
          <t>Title</t>
        </is>
      </c>
      <c r="D79" s="5" t="inlineStr">
        <is>
          <t>[data-slot]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protocol</t>
        </is>
      </c>
      <c r="H79" s="9" t="inlineStr">
        <is>
          <t>covered</t>
        </is>
      </c>
      <c r="I79" s="5" t="inlineStr">
        <is>
          <t>manual-tests/toast.md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Description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protocol</t>
        </is>
      </c>
      <c r="H80" s="9" t="inlineStr">
        <is>
          <t>covered</t>
        </is>
      </c>
      <c r="I80" s="5" t="inlineStr">
        <is>
          <t>manual-tests/toast.md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Description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protocol</t>
        </is>
      </c>
      <c r="H81" s="9" t="inlineStr">
        <is>
          <t>covered</t>
        </is>
      </c>
      <c r="I81" s="5" t="inlineStr">
        <is>
          <t>manual-tests/toast.md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Description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protocol</t>
        </is>
      </c>
      <c r="H82" s="9" t="inlineStr">
        <is>
          <t>covered</t>
        </is>
      </c>
      <c r="I82" s="5" t="inlineStr">
        <is>
          <t>manual-tests/toast.md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Description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protocol</t>
        </is>
      </c>
      <c r="H83" s="9" t="inlineStr">
        <is>
          <t>covered</t>
        </is>
      </c>
      <c r="I83" s="5" t="inlineStr">
        <is>
          <t>manual-tests/toast.md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Props</t>
        </is>
      </c>
      <c r="C84" s="5" t="inlineStr">
        <is>
          <t>Description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protocol</t>
        </is>
      </c>
      <c r="H84" s="9" t="inlineStr">
        <is>
          <t>covered</t>
        </is>
      </c>
      <c r="I84" s="5" t="inlineStr">
        <is>
          <t>manual-tests/toast.md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Refs</t>
        </is>
      </c>
      <c r="C85" s="5" t="inlineStr">
        <is>
          <t>Description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protocol</t>
        </is>
      </c>
      <c r="H85" s="9" t="inlineStr">
        <is>
          <t>covered</t>
        </is>
      </c>
      <c r="I85" s="5" t="inlineStr">
        <is>
          <t>manual-tests/toast.md</t>
        </is>
      </c>
      <c r="J85" s="5" t="n"/>
      <c r="K85" s="6">
        <f>IF(AND(E85="yes",F85="yes",H85="covered"),1,IF(H85="partial",0.5,0))</f>
        <v/>
      </c>
    </row>
    <row r="86" ht="30" customHeight="1" s="60">
      <c r="A86" s="4" t="n">
        <v>78</v>
      </c>
      <c r="B86" s="5" t="inlineStr">
        <is>
          <t>Composition</t>
        </is>
      </c>
      <c r="C86" s="5" t="inlineStr">
        <is>
          <t>Description</t>
        </is>
      </c>
      <c r="D86" s="5" t="inlineStr">
        <is>
          <t>asChild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protocol</t>
        </is>
      </c>
      <c r="H86" s="9" t="inlineStr">
        <is>
          <t>covered</t>
        </is>
      </c>
      <c r="I86" s="5" t="inlineStr">
        <is>
          <t>manual-tests/toast.md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Description</t>
        </is>
      </c>
      <c r="D87" s="5" t="inlineStr">
        <is>
          <t>render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protocol</t>
        </is>
      </c>
      <c r="H87" s="9" t="inlineStr">
        <is>
          <t>covered</t>
        </is>
      </c>
      <c r="I87" s="5" t="inlineStr">
        <is>
          <t>manual-tests/toast.md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Description</t>
        </is>
      </c>
      <c r="D88" s="5" t="inlineStr">
        <is>
          <t>[data-slot]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protocol</t>
        </is>
      </c>
      <c r="H88" s="9" t="inlineStr">
        <is>
          <t>covered</t>
        </is>
      </c>
      <c r="I88" s="5" t="inlineStr">
        <is>
          <t>manual-tests/toast.md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Anatomy</t>
        </is>
      </c>
      <c r="C89" s="5" t="inlineStr">
        <is>
          <t>Close</t>
        </is>
      </c>
      <c r="D89" s="5" t="inlineStr">
        <is>
          <t>renders correct part when expected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protocol</t>
        </is>
      </c>
      <c r="H89" s="9" t="inlineStr">
        <is>
          <t>covered</t>
        </is>
      </c>
      <c r="I89" s="5" t="inlineStr">
        <is>
          <t>manual-tests/toast.md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Anatomy</t>
        </is>
      </c>
      <c r="C90" s="5" t="inlineStr">
        <is>
          <t>Close</t>
        </is>
      </c>
      <c r="D90" s="5" t="inlineStr">
        <is>
          <t>appears in documented order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protocol</t>
        </is>
      </c>
      <c r="H90" s="9" t="inlineStr">
        <is>
          <t>covered</t>
        </is>
      </c>
      <c r="I90" s="5" t="inlineStr">
        <is>
          <t>manual-tests/toast.md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Identity</t>
        </is>
      </c>
      <c r="C91" s="5" t="inlineStr">
        <is>
          <t>Close</t>
        </is>
      </c>
      <c r="D91" s="5" t="inlineStr">
        <is>
          <t>default tag is visible in Anatomy/Inspector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protocol</t>
        </is>
      </c>
      <c r="H91" s="9" t="inlineStr">
        <is>
          <t>covered</t>
        </is>
      </c>
      <c r="I91" s="5" t="inlineStr">
        <is>
          <t>manual-tests/toast.md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Identity</t>
        </is>
      </c>
      <c r="C92" s="5" t="inlineStr">
        <is>
          <t>Close</t>
        </is>
      </c>
      <c r="D92" s="5" t="inlineStr">
        <is>
          <t>data-slot is present and correct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protocol</t>
        </is>
      </c>
      <c r="H92" s="9" t="inlineStr">
        <is>
          <t>covered</t>
        </is>
      </c>
      <c r="I92" s="5" t="inlineStr">
        <is>
          <t>manual-tests/toast.md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Props</t>
        </is>
      </c>
      <c r="C93" s="5" t="inlineStr">
        <is>
          <t>Close</t>
        </is>
      </c>
      <c r="D93" s="5" t="inlineStr">
        <is>
          <t>non-Atom native props pass through with data-prop-check marker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protocol</t>
        </is>
      </c>
      <c r="H93" s="9" t="inlineStr">
        <is>
          <t>covered</t>
        </is>
      </c>
      <c r="I93" s="5" t="inlineStr">
        <is>
          <t>manual-tests/toast.md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Refs</t>
        </is>
      </c>
      <c r="C94" s="5" t="inlineStr">
        <is>
          <t>Close</t>
        </is>
      </c>
      <c r="D94" s="5" t="inlineStr">
        <is>
          <t>consumer ref receives the rendered element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protocol</t>
        </is>
      </c>
      <c r="H94" s="9" t="inlineStr">
        <is>
          <t>covered</t>
        </is>
      </c>
      <c r="I94" s="5" t="inlineStr">
        <is>
          <t>manual-tests/toast.md</t>
        </is>
      </c>
      <c r="J94" s="5" t="n"/>
      <c r="K94" s="6">
        <f>IF(AND(E94="yes",F94="yes",H94="covered"),1,IF(H94="partial",0.5,0))</f>
        <v/>
      </c>
    </row>
    <row r="95" ht="30" customHeight="1" s="60">
      <c r="A95" s="4" t="n">
        <v>87</v>
      </c>
      <c r="B95" s="5" t="inlineStr">
        <is>
          <t>Composition</t>
        </is>
      </c>
      <c r="C95" s="5" t="inlineStr">
        <is>
          <t>Close</t>
        </is>
      </c>
      <c r="D95" s="5" t="inlineStr">
        <is>
          <t>asChild prop behavior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protocol</t>
        </is>
      </c>
      <c r="H95" s="9" t="inlineStr">
        <is>
          <t>covered</t>
        </is>
      </c>
      <c r="I95" s="5" t="inlineStr">
        <is>
          <t>manual-tests/toast.md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Close</t>
        </is>
      </c>
      <c r="D96" s="5" t="inlineStr">
        <is>
          <t>render prop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protocol</t>
        </is>
      </c>
      <c r="H96" s="9" t="inlineStr">
        <is>
          <t>covered</t>
        </is>
      </c>
      <c r="I96" s="5" t="inlineStr">
        <is>
          <t>manual-tests/toast.md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Accessibility</t>
        </is>
      </c>
      <c r="C97" s="5" t="inlineStr">
        <is>
          <t>Close</t>
        </is>
      </c>
      <c r="D97" s="5" t="inlineStr">
        <is>
          <t>aria-label prop behavior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protocol</t>
        </is>
      </c>
      <c r="H97" s="9" t="inlineStr">
        <is>
          <t>covered</t>
        </is>
      </c>
      <c r="I97" s="5" t="inlineStr">
        <is>
          <t>manual-tests/toast.md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Public API</t>
        </is>
      </c>
      <c r="C98" s="5" t="inlineStr">
        <is>
          <t>Close</t>
        </is>
      </c>
      <c r="D98" s="5" t="inlineStr">
        <is>
          <t>[data-slot] prop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protocol</t>
        </is>
      </c>
      <c r="H98" s="9" t="inlineStr">
        <is>
          <t>covered</t>
        </is>
      </c>
      <c r="I98" s="5" t="inlineStr">
        <is>
          <t>manual-tests/toast.md</t>
        </is>
      </c>
      <c r="J98" s="5" t="n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Anatomy</t>
        </is>
      </c>
      <c r="C99" s="5" t="inlineStr">
        <is>
          <t>Action</t>
        </is>
      </c>
      <c r="D99" s="5" t="inlineStr">
        <is>
          <t>renders correct part when expected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protocol</t>
        </is>
      </c>
      <c r="H99" s="9" t="inlineStr">
        <is>
          <t>covered</t>
        </is>
      </c>
      <c r="I99" s="5" t="inlineStr">
        <is>
          <t>manual-tests/toast.md</t>
        </is>
      </c>
      <c r="J99" s="5" t="n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Anatomy</t>
        </is>
      </c>
      <c r="C100" s="5" t="inlineStr">
        <is>
          <t>Action</t>
        </is>
      </c>
      <c r="D100" s="5" t="inlineStr">
        <is>
          <t>appears in documented order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protocol</t>
        </is>
      </c>
      <c r="H100" s="9" t="inlineStr">
        <is>
          <t>covered</t>
        </is>
      </c>
      <c r="I100" s="5" t="inlineStr">
        <is>
          <t>manual-tests/toast.md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Action</t>
        </is>
      </c>
      <c r="D101" s="5" t="inlineStr">
        <is>
          <t>default tag is visible in Anatomy/Inspector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protocol</t>
        </is>
      </c>
      <c r="H101" s="9" t="inlineStr">
        <is>
          <t>covered</t>
        </is>
      </c>
      <c r="I101" s="5" t="inlineStr">
        <is>
          <t>manual-tests/toast.md</t>
        </is>
      </c>
      <c r="J101" s="5" t="n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Identity</t>
        </is>
      </c>
      <c r="C102" s="5" t="inlineStr">
        <is>
          <t>Action</t>
        </is>
      </c>
      <c r="D102" s="5" t="inlineStr">
        <is>
          <t>data-slot is present and correct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protocol</t>
        </is>
      </c>
      <c r="H102" s="9" t="inlineStr">
        <is>
          <t>covered</t>
        </is>
      </c>
      <c r="I102" s="5" t="inlineStr">
        <is>
          <t>manual-tests/toast.md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Props</t>
        </is>
      </c>
      <c r="C103" s="5" t="inlineStr">
        <is>
          <t>Action</t>
        </is>
      </c>
      <c r="D103" s="5" t="inlineStr">
        <is>
          <t>non-Atom native props pass through with data-prop-check marker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protocol</t>
        </is>
      </c>
      <c r="H103" s="9" t="inlineStr">
        <is>
          <t>covered</t>
        </is>
      </c>
      <c r="I103" s="5" t="inlineStr">
        <is>
          <t>manual-tests/toast.md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Refs</t>
        </is>
      </c>
      <c r="C104" s="5" t="inlineStr">
        <is>
          <t>Action</t>
        </is>
      </c>
      <c r="D104" s="5" t="inlineStr">
        <is>
          <t>consumer ref receives the rendered element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protocol</t>
        </is>
      </c>
      <c r="H104" s="9" t="inlineStr">
        <is>
          <t>covered</t>
        </is>
      </c>
      <c r="I104" s="5" t="inlineStr">
        <is>
          <t>manual-tests/toast.md</t>
        </is>
      </c>
      <c r="J104" s="5" t="n"/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Composition</t>
        </is>
      </c>
      <c r="C105" s="5" t="inlineStr">
        <is>
          <t>Action</t>
        </is>
      </c>
      <c r="D105" s="5" t="inlineStr">
        <is>
          <t>asChild prop behavior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protocol</t>
        </is>
      </c>
      <c r="H105" s="9" t="inlineStr">
        <is>
          <t>covered</t>
        </is>
      </c>
      <c r="I105" s="5" t="inlineStr">
        <is>
          <t>manual-tests/toast.md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Composition</t>
        </is>
      </c>
      <c r="C106" s="5" t="inlineStr">
        <is>
          <t>Action</t>
        </is>
      </c>
      <c r="D106" s="5" t="inlineStr">
        <is>
          <t>render prop behavior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protocol</t>
        </is>
      </c>
      <c r="H106" s="9" t="inlineStr">
        <is>
          <t>covered</t>
        </is>
      </c>
      <c r="I106" s="5" t="inlineStr">
        <is>
          <t>manual-tests/toast.md</t>
        </is>
      </c>
      <c r="J106" s="5" t="n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Public API</t>
        </is>
      </c>
      <c r="C107" s="5" t="inlineStr">
        <is>
          <t>Action</t>
        </is>
      </c>
      <c r="D107" s="5" t="inlineStr">
        <is>
          <t>altText prop behavior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protocol</t>
        </is>
      </c>
      <c r="H107" s="9" t="inlineStr">
        <is>
          <t>covered</t>
        </is>
      </c>
      <c r="I107" s="5" t="inlineStr">
        <is>
          <t>manual-tests/toast.md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Action</t>
        </is>
      </c>
      <c r="D108" s="5" t="inlineStr">
        <is>
          <t>[data-slot]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protocol</t>
        </is>
      </c>
      <c r="H108" s="9" t="inlineStr">
        <is>
          <t>covered</t>
        </is>
      </c>
      <c r="I108" s="5" t="inlineStr">
        <is>
          <t>manual-tests/toast.md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Anatomy</t>
        </is>
      </c>
      <c r="C109" s="5" t="inlineStr">
        <is>
          <t>Cancel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protocol</t>
        </is>
      </c>
      <c r="H109" s="9" t="inlineStr">
        <is>
          <t>covered</t>
        </is>
      </c>
      <c r="I109" s="5" t="inlineStr">
        <is>
          <t>manual-tests/toast.md</t>
        </is>
      </c>
      <c r="J109" s="5" t="n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Cancel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protocol</t>
        </is>
      </c>
      <c r="H110" s="9" t="inlineStr">
        <is>
          <t>covered</t>
        </is>
      </c>
      <c r="I110" s="5" t="inlineStr">
        <is>
          <t>manual-tests/toast.md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Identity</t>
        </is>
      </c>
      <c r="C111" s="5" t="inlineStr">
        <is>
          <t>Cancel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protocol</t>
        </is>
      </c>
      <c r="H111" s="9" t="inlineStr">
        <is>
          <t>covered</t>
        </is>
      </c>
      <c r="I111" s="5" t="inlineStr">
        <is>
          <t>manual-tests/toast.md</t>
        </is>
      </c>
      <c r="J111" s="5" t="n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Cancel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protocol</t>
        </is>
      </c>
      <c r="H112" s="9" t="inlineStr">
        <is>
          <t>covered</t>
        </is>
      </c>
      <c r="I112" s="5" t="inlineStr">
        <is>
          <t>manual-tests/toast.md</t>
        </is>
      </c>
      <c r="J112" s="5" t="n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Props</t>
        </is>
      </c>
      <c r="C113" s="5" t="inlineStr">
        <is>
          <t>Cancel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protocol</t>
        </is>
      </c>
      <c r="H113" s="9" t="inlineStr">
        <is>
          <t>covered</t>
        </is>
      </c>
      <c r="I113" s="5" t="inlineStr">
        <is>
          <t>manual-tests/toast.md</t>
        </is>
      </c>
      <c r="J113" s="5" t="n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Refs</t>
        </is>
      </c>
      <c r="C114" s="5" t="inlineStr">
        <is>
          <t>Cancel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protocol</t>
        </is>
      </c>
      <c r="H114" s="9" t="inlineStr">
        <is>
          <t>covered</t>
        </is>
      </c>
      <c r="I114" s="5" t="inlineStr">
        <is>
          <t>manual-tests/toast.md</t>
        </is>
      </c>
      <c r="J114" s="5" t="n"/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Composition</t>
        </is>
      </c>
      <c r="C115" s="5" t="inlineStr">
        <is>
          <t>Cancel</t>
        </is>
      </c>
      <c r="D115" s="5" t="inlineStr">
        <is>
          <t>asChild prop behavior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protocol</t>
        </is>
      </c>
      <c r="H115" s="9" t="inlineStr">
        <is>
          <t>covered</t>
        </is>
      </c>
      <c r="I115" s="5" t="inlineStr">
        <is>
          <t>manual-tests/toast.md</t>
        </is>
      </c>
      <c r="J115" s="5" t="n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Composition</t>
        </is>
      </c>
      <c r="C116" s="5" t="inlineStr">
        <is>
          <t>Cancel</t>
        </is>
      </c>
      <c r="D116" s="5" t="inlineStr">
        <is>
          <t>render prop behavior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protocol</t>
        </is>
      </c>
      <c r="H116" s="9" t="inlineStr">
        <is>
          <t>covered</t>
        </is>
      </c>
      <c r="I116" s="5" t="inlineStr">
        <is>
          <t>manual-tests/toast.md</t>
        </is>
      </c>
      <c r="J116" s="5" t="n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Public API</t>
        </is>
      </c>
      <c r="C117" s="5" t="inlineStr">
        <is>
          <t>Cancel</t>
        </is>
      </c>
      <c r="D117" s="5" t="inlineStr">
        <is>
          <t>altText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protocol</t>
        </is>
      </c>
      <c r="H117" s="9" t="inlineStr">
        <is>
          <t>covered</t>
        </is>
      </c>
      <c r="I117" s="5" t="inlineStr">
        <is>
          <t>manual-tests/toast.md</t>
        </is>
      </c>
      <c r="J117" s="5" t="n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Public API</t>
        </is>
      </c>
      <c r="C118" s="5" t="inlineStr">
        <is>
          <t>Cancel</t>
        </is>
      </c>
      <c r="D118" s="5" t="inlineStr">
        <is>
          <t>[data-slot] prop behavior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protocol</t>
        </is>
      </c>
      <c r="H118" s="9" t="inlineStr">
        <is>
          <t>covered</t>
        </is>
      </c>
      <c r="I118" s="5" t="inlineStr">
        <is>
          <t>manual-tests/toast.md</t>
        </is>
      </c>
      <c r="J118" s="5" t="n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ARIA</t>
        </is>
      </c>
      <c r="C119" s="5" t="inlineStr">
        <is>
          <t>Live DOM</t>
        </is>
      </c>
      <c r="D119" s="5" t="inlineStr">
        <is>
          <t>aria-atomic is present at the correct time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protocol</t>
        </is>
      </c>
      <c r="H119" s="9" t="inlineStr">
        <is>
          <t>covered</t>
        </is>
      </c>
      <c r="I119" s="5" t="inlineStr">
        <is>
          <t>manual-tests/toast.md</t>
        </is>
      </c>
      <c r="J119" s="5" t="n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ARIA</t>
        </is>
      </c>
      <c r="C120" s="5" t="inlineStr">
        <is>
          <t>Live DOM</t>
        </is>
      </c>
      <c r="D120" s="5" t="inlineStr">
        <is>
          <t>aria-label is present at the correct time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protocol</t>
        </is>
      </c>
      <c r="H120" s="9" t="inlineStr">
        <is>
          <t>covered</t>
        </is>
      </c>
      <c r="I120" s="5" t="inlineStr">
        <is>
          <t>manual-tests/toast.md</t>
        </is>
      </c>
      <c r="J120" s="5" t="n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ARIA</t>
        </is>
      </c>
      <c r="C121" s="5" t="inlineStr">
        <is>
          <t>Live DOM</t>
        </is>
      </c>
      <c r="D121" s="5" t="inlineStr">
        <is>
          <t>aria-live is present at the correct time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protocol</t>
        </is>
      </c>
      <c r="H121" s="9" t="inlineStr">
        <is>
          <t>covered</t>
        </is>
      </c>
      <c r="I121" s="5" t="inlineStr">
        <is>
          <t>manual-tests/toast.md</t>
        </is>
      </c>
      <c r="J121" s="5" t="n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Data</t>
        </is>
      </c>
      <c r="C122" s="5" t="inlineStr">
        <is>
          <t>Live DOM</t>
        </is>
      </c>
      <c r="D122" s="5" t="inlineStr">
        <is>
          <t>data-expanded is present at the correct time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protocol</t>
        </is>
      </c>
      <c r="H122" s="9" t="inlineStr">
        <is>
          <t>covered</t>
        </is>
      </c>
      <c r="I122" s="5" t="inlineStr">
        <is>
          <t>manual-tests/toast.md</t>
        </is>
      </c>
      <c r="J122" s="5" t="n"/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Data</t>
        </is>
      </c>
      <c r="C123" s="5" t="inlineStr">
        <is>
          <t>Live DOM</t>
        </is>
      </c>
      <c r="D123" s="5" t="inlineStr">
        <is>
          <t>data-index is present at the correct time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protocol</t>
        </is>
      </c>
      <c r="H123" s="9" t="inlineStr">
        <is>
          <t>covered</t>
        </is>
      </c>
      <c r="I123" s="5" t="inlineStr">
        <is>
          <t>manual-tests/toast.md</t>
        </is>
      </c>
      <c r="J123" s="5" t="n"/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Data</t>
        </is>
      </c>
      <c r="C124" s="5" t="inlineStr">
        <is>
          <t>Live DOM</t>
        </is>
      </c>
      <c r="D124" s="5" t="inlineStr">
        <is>
          <t>data-position is present at the correct time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protocol</t>
        </is>
      </c>
      <c r="H124" s="9" t="inlineStr">
        <is>
          <t>covered</t>
        </is>
      </c>
      <c r="I124" s="5" t="inlineStr">
        <is>
          <t>manual-tests/toast.md</t>
        </is>
      </c>
      <c r="J124" s="5" t="n"/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Data</t>
        </is>
      </c>
      <c r="C125" s="5" t="inlineStr">
        <is>
          <t>Live DOM</t>
        </is>
      </c>
      <c r="D125" s="5" t="inlineStr">
        <is>
          <t>data-slot is present at the correct time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protocol</t>
        </is>
      </c>
      <c r="H125" s="9" t="inlineStr">
        <is>
          <t>covered</t>
        </is>
      </c>
      <c r="I125" s="5" t="inlineStr">
        <is>
          <t>manual-tests/toast.md</t>
        </is>
      </c>
      <c r="J125" s="5" t="n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Data</t>
        </is>
      </c>
      <c r="C126" s="5" t="inlineStr">
        <is>
          <t>Live DOM</t>
        </is>
      </c>
      <c r="D126" s="5" t="inlineStr">
        <is>
          <t>data-state is present at the correct time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protocol</t>
        </is>
      </c>
      <c r="H126" s="9" t="inlineStr">
        <is>
          <t>covered</t>
        </is>
      </c>
      <c r="I126" s="5" t="inlineStr">
        <is>
          <t>manual-tests/toast.md</t>
        </is>
      </c>
      <c r="J126" s="5" t="n"/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Data</t>
        </is>
      </c>
      <c r="C127" s="5" t="inlineStr">
        <is>
          <t>Live DOM</t>
        </is>
      </c>
      <c r="D127" s="5" t="inlineStr">
        <is>
          <t>data-type is present at the correct time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protocol</t>
        </is>
      </c>
      <c r="H127" s="9" t="inlineStr">
        <is>
          <t>covered</t>
        </is>
      </c>
      <c r="I127" s="5" t="inlineStr">
        <is>
          <t>manual-tests/toast.md</t>
        </is>
      </c>
      <c r="J127" s="5" t="n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Portal</t>
        </is>
      </c>
      <c r="C128" s="5" t="inlineStr">
        <is>
          <t>Toast</t>
        </is>
      </c>
      <c r="D128" s="5" t="inlineStr">
        <is>
          <t>portal renders in body by default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protocol</t>
        </is>
      </c>
      <c r="H128" s="9" t="inlineStr">
        <is>
          <t>covered</t>
        </is>
      </c>
      <c r="I128" s="5" t="inlineStr">
        <is>
          <t>manual-tests/toast.md</t>
        </is>
      </c>
      <c r="J128" s="5" t="n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Portal</t>
        </is>
      </c>
      <c r="C129" s="5" t="inlineStr">
        <is>
          <t>Toast</t>
        </is>
      </c>
      <c r="D129" s="5" t="inlineStr">
        <is>
          <t>custom/disabled portal path works where supported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protocol</t>
        </is>
      </c>
      <c r="H129" s="9" t="inlineStr">
        <is>
          <t>covered</t>
        </is>
      </c>
      <c r="I129" s="5" t="inlineStr">
        <is>
          <t>manual-tests/toast.md</t>
        </is>
      </c>
      <c r="J129" s="5" t="n"/>
      <c r="K129" s="6">
        <f>IF(AND(E129="yes",F129="yes",H129="covered"),1,IF(H129="partial",0.5,0))</f>
        <v/>
      </c>
    </row>
    <row r="130" ht="15" customHeight="1" s="60"/>
    <row r="131" ht="15" customHeight="1" s="60"/>
    <row r="132" ht="30" customHeight="1" s="60"/>
    <row r="133" ht="15" customHeight="1" s="60"/>
    <row r="134" ht="15" customHeight="1" s="60"/>
    <row r="135" ht="15" customHeight="1" s="60"/>
    <row r="136" ht="15" customHeight="1" s="60"/>
    <row r="137" ht="15" customHeight="1" s="60"/>
    <row r="138" ht="15" customHeight="1" s="60"/>
    <row r="139" ht="15" customHeight="1" s="60"/>
    <row r="140" ht="15" customHeight="1" s="60"/>
    <row r="141" ht="15" customHeight="1" s="60"/>
    <row r="142" ht="15" customHeight="1" s="60"/>
    <row r="143" ht="15" customHeight="1" s="60"/>
    <row r="144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4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Toggle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Toggle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Toggle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Toggle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Toggle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Playground</t>
        </is>
      </c>
      <c r="C12" s="38" t="inlineStr">
        <is>
          <t>Toggle</t>
        </is>
      </c>
      <c r="D12" s="38" t="inlineStr">
        <is>
          <t>canvas source reflects controlled, pressed, disabled, events, and composition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Toggle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Toggle</t>
        </is>
      </c>
      <c r="D13" s="38" t="inlineStr">
        <is>
          <t>anatomy uses live DOM attributes, ARIA, data, text, and ref evidence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Toggle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Playground</t>
        </is>
      </c>
      <c r="C14" s="38" t="inlineStr">
        <is>
          <t>Toggle</t>
        </is>
      </c>
      <c r="D14" s="38" t="inlineStr">
        <is>
          <t>inspector selected/focused/logs update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Toggle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Anatomy</t>
        </is>
      </c>
      <c r="C15" s="38" t="inlineStr">
        <is>
          <t>Root</t>
        </is>
      </c>
      <c r="D15" s="38" t="inlineStr">
        <is>
          <t>Root is the only anatomy part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Toggle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Anatomy</t>
        </is>
      </c>
      <c r="C16" s="38" t="inlineStr">
        <is>
          <t>Root</t>
        </is>
      </c>
      <c r="D16" s="38" t="inlineStr">
        <is>
          <t>Root summary follows data-state on/off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Toggle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Identity</t>
        </is>
      </c>
      <c r="C17" s="38" t="inlineStr">
        <is>
          <t>Root</t>
        </is>
      </c>
      <c r="D17" s="38" t="inlineStr">
        <is>
          <t>default render is native button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Toggle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Identity</t>
        </is>
      </c>
      <c r="C18" s="38" t="inlineStr">
        <is>
          <t>Root</t>
        </is>
      </c>
      <c r="D18" s="38" t="inlineStr">
        <is>
          <t>consumer ref receives rendered element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Toggle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Identity</t>
        </is>
      </c>
      <c r="C19" s="38" t="inlineStr">
        <is>
          <t>Root</t>
        </is>
      </c>
      <c r="D19" s="38" t="inlineStr">
        <is>
          <t>visible text is Bold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Toggle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Props</t>
        </is>
      </c>
      <c r="C20" s="38" t="inlineStr">
        <is>
          <t>Root</t>
        </is>
      </c>
      <c r="D20" s="38" t="inlineStr">
        <is>
          <t>non-Atom native/data props pass through with data-prop-check marker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Toggle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Props</t>
        </is>
      </c>
      <c r="C21" s="38" t="inlineStr">
        <is>
          <t>Root</t>
        </is>
      </c>
      <c r="D21" s="38" t="inlineStr">
        <is>
          <t>value prop appears as data-value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Toggle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0" customHeight="1" s="60">
      <c r="A22" s="37" t="n">
        <v>14</v>
      </c>
      <c r="B22" s="38" t="inlineStr">
        <is>
          <t>Accessibility</t>
        </is>
      </c>
      <c r="C22" s="38" t="inlineStr">
        <is>
          <t>Root</t>
        </is>
      </c>
      <c r="D22" s="38" t="inlineStr">
        <is>
          <t>aria-label comes from ariaLabel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Toggle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45" customHeight="1" s="60">
      <c r="A23" s="37" t="n">
        <v>15</v>
      </c>
      <c r="B23" s="38" t="inlineStr">
        <is>
          <t>Accessibility</t>
        </is>
      </c>
      <c r="C23" s="38" t="inlineStr">
        <is>
          <t>Root</t>
        </is>
      </c>
      <c r="D23" s="38" t="inlineStr">
        <is>
          <t>aria-pressed reflects pressed state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Toggle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State</t>
        </is>
      </c>
      <c r="C24" s="38" t="inlineStr">
        <is>
          <t>Root</t>
        </is>
      </c>
      <c r="D24" s="38" t="inlineStr">
        <is>
          <t>uncontrolled defaultPressed path starts from toolbar state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Toggle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60">
      <c r="A25" s="37" t="n">
        <v>17</v>
      </c>
      <c r="B25" s="38" t="inlineStr">
        <is>
          <t>State</t>
        </is>
      </c>
      <c r="C25" s="38" t="inlineStr">
        <is>
          <t>Root</t>
        </is>
      </c>
      <c r="D25" s="38" t="inlineStr">
        <is>
          <t>controlled pressed path follows toolbar state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Toggle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State</t>
        </is>
      </c>
      <c r="C26" s="38" t="inlineStr">
        <is>
          <t>Root</t>
        </is>
      </c>
      <c r="D26" s="38" t="inlineStr">
        <is>
          <t>click toggles pressed state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Toggle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State</t>
        </is>
      </c>
      <c r="C27" s="38" t="inlineStr">
        <is>
          <t>Root</t>
        </is>
      </c>
      <c r="D27" s="38" t="inlineStr">
        <is>
          <t>Enter toggles pressed state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Toggle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State</t>
        </is>
      </c>
      <c r="C28" s="38" t="inlineStr">
        <is>
          <t>Root</t>
        </is>
      </c>
      <c r="D28" s="38" t="inlineStr">
        <is>
          <t>Space toggles pressed state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Toggle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State</t>
        </is>
      </c>
      <c r="C29" s="38" t="inlineStr">
        <is>
          <t>Root</t>
        </is>
      </c>
      <c r="D29" s="38" t="inlineStr">
        <is>
          <t>onPressedChange fires with the next value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Toggle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State</t>
        </is>
      </c>
      <c r="C30" s="38" t="inlineStr">
        <is>
          <t>Root</t>
        </is>
      </c>
      <c r="D30" s="38" t="inlineStr">
        <is>
          <t>disabled blocks click and keyboard toggling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Toggle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Attributes</t>
        </is>
      </c>
      <c r="C31" s="38" t="inlineStr">
        <is>
          <t>Root</t>
        </is>
      </c>
      <c r="D31" s="38" t="inlineStr">
        <is>
          <t>type button is present for native button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Toggle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Attributes</t>
        </is>
      </c>
      <c r="C32" s="38" t="inlineStr">
        <is>
          <t>Root</t>
        </is>
      </c>
      <c r="D32" s="38" t="inlineStr">
        <is>
          <t>native disabled attribute appears when disabled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Toggle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Data</t>
        </is>
      </c>
      <c r="C33" s="38" t="inlineStr">
        <is>
          <t>Root</t>
        </is>
      </c>
      <c r="D33" s="38" t="inlineStr">
        <is>
          <t>data-slot is toggle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Toggle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Data</t>
        </is>
      </c>
      <c r="C34" s="38" t="inlineStr">
        <is>
          <t>Root</t>
        </is>
      </c>
      <c r="D34" s="38" t="inlineStr">
        <is>
          <t>data-state is on or off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Toggle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Data</t>
        </is>
      </c>
      <c r="C35" s="38" t="inlineStr">
        <is>
          <t>Root</t>
        </is>
      </c>
      <c r="D35" s="38" t="inlineStr">
        <is>
          <t>data-disabled appears only when disabled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Toggle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Data</t>
        </is>
      </c>
      <c r="C36" s="38" t="inlineStr">
        <is>
          <t>Root</t>
        </is>
      </c>
      <c r="D36" s="38" t="inlineStr">
        <is>
          <t>data-value is bold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Toggle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Composition</t>
        </is>
      </c>
      <c r="C37" s="38" t="inlineStr">
        <is>
          <t>Root</t>
        </is>
      </c>
      <c r="D37" s="38" t="inlineStr">
        <is>
          <t>asChild renders the provided child element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Toggle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Composition</t>
        </is>
      </c>
      <c r="C38" s="38" t="inlineStr">
        <is>
          <t>Root</t>
        </is>
      </c>
      <c r="D38" s="38" t="inlineStr">
        <is>
          <t>asChild keeps behavior, ARIA, data, and text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Toggle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render renders the custom element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Toggle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keeps behavior, ARIA, data, and text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Toggle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Events</t>
        </is>
      </c>
      <c r="C41" s="38" t="inlineStr">
        <is>
          <t>Root</t>
        </is>
      </c>
      <c r="D41" s="38" t="inlineStr">
        <is>
          <t>consumer onClick logs before Atom state change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Toggle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60">
      <c r="A42" s="37" t="n">
        <v>34</v>
      </c>
      <c r="B42" s="38" t="inlineStr">
        <is>
          <t>Events</t>
        </is>
      </c>
      <c r="C42" s="38" t="inlineStr">
        <is>
          <t>Root</t>
        </is>
      </c>
      <c r="D42" s="38" t="inlineStr">
        <is>
          <t>consumer onKeyDown logs Enter and Space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Toggle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Events</t>
        </is>
      </c>
      <c r="C43" s="38" t="inlineStr">
        <is>
          <t>Root</t>
        </is>
      </c>
      <c r="D43" s="38" t="inlineStr">
        <is>
          <t>preventDefault on click blocks Atom toggle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Toggle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Events</t>
        </is>
      </c>
      <c r="C44" s="38" t="inlineStr">
        <is>
          <t>Root</t>
        </is>
      </c>
      <c r="D44" s="38" t="inlineStr">
        <is>
          <t>preventDefault on keyboard blocks Atom toggle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Toggle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60">
      <c r="A45" s="37" t="n">
        <v>37</v>
      </c>
      <c r="B45" s="38" t="inlineStr">
        <is>
          <t>Source</t>
        </is>
      </c>
      <c r="C45" s="38" t="inlineStr">
        <is>
          <t>Root</t>
        </is>
      </c>
      <c r="D45" s="38" t="inlineStr">
        <is>
          <t>Source hides false booleans and uses shorthand true booleans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Toggle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/>
    <row r="47" ht="45" customHeight="1" s="60"/>
    <row r="48" ht="15" customHeight="1" s="60"/>
    <row r="49" ht="15" customHeight="1" s="60"/>
    <row r="50" ht="15" customHeight="1" s="60"/>
    <row r="51" ht="30" customHeight="1" s="60"/>
    <row r="52" ht="30" customHeight="1" s="60"/>
    <row r="53" ht="30" customHeight="1" s="60"/>
    <row r="54" ht="30" customHeight="1" s="60"/>
    <row r="55" ht="15" customHeight="1" s="60"/>
    <row r="56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K6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ToggleGroup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15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ToggleGroup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ToggleGroup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ToggleGroup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ToggleGroup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0" customHeight="1" s="60">
      <c r="A12" s="37" t="n">
        <v>4</v>
      </c>
      <c r="B12" s="38" t="inlineStr">
        <is>
          <t>Playground</t>
        </is>
      </c>
      <c r="C12" s="38" t="inlineStr">
        <is>
          <t>ToggleGroup</t>
        </is>
      </c>
      <c r="D12" s="38" t="inlineStr">
        <is>
          <t>canvas source reflects current state, direction, and composition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ToggleGroup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ToggleGroup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ToggleGroup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Playground</t>
        </is>
      </c>
      <c r="C14" s="38" t="inlineStr">
        <is>
          <t>ToggleGroup</t>
        </is>
      </c>
      <c r="D14" s="38" t="inlineStr">
        <is>
          <t>inspector selected, focused, and 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ToggleGroup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Anatomy</t>
        </is>
      </c>
      <c r="C15" s="38" t="inlineStr">
        <is>
          <t>Root</t>
        </is>
      </c>
      <c r="D15" s="38" t="inlineStr">
        <is>
          <t>Root appears before Item sections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ToggleGroup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Anatomy</t>
        </is>
      </c>
      <c r="C16" s="38" t="inlineStr">
        <is>
          <t>Item</t>
        </is>
      </c>
      <c r="D16" s="38" t="inlineStr">
        <is>
          <t>Bold, Italic, and Underline items are inspectable separately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ToggleGroup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Identity</t>
        </is>
      </c>
      <c r="C17" s="38" t="inlineStr">
        <is>
          <t>Root</t>
        </is>
      </c>
      <c r="D17" s="38" t="inlineStr">
        <is>
          <t>default tag is div and ref target matches rendered element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ToggleGroup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Identity</t>
        </is>
      </c>
      <c r="C18" s="38" t="inlineStr">
        <is>
          <t>Root</t>
        </is>
      </c>
      <c r="D18" s="38" t="inlineStr">
        <is>
          <t>role group and aria-label are present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ToggleGroup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Identity</t>
        </is>
      </c>
      <c r="C19" s="38" t="inlineStr">
        <is>
          <t>Root</t>
        </is>
      </c>
      <c r="D19" s="38" t="inlineStr">
        <is>
          <t>data-slot is toggle-group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ToggleGroup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Props</t>
        </is>
      </c>
      <c r="C20" s="38" t="inlineStr">
        <is>
          <t>Root</t>
        </is>
      </c>
      <c r="D20" s="38" t="inlineStr">
        <is>
          <t>data-prop-check marker passes through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ToggleGroup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State</t>
        </is>
      </c>
      <c r="C21" s="38" t="inlineStr">
        <is>
          <t>Root</t>
        </is>
      </c>
      <c r="D21" s="38" t="inlineStr">
        <is>
          <t>single type toggles one selected value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ToggleGroup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State</t>
        </is>
      </c>
      <c r="C22" s="38" t="inlineStr">
        <is>
          <t>Root</t>
        </is>
      </c>
      <c r="D22" s="38" t="inlineStr">
        <is>
          <t>multiple type toggles multiple selected values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ToggleGroup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15" customHeight="1" s="60">
      <c r="A23" s="37" t="n">
        <v>15</v>
      </c>
      <c r="B23" s="38" t="inlineStr">
        <is>
          <t>State</t>
        </is>
      </c>
      <c r="C23" s="38" t="inlineStr">
        <is>
          <t>Root</t>
        </is>
      </c>
      <c r="D23" s="38" t="inlineStr">
        <is>
          <t>controlled value path updates from toolbar and item press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ToggleGroup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State</t>
        </is>
      </c>
      <c r="C24" s="38" t="inlineStr">
        <is>
          <t>Root</t>
        </is>
      </c>
      <c r="D24" s="38" t="inlineStr">
        <is>
          <t>uncontrolled defaultValue path updates from item press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ToggleGroup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0" customHeight="1" s="60">
      <c r="A25" s="37" t="n">
        <v>17</v>
      </c>
      <c r="B25" s="38" t="inlineStr">
        <is>
          <t>State</t>
        </is>
      </c>
      <c r="C25" s="38" t="inlineStr">
        <is>
          <t>Root</t>
        </is>
      </c>
      <c r="D25" s="38" t="inlineStr">
        <is>
          <t>onValueChange logs the next value exactly once per change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ToggleGroup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State</t>
        </is>
      </c>
      <c r="C26" s="38" t="inlineStr">
        <is>
          <t>Root</t>
        </is>
      </c>
      <c r="D26" s="38" t="inlineStr">
        <is>
          <t>disabled disables every item and blocks value changes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ToggleGroup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Behavior</t>
        </is>
      </c>
      <c r="C27" s="38" t="inlineStr">
        <is>
          <t>Root</t>
        </is>
      </c>
      <c r="D27" s="38" t="inlineStr">
        <is>
          <t>loop true wraps arrow focus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ToggleGroup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Behavior</t>
        </is>
      </c>
      <c r="C28" s="38" t="inlineStr">
        <is>
          <t>Root</t>
        </is>
      </c>
      <c r="D28" s="38" t="inlineStr">
        <is>
          <t>loop false stops arrow focus at edges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ToggleGroup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Behavior</t>
        </is>
      </c>
      <c r="C29" s="38" t="inlineStr">
        <is>
          <t>Root</t>
        </is>
      </c>
      <c r="D29" s="38" t="inlineStr">
        <is>
          <t>horizontal orientation uses ArrowLeft and ArrowRight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ToggleGroup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Behavior</t>
        </is>
      </c>
      <c r="C30" s="38" t="inlineStr">
        <is>
          <t>Root</t>
        </is>
      </c>
      <c r="D30" s="38" t="inlineStr">
        <is>
          <t>vertical orientation uses ArrowUp and ArrowDown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ToggleGroup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0" customHeight="1" s="60">
      <c r="A31" s="37" t="n">
        <v>23</v>
      </c>
      <c r="B31" s="38" t="inlineStr">
        <is>
          <t>Direction</t>
        </is>
      </c>
      <c r="C31" s="38" t="inlineStr">
        <is>
          <t>Root</t>
        </is>
      </c>
      <c r="D31" s="38" t="inlineStr">
        <is>
          <t>LTR horizontal ArrowRight moves forward and ArrowLeft moves backward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ToggleGroup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0" customHeight="1" s="60">
      <c r="A32" s="37" t="n">
        <v>24</v>
      </c>
      <c r="B32" s="38" t="inlineStr">
        <is>
          <t>Direction</t>
        </is>
      </c>
      <c r="C32" s="38" t="inlineStr">
        <is>
          <t>Root</t>
        </is>
      </c>
      <c r="D32" s="38" t="inlineStr">
        <is>
          <t>RTL horizontal ArrowRight moves backward and ArrowLeft moves forward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ToggleGroup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Keyboard</t>
        </is>
      </c>
      <c r="C33" s="38" t="inlineStr">
        <is>
          <t>Root</t>
        </is>
      </c>
      <c r="D33" s="38" t="inlineStr">
        <is>
          <t>Home focuses the first enabled item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ToggleGroup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Keyboard</t>
        </is>
      </c>
      <c r="C34" s="38" t="inlineStr">
        <is>
          <t>Root</t>
        </is>
      </c>
      <c r="D34" s="38" t="inlineStr">
        <is>
          <t>End focuses the last enabled item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ToggleGroup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Keyboard</t>
        </is>
      </c>
      <c r="C35" s="38" t="inlineStr">
        <is>
          <t>Root</t>
        </is>
      </c>
      <c r="D35" s="38" t="inlineStr">
        <is>
          <t>disabled items are skipped during keyboard navigation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ToggleGroup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Focus</t>
        </is>
      </c>
      <c r="C36" s="38" t="inlineStr">
        <is>
          <t>Root</t>
        </is>
      </c>
      <c r="D36" s="38" t="inlineStr">
        <is>
          <t>roving tab stop follows selected item or first enabled item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ToggleGroup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Data</t>
        </is>
      </c>
      <c r="C37" s="38" t="inlineStr">
        <is>
          <t>Root</t>
        </is>
      </c>
      <c r="D37" s="38" t="inlineStr">
        <is>
          <t>data-orientation changes with orientation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ToggleGroup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Data</t>
        </is>
      </c>
      <c r="C38" s="38" t="inlineStr">
        <is>
          <t>Root</t>
        </is>
      </c>
      <c r="D38" s="38" t="inlineStr">
        <is>
          <t>data-disabled appears only when root is disabled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ToggleGroup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asChild renders section without double nesting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ToggleGroup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renders section and preserves children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ToggleGroup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0" customHeight="1" s="60">
      <c r="A41" s="37" t="n">
        <v>33</v>
      </c>
      <c r="B41" s="38" t="inlineStr">
        <is>
          <t>Identity</t>
        </is>
      </c>
      <c r="C41" s="38" t="inlineStr">
        <is>
          <t>Item</t>
        </is>
      </c>
      <c r="D41" s="38" t="inlineStr">
        <is>
          <t>default tag is button and ref target matches rendered element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ToggleGroup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60">
      <c r="A42" s="37" t="n">
        <v>34</v>
      </c>
      <c r="B42" s="38" t="inlineStr">
        <is>
          <t>Identity</t>
        </is>
      </c>
      <c r="C42" s="38" t="inlineStr">
        <is>
          <t>Item</t>
        </is>
      </c>
      <c r="D42" s="38" t="inlineStr">
        <is>
          <t>item text and value are visible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ToggleGroup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Accessibility</t>
        </is>
      </c>
      <c r="C43" s="38" t="inlineStr">
        <is>
          <t>Item</t>
        </is>
      </c>
      <c r="D43" s="38" t="inlineStr">
        <is>
          <t>aria-label is present for item labels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ToggleGroup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Accessibility</t>
        </is>
      </c>
      <c r="C44" s="38" t="inlineStr">
        <is>
          <t>Item</t>
        </is>
      </c>
      <c r="D44" s="38" t="inlineStr">
        <is>
          <t>aria-pressed tracks on and off states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ToggleGroup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60">
      <c r="A45" s="37" t="n">
        <v>37</v>
      </c>
      <c r="B45" s="38" t="inlineStr">
        <is>
          <t>Accessibility</t>
        </is>
      </c>
      <c r="C45" s="38" t="inlineStr">
        <is>
          <t>Item</t>
        </is>
      </c>
      <c r="D45" s="38" t="inlineStr">
        <is>
          <t>native disabled item does not add redundant aria-disabled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ToggleGroup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>
      <c r="A46" s="37" t="n">
        <v>38</v>
      </c>
      <c r="B46" s="38" t="inlineStr">
        <is>
          <t>Accessibility</t>
        </is>
      </c>
      <c r="C46" s="38" t="inlineStr">
        <is>
          <t>Item</t>
        </is>
      </c>
      <c r="D46" s="38" t="inlineStr">
        <is>
          <t>non-native disabled item receives aria-disabled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ToggleGroup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State</t>
        </is>
      </c>
      <c r="C47" s="38" t="inlineStr">
        <is>
          <t>Item</t>
        </is>
      </c>
      <c r="D47" s="38" t="inlineStr">
        <is>
          <t>item press toggles selected state in multiple mode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ToggleGroup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60">
      <c r="A48" s="37" t="n">
        <v>40</v>
      </c>
      <c r="B48" s="38" t="inlineStr">
        <is>
          <t>State</t>
        </is>
      </c>
      <c r="C48" s="38" t="inlineStr">
        <is>
          <t>Item</t>
        </is>
      </c>
      <c r="D48" s="38" t="inlineStr">
        <is>
          <t>item press replaces selected state in single mode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ToggleGroup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State</t>
        </is>
      </c>
      <c r="C49" s="38" t="inlineStr">
        <is>
          <t>Item</t>
        </is>
      </c>
      <c r="D49" s="38" t="inlineStr">
        <is>
          <t>disabled item cannot be toggled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ToggleGroup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15" customHeight="1" s="60">
      <c r="A50" s="37" t="n">
        <v>42</v>
      </c>
      <c r="B50" s="38" t="inlineStr">
        <is>
          <t>Data</t>
        </is>
      </c>
      <c r="C50" s="38" t="inlineStr">
        <is>
          <t>Item</t>
        </is>
      </c>
      <c r="D50" s="38" t="inlineStr">
        <is>
          <t>data-slot is toggle-group-item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ToggleGroup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15" customHeight="1" s="60">
      <c r="A51" s="37" t="n">
        <v>43</v>
      </c>
      <c r="B51" s="38" t="inlineStr">
        <is>
          <t>Data</t>
        </is>
      </c>
      <c r="C51" s="38" t="inlineStr">
        <is>
          <t>Item</t>
        </is>
      </c>
      <c r="D51" s="38" t="inlineStr">
        <is>
          <t>data-state is on or off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ToggleGroup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15" customHeight="1" s="60">
      <c r="A52" s="37" t="n">
        <v>44</v>
      </c>
      <c r="B52" s="38" t="inlineStr">
        <is>
          <t>Data</t>
        </is>
      </c>
      <c r="C52" s="38" t="inlineStr">
        <is>
          <t>Item</t>
        </is>
      </c>
      <c r="D52" s="38" t="inlineStr">
        <is>
          <t>data-value matches public value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ToggleGroup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15" customHeight="1" s="60">
      <c r="A53" s="37" t="n">
        <v>45</v>
      </c>
      <c r="B53" s="38" t="inlineStr">
        <is>
          <t>Data</t>
        </is>
      </c>
      <c r="C53" s="38" t="inlineStr">
        <is>
          <t>Item</t>
        </is>
      </c>
      <c r="D53" s="38" t="inlineStr">
        <is>
          <t>data-disabled appears only for disabled item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ToggleGroup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15" customHeight="1" s="60">
      <c r="A54" s="37" t="n">
        <v>46</v>
      </c>
      <c r="B54" s="38" t="inlineStr">
        <is>
          <t>Composition</t>
        </is>
      </c>
      <c r="C54" s="38" t="inlineStr">
        <is>
          <t>Item</t>
        </is>
      </c>
      <c r="D54" s="38" t="inlineStr">
        <is>
          <t>asChild renders span and preserves behavior props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ToggleGroup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15" customHeight="1" s="60">
      <c r="A55" s="37" t="n">
        <v>47</v>
      </c>
      <c r="B55" s="38" t="inlineStr">
        <is>
          <t>Composition</t>
        </is>
      </c>
      <c r="C55" s="38" t="inlineStr">
        <is>
          <t>Item</t>
        </is>
      </c>
      <c r="D55" s="38" t="inlineStr">
        <is>
          <t>render renders span and preserves behavior props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ToggleGroup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15" customHeight="1" s="60">
      <c r="A56" s="37" t="n">
        <v>48</v>
      </c>
      <c r="B56" s="38" t="inlineStr">
        <is>
          <t>Events</t>
        </is>
      </c>
      <c r="C56" s="38" t="inlineStr">
        <is>
          <t>Item</t>
        </is>
      </c>
      <c r="D56" s="38" t="inlineStr">
        <is>
          <t>preventDefault on item click blocks Atom toggle behavior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ToggleGroup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0" customHeight="1" s="60">
      <c r="A57" s="37" t="n">
        <v>49</v>
      </c>
      <c r="B57" s="38" t="inlineStr">
        <is>
          <t>Events</t>
        </is>
      </c>
      <c r="C57" s="38" t="inlineStr">
        <is>
          <t>Item</t>
        </is>
      </c>
      <c r="D57" s="38" t="inlineStr">
        <is>
          <t>preventDefault on Enter or Space blocks Atom toggle behavior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ToggleGroup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15" customHeight="1" s="60">
      <c r="A58" s="37" t="n">
        <v>50</v>
      </c>
      <c r="B58" s="38" t="inlineStr">
        <is>
          <t>Keyboard</t>
        </is>
      </c>
      <c r="C58" s="38" t="inlineStr">
        <is>
          <t>Item</t>
        </is>
      </c>
      <c r="D58" s="38" t="inlineStr">
        <is>
          <t>Enter toggles the focused item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ToggleGroup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15" customHeight="1" s="60">
      <c r="A59" s="37" t="n">
        <v>51</v>
      </c>
      <c r="B59" s="38" t="inlineStr">
        <is>
          <t>Keyboard</t>
        </is>
      </c>
      <c r="C59" s="38" t="inlineStr">
        <is>
          <t>Item</t>
        </is>
      </c>
      <c r="D59" s="38" t="inlineStr">
        <is>
          <t>Space toggles the focused item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ToggleGroup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0" customHeight="1" s="60">
      <c r="A60" s="37" t="n">
        <v>52</v>
      </c>
      <c r="B60" s="38" t="inlineStr">
        <is>
          <t>Source</t>
        </is>
      </c>
      <c r="C60" s="38" t="inlineStr">
        <is>
          <t>ToggleGroup</t>
        </is>
      </c>
      <c r="D60" s="38" t="inlineStr">
        <is>
          <t>source omits false boolean props and shows disabled shorthand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ToggleGroup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15" customHeight="1" s="60">
      <c r="A61" s="37" t="n">
        <v>53</v>
      </c>
      <c r="B61" s="38" t="inlineStr">
        <is>
          <t>Source</t>
        </is>
      </c>
      <c r="C61" s="38" t="inlineStr">
        <is>
          <t>ToggleGroup</t>
        </is>
      </c>
      <c r="D61" s="38" t="inlineStr">
        <is>
          <t>source shows Direction.Provider only for rtl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ToggleGroup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0" customHeight="1" s="60">
      <c r="A62" s="37" t="n">
        <v>54</v>
      </c>
      <c r="B62" s="38" t="inlineStr">
        <is>
          <t>Logs</t>
        </is>
      </c>
      <c r="C62" s="38" t="inlineStr">
        <is>
          <t>ToggleGroup</t>
        </is>
      </c>
      <c r="D62" s="38" t="inlineStr">
        <is>
          <t>value changes, item events, and root keyboard events are useful and not spammy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ToggleGroup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K11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Toolbar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Draft Manual Test Protocol .manual-tests/toolbar.md passed in browser.</t>
        </is>
      </c>
      <c r="J9" s="5" t="inlineStr">
        <is>
          <t>Promote reviewed protocol when stable.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Draft Manual Test Protocol .manual-tests/toolbar.md passed in browser.</t>
        </is>
      </c>
      <c r="J10" s="5" t="inlineStr">
        <is>
          <t>Promote reviewed protocol when stable.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Toolbar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Draft Manual Test Protocol .manual-tests/toolbar.md passed in browser.</t>
        </is>
      </c>
      <c r="J11" s="5" t="inlineStr">
        <is>
          <t>Promote reviewed protocol when stable.</t>
        </is>
      </c>
      <c r="K11" s="6">
        <f>IF(AND(E11="yes",F11="yes",H11="covered"),1,IF(H11="partial",0.5,0))</f>
        <v/>
      </c>
    </row>
    <row r="12" ht="45" customHeight="1" s="60">
      <c r="A12" s="4" t="n">
        <v>4</v>
      </c>
      <c r="B12" s="5" t="inlineStr">
        <is>
          <t>Playground</t>
        </is>
      </c>
      <c r="C12" s="5" t="inlineStr">
        <is>
          <t>Toolbar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Draft Manual Test Protocol .manual-tests/toolbar.md passed in browser.</t>
        </is>
      </c>
      <c r="J12" s="5" t="inlineStr">
        <is>
          <t>Promote reviewed protocol when stable.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Toolbar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Draft Manual Test Protocol .manual-tests/toolbar.md passed in browser.</t>
        </is>
      </c>
      <c r="J13" s="5" t="inlineStr">
        <is>
          <t>Promote reviewed protocol when stable.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Toolbar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Draft Manual Test Protocol .manual-tests/toolbar.md passed in browser.</t>
        </is>
      </c>
      <c r="J14" s="5" t="inlineStr">
        <is>
          <t>Promote reviewed protocol when stable.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Toolbar</t>
        </is>
      </c>
      <c r="D15" s="5" t="inlineStr">
        <is>
          <t>Renders `role="toolbar"` with orientation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Draft Manual Test Protocol .manual-tests/toolbar.md passed in browser.</t>
        </is>
      </c>
      <c r="J15" s="5" t="inlineStr">
        <is>
          <t>Promote reviewed protocol when stable.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Toolbar</t>
        </is>
      </c>
      <c r="D16" s="5" t="inlineStr">
        <is>
          <t>Supports horizontal and vertical arrow-key navigation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Draft Manual Test Protocol .manual-tests/toolbar.md passed in browser.</t>
        </is>
      </c>
      <c r="J16" s="5" t="inlineStr">
        <is>
          <t>Promote reviewed protocol when stable.</t>
        </is>
      </c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Toolbar</t>
        </is>
      </c>
      <c r="D17" s="5" t="inlineStr">
        <is>
          <t>Supports left-to-right and right-to-left direction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Draft Manual Test Protocol .manual-tests/toolbar.md passed in browser.</t>
        </is>
      </c>
      <c r="J17" s="5" t="inlineStr">
        <is>
          <t>Promote reviewed protocol when stable.</t>
        </is>
      </c>
      <c r="K17" s="6">
        <f>IF(AND(E17="yes",F17="yes",H17="covered"),1,IF(H17="partial",0.5,0))</f>
        <v/>
      </c>
    </row>
    <row r="18" ht="45" customHeight="1" s="60">
      <c r="A18" s="4" t="n">
        <v>10</v>
      </c>
      <c r="B18" s="5" t="inlineStr">
        <is>
          <t>Feature</t>
        </is>
      </c>
      <c r="C18" s="5" t="inlineStr">
        <is>
          <t>Toolbar</t>
        </is>
      </c>
      <c r="D18" s="5" t="inlineStr">
        <is>
          <t>Supports buttons, links, separators, and toggle groups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Draft Manual Test Protocol .manual-tests/toolbar.md passed in browser.</t>
        </is>
      </c>
      <c r="J18" s="5" t="inlineStr">
        <is>
          <t>Promote reviewed protocol when stable.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Toolbar</t>
        </is>
      </c>
      <c r="D19" s="5" t="inlineStr">
        <is>
          <t>Registers toolbar items in DOM order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Draft Manual Test Protocol .manual-tests/toolbar.md passed in browser.</t>
        </is>
      </c>
      <c r="J19" s="5" t="inlineStr">
        <is>
          <t>Promote reviewed protocol when stable.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Toolbar</t>
        </is>
      </c>
      <c r="D20" s="5" t="inlineStr">
        <is>
          <t>Keeps styling, icons, and visual grouping outside the primitive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Draft Manual Test Protocol .manual-tests/toolbar.md passed in browser.</t>
        </is>
      </c>
      <c r="J20" s="5" t="inlineStr">
        <is>
          <t>Promote reviewed protocol when stable.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Draft Manual Test Protocol .manual-tests/toolbar.md passed in browser.</t>
        </is>
      </c>
      <c r="J21" s="5" t="inlineStr">
        <is>
          <t>Promote reviewed protocol when stable.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Draft Manual Test Protocol .manual-tests/toolbar.md passed in browser.</t>
        </is>
      </c>
      <c r="J22" s="5" t="inlineStr">
        <is>
          <t>Promote reviewed protocol when stable.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Draft Manual Test Protocol .manual-tests/toolbar.md passed in browser.</t>
        </is>
      </c>
      <c r="J23" s="5" t="inlineStr">
        <is>
          <t>Promote reviewed protocol when stable.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Draft Manual Test Protocol .manual-tests/toolbar.md passed in browser.</t>
        </is>
      </c>
      <c r="J24" s="5" t="inlineStr">
        <is>
          <t>Promote reviewed protocol when stable.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Draft Manual Test Protocol .manual-tests/toolbar.md passed in browser.</t>
        </is>
      </c>
      <c r="J25" s="5" t="inlineStr">
        <is>
          <t>Promote reviewed protocol when stable.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Draft Manual Test Protocol .manual-tests/toolbar.md passed in browser.</t>
        </is>
      </c>
      <c r="J26" s="5" t="inlineStr">
        <is>
          <t>Promote reviewed protocol when stable.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orientation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Draft Manual Test Protocol .manual-tests/toolbar.md passed in browser.</t>
        </is>
      </c>
      <c r="J27" s="5" t="inlineStr">
        <is>
          <t>Promote reviewed protocol when stable.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dir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Draft Manual Test Protocol .manual-tests/toolbar.md passed in browser.</t>
        </is>
      </c>
      <c r="J28" s="5" t="inlineStr">
        <is>
          <t>Promote reviewed protocol when stable.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loop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Draft Manual Test Protocol .manual-tests/toolbar.md passed in browser.</t>
        </is>
      </c>
      <c r="J29" s="5" t="inlineStr">
        <is>
          <t>Promote reviewed protocol when stable.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Accessibility</t>
        </is>
      </c>
      <c r="C30" s="5" t="inlineStr">
        <is>
          <t>Root</t>
        </is>
      </c>
      <c r="D30" s="5" t="inlineStr">
        <is>
          <t>ariaLabel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Draft Manual Test Protocol .manual-tests/toolbar.md passed in browser.</t>
        </is>
      </c>
      <c r="J30" s="5" t="inlineStr">
        <is>
          <t>Promote reviewed protocol when stable.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Draft Manual Test Protocol .manual-tests/toolbar.md passed in browser.</t>
        </is>
      </c>
      <c r="J31" s="5" t="inlineStr">
        <is>
          <t>Promote reviewed protocol when stable.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[data-orientation]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Draft Manual Test Protocol .manual-tests/toolbar.md passed in browser.</t>
        </is>
      </c>
      <c r="J32" s="5" t="inlineStr">
        <is>
          <t>Promote reviewed protocol when stable.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Anatomy</t>
        </is>
      </c>
      <c r="C33" s="5" t="inlineStr">
        <is>
          <t>Button</t>
        </is>
      </c>
      <c r="D33" s="5" t="inlineStr">
        <is>
          <t>renders correct part when expected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Draft Manual Test Protocol .manual-tests/toolbar.md passed in browser.</t>
        </is>
      </c>
      <c r="J33" s="5" t="inlineStr">
        <is>
          <t>Promote reviewed protocol when stable.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Button</t>
        </is>
      </c>
      <c r="D34" s="5" t="inlineStr">
        <is>
          <t>appears in documented order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Draft Manual Test Protocol .manual-tests/toolbar.md passed in browser.</t>
        </is>
      </c>
      <c r="J34" s="5" t="inlineStr">
        <is>
          <t>Promote reviewed protocol when stable.</t>
        </is>
      </c>
      <c r="K34" s="6">
        <f>IF(AND(E34="yes",F34="yes",H34="covered"),1,IF(H34="partial",0.5,0))</f>
        <v/>
      </c>
    </row>
    <row r="35" ht="30" customHeight="1" s="60">
      <c r="A35" s="4" t="n">
        <v>27</v>
      </c>
      <c r="B35" s="5" t="inlineStr">
        <is>
          <t>Identity</t>
        </is>
      </c>
      <c r="C35" s="5" t="inlineStr">
        <is>
          <t>Button</t>
        </is>
      </c>
      <c r="D35" s="5" t="inlineStr">
        <is>
          <t>default tag is visible in Anatomy/Inspector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Draft Manual Test Protocol .manual-tests/toolbar.md passed in browser.</t>
        </is>
      </c>
      <c r="J35" s="5" t="inlineStr">
        <is>
          <t>Promote reviewed protocol when stable.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Identity</t>
        </is>
      </c>
      <c r="C36" s="5" t="inlineStr">
        <is>
          <t>Button</t>
        </is>
      </c>
      <c r="D36" s="5" t="inlineStr">
        <is>
          <t>data-slot is present and correct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Draft Manual Test Protocol .manual-tests/toolbar.md passed in browser.</t>
        </is>
      </c>
      <c r="J36" s="5" t="inlineStr">
        <is>
          <t>Promote reviewed protocol when stable.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Props</t>
        </is>
      </c>
      <c r="C37" s="5" t="inlineStr">
        <is>
          <t>Button</t>
        </is>
      </c>
      <c r="D37" s="5" t="inlineStr">
        <is>
          <t>non-Atom native props pass through with data-prop-check marker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Draft Manual Test Protocol .manual-tests/toolbar.md passed in browser.</t>
        </is>
      </c>
      <c r="J37" s="5" t="inlineStr">
        <is>
          <t>Promote reviewed protocol when stable.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Refs</t>
        </is>
      </c>
      <c r="C38" s="5" t="inlineStr">
        <is>
          <t>Button</t>
        </is>
      </c>
      <c r="D38" s="5" t="inlineStr">
        <is>
          <t>consumer ref receives the rendered element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Draft Manual Test Protocol .manual-tests/toolbar.md passed in browser.</t>
        </is>
      </c>
      <c r="J38" s="5" t="inlineStr">
        <is>
          <t>Promote reviewed protocol when stable.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Button</t>
        </is>
      </c>
      <c r="D39" s="5" t="inlineStr">
        <is>
          <t>disabled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Draft Manual Test Protocol .manual-tests/toolbar.md passed in browser.</t>
        </is>
      </c>
      <c r="J39" s="5" t="inlineStr">
        <is>
          <t>Promote reviewed protocol when stable.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Accessibility</t>
        </is>
      </c>
      <c r="C40" s="5" t="inlineStr">
        <is>
          <t>Button</t>
        </is>
      </c>
      <c r="D40" s="5" t="inlineStr">
        <is>
          <t>ariaLabel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Draft Manual Test Protocol .manual-tests/toolbar.md passed in browser.</t>
        </is>
      </c>
      <c r="J40" s="5" t="inlineStr">
        <is>
          <t>Promote reviewed protocol when stable.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Button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Draft Manual Test Protocol .manual-tests/toolbar.md passed in browser.</t>
        </is>
      </c>
      <c r="J41" s="5" t="inlineStr">
        <is>
          <t>Promote reviewed protocol when stable.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Button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Draft Manual Test Protocol .manual-tests/toolbar.md passed in browser.</t>
        </is>
      </c>
      <c r="J42" s="5" t="inlineStr">
        <is>
          <t>Promote reviewed protocol when stable.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Anatomy</t>
        </is>
      </c>
      <c r="C43" s="5" t="inlineStr">
        <is>
          <t>Link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Draft Manual Test Protocol .manual-tests/toolbar.md passed in browser.</t>
        </is>
      </c>
      <c r="J43" s="5" t="inlineStr">
        <is>
          <t>Promote reviewed protocol when stable.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Link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Draft Manual Test Protocol .manual-tests/toolbar.md passed in browser.</t>
        </is>
      </c>
      <c r="J44" s="5" t="inlineStr">
        <is>
          <t>Promote reviewed protocol when stable.</t>
        </is>
      </c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Link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Draft Manual Test Protocol .manual-tests/toolbar.md passed in browser.</t>
        </is>
      </c>
      <c r="J45" s="5" t="inlineStr">
        <is>
          <t>Promote reviewed protocol when stable.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Identity</t>
        </is>
      </c>
      <c r="C46" s="5" t="inlineStr">
        <is>
          <t>Link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Draft Manual Test Protocol .manual-tests/toolbar.md passed in browser.</t>
        </is>
      </c>
      <c r="J46" s="5" t="inlineStr">
        <is>
          <t>Promote reviewed protocol when stable.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Props</t>
        </is>
      </c>
      <c r="C47" s="5" t="inlineStr">
        <is>
          <t>Link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Draft Manual Test Protocol .manual-tests/toolbar.md passed in browser.</t>
        </is>
      </c>
      <c r="J47" s="5" t="inlineStr">
        <is>
          <t>Promote reviewed protocol when stable.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Refs</t>
        </is>
      </c>
      <c r="C48" s="5" t="inlineStr">
        <is>
          <t>Link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Draft Manual Test Protocol .manual-tests/toolbar.md passed in browser.</t>
        </is>
      </c>
      <c r="J48" s="5" t="inlineStr">
        <is>
          <t>Promote reviewed protocol when stable.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Link</t>
        </is>
      </c>
      <c r="D49" s="5" t="inlineStr">
        <is>
          <t>href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Draft Manual Test Protocol .manual-tests/toolbar.md passed in browser.</t>
        </is>
      </c>
      <c r="J49" s="5" t="inlineStr">
        <is>
          <t>Promote reviewed protocol when stable.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Link</t>
        </is>
      </c>
      <c r="D50" s="5" t="inlineStr">
        <is>
          <t>target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Draft Manual Test Protocol .manual-tests/toolbar.md passed in browser.</t>
        </is>
      </c>
      <c r="J50" s="5" t="inlineStr">
        <is>
          <t>Promote reviewed protocol when stable.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Link</t>
        </is>
      </c>
      <c r="D51" s="5" t="inlineStr">
        <is>
          <t>rel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Draft Manual Test Protocol .manual-tests/toolbar.md passed in browser.</t>
        </is>
      </c>
      <c r="J51" s="5" t="inlineStr">
        <is>
          <t>Promote reviewed protocol when stable.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Link</t>
        </is>
      </c>
      <c r="D52" s="5" t="inlineStr">
        <is>
          <t>disabled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Draft Manual Test Protocol .manual-tests/toolbar.md passed in browser.</t>
        </is>
      </c>
      <c r="J52" s="5" t="inlineStr">
        <is>
          <t>Promote reviewed protocol when stable.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Accessibility</t>
        </is>
      </c>
      <c r="C53" s="5" t="inlineStr">
        <is>
          <t>Link</t>
        </is>
      </c>
      <c r="D53" s="5" t="inlineStr">
        <is>
          <t>ariaLabel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Draft Manual Test Protocol .manual-tests/toolbar.md passed in browser.</t>
        </is>
      </c>
      <c r="J53" s="5" t="inlineStr">
        <is>
          <t>Promote reviewed protocol when stable.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Link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Draft Manual Test Protocol .manual-tests/toolbar.md passed in browser.</t>
        </is>
      </c>
      <c r="J54" s="5" t="inlineStr">
        <is>
          <t>Promote reviewed protocol when stable.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Link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Draft Manual Test Protocol .manual-tests/toolbar.md passed in browser.</t>
        </is>
      </c>
      <c r="J55" s="5" t="inlineStr">
        <is>
          <t>Promote reviewed protocol when stable.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Separator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Draft Manual Test Protocol .manual-tests/toolbar.md passed in browser.</t>
        </is>
      </c>
      <c r="J56" s="5" t="inlineStr">
        <is>
          <t>Promote reviewed protocol when stable.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Separator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Draft Manual Test Protocol .manual-tests/toolbar.md passed in browser.</t>
        </is>
      </c>
      <c r="J57" s="5" t="inlineStr">
        <is>
          <t>Promote reviewed protocol when stable.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Identity</t>
        </is>
      </c>
      <c r="C58" s="5" t="inlineStr">
        <is>
          <t>Separator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Draft Manual Test Protocol .manual-tests/toolbar.md passed in browser.</t>
        </is>
      </c>
      <c r="J58" s="5" t="inlineStr">
        <is>
          <t>Promote reviewed protocol when stable.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Separator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Draft Manual Test Protocol .manual-tests/toolbar.md passed in browser.</t>
        </is>
      </c>
      <c r="J59" s="5" t="inlineStr">
        <is>
          <t>Promote reviewed protocol when stable.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Separator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Draft Manual Test Protocol .manual-tests/toolbar.md passed in browser.</t>
        </is>
      </c>
      <c r="J60" s="5" t="inlineStr">
        <is>
          <t>Promote reviewed protocol when stable.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Separator</t>
        </is>
      </c>
      <c r="D61" s="5" t="inlineStr">
        <is>
          <t>orientation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Draft Manual Test Protocol .manual-tests/toolbar.md passed in browser.</t>
        </is>
      </c>
      <c r="J61" s="5" t="inlineStr">
        <is>
          <t>Promote reviewed protocol when stable.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Separator</t>
        </is>
      </c>
      <c r="D62" s="5" t="inlineStr">
        <is>
          <t>[data-slot]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Draft Manual Test Protocol .manual-tests/toolbar.md passed in browser.</t>
        </is>
      </c>
      <c r="J62" s="5" t="inlineStr">
        <is>
          <t>Promote reviewed protocol when stable.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Separator</t>
        </is>
      </c>
      <c r="D63" s="5" t="inlineStr">
        <is>
          <t>[data-orientation]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Draft Manual Test Protocol .manual-tests/toolbar.md passed in browser.</t>
        </is>
      </c>
      <c r="J63" s="5" t="inlineStr">
        <is>
          <t>Promote reviewed protocol when stable.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ToggleGroup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Draft Manual Test Protocol .manual-tests/toolbar.md passed in browser.</t>
        </is>
      </c>
      <c r="J64" s="5" t="inlineStr">
        <is>
          <t>Promote reviewed protocol when stable.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ToggleGroup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Draft Manual Test Protocol .manual-tests/toolbar.md passed in browser.</t>
        </is>
      </c>
      <c r="J65" s="5" t="inlineStr">
        <is>
          <t>Promote reviewed protocol when stable.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ToggleGroup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Draft Manual Test Protocol .manual-tests/toolbar.md passed in browser.</t>
        </is>
      </c>
      <c r="J66" s="5" t="inlineStr">
        <is>
          <t>Promote reviewed protocol when stable.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Identity</t>
        </is>
      </c>
      <c r="C67" s="5" t="inlineStr">
        <is>
          <t>ToggleGroup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Draft Manual Test Protocol .manual-tests/toolbar.md passed in browser.</t>
        </is>
      </c>
      <c r="J67" s="5" t="inlineStr">
        <is>
          <t>Promote reviewed protocol when stable.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ToggleGroup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Draft Manual Test Protocol .manual-tests/toolbar.md passed in browser.</t>
        </is>
      </c>
      <c r="J68" s="5" t="inlineStr">
        <is>
          <t>Promote reviewed protocol when stable.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ToggleGroup</t>
        </is>
      </c>
      <c r="D69" s="5" t="inlineStr">
        <is>
          <t>type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Draft Manual Test Protocol .manual-tests/toolbar.md passed in browser.</t>
        </is>
      </c>
      <c r="J69" s="5" t="inlineStr">
        <is>
          <t>Promote reviewed protocol when stable.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ToggleGroup</t>
        </is>
      </c>
      <c r="D70" s="5" t="inlineStr">
        <is>
          <t>value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Draft Manual Test Protocol .manual-tests/toolbar.md passed in browser.</t>
        </is>
      </c>
      <c r="J70" s="5" t="inlineStr">
        <is>
          <t>Promote reviewed protocol when stable.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State</t>
        </is>
      </c>
      <c r="C71" s="5" t="inlineStr">
        <is>
          <t>ToggleGroup</t>
        </is>
      </c>
      <c r="D71" s="5" t="inlineStr">
        <is>
          <t>defaultValue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Draft Manual Test Protocol .manual-tests/toolbar.md passed in browser.</t>
        </is>
      </c>
      <c r="J71" s="5" t="inlineStr">
        <is>
          <t>Promote reviewed protocol when stable.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ToggleGroup</t>
        </is>
      </c>
      <c r="D72" s="5" t="inlineStr">
        <is>
          <t>onValueChange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Draft Manual Test Protocol .manual-tests/toolbar.md passed in browser.</t>
        </is>
      </c>
      <c r="J72" s="5" t="inlineStr">
        <is>
          <t>Promote reviewed protocol when stable.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ToggleGroup</t>
        </is>
      </c>
      <c r="D73" s="5" t="inlineStr">
        <is>
          <t>disabled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Draft Manual Test Protocol .manual-tests/toolbar.md passed in browser.</t>
        </is>
      </c>
      <c r="J73" s="5" t="inlineStr">
        <is>
          <t>Promote reviewed protocol when stable.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Accessibility</t>
        </is>
      </c>
      <c r="C74" s="5" t="inlineStr">
        <is>
          <t>ToggleGroup</t>
        </is>
      </c>
      <c r="D74" s="5" t="inlineStr">
        <is>
          <t>ariaLabel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Draft Manual Test Protocol .manual-tests/toolbar.md passed in browser.</t>
        </is>
      </c>
      <c r="J74" s="5" t="inlineStr">
        <is>
          <t>Promote reviewed protocol when stable.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ToggleGroup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Draft Manual Test Protocol .manual-tests/toolbar.md passed in browser.</t>
        </is>
      </c>
      <c r="J75" s="5" t="inlineStr">
        <is>
          <t>Promote reviewed protocol when stable.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State</t>
        </is>
      </c>
      <c r="C76" s="5" t="inlineStr">
        <is>
          <t>ToggleGroup</t>
        </is>
      </c>
      <c r="D76" s="5" t="inlineStr">
        <is>
          <t>[data-disabled]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Draft Manual Test Protocol .manual-tests/toolbar.md passed in browser.</t>
        </is>
      </c>
      <c r="J76" s="5" t="inlineStr">
        <is>
          <t>Promote reviewed protocol when stable.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Anatomy</t>
        </is>
      </c>
      <c r="C77" s="5" t="inlineStr">
        <is>
          <t>ToggleItem</t>
        </is>
      </c>
      <c r="D77" s="5" t="inlineStr">
        <is>
          <t>renders correct part when expected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Draft Manual Test Protocol .manual-tests/toolbar.md passed in browser.</t>
        </is>
      </c>
      <c r="J77" s="5" t="inlineStr">
        <is>
          <t>Promote reviewed protocol when stable.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Anatomy</t>
        </is>
      </c>
      <c r="C78" s="5" t="inlineStr">
        <is>
          <t>ToggleItem</t>
        </is>
      </c>
      <c r="D78" s="5" t="inlineStr">
        <is>
          <t>appears in documented order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Draft Manual Test Protocol .manual-tests/toolbar.md passed in browser.</t>
        </is>
      </c>
      <c r="J78" s="5" t="inlineStr">
        <is>
          <t>Promote reviewed protocol when stable.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Identity</t>
        </is>
      </c>
      <c r="C79" s="5" t="inlineStr">
        <is>
          <t>ToggleItem</t>
        </is>
      </c>
      <c r="D79" s="5" t="inlineStr">
        <is>
          <t>default tag is visible in Anatomy/Inspector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Draft Manual Test Protocol .manual-tests/toolbar.md passed in browser.</t>
        </is>
      </c>
      <c r="J79" s="5" t="inlineStr">
        <is>
          <t>Promote reviewed protocol when stable.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Identity</t>
        </is>
      </c>
      <c r="C80" s="5" t="inlineStr">
        <is>
          <t>ToggleItem</t>
        </is>
      </c>
      <c r="D80" s="5" t="inlineStr">
        <is>
          <t>data-slot is present and correct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Draft Manual Test Protocol .manual-tests/toolbar.md passed in browser.</t>
        </is>
      </c>
      <c r="J80" s="5" t="inlineStr">
        <is>
          <t>Promote reviewed protocol when stable.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Props</t>
        </is>
      </c>
      <c r="C81" s="5" t="inlineStr">
        <is>
          <t>ToggleItem</t>
        </is>
      </c>
      <c r="D81" s="5" t="inlineStr">
        <is>
          <t>non-Atom native props pass through with data-prop-check marker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Draft Manual Test Protocol .manual-tests/toolbar.md passed in browser.</t>
        </is>
      </c>
      <c r="J81" s="5" t="inlineStr">
        <is>
          <t>Promote reviewed protocol when stable.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Refs</t>
        </is>
      </c>
      <c r="C82" s="5" t="inlineStr">
        <is>
          <t>ToggleItem</t>
        </is>
      </c>
      <c r="D82" s="5" t="inlineStr">
        <is>
          <t>consumer ref receives the rendered element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Draft Manual Test Protocol .manual-tests/toolbar.md passed in browser.</t>
        </is>
      </c>
      <c r="J82" s="5" t="inlineStr">
        <is>
          <t>Promote reviewed protocol when stable.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State</t>
        </is>
      </c>
      <c r="C83" s="5" t="inlineStr">
        <is>
          <t>ToggleItem</t>
        </is>
      </c>
      <c r="D83" s="5" t="inlineStr">
        <is>
          <t>value prop behavior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Draft Manual Test Protocol .manual-tests/toolbar.md passed in browser.</t>
        </is>
      </c>
      <c r="J83" s="5" t="inlineStr">
        <is>
          <t>Promote reviewed protocol when stable.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State</t>
        </is>
      </c>
      <c r="C84" s="5" t="inlineStr">
        <is>
          <t>ToggleItem</t>
        </is>
      </c>
      <c r="D84" s="5" t="inlineStr">
        <is>
          <t>disabled prop behavior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Draft Manual Test Protocol .manual-tests/toolbar.md passed in browser.</t>
        </is>
      </c>
      <c r="J84" s="5" t="inlineStr">
        <is>
          <t>Promote reviewed protocol when stable.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Accessibility</t>
        </is>
      </c>
      <c r="C85" s="5" t="inlineStr">
        <is>
          <t>ToggleItem</t>
        </is>
      </c>
      <c r="D85" s="5" t="inlineStr">
        <is>
          <t>ariaLabel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Draft Manual Test Protocol .manual-tests/toolbar.md passed in browser.</t>
        </is>
      </c>
      <c r="J85" s="5" t="inlineStr">
        <is>
          <t>Promote reviewed protocol when stable.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ToggleItem</t>
        </is>
      </c>
      <c r="D86" s="5" t="inlineStr">
        <is>
          <t>[data-slot]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Draft Manual Test Protocol .manual-tests/toolbar.md passed in browser.</t>
        </is>
      </c>
      <c r="J86" s="5" t="inlineStr">
        <is>
          <t>Promote reviewed protocol when stable.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ToggleItem</t>
        </is>
      </c>
      <c r="D87" s="5" t="inlineStr">
        <is>
          <t>[data-state]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Draft Manual Test Protocol .manual-tests/toolbar.md passed in browser.</t>
        </is>
      </c>
      <c r="J87" s="5" t="inlineStr">
        <is>
          <t>Promote reviewed protocol when stable.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State</t>
        </is>
      </c>
      <c r="C88" s="5" t="inlineStr">
        <is>
          <t>ToggleItem</t>
        </is>
      </c>
      <c r="D88" s="5" t="inlineStr">
        <is>
          <t>[data-value]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Draft Manual Test Protocol .manual-tests/toolbar.md passed in browser.</t>
        </is>
      </c>
      <c r="J88" s="5" t="inlineStr">
        <is>
          <t>Promote reviewed protocol when stable.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State</t>
        </is>
      </c>
      <c r="C89" s="5" t="inlineStr">
        <is>
          <t>ToggleItem</t>
        </is>
      </c>
      <c r="D89" s="5" t="inlineStr">
        <is>
          <t>[data-disabled] prop behavior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Draft Manual Test Protocol .manual-tests/toolbar.md passed in browser.</t>
        </is>
      </c>
      <c r="J89" s="5" t="inlineStr">
        <is>
          <t>Promote reviewed protocol when stable.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ARIA</t>
        </is>
      </c>
      <c r="C90" s="5" t="inlineStr">
        <is>
          <t>Live DOM</t>
        </is>
      </c>
      <c r="D90" s="5" t="inlineStr">
        <is>
          <t>aria-disabled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Draft Manual Test Protocol .manual-tests/toolbar.md passed in browser.</t>
        </is>
      </c>
      <c r="J90" s="5" t="inlineStr">
        <is>
          <t>Promote reviewed protocol when stable.</t>
        </is>
      </c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ARIA</t>
        </is>
      </c>
      <c r="C91" s="5" t="inlineStr">
        <is>
          <t>Live DOM</t>
        </is>
      </c>
      <c r="D91" s="5" t="inlineStr">
        <is>
          <t>aria-label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Draft Manual Test Protocol .manual-tests/toolbar.md passed in browser.</t>
        </is>
      </c>
      <c r="J91" s="5" t="inlineStr">
        <is>
          <t>Promote reviewed protocol when stable.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ARIA</t>
        </is>
      </c>
      <c r="C92" s="5" t="inlineStr">
        <is>
          <t>Live DOM</t>
        </is>
      </c>
      <c r="D92" s="5" t="inlineStr">
        <is>
          <t>aria-orientation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Draft Manual Test Protocol .manual-tests/toolbar.md passed in browser.</t>
        </is>
      </c>
      <c r="J92" s="5" t="inlineStr">
        <is>
          <t>Promote reviewed protocol when stable.</t>
        </is>
      </c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ARIA</t>
        </is>
      </c>
      <c r="C93" s="5" t="inlineStr">
        <is>
          <t>Live DOM</t>
        </is>
      </c>
      <c r="D93" s="5" t="inlineStr">
        <is>
          <t>aria-pressed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Draft Manual Test Protocol .manual-tests/toolbar.md passed in browser.</t>
        </is>
      </c>
      <c r="J93" s="5" t="inlineStr">
        <is>
          <t>Promote reviewed protocol when stable.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Live DOM</t>
        </is>
      </c>
      <c r="D94" s="5" t="inlineStr">
        <is>
          <t>data-disabled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Draft Manual Test Protocol .manual-tests/toolbar.md passed in browser.</t>
        </is>
      </c>
      <c r="J94" s="5" t="inlineStr">
        <is>
          <t>Promote reviewed protocol when stable.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Data</t>
        </is>
      </c>
      <c r="C95" s="5" t="inlineStr">
        <is>
          <t>Live DOM</t>
        </is>
      </c>
      <c r="D95" s="5" t="inlineStr">
        <is>
          <t>data-orientation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Draft Manual Test Protocol .manual-tests/toolbar.md passed in browser.</t>
        </is>
      </c>
      <c r="J95" s="5" t="inlineStr">
        <is>
          <t>Promote reviewed protocol when stable.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Data</t>
        </is>
      </c>
      <c r="C96" s="5" t="inlineStr">
        <is>
          <t>Live DOM</t>
        </is>
      </c>
      <c r="D96" s="5" t="inlineStr">
        <is>
          <t>data-slot is present at the correct time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Draft Manual Test Protocol .manual-tests/toolbar.md passed in browser.</t>
        </is>
      </c>
      <c r="J96" s="5" t="inlineStr">
        <is>
          <t>Promote reviewed protocol when stable.</t>
        </is>
      </c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Data</t>
        </is>
      </c>
      <c r="C97" s="5" t="inlineStr">
        <is>
          <t>Live DOM</t>
        </is>
      </c>
      <c r="D97" s="5" t="inlineStr">
        <is>
          <t>data-state is present at the correct time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Draft Manual Test Protocol .manual-tests/toolbar.md passed in browser.</t>
        </is>
      </c>
      <c r="J97" s="5" t="inlineStr">
        <is>
          <t>Promote reviewed protocol when stable.</t>
        </is>
      </c>
      <c r="K97" s="6">
        <f>IF(AND(E97="yes",F97="yes",H97="covered"),1,IF(H97="partial",0.5,0))</f>
        <v/>
      </c>
    </row>
    <row r="98" ht="30" customHeight="1" s="60">
      <c r="A98" s="4" t="n">
        <v>90</v>
      </c>
      <c r="B98" s="5" t="inlineStr">
        <is>
          <t>Data</t>
        </is>
      </c>
      <c r="C98" s="5" t="inlineStr">
        <is>
          <t>Live DOM</t>
        </is>
      </c>
      <c r="D98" s="5" t="inlineStr">
        <is>
          <t>data-value is present at the correct time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Draft Manual Test Protocol .manual-tests/toolbar.md passed in browser.</t>
        </is>
      </c>
      <c r="J98" s="5" t="inlineStr">
        <is>
          <t>Promote reviewed protocol when stable.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Keyboard</t>
        </is>
      </c>
      <c r="C99" s="5" t="inlineStr">
        <is>
          <t>Toolbar</t>
        </is>
      </c>
      <c r="D99" s="5" t="inlineStr">
        <is>
          <t>ArrowDown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Draft Manual Test Protocol .manual-tests/toolbar.md passed in browser.</t>
        </is>
      </c>
      <c r="J99" s="5" t="inlineStr">
        <is>
          <t>Promote reviewed protocol when stable.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Keyboard</t>
        </is>
      </c>
      <c r="C100" s="5" t="inlineStr">
        <is>
          <t>Toolbar</t>
        </is>
      </c>
      <c r="D100" s="5" t="inlineStr">
        <is>
          <t>ArrowLeft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Draft Manual Test Protocol .manual-tests/toolbar.md passed in browser.</t>
        </is>
      </c>
      <c r="J100" s="5" t="inlineStr">
        <is>
          <t>Promote reviewed protocol when stable.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Keyboard</t>
        </is>
      </c>
      <c r="C101" s="5" t="inlineStr">
        <is>
          <t>Toolbar</t>
        </is>
      </c>
      <c r="D101" s="5" t="inlineStr">
        <is>
          <t>ArrowRight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Draft Manual Test Protocol .manual-tests/toolbar.md passed in browser.</t>
        </is>
      </c>
      <c r="J101" s="5" t="inlineStr">
        <is>
          <t>Promote reviewed protocol when stable.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Keyboard</t>
        </is>
      </c>
      <c r="C102" s="5" t="inlineStr">
        <is>
          <t>Toolbar</t>
        </is>
      </c>
      <c r="D102" s="5" t="inlineStr">
        <is>
          <t>ArrowUp behavior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Draft Manual Test Protocol .manual-tests/toolbar.md passed in browser.</t>
        </is>
      </c>
      <c r="J102" s="5" t="inlineStr">
        <is>
          <t>Promote reviewed protocol when stable.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Keyboard</t>
        </is>
      </c>
      <c r="C103" s="5" t="inlineStr">
        <is>
          <t>Toolbar</t>
        </is>
      </c>
      <c r="D103" s="5" t="inlineStr">
        <is>
          <t>End behavior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Draft Manual Test Protocol .manual-tests/toolbar.md passed in browser.</t>
        </is>
      </c>
      <c r="J103" s="5" t="inlineStr">
        <is>
          <t>Promote reviewed protocol when stable.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Toolbar</t>
        </is>
      </c>
      <c r="D104" s="5" t="inlineStr">
        <is>
          <t>Home behavior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Draft Manual Test Protocol .manual-tests/toolbar.md passed in browser.</t>
        </is>
      </c>
      <c r="J104" s="5" t="inlineStr">
        <is>
          <t>Promote reviewed protocol when stable.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Toolbar</t>
        </is>
      </c>
      <c r="D105" s="5" t="inlineStr">
        <is>
          <t>Arrow key navigation follows documented orientation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Draft Manual Test Protocol .manual-tests/toolbar.md passed in browser.</t>
        </is>
      </c>
      <c r="J105" s="5" t="inlineStr">
        <is>
          <t>Promote reviewed protocol when stable.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Keyboard</t>
        </is>
      </c>
      <c r="C106" s="5" t="inlineStr">
        <is>
          <t>Toolbar</t>
        </is>
      </c>
      <c r="D106" s="5" t="inlineStr">
        <is>
          <t>Home and End navigation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Draft Manual Test Protocol .manual-tests/toolbar.md passed in browser.</t>
        </is>
      </c>
      <c r="J106" s="5" t="inlineStr">
        <is>
          <t>Promote reviewed protocol when stable.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Keyboard</t>
        </is>
      </c>
      <c r="C107" s="5" t="inlineStr">
        <is>
          <t>Toolbar</t>
        </is>
      </c>
      <c r="D107" s="5" t="inlineStr">
        <is>
          <t>disabled items are skipped or exposed according to pattern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Draft Manual Test Protocol .manual-tests/toolbar.md passed in browser.</t>
        </is>
      </c>
      <c r="J107" s="5" t="inlineStr">
        <is>
          <t>Promote reviewed protocol when stable.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Focus</t>
        </is>
      </c>
      <c r="C108" s="5" t="inlineStr">
        <is>
          <t>Toolbar</t>
        </is>
      </c>
      <c r="D108" s="5" t="inlineStr">
        <is>
          <t>roving focus or active descendant state is visible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Draft Manual Test Protocol .manual-tests/toolbar.md passed in browser.</t>
        </is>
      </c>
      <c r="J108" s="5" t="inlineStr">
        <is>
          <t>Promote reviewed protocol when stable.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Direction</t>
        </is>
      </c>
      <c r="C109" s="5" t="inlineStr">
        <is>
          <t>Root</t>
        </is>
      </c>
      <c r="D109" s="5" t="inlineStr">
        <is>
          <t>reads Direction.Provider context before defaulting to ltr</t>
        </is>
      </c>
      <c r="E109" s="10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10" t="inlineStr">
        <is>
          <t>covered</t>
        </is>
      </c>
      <c r="I109" s="5" t="inlineStr">
        <is>
          <t>Draft Manual Test Protocol .manual-tests/toolbar.md passed in browser.</t>
        </is>
      </c>
      <c r="J109" s="5" t="inlineStr">
        <is>
          <t>Promote reviewed protocol when stable.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Direction</t>
        </is>
      </c>
      <c r="C110" s="5" t="inlineStr">
        <is>
          <t>Root</t>
        </is>
      </c>
      <c r="D110" s="5" t="inlineStr">
        <is>
          <t>direct dir prop overrides provider direction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Draft Manual Test Protocol .manual-tests/toolbar.md passed in browser.</t>
        </is>
      </c>
      <c r="J110" s="5" t="inlineStr">
        <is>
          <t>Promote reviewed protocol when stable.</t>
        </is>
      </c>
      <c r="K110" s="6">
        <f>IF(AND(E110="yes",F110="yes",H110="covered"),1,IF(H110="partial",0.5,0))</f>
        <v/>
      </c>
    </row>
    <row r="111" ht="45" customHeight="1" s="60">
      <c r="A111" s="4" t="n">
        <v>103</v>
      </c>
      <c r="B111" s="5" t="inlineStr">
        <is>
          <t>Direction</t>
        </is>
      </c>
      <c r="C111" s="5" t="inlineStr">
        <is>
          <t>Root</t>
        </is>
      </c>
      <c r="D111" s="5" t="inlineStr">
        <is>
          <t>RTL mirrors horizontal ArrowLeft and ArrowRight navigation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Draft Manual Test Protocol .manual-tests/toolbar.md passed in browser.</t>
        </is>
      </c>
      <c r="J111" s="5" t="inlineStr">
        <is>
          <t>Promote reviewed protocol when stable.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Playground</t>
        </is>
      </c>
      <c r="C112" s="5" t="inlineStr">
        <is>
          <t>Direction controls</t>
        </is>
      </c>
      <c r="D112" s="5" t="inlineStr">
        <is>
          <t>scenario exposes provider direction and direct dir override through a single Direction control</t>
        </is>
      </c>
      <c r="E112" s="10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10" t="inlineStr">
        <is>
          <t>covered</t>
        </is>
      </c>
      <c r="I112" s="5" t="inlineStr">
        <is>
          <t>Draft Manual Test Protocol .manual-tests/toolbar.md passed in browser.</t>
        </is>
      </c>
      <c r="J112" s="5" t="inlineStr">
        <is>
          <t>Promote reviewed protocol when stable.</t>
        </is>
      </c>
      <c r="K112" s="6">
        <f>IF(AND(E112="yes",F112="yes",H112="covered"),1,IF(H112="partial",0.5,0))</f>
        <v/>
      </c>
    </row>
    <row r="113" ht="30" customHeight="1" s="60">
      <c r="A113" s="4" t="n">
        <v>105</v>
      </c>
      <c r="B113" s="5" t="inlineStr">
        <is>
          <t>Composition</t>
        </is>
      </c>
      <c r="C113" s="5" t="inlineStr">
        <is>
          <t>Root</t>
        </is>
      </c>
      <c r="D113" s="5" t="inlineStr">
        <is>
          <t>asChild and render composition modes preserve toolbar behavior</t>
        </is>
      </c>
      <c r="E113" s="10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10" t="inlineStr">
        <is>
          <t>covered</t>
        </is>
      </c>
      <c r="I113" s="5" t="inlineStr">
        <is>
          <t>Draft Manual Test Protocol .manual-tests/toolbar.md passed in browser.</t>
        </is>
      </c>
      <c r="J113" s="5" t="inlineStr">
        <is>
          <t>Promote reviewed protocol when stable.</t>
        </is>
      </c>
      <c r="K113" s="6">
        <f>IF(AND(E113="yes",F113="yes",H113="covered"),1,IF(H113="partial",0.5,0))</f>
        <v/>
      </c>
    </row>
    <row r="114" ht="30" customHeight="1" s="60">
      <c r="A114" s="4" t="n">
        <v>106</v>
      </c>
      <c r="B114" s="5" t="inlineStr">
        <is>
          <t>Composition</t>
        </is>
      </c>
      <c r="C114" s="5" t="inlineStr">
        <is>
          <t>Button</t>
        </is>
      </c>
      <c r="D114" s="5" t="inlineStr">
        <is>
          <t>asChild and render composition modes preserve button behavior</t>
        </is>
      </c>
      <c r="E114" s="10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10" t="inlineStr">
        <is>
          <t>covered</t>
        </is>
      </c>
      <c r="I114" s="5" t="inlineStr">
        <is>
          <t>Draft Manual Test Protocol .manual-tests/toolbar.md passed in browser.</t>
        </is>
      </c>
      <c r="J114" s="5" t="inlineStr">
        <is>
          <t>Promote reviewed protocol when stable.</t>
        </is>
      </c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Composition</t>
        </is>
      </c>
      <c r="C115" s="5" t="inlineStr">
        <is>
          <t>Link</t>
        </is>
      </c>
      <c r="D115" s="5" t="inlineStr">
        <is>
          <t>asChild and render composition modes preserve link behavior</t>
        </is>
      </c>
      <c r="E115" s="10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10" t="inlineStr">
        <is>
          <t>covered</t>
        </is>
      </c>
      <c r="I115" s="5" t="inlineStr">
        <is>
          <t>Draft Manual Test Protocol .manual-tests/toolbar.md passed in browser.</t>
        </is>
      </c>
      <c r="J115" s="5" t="inlineStr">
        <is>
          <t>Promote reviewed protocol when stable.</t>
        </is>
      </c>
      <c r="K115" s="6">
        <f>IF(AND(E115="yes",F115="yes",H115="covered"),1,IF(H115="partial",0.5,0))</f>
        <v/>
      </c>
    </row>
    <row r="116" ht="30" customHeight="1" s="60">
      <c r="A116" s="4" t="n">
        <v>108</v>
      </c>
      <c r="B116" s="5" t="inlineStr">
        <is>
          <t>Composition</t>
        </is>
      </c>
      <c r="C116" s="5" t="inlineStr">
        <is>
          <t>Separator</t>
        </is>
      </c>
      <c r="D116" s="5" t="inlineStr">
        <is>
          <t>asChild and render composition modes preserve separator behavior</t>
        </is>
      </c>
      <c r="E116" s="10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10" t="inlineStr">
        <is>
          <t>covered</t>
        </is>
      </c>
      <c r="I116" s="5" t="inlineStr">
        <is>
          <t>Draft Manual Test Protocol .manual-tests/toolbar.md passed in browser.</t>
        </is>
      </c>
      <c r="J116" s="5" t="inlineStr">
        <is>
          <t>Promote reviewed protocol when stable.</t>
        </is>
      </c>
      <c r="K116" s="6">
        <f>IF(AND(E116="yes",F116="yes",H116="covered"),1,IF(H116="partial",0.5,0))</f>
        <v/>
      </c>
    </row>
    <row r="117" ht="30" customHeight="1" s="60">
      <c r="A117" s="4" t="n">
        <v>109</v>
      </c>
      <c r="B117" s="5" t="inlineStr">
        <is>
          <t>Composition</t>
        </is>
      </c>
      <c r="C117" s="5" t="inlineStr">
        <is>
          <t>ToggleGroup</t>
        </is>
      </c>
      <c r="D117" s="5" t="inlineStr">
        <is>
          <t>asChild and render composition modes preserve toggle group behavior</t>
        </is>
      </c>
      <c r="E117" s="10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10" t="inlineStr">
        <is>
          <t>covered</t>
        </is>
      </c>
      <c r="I117" s="5" t="inlineStr">
        <is>
          <t>Draft Manual Test Protocol .manual-tests/toolbar.md passed in browser.</t>
        </is>
      </c>
      <c r="J117" s="5" t="inlineStr">
        <is>
          <t>Promote reviewed protocol when stable.</t>
        </is>
      </c>
      <c r="K117" s="6">
        <f>IF(AND(E117="yes",F117="yes",H117="covered"),1,IF(H117="partial",0.5,0))</f>
        <v/>
      </c>
    </row>
    <row r="118" ht="30" customHeight="1" s="60">
      <c r="A118" s="4" t="n">
        <v>110</v>
      </c>
      <c r="B118" s="5" t="inlineStr">
        <is>
          <t>Composition</t>
        </is>
      </c>
      <c r="C118" s="5" t="inlineStr">
        <is>
          <t>ToggleItem</t>
        </is>
      </c>
      <c r="D118" s="5" t="inlineStr">
        <is>
          <t>asChild and render composition modes preserve toggle item behavior</t>
        </is>
      </c>
      <c r="E118" s="10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10" t="inlineStr">
        <is>
          <t>covered</t>
        </is>
      </c>
      <c r="I118" s="5" t="inlineStr">
        <is>
          <t>Draft Manual Test Protocol .manual-tests/toolbar.md passed in browser.</t>
        </is>
      </c>
      <c r="J118" s="5" t="inlineStr">
        <is>
          <t>Promote reviewed protocol when stable.</t>
        </is>
      </c>
      <c r="K118" s="6">
        <f>IF(AND(E118="yes",F118="yes",H118="covered"),1,IF(H118="partial",0.5,0))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Tooltip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manual-tests/tooltip.md</t>
        </is>
      </c>
      <c r="J9" s="5" t="inlineStr"/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manual-tests/tooltip.md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Tooltip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manual-tests/tooltip.md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Tooltip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manual-tests/tooltip.md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Tooltip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manual-tests/tooltip.md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Tooltip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manual-tests/tooltip.md</t>
        </is>
      </c>
      <c r="J14" s="5" t="inlineStr"/>
      <c r="K14" s="6">
        <f>IF(AND(E14="yes",F14="yes",H14="covered"),1,IF(H14="partial",0.5,0))</f>
        <v/>
      </c>
    </row>
    <row r="15" ht="45" customHeight="1" s="60">
      <c r="A15" s="4" t="n">
        <v>7</v>
      </c>
      <c r="B15" s="5" t="inlineStr">
        <is>
          <t>Feature</t>
        </is>
      </c>
      <c r="C15" s="5" t="inlineStr">
        <is>
          <t>Tooltip</t>
        </is>
      </c>
      <c r="D15" s="5" t="inlineStr">
        <is>
          <t>Provider-level delay configuration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manual-tests/tooltip.md</t>
        </is>
      </c>
      <c r="J15" s="5" t="inlineStr"/>
      <c r="K15" s="6">
        <f>IF(AND(E15="yes",F15="yes",H15="covered"),1,IF(H15="partial",0.5,0))</f>
        <v/>
      </c>
    </row>
    <row r="16" ht="45" customHeight="1" s="60">
      <c r="A16" s="4" t="n">
        <v>8</v>
      </c>
      <c r="B16" s="5" t="inlineStr">
        <is>
          <t>Feature</t>
        </is>
      </c>
      <c r="C16" s="5" t="inlineStr">
        <is>
          <t>Tooltip</t>
        </is>
      </c>
      <c r="D16" s="5" t="inlineStr">
        <is>
          <t>Controlled and uncontrolled open state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manual-tests/tooltip.md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Tooltip</t>
        </is>
      </c>
      <c r="D17" s="5" t="inlineStr">
        <is>
          <t>Opens on pointer hover, keyboard focus-visible, and touch long press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manual-tests/tooltip.md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Tooltip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manual-tests/tooltip.md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Tooltip</t>
        </is>
      </c>
      <c r="D19" s="5" t="inlineStr">
        <is>
          <t>`aria-describedby` wiring between trigger and tooltip content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manual-tests/tooltip.md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Tooltip</t>
        </is>
      </c>
      <c r="D20" s="5" t="inlineStr">
        <is>
          <t>Portal and arrow parts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manual-tests/tooltip.md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manual-tests/tooltip.md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manual-tests/tooltip.md</t>
        </is>
      </c>
      <c r="J22" s="5" t="inlineStr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open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manual-tests/tooltip.md</t>
        </is>
      </c>
      <c r="J23" s="5" t="inlineStr"/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defaultOpen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manual-tests/tooltip.md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onOpenChange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manual-tests/tooltip.md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manual-tests/tooltip.md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Anatomy</t>
        </is>
      </c>
      <c r="C27" s="5" t="inlineStr">
        <is>
          <t>Provider</t>
        </is>
      </c>
      <c r="D27" s="5" t="inlineStr">
        <is>
          <t>renders correct part when expected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manual-tests/tooltip.md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Anatomy</t>
        </is>
      </c>
      <c r="C28" s="5" t="inlineStr">
        <is>
          <t>Provider</t>
        </is>
      </c>
      <c r="D28" s="5" t="inlineStr">
        <is>
          <t>appears in documented order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manual-tests/tooltip.md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Provider</t>
        </is>
      </c>
      <c r="D29" s="5" t="inlineStr">
        <is>
          <t>openDelay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manual-tests/tooltip.md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Provider</t>
        </is>
      </c>
      <c r="D30" s="5" t="inlineStr">
        <is>
          <t>closeDelay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manual-tests/tooltip.md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Provider</t>
        </is>
      </c>
      <c r="D31" s="5" t="inlineStr">
        <is>
          <t>skipDelay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manual-tests/tooltip.md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Portal</t>
        </is>
      </c>
      <c r="D32" s="5" t="inlineStr">
        <is>
          <t>renders correct part when expected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manual-tests/tooltip.md</t>
        </is>
      </c>
      <c r="J32" s="5" t="inlineStr"/>
      <c r="K32" s="6">
        <f>IF(AND(E32="yes",F32="yes",H32="covered"),1,IF(H32="partial",0.5,0))</f>
        <v/>
      </c>
    </row>
    <row r="33" ht="30" customHeight="1" s="60">
      <c r="A33" s="4" t="n">
        <v>25</v>
      </c>
      <c r="B33" s="5" t="inlineStr">
        <is>
          <t>Anatomy</t>
        </is>
      </c>
      <c r="C33" s="5" t="inlineStr">
        <is>
          <t>Portal</t>
        </is>
      </c>
      <c r="D33" s="5" t="inlineStr">
        <is>
          <t>appears in documented order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manual-tests/tooltip.md</t>
        </is>
      </c>
      <c r="J33" s="5" t="inlineStr"/>
      <c r="K33" s="6">
        <f>IF(AND(E33="yes",F33="yes",H33="covered"),1,IF(H33="partial",0.5,0))</f>
        <v/>
      </c>
    </row>
    <row r="34" ht="45" customHeight="1" s="60">
      <c r="A34" s="4" t="n">
        <v>26</v>
      </c>
      <c r="B34" s="5" t="inlineStr">
        <is>
          <t>Positioning</t>
        </is>
      </c>
      <c r="C34" s="5" t="inlineStr">
        <is>
          <t>Portal</t>
        </is>
      </c>
      <c r="D34" s="5" t="inlineStr">
        <is>
          <t>container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manual-tests/tooltip.md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Portal</t>
        </is>
      </c>
      <c r="D35" s="5" t="inlineStr">
        <is>
          <t>disabled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manual-tests/tooltip.md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manual-tests/tooltip.md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manual-tests/tooltip.md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default tag is visible in Anatomy/Inspector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manual-tests/tooltip.md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data-slot is present and correct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manual-tests/tooltip.md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Props</t>
        </is>
      </c>
      <c r="C40" s="5" t="inlineStr">
        <is>
          <t>Trigger</t>
        </is>
      </c>
      <c r="D40" s="5" t="inlineStr">
        <is>
          <t>non-Atom native props pass through with data-prop-check marker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manual-tests/tooltip.md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Trigger</t>
        </is>
      </c>
      <c r="D41" s="5" t="inlineStr">
        <is>
          <t>asChild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manual-tests/tooltip.md</t>
        </is>
      </c>
      <c r="J41" s="5" t="inlineStr"/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render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manual-tests/tooltip.md</t>
        </is>
      </c>
      <c r="J42" s="5" t="inlineStr"/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Public API</t>
        </is>
      </c>
      <c r="C43" s="5" t="inlineStr">
        <is>
          <t>Trigger</t>
        </is>
      </c>
      <c r="D43" s="5" t="inlineStr">
        <is>
          <t>data-slot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manual-tests/tooltip.md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manual-tests/tooltip.md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Content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manual-tests/tooltip.md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Content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manual-tests/tooltip.md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Content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manual-tests/tooltip.md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Content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manual-tests/tooltip.md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Props</t>
        </is>
      </c>
      <c r="C49" s="5" t="inlineStr">
        <is>
          <t>Content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manual-tests/tooltip.md</t>
        </is>
      </c>
      <c r="J49" s="5" t="inlineStr"/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Positioning</t>
        </is>
      </c>
      <c r="C50" s="5" t="inlineStr">
        <is>
          <t>Content</t>
        </is>
      </c>
      <c r="D50" s="5" t="inlineStr">
        <is>
          <t>side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manual-tests/tooltip.md</t>
        </is>
      </c>
      <c r="J50" s="5" t="inlineStr"/>
      <c r="K50" s="6">
        <f>IF(AND(E50="yes",F50="yes",H50="covered"),1,IF(H50="partial",0.5,0))</f>
        <v/>
      </c>
    </row>
    <row r="51" ht="45" customHeight="1" s="60">
      <c r="A51" s="4" t="n">
        <v>43</v>
      </c>
      <c r="B51" s="5" t="inlineStr">
        <is>
          <t>Positioning</t>
        </is>
      </c>
      <c r="C51" s="5" t="inlineStr">
        <is>
          <t>Content</t>
        </is>
      </c>
      <c r="D51" s="5" t="inlineStr">
        <is>
          <t>align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manual-tests/tooltip.md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Positioning</t>
        </is>
      </c>
      <c r="C52" s="5" t="inlineStr">
        <is>
          <t>Content</t>
        </is>
      </c>
      <c r="D52" s="5" t="inlineStr">
        <is>
          <t>sideOffset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manual-tests/tooltip.md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Accessibility</t>
        </is>
      </c>
      <c r="C53" s="5" t="inlineStr">
        <is>
          <t>Content</t>
        </is>
      </c>
      <c r="D53" s="5" t="inlineStr">
        <is>
          <t>ariaLabel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manual-tests/tooltip.md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data-slot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manual-tests/tooltip.md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[data-slot]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manual-tests/tooltip.md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[data-state]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manual-tests/tooltip.md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Positioning</t>
        </is>
      </c>
      <c r="C57" s="5" t="inlineStr">
        <is>
          <t>Content</t>
        </is>
      </c>
      <c r="D57" s="5" t="inlineStr">
        <is>
          <t>[data-side]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manual-tests/tooltip.md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Content</t>
        </is>
      </c>
      <c r="D58" s="5" t="inlineStr">
        <is>
          <t>[data-positioned]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manual-tests/tooltip.md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Arrow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manual-tests/tooltip.md</t>
        </is>
      </c>
      <c r="J59" s="5" t="inlineStr"/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Anatomy</t>
        </is>
      </c>
      <c r="C60" s="5" t="inlineStr">
        <is>
          <t>Arrow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manual-tests/tooltip.md</t>
        </is>
      </c>
      <c r="J60" s="5" t="inlineStr"/>
      <c r="K60" s="6">
        <f>IF(AND(E60="yes",F60="yes",H60="covered"),1,IF(H60="partial",0.5,0))</f>
        <v/>
      </c>
    </row>
    <row r="61" ht="45" customHeight="1" s="60">
      <c r="A61" s="4" t="n">
        <v>53</v>
      </c>
      <c r="B61" s="5" t="inlineStr">
        <is>
          <t>Identity</t>
        </is>
      </c>
      <c r="C61" s="5" t="inlineStr">
        <is>
          <t>Arrow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manual-tests/tooltip.md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Arrow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manual-tests/tooltip.md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Arrow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manual-tests/tooltip.md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Arrow</t>
        </is>
      </c>
      <c r="D64" s="5" t="inlineStr">
        <is>
          <t>width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manual-tests/tooltip.md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Arrow</t>
        </is>
      </c>
      <c r="D65" s="5" t="inlineStr">
        <is>
          <t>height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manual-tests/tooltip.md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Arrow</t>
        </is>
      </c>
      <c r="D66" s="5" t="inlineStr">
        <is>
          <t>data-slot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manual-tests/tooltip.md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Arrow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manual-tests/tooltip.md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Positioning</t>
        </is>
      </c>
      <c r="C68" s="5" t="inlineStr">
        <is>
          <t>Arrow</t>
        </is>
      </c>
      <c r="D68" s="5" t="inlineStr">
        <is>
          <t>[data-side]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manual-tests/tooltip.md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ARIA</t>
        </is>
      </c>
      <c r="C69" s="5" t="inlineStr">
        <is>
          <t>Live DOM</t>
        </is>
      </c>
      <c r="D69" s="5" t="inlineStr">
        <is>
          <t>aria-describedby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manual-tests/tooltip.md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aria-label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manual-tests/tooltip.md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data-positioned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manual-tests/tooltip.md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data-side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manual-tests/tooltip.md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Data</t>
        </is>
      </c>
      <c r="C73" s="5" t="inlineStr">
        <is>
          <t>Live DOM</t>
        </is>
      </c>
      <c r="D73" s="5" t="inlineStr">
        <is>
          <t>data-slot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manual-tests/tooltip.md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Data</t>
        </is>
      </c>
      <c r="C74" s="5" t="inlineStr">
        <is>
          <t>Live DOM</t>
        </is>
      </c>
      <c r="D74" s="5" t="inlineStr">
        <is>
          <t>data-state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manual-tests/tooltip.md</t>
        </is>
      </c>
      <c r="J74" s="5" t="inlineStr"/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Data</t>
        </is>
      </c>
      <c r="C75" s="5" t="inlineStr">
        <is>
          <t>Live DOM</t>
        </is>
      </c>
      <c r="D75" s="5" t="inlineStr">
        <is>
          <t>data-variant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manual-tests/tooltip.md</t>
        </is>
      </c>
      <c r="J75" s="5" t="inlineStr"/>
      <c r="K75" s="6">
        <f>IF(AND(E75="yes",F75="yes",H75="covered"),1,IF(H75="partial",0.5,0))</f>
        <v/>
      </c>
    </row>
    <row r="76" ht="45" customHeight="1" s="60">
      <c r="A76" s="4" t="n">
        <v>68</v>
      </c>
      <c r="B76" s="5" t="inlineStr">
        <is>
          <t>Composition</t>
        </is>
      </c>
      <c r="C76" s="5" t="inlineStr">
        <is>
          <t>Tooltip</t>
        </is>
      </c>
      <c r="D76" s="5" t="inlineStr">
        <is>
          <t>asChild preserves child content without double nesting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manual-tests/tooltip.md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Tooltip</t>
        </is>
      </c>
      <c r="D77" s="5" t="inlineStr">
        <is>
          <t>asChild merges Atom props and consumer props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manual-tests/tooltip.md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Tooltip</t>
        </is>
      </c>
      <c r="D78" s="5" t="inlineStr">
        <is>
          <t>render prop renders custom element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manual-tests/tooltip.md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Composition</t>
        </is>
      </c>
      <c r="C79" s="5" t="inlineStr">
        <is>
          <t>Tooltip</t>
        </is>
      </c>
      <c r="D79" s="5" t="inlineStr">
        <is>
          <t>render prop preserves behavior props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manual-tests/tooltip.md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State</t>
        </is>
      </c>
      <c r="C80" s="5" t="inlineStr">
        <is>
          <t>Root</t>
        </is>
      </c>
      <c r="D80" s="5" t="inlineStr">
        <is>
          <t>controlled state path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manual-tests/tooltip.md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State</t>
        </is>
      </c>
      <c r="C81" s="5" t="inlineStr">
        <is>
          <t>Root</t>
        </is>
      </c>
      <c r="D81" s="5" t="inlineStr">
        <is>
          <t>uncontrolled default state path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manual-tests/tooltip.md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State</t>
        </is>
      </c>
      <c r="C82" s="5" t="inlineStr">
        <is>
          <t>Root</t>
        </is>
      </c>
      <c r="D82" s="5" t="inlineStr">
        <is>
          <t>state change callback fires once with correct value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manual-tests/tooltip.md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Interaction</t>
        </is>
      </c>
      <c r="C83" s="5" t="inlineStr">
        <is>
          <t>Trigger</t>
        </is>
      </c>
      <c r="D83" s="5" t="inlineStr">
        <is>
          <t>disabled trigger blocks pointer and keyboard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manual-tests/tooltip.md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Focus</t>
        </is>
      </c>
      <c r="C84" s="5" t="inlineStr">
        <is>
          <t>Trigger</t>
        </is>
      </c>
      <c r="D84" s="5" t="inlineStr">
        <is>
          <t>focus ring and focus restoration are correct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manual-tests/tooltip.md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Dismiss</t>
        </is>
      </c>
      <c r="C85" s="5" t="inlineStr">
        <is>
          <t>Tooltip</t>
        </is>
      </c>
      <c r="D85" s="5" t="inlineStr">
        <is>
          <t>Escape closes only the topmost active layer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manual-tests/tooltip.md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Mobile</t>
        </is>
      </c>
      <c r="C86" s="5" t="inlineStr">
        <is>
          <t>Tooltip</t>
        </is>
      </c>
      <c r="D86" s="5" t="inlineStr">
        <is>
          <t>mobile viewport/touch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manual-tests/tooltip.md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Portal</t>
        </is>
      </c>
      <c r="C87" s="5" t="inlineStr">
        <is>
          <t>Tooltip</t>
        </is>
      </c>
      <c r="D87" s="5" t="inlineStr">
        <is>
          <t>portal renders in body by default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manual-tests/tooltip.md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Portal</t>
        </is>
      </c>
      <c r="C88" s="5" t="inlineStr">
        <is>
          <t>Tooltip</t>
        </is>
      </c>
      <c r="D88" s="5" t="inlineStr">
        <is>
          <t>custom/disabled portal path works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manual-tests/tooltip.md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Positioning</t>
        </is>
      </c>
      <c r="C89" s="5" t="inlineStr">
        <is>
          <t>Tooltip</t>
        </is>
      </c>
      <c r="D89" s="5" t="inlineStr">
        <is>
          <t>side options position content correctly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manual-tests/tooltip.md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Positioning</t>
        </is>
      </c>
      <c r="C90" s="5" t="inlineStr">
        <is>
          <t>Tooltip</t>
        </is>
      </c>
      <c r="D90" s="5" t="inlineStr">
        <is>
          <t>align options position content correctly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manual-tests/tooltip.md</t>
        </is>
      </c>
      <c r="J90" s="5" t="inlineStr"/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Positioning</t>
        </is>
      </c>
      <c r="C91" s="5" t="inlineStr">
        <is>
          <t>Tooltip</t>
        </is>
      </c>
      <c r="D91" s="5" t="inlineStr">
        <is>
          <t>collision/flip/shift behavior stays in viewport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manual-tests/tooltip.md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Positioning</t>
        </is>
      </c>
      <c r="C92" s="5" t="inlineStr">
        <is>
          <t>Tooltip</t>
        </is>
      </c>
      <c r="D92" s="5" t="inlineStr">
        <is>
          <t>arrow or anchor geometry matches content where supported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manual-tests/tooltip.md</t>
        </is>
      </c>
      <c r="J92" s="5" t="inlineStr"/>
      <c r="K92" s="6">
        <f>IF(AND(E92="yes",F92="yes",H92="covered"),1,IF(H92="partial",0.5,0))</f>
        <v/>
      </c>
    </row>
    <row r="93" ht="45" customHeight="1" s="60"/>
    <row r="94" ht="15" customHeight="1" s="60"/>
    <row r="95" ht="15" customHeight="1" s="60"/>
    <row r="96" ht="15" customHeight="1" s="60"/>
    <row r="97" ht="15" customHeight="1" s="60"/>
    <row r="98" ht="15" customHeight="1" s="60"/>
    <row r="99" ht="15" customHeight="1" s="60"/>
    <row r="100" ht="15" customHeight="1" s="60"/>
    <row r="101" ht="15" customHeight="1" s="60"/>
    <row r="102" ht="15" customHeight="1" s="60"/>
    <row r="103" ht="15" customHeight="1" s="60"/>
    <row r="104" ht="15" customHeight="1" s="60"/>
    <row r="105" ht="15" customHeight="1" s="60"/>
    <row r="106" ht="15" customHeight="1" s="60"/>
    <row r="107" ht="45" customHeight="1" s="60"/>
    <row r="108" ht="15" customHeight="1" s="60"/>
    <row r="109" ht="15" customHeight="1" s="60"/>
    <row r="110" ht="15" customHeight="1" s="60"/>
    <row r="111" ht="15" customHeight="1" s="60"/>
    <row r="112" ht="45" customHeight="1" s="60"/>
    <row r="113" ht="30" customHeight="1" s="60"/>
    <row r="114" ht="45" customHeight="1" s="60"/>
    <row r="115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K11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Tree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manual-tests/tree.md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manual-tests/tree.md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Tree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manual-tests/tree.md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Tree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manual-tests/tree.md</t>
        </is>
      </c>
      <c r="J12" s="5" t="inlineStr"/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Tree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manual-tests/tree.md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Tree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manual-tests/tree.md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Tree</t>
        </is>
      </c>
      <c r="D15" s="5" t="inlineStr">
        <is>
          <t>Implements WAI-ARIA `tree`, `treeitem`, and `group` roles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manual-tests/tree.md</t>
        </is>
      </c>
      <c r="J15" s="5" t="inlineStr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Tree</t>
        </is>
      </c>
      <c r="D16" s="5" t="inlineStr">
        <is>
          <t>Supports controlled and uncontrolled selection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manual-tests/tree.md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Tree</t>
        </is>
      </c>
      <c r="D17" s="5" t="inlineStr">
        <is>
          <t>Supports controlled and uncontrolled expansion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manual-tests/tree.md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Tree</t>
        </is>
      </c>
      <c r="D18" s="5" t="inlineStr">
        <is>
          <t>Supports single and multiple selection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manual-tests/tree.md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Tree</t>
        </is>
      </c>
      <c r="D19" s="5" t="inlineStr">
        <is>
          <t>Supports typeahead, roving active item, disabled items, Field context, and form submission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manual-tests/tree.md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Tree</t>
        </is>
      </c>
      <c r="D20" s="5" t="inlineStr">
        <is>
          <t>Supports nested groups with automatic levels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manual-tests/tree.md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manual-tests/tree.md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manual-tests/tree.md</t>
        </is>
      </c>
      <c r="J22" s="5" t="inlineStr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manual-tests/tree.md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manual-tests/tree.md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manual-tests/tree.md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manual-tests/tree.md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manual-tests/tree.md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manual-tests/tree.md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manual-tests/tree.md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expandedValue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manual-tests/tree.md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defaultExpandedValue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manual-tests/tree.md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onExpandedValueChange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manual-tests/tree.md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multiple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manual-tests/tree.md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manual-tests/tree.md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manual-tests/tree.md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required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manual-tests/tree.md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invalid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manual-tests/tree.md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orientation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manual-tests/tree.md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loop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manual-tests/tree.md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Group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manual-tests/tree.md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Group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manual-tests/tree.md</t>
        </is>
      </c>
      <c r="J41" s="5" t="inlineStr"/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Group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manual-tests/tree.md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Group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manual-tests/tree.md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Group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manual-tests/tree.md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Refs</t>
        </is>
      </c>
      <c r="C45" s="5" t="inlineStr">
        <is>
          <t>Group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manual-tests/tree.md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Group</t>
        </is>
      </c>
      <c r="D46" s="5" t="inlineStr">
        <is>
          <t>forceMount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manual-tests/tree.md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manual-tests/tree.md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Item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manual-tests/tree.md</t>
        </is>
      </c>
      <c r="J48" s="5" t="inlineStr"/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manual-tests/tree.md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Item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manual-tests/tree.md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Item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manual-tests/tree.md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Item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manual-tests/tree.md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Item</t>
        </is>
      </c>
      <c r="D53" s="5" t="inlineStr">
        <is>
          <t>value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manual-tests/tree.md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Item</t>
        </is>
      </c>
      <c r="D54" s="5" t="inlineStr">
        <is>
          <t>label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manual-tests/tree.md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Item</t>
        </is>
      </c>
      <c r="D55" s="5" t="inlineStr">
        <is>
          <t>disabled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manual-tests/tree.md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Item</t>
        </is>
      </c>
      <c r="D56" s="5" t="inlineStr">
        <is>
          <t>expandable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manual-tests/tree.md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Composition</t>
        </is>
      </c>
      <c r="C57" s="5" t="inlineStr">
        <is>
          <t>Item</t>
        </is>
      </c>
      <c r="D57" s="5" t="inlineStr">
        <is>
          <t>asChild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manual-tests/tree.md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Item</t>
        </is>
      </c>
      <c r="D58" s="5" t="inlineStr">
        <is>
          <t>render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manual-tests/tree.md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Item</t>
        </is>
      </c>
      <c r="D59" s="5" t="inlineStr">
        <is>
          <t>[data-slot]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manual-tests/tree.md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Item</t>
        </is>
      </c>
      <c r="D60" s="5" t="inlineStr">
        <is>
          <t>[data-state]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manual-tests/tree.md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[data-selected]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manual-tests/tree.md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[data-active]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manual-tests/tree.md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State</t>
        </is>
      </c>
      <c r="C63" s="5" t="inlineStr">
        <is>
          <t>Item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manual-tests/tree.md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ItemText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manual-tests/tree.md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ItemText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manual-tests/tree.md</t>
        </is>
      </c>
      <c r="J65" s="5" t="inlineStr"/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Identity</t>
        </is>
      </c>
      <c r="C66" s="5" t="inlineStr">
        <is>
          <t>ItemText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manual-tests/tree.md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ItemText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manual-tests/tree.md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ItemText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manual-tests/tree.md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Refs</t>
        </is>
      </c>
      <c r="C69" s="5" t="inlineStr">
        <is>
          <t>ItemText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manual-tests/tree.md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aria-activedescendant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manual-tests/tree.md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aria-describedby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manual-tests/tree.md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aria-disabled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manual-tests/tree.md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aria-expanded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manual-tests/tree.md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aria-hidden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manual-tests/tree.md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aria-invalid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manual-tests/tree.md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aria-labelledby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manual-tests/tree.md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aria-level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manual-tests/tree.md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aria-multiselectable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manual-tests/tree.md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aria-orientation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manual-tests/tree.md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aria-readonly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manual-tests/tree.md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aria-required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manual-tests/tree.md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aria-selected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manual-tests/tree.md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data-active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manual-tests/tree.md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data-disabled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manual-tests/tree.md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data-expandable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manual-tests/tree.md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data-expanded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manual-tests/tree.md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data-filled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manual-tests/tree.md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data-invalid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manual-tests/tree.md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data-level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manual-tests/tree.md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data-multiple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manual-tests/tree.md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data-readonly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manual-tests/tree.md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data-selected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manual-tests/tree.md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data-slot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manual-tests/tree.md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Live DOM</t>
        </is>
      </c>
      <c r="D94" s="5" t="inlineStr">
        <is>
          <t>data-state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manual-tests/tree.md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Data</t>
        </is>
      </c>
      <c r="C95" s="5" t="inlineStr">
        <is>
          <t>Live DOM</t>
        </is>
      </c>
      <c r="D95" s="5" t="inlineStr">
        <is>
          <t>data-value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manual-tests/tree.md</t>
        </is>
      </c>
      <c r="J95" s="5" t="inlineStr"/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Composition</t>
        </is>
      </c>
      <c r="C96" s="5" t="inlineStr">
        <is>
          <t>Tree</t>
        </is>
      </c>
      <c r="D96" s="5" t="inlineStr">
        <is>
          <t>asChild preserves child content without double nesting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manual-tests/tree.md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Composition</t>
        </is>
      </c>
      <c r="C97" s="5" t="inlineStr">
        <is>
          <t>Tree</t>
        </is>
      </c>
      <c r="D97" s="5" t="inlineStr">
        <is>
          <t>asChild merges Atom props and consumer props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manual-tests/tree.md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Composition</t>
        </is>
      </c>
      <c r="C98" s="5" t="inlineStr">
        <is>
          <t>Tree</t>
        </is>
      </c>
      <c r="D98" s="5" t="inlineStr">
        <is>
          <t>render prop renders custom element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manual-tests/tree.md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Composition</t>
        </is>
      </c>
      <c r="C99" s="5" t="inlineStr">
        <is>
          <t>Tree</t>
        </is>
      </c>
      <c r="D99" s="5" t="inlineStr">
        <is>
          <t>render prop preserves refs and behavior props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manual-tests/tree.md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State</t>
        </is>
      </c>
      <c r="C100" s="5" t="inlineStr">
        <is>
          <t>Root</t>
        </is>
      </c>
      <c r="D100" s="5" t="inlineStr">
        <is>
          <t>controlled state path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manual-tests/tree.md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Root</t>
        </is>
      </c>
      <c r="D101" s="5" t="inlineStr">
        <is>
          <t>uncontrolled default state path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manual-tests/tree.md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State</t>
        </is>
      </c>
      <c r="C102" s="5" t="inlineStr">
        <is>
          <t>Root</t>
        </is>
      </c>
      <c r="D102" s="5" t="inlineStr">
        <is>
          <t>state change callback fires once with correct value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manual-tests/tree.md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Keyboard</t>
        </is>
      </c>
      <c r="C103" s="5" t="inlineStr">
        <is>
          <t>Tree</t>
        </is>
      </c>
      <c r="D103" s="5" t="inlineStr">
        <is>
          <t>Arrow key navigation follows documented orientation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manual-tests/tree.md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Tree</t>
        </is>
      </c>
      <c r="D104" s="5" t="inlineStr">
        <is>
          <t>Home and End navigation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manual-tests/tree.md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Tree</t>
        </is>
      </c>
      <c r="D105" s="5" t="inlineStr">
        <is>
          <t>disabled items are skipped or exposed according to pattern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manual-tests/tree.md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Keyboard</t>
        </is>
      </c>
      <c r="C106" s="5" t="inlineStr">
        <is>
          <t>Tree</t>
        </is>
      </c>
      <c r="D106" s="5" t="inlineStr">
        <is>
          <t>typeahead/search behavior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manual-tests/tree.md</t>
        </is>
      </c>
      <c r="J106" s="5" t="inlineStr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Focus</t>
        </is>
      </c>
      <c r="C107" s="5" t="inlineStr">
        <is>
          <t>Tree</t>
        </is>
      </c>
      <c r="D107" s="5" t="inlineStr">
        <is>
          <t>roving focus or active descendant state is visible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manual-tests/tree.md</t>
        </is>
      </c>
      <c r="J107" s="5" t="inlineStr"/>
      <c r="K107" s="6">
        <f>IF(AND(E107="yes",F107="yes",H107="covered"),1,IF(H107="partial",0.5,0))</f>
        <v/>
      </c>
    </row>
    <row r="108" ht="30" customHeight="1" s="60">
      <c r="A108" s="4" t="n">
        <v>100</v>
      </c>
      <c r="B108" s="5" t="inlineStr">
        <is>
          <t>Direction</t>
        </is>
      </c>
      <c r="C108" s="5" t="inlineStr">
        <is>
          <t>Root</t>
        </is>
      </c>
      <c r="D108" s="5" t="inlineStr">
        <is>
          <t>reads Direction.Provider context for horizontal tree navigation</t>
        </is>
      </c>
      <c r="E108" s="10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10" t="inlineStr">
        <is>
          <t>covered</t>
        </is>
      </c>
      <c r="I108" s="5" t="inlineStr">
        <is>
          <t>manual-tests/tree.md</t>
        </is>
      </c>
      <c r="J108" s="5" t="inlineStr"/>
      <c r="K108" s="6">
        <f>IF(AND(E108="yes",F108="yes",H108="covered"),1,IF(H108="partial",0.5,0))</f>
        <v/>
      </c>
    </row>
    <row r="109" ht="30" customHeight="1" s="60">
      <c r="A109" s="4" t="n">
        <v>101</v>
      </c>
      <c r="B109" s="5" t="inlineStr">
        <is>
          <t>Direction</t>
        </is>
      </c>
      <c r="C109" s="5" t="inlineStr">
        <is>
          <t>Item</t>
        </is>
      </c>
      <c r="D109" s="5" t="inlineStr">
        <is>
          <t>RTL mirrors ArrowLeft and ArrowRight expand/collapse behavior</t>
        </is>
      </c>
      <c r="E109" s="10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10" t="inlineStr">
        <is>
          <t>covered</t>
        </is>
      </c>
      <c r="I109" s="5" t="inlineStr">
        <is>
          <t>manual-tests/tree.md</t>
        </is>
      </c>
      <c r="J109" s="5" t="inlineStr"/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Playground</t>
        </is>
      </c>
      <c r="C110" s="5" t="inlineStr">
        <is>
          <t>Direction controls</t>
        </is>
      </c>
      <c r="D110" s="5" t="inlineStr">
        <is>
          <t>scenario exposes provider direction controls</t>
        </is>
      </c>
      <c r="E110" s="10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10" t="inlineStr">
        <is>
          <t>covered</t>
        </is>
      </c>
      <c r="I110" s="5" t="inlineStr">
        <is>
          <t>manual-tests/tree.md</t>
        </is>
      </c>
      <c r="J110" s="5" t="inlineStr"/>
      <c r="K110" s="6">
        <f>IF(AND(E110="yes",F110="yes",H110="covered"),1,IF(H110="partial",0.5,0))</f>
        <v/>
      </c>
    </row>
    <row r="111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K19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TreeGrid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TreeGrid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TreeGrid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TreeGrid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TreeGrid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TreeGrid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TreeGrid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TreeGrid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TreeGrid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TreeGrid</t>
        </is>
      </c>
      <c r="D15" s="5" t="inlineStr">
        <is>
          <t>Implements `role="treegrid"` with row, row header, column header, and gridcell parts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TreeGrid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TreeGrid</t>
        </is>
      </c>
      <c r="D16" s="5" t="inlineStr">
        <is>
          <t>Supports controlled and uncontrolled expansion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TreeGrid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TreeGrid</t>
        </is>
      </c>
      <c r="D17" s="5" t="inlineStr">
        <is>
          <t>Supports controlled and uncontrolled active cell state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TreeGrid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TreeGrid</t>
        </is>
      </c>
      <c r="D18" s="5" t="inlineStr">
        <is>
          <t>Supports optional row selection with selectable parent rows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TreeGrid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TreeGrid</t>
        </is>
      </c>
      <c r="D19" s="5" t="inlineStr">
        <is>
          <t>Hides descendant rows when parent rows are collapsed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TreeGrid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TreeGrid</t>
        </is>
      </c>
      <c r="D20" s="5" t="inlineStr">
        <is>
          <t>Keeps sorting, filtering, resizing, editing, and virtualization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TreeGrid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TreeGrid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TreeGrid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TreeGrid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TreeGrid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TreeGrid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TreeGrid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TreeGrid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TreeGrid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TreeGrid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expandedValue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TreeGrid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defaultExpandedValue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TreeGrid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onExpandedValueChange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TreeGrid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activeCell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TreeGrid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defaultActiveCell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TreeGrid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selectionMode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TreeGrid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disabled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TreeGrid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readOnly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TreeGrid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loop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TreeGrid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rowCount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TreeGrid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columnCount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TreeGrid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Body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TreeGrid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Body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TreeGrid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30" customHeight="1" s="60">
      <c r="A43" s="4" t="n">
        <v>35</v>
      </c>
      <c r="B43" s="5" t="inlineStr">
        <is>
          <t>Identity</t>
        </is>
      </c>
      <c r="C43" s="5" t="inlineStr">
        <is>
          <t>Body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TreeGrid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Body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TreeGrid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Body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TreeGrid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Refs</t>
        </is>
      </c>
      <c r="C46" s="5" t="inlineStr">
        <is>
          <t>Body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TreeGrid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Caption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TreeGrid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Caption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TreeGrid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Caption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TreeGrid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Caption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TreeGrid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Caption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TreeGrid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Caption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TreeGrid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Cell</t>
        </is>
      </c>
      <c r="D53" s="5" t="inlineStr">
        <is>
          <t>renders correct part when expected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TreeGrid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Cell</t>
        </is>
      </c>
      <c r="D54" s="5" t="inlineStr">
        <is>
          <t>appears in documented order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TreeGrid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30" customHeight="1" s="60">
      <c r="A55" s="4" t="n">
        <v>47</v>
      </c>
      <c r="B55" s="5" t="inlineStr">
        <is>
          <t>Identity</t>
        </is>
      </c>
      <c r="C55" s="5" t="inlineStr">
        <is>
          <t>Cell</t>
        </is>
      </c>
      <c r="D55" s="5" t="inlineStr">
        <is>
          <t>default tag is visible in Anatomy/Inspector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TreeGrid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Identity</t>
        </is>
      </c>
      <c r="C56" s="5" t="inlineStr">
        <is>
          <t>Cell</t>
        </is>
      </c>
      <c r="D56" s="5" t="inlineStr">
        <is>
          <t>data-slot is present and correct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TreeGrid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Props</t>
        </is>
      </c>
      <c r="C57" s="5" t="inlineStr">
        <is>
          <t>Cell</t>
        </is>
      </c>
      <c r="D57" s="5" t="inlineStr">
        <is>
          <t>non-Atom native props pass through with data-prop-check marker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TreeGrid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Refs</t>
        </is>
      </c>
      <c r="C58" s="5" t="inlineStr">
        <is>
          <t>Cell</t>
        </is>
      </c>
      <c r="D58" s="5" t="inlineStr">
        <is>
          <t>consumer ref receives the rendered element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TreeGrid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ColumnHeader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TreeGrid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Anatomy</t>
        </is>
      </c>
      <c r="C60" s="5" t="inlineStr">
        <is>
          <t>ColumnHeader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TreeGrid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Identity</t>
        </is>
      </c>
      <c r="C61" s="5" t="inlineStr">
        <is>
          <t>ColumnHeader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TreeGrid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ColumnHeader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TreeGrid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ColumnHeader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TreeGrid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Refs</t>
        </is>
      </c>
      <c r="C64" s="5" t="inlineStr">
        <is>
          <t>ColumnHeader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TreeGrid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Footer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TreeGrid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Footer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TreeGrid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Identity</t>
        </is>
      </c>
      <c r="C67" s="5" t="inlineStr">
        <is>
          <t>Footer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TreeGrid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Identity</t>
        </is>
      </c>
      <c r="C68" s="5" t="inlineStr">
        <is>
          <t>Footer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TreeGrid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Footer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TreeGrid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Refs</t>
        </is>
      </c>
      <c r="C70" s="5" t="inlineStr">
        <is>
          <t>Footer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TreeGrid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GridBody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TreeGrid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GridBody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TreeGrid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Identity</t>
        </is>
      </c>
      <c r="C73" s="5" t="inlineStr">
        <is>
          <t>GridBody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TreeGrid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GridBody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TreeGrid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GridBody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TreeGrid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GridBody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TreeGrid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Anatomy</t>
        </is>
      </c>
      <c r="C77" s="5" t="inlineStr">
        <is>
          <t>GridCaption</t>
        </is>
      </c>
      <c r="D77" s="5" t="inlineStr">
        <is>
          <t>renders correct part when expected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TreeGrid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Anatomy</t>
        </is>
      </c>
      <c r="C78" s="5" t="inlineStr">
        <is>
          <t>GridCaption</t>
        </is>
      </c>
      <c r="D78" s="5" t="inlineStr">
        <is>
          <t>appears in documented order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TreeGrid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30" customHeight="1" s="60">
      <c r="A79" s="4" t="n">
        <v>71</v>
      </c>
      <c r="B79" s="5" t="inlineStr">
        <is>
          <t>Identity</t>
        </is>
      </c>
      <c r="C79" s="5" t="inlineStr">
        <is>
          <t>GridCaption</t>
        </is>
      </c>
      <c r="D79" s="5" t="inlineStr">
        <is>
          <t>default tag is visible in Anatomy/Inspector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TreeGrid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Identity</t>
        </is>
      </c>
      <c r="C80" s="5" t="inlineStr">
        <is>
          <t>GridCaption</t>
        </is>
      </c>
      <c r="D80" s="5" t="inlineStr">
        <is>
          <t>data-slot is present and correct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TreeGrid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Props</t>
        </is>
      </c>
      <c r="C81" s="5" t="inlineStr">
        <is>
          <t>GridCaption</t>
        </is>
      </c>
      <c r="D81" s="5" t="inlineStr">
        <is>
          <t>non-Atom native props pass through with data-prop-check marker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TreeGrid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Refs</t>
        </is>
      </c>
      <c r="C82" s="5" t="inlineStr">
        <is>
          <t>GridCaption</t>
        </is>
      </c>
      <c r="D82" s="5" t="inlineStr">
        <is>
          <t>consumer ref receives the rendered element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TreeGrid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Anatomy</t>
        </is>
      </c>
      <c r="C83" s="5" t="inlineStr">
        <is>
          <t>GridCell</t>
        </is>
      </c>
      <c r="D83" s="5" t="inlineStr">
        <is>
          <t>renders correct part when expected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TreeGrid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Anatomy</t>
        </is>
      </c>
      <c r="C84" s="5" t="inlineStr">
        <is>
          <t>GridCell</t>
        </is>
      </c>
      <c r="D84" s="5" t="inlineStr">
        <is>
          <t>appears in documented order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TreeGrid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30" customHeight="1" s="60">
      <c r="A85" s="4" t="n">
        <v>77</v>
      </c>
      <c r="B85" s="5" t="inlineStr">
        <is>
          <t>Identity</t>
        </is>
      </c>
      <c r="C85" s="5" t="inlineStr">
        <is>
          <t>GridCell</t>
        </is>
      </c>
      <c r="D85" s="5" t="inlineStr">
        <is>
          <t>default tag is visible in Anatomy/Inspector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TreeGrid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Identity</t>
        </is>
      </c>
      <c r="C86" s="5" t="inlineStr">
        <is>
          <t>GridCell</t>
        </is>
      </c>
      <c r="D86" s="5" t="inlineStr">
        <is>
          <t>data-slot is present and correct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TreeGrid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Props</t>
        </is>
      </c>
      <c r="C87" s="5" t="inlineStr">
        <is>
          <t>GridCell</t>
        </is>
      </c>
      <c r="D87" s="5" t="inlineStr">
        <is>
          <t>non-Atom native props pass through with data-prop-check marker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TreeGrid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Refs</t>
        </is>
      </c>
      <c r="C88" s="5" t="inlineStr">
        <is>
          <t>GridCell</t>
        </is>
      </c>
      <c r="D88" s="5" t="inlineStr">
        <is>
          <t>consumer ref receives the rendered element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TreeGrid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Anatomy</t>
        </is>
      </c>
      <c r="C89" s="5" t="inlineStr">
        <is>
          <t>GridColumnHeader</t>
        </is>
      </c>
      <c r="D89" s="5" t="inlineStr">
        <is>
          <t>renders correct part when expected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TreeGrid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Anatomy</t>
        </is>
      </c>
      <c r="C90" s="5" t="inlineStr">
        <is>
          <t>GridColumnHeader</t>
        </is>
      </c>
      <c r="D90" s="5" t="inlineStr">
        <is>
          <t>appears in documented order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TreeGrid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Identity</t>
        </is>
      </c>
      <c r="C91" s="5" t="inlineStr">
        <is>
          <t>GridColumnHeader</t>
        </is>
      </c>
      <c r="D91" s="5" t="inlineStr">
        <is>
          <t>default tag is visible in Anatomy/Inspector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TreeGrid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Identity</t>
        </is>
      </c>
      <c r="C92" s="5" t="inlineStr">
        <is>
          <t>GridColumnHeader</t>
        </is>
      </c>
      <c r="D92" s="5" t="inlineStr">
        <is>
          <t>data-slot is present and correct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TreeGrid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Props</t>
        </is>
      </c>
      <c r="C93" s="5" t="inlineStr">
        <is>
          <t>GridColumnHeader</t>
        </is>
      </c>
      <c r="D93" s="5" t="inlineStr">
        <is>
          <t>non-Atom native props pass through with data-prop-check marker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TreeGrid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Refs</t>
        </is>
      </c>
      <c r="C94" s="5" t="inlineStr">
        <is>
          <t>GridColumnHeader</t>
        </is>
      </c>
      <c r="D94" s="5" t="inlineStr">
        <is>
          <t>consumer ref receives the rendered element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TreeGrid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Anatomy</t>
        </is>
      </c>
      <c r="C95" s="5" t="inlineStr">
        <is>
          <t>GridFooter</t>
        </is>
      </c>
      <c r="D95" s="5" t="inlineStr">
        <is>
          <t>renders correct part when expected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TreeGrid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Anatomy</t>
        </is>
      </c>
      <c r="C96" s="5" t="inlineStr">
        <is>
          <t>GridFooter</t>
        </is>
      </c>
      <c r="D96" s="5" t="inlineStr">
        <is>
          <t>appears in documented order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TreeGrid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Identity</t>
        </is>
      </c>
      <c r="C97" s="5" t="inlineStr">
        <is>
          <t>GridFooter</t>
        </is>
      </c>
      <c r="D97" s="5" t="inlineStr">
        <is>
          <t>default tag is visible in Anatomy/Inspector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TreeGrid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Identity</t>
        </is>
      </c>
      <c r="C98" s="5" t="inlineStr">
        <is>
          <t>GridFooter</t>
        </is>
      </c>
      <c r="D98" s="5" t="inlineStr">
        <is>
          <t>data-slot is present and correct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TreeGrid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Props</t>
        </is>
      </c>
      <c r="C99" s="5" t="inlineStr">
        <is>
          <t>GridFooter</t>
        </is>
      </c>
      <c r="D99" s="5" t="inlineStr">
        <is>
          <t>non-Atom native props pass through with data-prop-check marker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TreeGrid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Refs</t>
        </is>
      </c>
      <c r="C100" s="5" t="inlineStr">
        <is>
          <t>GridFooter</t>
        </is>
      </c>
      <c r="D100" s="5" t="inlineStr">
        <is>
          <t>consumer ref receives the rendered element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TreeGrid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Anatomy</t>
        </is>
      </c>
      <c r="C101" s="5" t="inlineStr">
        <is>
          <t>GridHeader</t>
        </is>
      </c>
      <c r="D101" s="5" t="inlineStr">
        <is>
          <t>renders correct part when expected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TreeGrid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Anatomy</t>
        </is>
      </c>
      <c r="C102" s="5" t="inlineStr">
        <is>
          <t>GridHeader</t>
        </is>
      </c>
      <c r="D102" s="5" t="inlineStr">
        <is>
          <t>appears in documented order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TreeGrid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30" customHeight="1" s="60">
      <c r="A103" s="4" t="n">
        <v>95</v>
      </c>
      <c r="B103" s="5" t="inlineStr">
        <is>
          <t>Identity</t>
        </is>
      </c>
      <c r="C103" s="5" t="inlineStr">
        <is>
          <t>GridHeader</t>
        </is>
      </c>
      <c r="D103" s="5" t="inlineStr">
        <is>
          <t>default tag is visible in Anatomy/Inspector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TreeGrid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Identity</t>
        </is>
      </c>
      <c r="C104" s="5" t="inlineStr">
        <is>
          <t>GridHeader</t>
        </is>
      </c>
      <c r="D104" s="5" t="inlineStr">
        <is>
          <t>data-slot is present and correct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TreeGrid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Props</t>
        </is>
      </c>
      <c r="C105" s="5" t="inlineStr">
        <is>
          <t>GridHeader</t>
        </is>
      </c>
      <c r="D105" s="5" t="inlineStr">
        <is>
          <t>non-Atom native props pass through with data-prop-check marker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TreeGrid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Refs</t>
        </is>
      </c>
      <c r="C106" s="5" t="inlineStr">
        <is>
          <t>GridHeader</t>
        </is>
      </c>
      <c r="D106" s="5" t="inlineStr">
        <is>
          <t>consumer ref receives the rendered element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TreeGrid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Anatomy</t>
        </is>
      </c>
      <c r="C107" s="5" t="inlineStr">
        <is>
          <t>GridRow</t>
        </is>
      </c>
      <c r="D107" s="5" t="inlineStr">
        <is>
          <t>renders correct part when expected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TreeGrid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Anatomy</t>
        </is>
      </c>
      <c r="C108" s="5" t="inlineStr">
        <is>
          <t>GridRow</t>
        </is>
      </c>
      <c r="D108" s="5" t="inlineStr">
        <is>
          <t>appears in documented order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TreeGrid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30" customHeight="1" s="60">
      <c r="A109" s="4" t="n">
        <v>101</v>
      </c>
      <c r="B109" s="5" t="inlineStr">
        <is>
          <t>Identity</t>
        </is>
      </c>
      <c r="C109" s="5" t="inlineStr">
        <is>
          <t>GridRow</t>
        </is>
      </c>
      <c r="D109" s="5" t="inlineStr">
        <is>
          <t>default tag is visible in Anatomy/Inspector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TreeGrid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Identity</t>
        </is>
      </c>
      <c r="C110" s="5" t="inlineStr">
        <is>
          <t>GridRow</t>
        </is>
      </c>
      <c r="D110" s="5" t="inlineStr">
        <is>
          <t>data-slot is present and correct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TreeGrid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Props</t>
        </is>
      </c>
      <c r="C111" s="5" t="inlineStr">
        <is>
          <t>GridRow</t>
        </is>
      </c>
      <c r="D111" s="5" t="inlineStr">
        <is>
          <t>non-Atom native props pass through with data-prop-check marker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TreeGrid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Refs</t>
        </is>
      </c>
      <c r="C112" s="5" t="inlineStr">
        <is>
          <t>GridRow</t>
        </is>
      </c>
      <c r="D112" s="5" t="inlineStr">
        <is>
          <t>consumer ref receives the rendered element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TreeGrid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Anatomy</t>
        </is>
      </c>
      <c r="C113" s="5" t="inlineStr">
        <is>
          <t>GridRowHeader</t>
        </is>
      </c>
      <c r="D113" s="5" t="inlineStr">
        <is>
          <t>renders correct part when expected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TreeGrid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Anatomy</t>
        </is>
      </c>
      <c r="C114" s="5" t="inlineStr">
        <is>
          <t>GridRowHeader</t>
        </is>
      </c>
      <c r="D114" s="5" t="inlineStr">
        <is>
          <t>appears in documented order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TreeGrid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Identity</t>
        </is>
      </c>
      <c r="C115" s="5" t="inlineStr">
        <is>
          <t>GridRowHeader</t>
        </is>
      </c>
      <c r="D115" s="5" t="inlineStr">
        <is>
          <t>default tag is visible in Anatomy/Inspector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TreeGrid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Identity</t>
        </is>
      </c>
      <c r="C116" s="5" t="inlineStr">
        <is>
          <t>GridRowHeader</t>
        </is>
      </c>
      <c r="D116" s="5" t="inlineStr">
        <is>
          <t>data-slot is present and correct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TreeGrid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Props</t>
        </is>
      </c>
      <c r="C117" s="5" t="inlineStr">
        <is>
          <t>GridRowHeader</t>
        </is>
      </c>
      <c r="D117" s="5" t="inlineStr">
        <is>
          <t>non-Atom native props pass through with data-prop-check marker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TreeGrid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Refs</t>
        </is>
      </c>
      <c r="C118" s="5" t="inlineStr">
        <is>
          <t>GridRowHeader</t>
        </is>
      </c>
      <c r="D118" s="5" t="inlineStr">
        <is>
          <t>consumer ref receives the rendered element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TreeGrid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Anatomy</t>
        </is>
      </c>
      <c r="C119" s="5" t="inlineStr">
        <is>
          <t>Header</t>
        </is>
      </c>
      <c r="D119" s="5" t="inlineStr">
        <is>
          <t>renders correct part when expected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TreeGrid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Anatomy</t>
        </is>
      </c>
      <c r="C120" s="5" t="inlineStr">
        <is>
          <t>Header</t>
        </is>
      </c>
      <c r="D120" s="5" t="inlineStr">
        <is>
          <t>appears in documented order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TreeGrid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30" customHeight="1" s="60">
      <c r="A121" s="4" t="n">
        <v>113</v>
      </c>
      <c r="B121" s="5" t="inlineStr">
        <is>
          <t>Identity</t>
        </is>
      </c>
      <c r="C121" s="5" t="inlineStr">
        <is>
          <t>Header</t>
        </is>
      </c>
      <c r="D121" s="5" t="inlineStr">
        <is>
          <t>default tag is visible in Anatomy/Inspector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TreeGrid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Identity</t>
        </is>
      </c>
      <c r="C122" s="5" t="inlineStr">
        <is>
          <t>Header</t>
        </is>
      </c>
      <c r="D122" s="5" t="inlineStr">
        <is>
          <t>data-slot is present and correct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TreeGrid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Props</t>
        </is>
      </c>
      <c r="C123" s="5" t="inlineStr">
        <is>
          <t>Header</t>
        </is>
      </c>
      <c r="D123" s="5" t="inlineStr">
        <is>
          <t>non-Atom native props pass through with data-prop-check marker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TreeGrid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Refs</t>
        </is>
      </c>
      <c r="C124" s="5" t="inlineStr">
        <is>
          <t>Header</t>
        </is>
      </c>
      <c r="D124" s="5" t="inlineStr">
        <is>
          <t>consumer ref receives the rendered element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TreeGrid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Anatomy</t>
        </is>
      </c>
      <c r="C125" s="5" t="inlineStr">
        <is>
          <t>Row</t>
        </is>
      </c>
      <c r="D125" s="5" t="inlineStr">
        <is>
          <t>renders correct part when expected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TreeGrid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Anatomy</t>
        </is>
      </c>
      <c r="C126" s="5" t="inlineStr">
        <is>
          <t>Row</t>
        </is>
      </c>
      <c r="D126" s="5" t="inlineStr">
        <is>
          <t>appears in documented order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TreeGrid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30" customHeight="1" s="60">
      <c r="A127" s="4" t="n">
        <v>119</v>
      </c>
      <c r="B127" s="5" t="inlineStr">
        <is>
          <t>Identity</t>
        </is>
      </c>
      <c r="C127" s="5" t="inlineStr">
        <is>
          <t>Row</t>
        </is>
      </c>
      <c r="D127" s="5" t="inlineStr">
        <is>
          <t>default tag is visible in Anatomy/Inspector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TreeGrid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Identity</t>
        </is>
      </c>
      <c r="C128" s="5" t="inlineStr">
        <is>
          <t>Row</t>
        </is>
      </c>
      <c r="D128" s="5" t="inlineStr">
        <is>
          <t>data-slot is present and correct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TreeGrid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Props</t>
        </is>
      </c>
      <c r="C129" s="5" t="inlineStr">
        <is>
          <t>Row</t>
        </is>
      </c>
      <c r="D129" s="5" t="inlineStr">
        <is>
          <t>non-Atom native props pass through with data-prop-check marker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TreeGrid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Refs</t>
        </is>
      </c>
      <c r="C130" s="5" t="inlineStr">
        <is>
          <t>Row</t>
        </is>
      </c>
      <c r="D130" s="5" t="inlineStr">
        <is>
          <t>consumer ref receives the rendered element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TreeGrid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Public API</t>
        </is>
      </c>
      <c r="C131" s="5" t="inlineStr">
        <is>
          <t>Row</t>
        </is>
      </c>
      <c r="D131" s="5" t="inlineStr">
        <is>
          <t>rowIndex prop behavior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TreeGrid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Public API</t>
        </is>
      </c>
      <c r="C132" s="5" t="inlineStr">
        <is>
          <t>Row</t>
        </is>
      </c>
      <c r="D132" s="5" t="inlineStr">
        <is>
          <t>index prop behavior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TreeGrid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State</t>
        </is>
      </c>
      <c r="C133" s="5" t="inlineStr">
        <is>
          <t>Row</t>
        </is>
      </c>
      <c r="D133" s="5" t="inlineStr">
        <is>
          <t>value prop behavior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TreeGrid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Public API</t>
        </is>
      </c>
      <c r="C134" s="5" t="inlineStr">
        <is>
          <t>Row</t>
        </is>
      </c>
      <c r="D134" s="5" t="inlineStr">
        <is>
          <t>parentValue prop behavior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TreeGrid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Public API</t>
        </is>
      </c>
      <c r="C135" s="5" t="inlineStr">
        <is>
          <t>Row</t>
        </is>
      </c>
      <c r="D135" s="5" t="inlineStr">
        <is>
          <t>level prop behavior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TreeGrid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Public API</t>
        </is>
      </c>
      <c r="C136" s="5" t="inlineStr">
        <is>
          <t>Row</t>
        </is>
      </c>
      <c r="D136" s="5" t="inlineStr">
        <is>
          <t>expandable prop behavior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TreeGrid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Public API</t>
        </is>
      </c>
      <c r="C137" s="5" t="inlineStr">
        <is>
          <t>Row</t>
        </is>
      </c>
      <c r="D137" s="5" t="inlineStr">
        <is>
          <t>selectable prop behavior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TreeGrid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State</t>
        </is>
      </c>
      <c r="C138" s="5" t="inlineStr">
        <is>
          <t>Row</t>
        </is>
      </c>
      <c r="D138" s="5" t="inlineStr">
        <is>
          <t>disabled prop behavior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TreeGrid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Anatomy</t>
        </is>
      </c>
      <c r="C139" s="5" t="inlineStr">
        <is>
          <t>RowHeader</t>
        </is>
      </c>
      <c r="D139" s="5" t="inlineStr">
        <is>
          <t>renders correct part when expected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TreeGrid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Anatomy</t>
        </is>
      </c>
      <c r="C140" s="5" t="inlineStr">
        <is>
          <t>RowHeader</t>
        </is>
      </c>
      <c r="D140" s="5" t="inlineStr">
        <is>
          <t>appears in documented order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TreeGrid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30" customHeight="1" s="60">
      <c r="A141" s="4" t="n">
        <v>133</v>
      </c>
      <c r="B141" s="5" t="inlineStr">
        <is>
          <t>Identity</t>
        </is>
      </c>
      <c r="C141" s="5" t="inlineStr">
        <is>
          <t>RowHeader</t>
        </is>
      </c>
      <c r="D141" s="5" t="inlineStr">
        <is>
          <t>default tag is visible in Anatomy/Inspector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TreeGrid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Identity</t>
        </is>
      </c>
      <c r="C142" s="5" t="inlineStr">
        <is>
          <t>RowHeader</t>
        </is>
      </c>
      <c r="D142" s="5" t="inlineStr">
        <is>
          <t>data-slot is present and correct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TreeGrid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Props</t>
        </is>
      </c>
      <c r="C143" s="5" t="inlineStr">
        <is>
          <t>RowHeader</t>
        </is>
      </c>
      <c r="D143" s="5" t="inlineStr">
        <is>
          <t>non-Atom native props pass through with data-prop-check marker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TreeGrid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Refs</t>
        </is>
      </c>
      <c r="C144" s="5" t="inlineStr">
        <is>
          <t>RowHeader</t>
        </is>
      </c>
      <c r="D144" s="5" t="inlineStr">
        <is>
          <t>consumer ref receives the rendered element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TreeGrid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aria-activedescendant is present at the correct time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TreeGrid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aria-colcount is present at the correct time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TreeGrid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aria-colindex is present at the correct time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TreeGrid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aria-disabled is present at the correct time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TreeGrid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aria-expanded is present at the correct time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TreeGrid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aria-hidden is present at the correct time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TreeGrid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aria-level is present at the correct time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TreeGrid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ARIA</t>
        </is>
      </c>
      <c r="C152" s="5" t="inlineStr">
        <is>
          <t>Live DOM</t>
        </is>
      </c>
      <c r="D152" s="5" t="inlineStr">
        <is>
          <t>aria-multiselectable is present at the correct time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TreeGrid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ARIA</t>
        </is>
      </c>
      <c r="C153" s="5" t="inlineStr">
        <is>
          <t>Live DOM</t>
        </is>
      </c>
      <c r="D153" s="5" t="inlineStr">
        <is>
          <t>aria-readonly is present at the correct time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TreeGrid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ARIA</t>
        </is>
      </c>
      <c r="C154" s="5" t="inlineStr">
        <is>
          <t>Live DOM</t>
        </is>
      </c>
      <c r="D154" s="5" t="inlineStr">
        <is>
          <t>aria-rowcount is present at the correct time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TreeGrid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ARIA</t>
        </is>
      </c>
      <c r="C155" s="5" t="inlineStr">
        <is>
          <t>Live DOM</t>
        </is>
      </c>
      <c r="D155" s="5" t="inlineStr">
        <is>
          <t>aria-rowindex is present at the correct time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TreeGrid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ARIA</t>
        </is>
      </c>
      <c r="C156" s="5" t="inlineStr">
        <is>
          <t>Live DOM</t>
        </is>
      </c>
      <c r="D156" s="5" t="inlineStr">
        <is>
          <t>aria-selected is present at the correct time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TreeGrid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ARIA</t>
        </is>
      </c>
      <c r="C157" s="5" t="inlineStr">
        <is>
          <t>Live DOM</t>
        </is>
      </c>
      <c r="D157" s="5" t="inlineStr">
        <is>
          <t>aria-sort is present at the correct time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TreeGrid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data-active is present at the correct time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TreeGrid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data-column-count is present at the correct time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TreeGrid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data-column-index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TreeGrid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data-disabled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TreeGrid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data-expandable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TreeGrid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data-expanded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TreeGrid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Data</t>
        </is>
      </c>
      <c r="C164" s="5" t="inlineStr">
        <is>
          <t>Live DOM</t>
        </is>
      </c>
      <c r="D164" s="5" t="inlineStr">
        <is>
          <t>data-focused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TreeGrid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Data</t>
        </is>
      </c>
      <c r="C165" s="5" t="inlineStr">
        <is>
          <t>Live DOM</t>
        </is>
      </c>
      <c r="D165" s="5" t="inlineStr">
        <is>
          <t>data-hidden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TreeGrid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data-level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TreeGrid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data-parent-value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TreeGrid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data-readonly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TreeGrid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data-row-count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TreeGrid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data-row-index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TreeGrid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data-selectable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TreeGrid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Data</t>
        </is>
      </c>
      <c r="C172" s="5" t="inlineStr">
        <is>
          <t>Live DOM</t>
        </is>
      </c>
      <c r="D172" s="5" t="inlineStr">
        <is>
          <t>data-selected is present at the correct time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TreeGrid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Data</t>
        </is>
      </c>
      <c r="C173" s="5" t="inlineStr">
        <is>
          <t>Live DOM</t>
        </is>
      </c>
      <c r="D173" s="5" t="inlineStr">
        <is>
          <t>data-selection-disabled is present at the correct time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TreeGrid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Data</t>
        </is>
      </c>
      <c r="C174" s="5" t="inlineStr">
        <is>
          <t>Live DOM</t>
        </is>
      </c>
      <c r="D174" s="5" t="inlineStr">
        <is>
          <t>data-selection-mode is present at the correct time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TreeGrid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60">
      <c r="A175" s="4" t="n">
        <v>167</v>
      </c>
      <c r="B175" s="5" t="inlineStr">
        <is>
          <t>Data</t>
        </is>
      </c>
      <c r="C175" s="5" t="inlineStr">
        <is>
          <t>Live DOM</t>
        </is>
      </c>
      <c r="D175" s="5" t="inlineStr">
        <is>
          <t>data-slot is present at the correct time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TreeGrid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Data</t>
        </is>
      </c>
      <c r="C176" s="5" t="inlineStr">
        <is>
          <t>Live DOM</t>
        </is>
      </c>
      <c r="D176" s="5" t="inlineStr">
        <is>
          <t>data-sort is present at the correct time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TreeGrid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15" customHeight="1" s="60">
      <c r="A177" s="4" t="n">
        <v>169</v>
      </c>
      <c r="B177" s="5" t="inlineStr">
        <is>
          <t>Data</t>
        </is>
      </c>
      <c r="C177" s="5" t="inlineStr">
        <is>
          <t>Live DOM</t>
        </is>
      </c>
      <c r="D177" s="5" t="inlineStr">
        <is>
          <t>data-value is present at the correct time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TreeGrid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30" customHeight="1" s="60">
      <c r="A178" s="4" t="n">
        <v>170</v>
      </c>
      <c r="B178" s="5" t="inlineStr">
        <is>
          <t>Composition</t>
        </is>
      </c>
      <c r="C178" s="5" t="inlineStr">
        <is>
          <t>TreeGrid</t>
        </is>
      </c>
      <c r="D178" s="5" t="inlineStr">
        <is>
          <t>asChild preserves child content without double nesting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TreeGrid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Composition</t>
        </is>
      </c>
      <c r="C179" s="5" t="inlineStr">
        <is>
          <t>TreeGrid</t>
        </is>
      </c>
      <c r="D179" s="5" t="inlineStr">
        <is>
          <t>asChild merges Atom props and consumer props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TreeGrid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Composition</t>
        </is>
      </c>
      <c r="C180" s="5" t="inlineStr">
        <is>
          <t>TreeGrid</t>
        </is>
      </c>
      <c r="D180" s="5" t="inlineStr">
        <is>
          <t>asChild lets preventDefault block Atom behavior where supported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TreeGrid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Composition</t>
        </is>
      </c>
      <c r="C181" s="5" t="inlineStr">
        <is>
          <t>TreeGrid</t>
        </is>
      </c>
      <c r="D181" s="5" t="inlineStr">
        <is>
          <t>render prop renders custom element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TreeGrid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Composition</t>
        </is>
      </c>
      <c r="C182" s="5" t="inlineStr">
        <is>
          <t>TreeGrid</t>
        </is>
      </c>
      <c r="D182" s="5" t="inlineStr">
        <is>
          <t>render prop preserves refs and behavior props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TreeGrid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State</t>
        </is>
      </c>
      <c r="C183" s="5" t="inlineStr">
        <is>
          <t>Root</t>
        </is>
      </c>
      <c r="D183" s="5" t="inlineStr">
        <is>
          <t>controlled state path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TreeGrid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State</t>
        </is>
      </c>
      <c r="C184" s="5" t="inlineStr">
        <is>
          <t>Root</t>
        </is>
      </c>
      <c r="D184" s="5" t="inlineStr">
        <is>
          <t>uncontrolled default state path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TreeGrid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State</t>
        </is>
      </c>
      <c r="C185" s="5" t="inlineStr">
        <is>
          <t>Root</t>
        </is>
      </c>
      <c r="D185" s="5" t="inlineStr">
        <is>
          <t>state change callback fires once with correct value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TreeGrid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60">
      <c r="A186" s="4" t="n">
        <v>178</v>
      </c>
      <c r="B186" s="5" t="inlineStr">
        <is>
          <t>Keyboard</t>
        </is>
      </c>
      <c r="C186" s="5" t="inlineStr">
        <is>
          <t>TreeGrid</t>
        </is>
      </c>
      <c r="D186" s="5" t="inlineStr">
        <is>
          <t>Arrow key navigation follows documented orientation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TreeGrid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60">
      <c r="A187" s="4" t="n">
        <v>179</v>
      </c>
      <c r="B187" s="5" t="inlineStr">
        <is>
          <t>Keyboard</t>
        </is>
      </c>
      <c r="C187" s="5" t="inlineStr">
        <is>
          <t>TreeGrid</t>
        </is>
      </c>
      <c r="D187" s="5" t="inlineStr">
        <is>
          <t>Home and End navigation where supported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TreeGrid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15" customHeight="1" s="60">
      <c r="A188" s="4" t="n">
        <v>180</v>
      </c>
      <c r="B188" s="5" t="inlineStr">
        <is>
          <t>Keyboard</t>
        </is>
      </c>
      <c r="C188" s="5" t="inlineStr">
        <is>
          <t>TreeGrid</t>
        </is>
      </c>
      <c r="D188" s="5" t="inlineStr">
        <is>
          <t>disabled items are skipped or exposed according to pattern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TreeGrid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30" customHeight="1" s="60">
      <c r="A189" s="4" t="n">
        <v>181</v>
      </c>
      <c r="B189" s="5" t="inlineStr">
        <is>
          <t>Keyboard</t>
        </is>
      </c>
      <c r="C189" s="5" t="inlineStr">
        <is>
          <t>TreeGrid</t>
        </is>
      </c>
      <c r="D189" s="5" t="inlineStr">
        <is>
          <t>typeahead/search behavior where supported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TreeGrid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15" customHeight="1" s="60">
      <c r="A190" s="4" t="n">
        <v>182</v>
      </c>
      <c r="B190" s="5" t="inlineStr">
        <is>
          <t>Focus</t>
        </is>
      </c>
      <c r="C190" s="5" t="inlineStr">
        <is>
          <t>TreeGrid</t>
        </is>
      </c>
      <c r="D190" s="5" t="inlineStr">
        <is>
          <t>roving focus or active descendant state is visible</t>
        </is>
      </c>
      <c r="E190" s="7" t="inlineStr">
        <is>
          <t>yes</t>
        </is>
      </c>
      <c r="F190" s="8" t="inlineStr">
        <is>
          <t>no</t>
        </is>
      </c>
      <c r="G190" s="4" t="inlineStr">
        <is>
          <t>ready for manual test</t>
        </is>
      </c>
      <c r="H190" s="9" t="inlineStr">
        <is>
          <t>untested</t>
        </is>
      </c>
      <c r="I190" s="5" t="inlineStr">
        <is>
          <t>TreeGrid playground scenario.</t>
        </is>
      </c>
      <c r="J190" s="5" t="inlineStr">
        <is>
          <t>Manual verification needed.</t>
        </is>
      </c>
      <c r="K190" s="6">
        <f>IF(AND(E190="yes",F190="yes",H190="covered"),1,IF(H190="partial",0.5,0))</f>
        <v/>
      </c>
    </row>
    <row r="191" ht="30" customHeight="1" s="60">
      <c r="A191" s="4" t="n">
        <v>183</v>
      </c>
      <c r="B191" s="5" t="inlineStr">
        <is>
          <t>Direction</t>
        </is>
      </c>
      <c r="C191" s="5" t="inlineStr">
        <is>
          <t>Grid</t>
        </is>
      </c>
      <c r="D191" s="5" t="inlineStr">
        <is>
          <t>reads Direction.Provider context for horizontal cell navigation</t>
        </is>
      </c>
      <c r="E191" s="10" t="inlineStr">
        <is>
          <t>no</t>
        </is>
      </c>
      <c r="F191" s="8" t="inlineStr">
        <is>
          <t>no</t>
        </is>
      </c>
      <c r="G191" s="4" t="inlineStr">
        <is>
          <t>missing</t>
        </is>
      </c>
      <c r="H191" s="10" t="inlineStr">
        <is>
          <t>missing</t>
        </is>
      </c>
      <c r="I191" s="5" t="n"/>
      <c r="J191" s="5" t="inlineStr">
        <is>
          <t>Add Direction.Provider fallback before testing RTL grid arrows.</t>
        </is>
      </c>
      <c r="K191" s="6">
        <f>IF(AND(E191="yes",F191="yes",H191="covered"),1,IF(H191="partial",0.5,0))</f>
        <v/>
      </c>
    </row>
    <row r="192" ht="30" customHeight="1" s="60">
      <c r="A192" s="4" t="n">
        <v>184</v>
      </c>
      <c r="B192" s="5" t="inlineStr">
        <is>
          <t>Direction</t>
        </is>
      </c>
      <c r="C192" s="5" t="inlineStr">
        <is>
          <t>Grid</t>
        </is>
      </c>
      <c r="D192" s="5" t="inlineStr">
        <is>
          <t>RTL mirrors ArrowLeft and ArrowRight cell movement</t>
        </is>
      </c>
      <c r="E192" s="10" t="inlineStr">
        <is>
          <t>no</t>
        </is>
      </c>
      <c r="F192" s="8" t="inlineStr">
        <is>
          <t>no</t>
        </is>
      </c>
      <c r="G192" s="4" t="inlineStr">
        <is>
          <t>missing</t>
        </is>
      </c>
      <c r="H192" s="10" t="inlineStr">
        <is>
          <t>missing</t>
        </is>
      </c>
      <c r="I192" s="5" t="n"/>
      <c r="J192" s="5" t="inlineStr">
        <is>
          <t>Implement and test RTL cell navigation.</t>
        </is>
      </c>
      <c r="K192" s="6">
        <f>IF(AND(E192="yes",F192="yes",H192="covered"),1,IF(H192="partial",0.5,0))</f>
        <v/>
      </c>
    </row>
    <row r="193" ht="30" customHeight="1" s="60">
      <c r="A193" s="4" t="n">
        <v>185</v>
      </c>
      <c r="B193" s="5" t="inlineStr">
        <is>
          <t>Direction</t>
        </is>
      </c>
      <c r="C193" s="5" t="inlineStr">
        <is>
          <t>Grid</t>
        </is>
      </c>
      <c r="D193" s="5" t="inlineStr">
        <is>
          <t>row start and row end respect RTL direction</t>
        </is>
      </c>
      <c r="E193" s="10" t="inlineStr">
        <is>
          <t>no</t>
        </is>
      </c>
      <c r="F193" s="8" t="inlineStr">
        <is>
          <t>no</t>
        </is>
      </c>
      <c r="G193" s="4" t="inlineStr">
        <is>
          <t>missing</t>
        </is>
      </c>
      <c r="H193" s="10" t="inlineStr">
        <is>
          <t>missing</t>
        </is>
      </c>
      <c r="I193" s="5" t="n"/>
      <c r="J193" s="5" t="inlineStr">
        <is>
          <t>Implement and test RTL row-start/row-end semantics.</t>
        </is>
      </c>
      <c r="K193" s="6">
        <f>IF(AND(E193="yes",F193="yes",H193="covered"),1,IF(H193="partial",0.5,0))</f>
        <v/>
      </c>
    </row>
    <row r="194" ht="30" customHeight="1" s="60">
      <c r="A194" s="4" t="n">
        <v>186</v>
      </c>
      <c r="B194" s="5" t="inlineStr">
        <is>
          <t>Playground</t>
        </is>
      </c>
      <c r="C194" s="5" t="inlineStr">
        <is>
          <t>Direction controls</t>
        </is>
      </c>
      <c r="D194" s="5" t="inlineStr">
        <is>
          <t>scenario exposes provider direction controls</t>
        </is>
      </c>
      <c r="E194" s="10" t="inlineStr">
        <is>
          <t>no</t>
        </is>
      </c>
      <c r="F194" s="8" t="inlineStr">
        <is>
          <t>no</t>
        </is>
      </c>
      <c r="G194" s="4" t="inlineStr">
        <is>
          <t>missing</t>
        </is>
      </c>
      <c r="H194" s="10" t="inlineStr">
        <is>
          <t>missing</t>
        </is>
      </c>
      <c r="I194" s="5" t="n"/>
      <c r="J194" s="5" t="inlineStr">
        <is>
          <t>Add provider direction controls to the playground scenario.</t>
        </is>
      </c>
      <c r="K194" s="6">
        <f>IF(AND(E194="yes",F194="yes",H194="covered"),1,IF(H194="partial",0.5,0))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Virtualizer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IFERROR(SUM(K9:K33)/COUNTA(A9:A33),0)</f>
        <v/>
      </c>
      <c r="C4" s="1" t="inlineStr">
        <is>
          <t>Covered</t>
        </is>
      </c>
      <c r="D4" s="2">
        <f>COUNTIF(H9:H33,"covered")</f>
        <v/>
      </c>
      <c r="E4" s="1" t="inlineStr">
        <is>
          <t>Partial</t>
        </is>
      </c>
      <c r="F4" s="2">
        <f>COUNTIF(H9:H33,"partial")</f>
        <v/>
      </c>
      <c r="G4" s="1" t="inlineStr">
        <is>
          <t>Missing</t>
        </is>
      </c>
      <c r="H4" s="2">
        <f>COUNTIF(H9:H33,"missing")</f>
        <v/>
      </c>
      <c r="I4" s="1" t="inlineStr">
        <is>
          <t>Untested</t>
        </is>
      </c>
      <c r="J4" s="2">
        <f>COUNTIF(F9:F33,"no")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Virtualizer</t>
        </is>
      </c>
      <c r="D9" s="20" t="inlineStr">
        <is>
          <t>scenario is reachable from top menu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Virtualizer playground manual verification.</t>
        </is>
      </c>
      <c r="J9" s="20" t="n"/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Virtualizer</t>
        </is>
      </c>
      <c r="D10" s="20" t="inlineStr">
        <is>
          <t>canvas source reflects current toggles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Virtualizer playground manual verification.</t>
        </is>
      </c>
      <c r="J10" s="20" t="n"/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Virtualizer</t>
        </is>
      </c>
      <c r="D11" s="20" t="inlineStr">
        <is>
          <t>anatomy uses live DOM attributes, ARIA, and data groups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Virtualizer playground manual verification.</t>
        </is>
      </c>
      <c r="J11" s="20" t="n"/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Virtualizer</t>
        </is>
      </c>
      <c r="D12" s="20" t="inlineStr">
        <is>
          <t>inspector selected/focused/logs work for this scenario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Virtualizer playground manual verification.</t>
        </is>
      </c>
      <c r="J12" s="20" t="n"/>
      <c r="K12" s="21">
        <f>IF(H12="covered",1,IF(H12="partial",0.5,0))</f>
        <v/>
      </c>
    </row>
    <row r="13" ht="30" customHeight="1" s="60">
      <c r="A13" s="19" t="n">
        <v>5</v>
      </c>
      <c r="B13" s="20" t="inlineStr">
        <is>
          <t>Feature</t>
        </is>
      </c>
      <c r="C13" s="20" t="inlineStr">
        <is>
          <t>Virtualizer</t>
        </is>
      </c>
      <c r="D13" s="20" t="inlineStr">
        <is>
          <t>Computes visible virtual items from item count, scroll offset, viewport size, and overscan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Virtualizer playground manual verification.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Feature</t>
        </is>
      </c>
      <c r="C14" s="20" t="inlineStr">
        <is>
          <t>Virtualizer</t>
        </is>
      </c>
      <c r="D14" s="20" t="inlineStr">
        <is>
          <t>Supports measured item sizes with `ResizeObserver`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Virtualizer playground manual verification.</t>
        </is>
      </c>
      <c r="J14" s="20" t="n"/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Virtualizer</t>
        </is>
      </c>
      <c r="D15" s="20" t="inlineStr">
        <is>
          <t>Supports stable item keys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Virtualizer playground manual verification.</t>
        </is>
      </c>
      <c r="J15" s="20" t="n"/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Virtualizer</t>
        </is>
      </c>
      <c r="D16" s="20" t="inlineStr">
        <is>
          <t>Provides `scrollToOffset` and `scrollToIndex` helpers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Virtualizer playground manual verification.</t>
        </is>
      </c>
      <c r="J16" s="20" t="n"/>
      <c r="K16" s="21">
        <f>IF(H16="covered",1,IF(H16="partial",0.5,0))</f>
        <v/>
      </c>
    </row>
    <row r="17" ht="30" customHeight="1" s="60">
      <c r="A17" s="19" t="n">
        <v>9</v>
      </c>
      <c r="B17" s="20" t="inlineStr">
        <is>
          <t>Feature</t>
        </is>
      </c>
      <c r="C17" s="20" t="inlineStr">
        <is>
          <t>Virtualizer</t>
        </is>
      </c>
      <c r="D17" s="20" t="inlineStr">
        <is>
          <t>Keeps DOM structure, ARIA roles, keyboard behavior, and styling in the component that uses it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Virtualizer playground manual verification.</t>
        </is>
      </c>
      <c r="J17" s="20" t="n"/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Anatomy</t>
        </is>
      </c>
      <c r="C18" s="20" t="inlineStr">
        <is>
          <t>Hook API</t>
        </is>
      </c>
      <c r="D18" s="20" t="inlineStr">
        <is>
          <t>hook API state appears in Anatomy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Virtualizer playground manual verification.</t>
        </is>
      </c>
      <c r="J18" s="20" t="n"/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Hook API</t>
        </is>
      </c>
      <c r="D19" s="20" t="inlineStr">
        <is>
          <t>hook API appears before consumer DOM evidence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Virtualizer playground manual verification.</t>
        </is>
      </c>
      <c r="J19" s="20" t="n"/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Identity</t>
        </is>
      </c>
      <c r="C20" s="20" t="inlineStr">
        <is>
          <t>Consumer DOM</t>
        </is>
      </c>
      <c r="D20" s="20" t="inlineStr">
        <is>
          <t>scroll container tag is visible in Anatomy/Inspector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Virtualizer playground manual verification.</t>
        </is>
      </c>
      <c r="J20" s="20" t="n"/>
      <c r="K20" s="21">
        <f>IF(H20="covered",1,IF(H20="partial",0.5,0))</f>
        <v/>
      </c>
    </row>
    <row r="21" ht="15" customHeight="1" s="60">
      <c r="A21" s="19" t="n">
        <v>13</v>
      </c>
      <c r="B21" s="20" t="inlineStr">
        <is>
          <t>Identity</t>
        </is>
      </c>
      <c r="C21" s="20" t="inlineStr">
        <is>
          <t>Hook API</t>
        </is>
      </c>
      <c r="D21" s="20" t="inlineStr">
        <is>
          <t>Virtualizer emits no data-slot because it renders no DOM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Virtualizer playground manual verification.</t>
        </is>
      </c>
      <c r="J21" s="20" t="n"/>
      <c r="K21" s="21">
        <f>IF(H21="covered",1,IF(H21="partial",0.5,0))</f>
        <v/>
      </c>
    </row>
    <row r="22" ht="30" customHeight="1" s="60">
      <c r="A22" s="19" t="n">
        <v>14</v>
      </c>
      <c r="B22" s="20" t="inlineStr">
        <is>
          <t>Props</t>
        </is>
      </c>
      <c r="C22" s="20" t="inlineStr">
        <is>
          <t>Consumer DOM</t>
        </is>
      </c>
      <c r="D22" s="20" t="inlineStr">
        <is>
          <t>non-Atom marker data-prop-check is not used for hook output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Virtualizer playground manual verification.</t>
        </is>
      </c>
      <c r="J22" s="20" t="n"/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Anatomy</t>
        </is>
      </c>
      <c r="C23" s="20" t="inlineStr">
        <is>
          <t>Consumer DOM</t>
        </is>
      </c>
      <c r="D23" s="20" t="inlineStr">
        <is>
          <t>visible virtual items render in DOM evidence group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Virtualizer playground manual verification.</t>
        </is>
      </c>
      <c r="J23" s="20" t="n"/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Anatomy</t>
        </is>
      </c>
      <c r="C24" s="20" t="inlineStr">
        <is>
          <t>Consumer DOM</t>
        </is>
      </c>
      <c r="D24" s="20" t="inlineStr">
        <is>
          <t>visible range rows follow hook output order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Virtualizer playground manual verification.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Identity</t>
        </is>
      </c>
      <c r="C25" s="20" t="inlineStr">
        <is>
          <t>Consumer DOM</t>
        </is>
      </c>
      <c r="D25" s="20" t="inlineStr">
        <is>
          <t>virtual item indexes are visible in Anatomy/Inspector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Virtualizer playground manual verification.</t>
        </is>
      </c>
      <c r="J25" s="20" t="n"/>
      <c r="K25" s="21">
        <f>IF(H25="covered",1,IF(H25="partial",0.5,0))</f>
        <v/>
      </c>
    </row>
    <row r="26" ht="30" customHeight="1" s="60">
      <c r="A26" s="19" t="n">
        <v>18</v>
      </c>
      <c r="B26" s="20" t="inlineStr">
        <is>
          <t>Identity</t>
        </is>
      </c>
      <c r="C26" s="20" t="inlineStr">
        <is>
          <t>Hook API</t>
        </is>
      </c>
      <c r="D26" s="20" t="inlineStr">
        <is>
          <t>Virtualizer emits no Atom data attributes because it renders no DOM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Virtualizer playground manual verification.</t>
        </is>
      </c>
      <c r="J26" s="20" t="n"/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Props</t>
        </is>
      </c>
      <c r="C27" s="20" t="inlineStr">
        <is>
          <t>Consumer DOM</t>
        </is>
      </c>
      <c r="D27" s="20" t="inlineStr">
        <is>
          <t>scroll container native tabIndex is visible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Virtualizer playground manual verification.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Utility</t>
        </is>
      </c>
      <c r="C28" s="20" t="inlineStr">
        <is>
          <t>Virtualizer</t>
        </is>
      </c>
      <c r="D28" s="20" t="inlineStr">
        <is>
          <t>visible range updates from item size and overscan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Virtualizer playground manual verification.</t>
        </is>
      </c>
      <c r="J28" s="20" t="n"/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Utility</t>
        </is>
      </c>
      <c r="C29" s="20" t="inlineStr">
        <is>
          <t>Virtualizer</t>
        </is>
      </c>
      <c r="D29" s="20" t="inlineStr">
        <is>
          <t>scrollToIndex honors start, center, end, and auto alignment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Virtualizer playground manual verification.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Utility</t>
        </is>
      </c>
      <c r="C30" s="20" t="inlineStr">
        <is>
          <t>Virtualizer</t>
        </is>
      </c>
      <c r="D30" s="20" t="inlineStr">
        <is>
          <t>variable item sizes and zero-size items are handled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Virtualizer playground manual verification.</t>
        </is>
      </c>
      <c r="J30" s="20" t="n"/>
      <c r="K30" s="21">
        <f>IF(H30="covered",1,IF(H30="partial",0.5,0))</f>
        <v/>
      </c>
    </row>
    <row r="31" ht="30" customHeight="1" s="60">
      <c r="A31" s="19" t="n">
        <v>23</v>
      </c>
      <c r="B31" s="20" t="inlineStr">
        <is>
          <t>Public API</t>
        </is>
      </c>
      <c r="C31" s="20" t="inlineStr">
        <is>
          <t>Pure helpers</t>
        </is>
      </c>
      <c r="D31" s="20" t="inlineStr">
        <is>
          <t>getVirtualTotalSize export and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Unit tests cover pure helper behavior; playground shows total size.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30" customHeight="1" s="60">
      <c r="A32" s="19" t="n">
        <v>24</v>
      </c>
      <c r="B32" s="20" t="inlineStr">
        <is>
          <t>Public API</t>
        </is>
      </c>
      <c r="C32" s="20" t="inlineStr">
        <is>
          <t>Pure helpers</t>
        </is>
      </c>
      <c r="D32" s="20" t="inlineStr">
        <is>
          <t>getVirtualOffsetForIndex export and behavior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Unit tests cover pure helper behavior; playground shows item starts.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30" customHeight="1" s="60">
      <c r="A33" s="19" t="n">
        <v>25</v>
      </c>
      <c r="B33" s="20" t="inlineStr">
        <is>
          <t>Public API</t>
        </is>
      </c>
      <c r="C33" s="20" t="inlineStr">
        <is>
          <t>Pure helpers</t>
        </is>
      </c>
      <c r="D33" s="20" t="inlineStr">
        <is>
          <t>getVirtualScrollOffsetForIndex export and behavior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Unit tests cover pure helper behavior; playground tests scrollToIndex alignments.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>
      <c r="A34" s="4" t="n"/>
      <c r="B34" s="5" t="n"/>
      <c r="C34" s="5" t="n"/>
      <c r="D34" s="5" t="n"/>
      <c r="E34" s="7" t="n"/>
      <c r="F34" s="7" t="n"/>
      <c r="G34" s="4" t="n"/>
      <c r="H34" s="11" t="n"/>
      <c r="I34" s="5" t="n"/>
      <c r="J34" s="5" t="n"/>
      <c r="K34" s="6" t="n"/>
    </row>
    <row r="35">
      <c r="A35" s="4" t="n"/>
      <c r="B35" s="5" t="n"/>
      <c r="C35" s="5" t="n"/>
      <c r="D35" s="5" t="n"/>
      <c r="E35" s="7" t="n"/>
      <c r="F35" s="7" t="n"/>
      <c r="G35" s="4" t="n"/>
      <c r="H35" s="11" t="n"/>
      <c r="I35" s="5" t="n"/>
      <c r="J35" s="5" t="n"/>
      <c r="K35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VisuallyHidden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IFERROR(SUM(K9:K35)/COUNTA(A9:A35),0)</f>
        <v/>
      </c>
      <c r="C4" s="1" t="inlineStr">
        <is>
          <t>Covered</t>
        </is>
      </c>
      <c r="D4" s="2">
        <f>COUNTIF(H9:H35,"covered")</f>
        <v/>
      </c>
      <c r="E4" s="1" t="inlineStr">
        <is>
          <t>Partial</t>
        </is>
      </c>
      <c r="F4" s="2">
        <f>COUNTIF(H9:H35,"partial")</f>
        <v/>
      </c>
      <c r="G4" s="1" t="inlineStr">
        <is>
          <t>Missing</t>
        </is>
      </c>
      <c r="H4" s="2">
        <f>COUNTIF(H9:H35,"missing")</f>
        <v/>
      </c>
      <c r="I4" s="1" t="inlineStr">
        <is>
          <t>Untested</t>
        </is>
      </c>
      <c r="J4" s="2">
        <f>COUNTIF(F9:F35,"no")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VisuallyHidden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Visually Hidden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VisuallyHidden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Visually Hidden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VisuallyHidden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Visually Hidden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VisuallyHidden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Visually Hidden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VisuallyHidden</t>
        </is>
      </c>
      <c r="D15" s="20" t="inlineStr">
        <is>
          <t>Keeps content available to assistive technology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Visually Hidden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VisuallyHidden</t>
        </is>
      </c>
      <c r="D16" s="20" t="inlineStr">
        <is>
          <t>Applies an authoritative visually-hidden style contract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Visually Hidden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VisuallyHidden</t>
        </is>
      </c>
      <c r="D17" s="20" t="inlineStr">
        <is>
          <t>Merges consumer styles before hiding styles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Visually Hidden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VisuallyHidden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Visually Hidden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Visually Hidden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Visually Hidden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Visually Hidden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Visually Hidden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Visually Hidden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Visually Hidden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Visually Hidden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Visually Hidden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[data-slot]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Visually Hidden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Data</t>
        </is>
      </c>
      <c r="C28" s="20" t="inlineStr">
        <is>
          <t>Live DOM</t>
        </is>
      </c>
      <c r="D28" s="20" t="inlineStr">
        <is>
          <t>data-slot is present at the correct time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Visually Hidden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30" customHeight="1" s="60">
      <c r="A29" s="19" t="n">
        <v>21</v>
      </c>
      <c r="B29" s="20" t="inlineStr">
        <is>
          <t>Composition</t>
        </is>
      </c>
      <c r="C29" s="20" t="inlineStr">
        <is>
          <t>VisuallyHidden</t>
        </is>
      </c>
      <c r="D29" s="20" t="inlineStr">
        <is>
          <t>asChild preserves child content without double nesting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Visually Hidden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Composition</t>
        </is>
      </c>
      <c r="C30" s="20" t="inlineStr">
        <is>
          <t>VisuallyHidden</t>
        </is>
      </c>
      <c r="D30" s="20" t="inlineStr">
        <is>
          <t>asChild merges Atom props and consumer props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Visually Hidden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Composition</t>
        </is>
      </c>
      <c r="C31" s="20" t="inlineStr">
        <is>
          <t>VisuallyHidden</t>
        </is>
      </c>
      <c r="D31" s="20" t="inlineStr">
        <is>
          <t>asChild lets preventDefault block Atom behavior where supported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Visually Hidden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Composition</t>
        </is>
      </c>
      <c r="C32" s="20" t="inlineStr">
        <is>
          <t>VisuallyHidden</t>
        </is>
      </c>
      <c r="D32" s="20" t="inlineStr">
        <is>
          <t>render prop renders custom element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Visually Hidden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Composition</t>
        </is>
      </c>
      <c r="C33" s="20" t="inlineStr">
        <is>
          <t>VisuallyHidden</t>
        </is>
      </c>
      <c r="D33" s="20" t="inlineStr">
        <is>
          <t>render prop preserves refs and behavior props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Visually Hidden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Utility</t>
        </is>
      </c>
      <c r="C34" s="20" t="inlineStr">
        <is>
          <t>VisuallyHidden</t>
        </is>
      </c>
      <c r="D34" s="20" t="inlineStr">
        <is>
          <t>content remains accessible while visually hidden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Visually Hidden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Utility</t>
        </is>
      </c>
      <c r="C35" s="20" t="inlineStr">
        <is>
          <t>VisuallyHidden</t>
        </is>
      </c>
      <c r="D35" s="20" t="inlineStr">
        <is>
          <t>asChild/render composition works without styling concerns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Visually Hidden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2026-07-07T14:45:33Z</dcterms:created>
  <dcterms:modified xmlns:dcterms="http://purl.org/dc/terms/" xmlns:xsi="http://www.w3.org/2001/XMLSchema-instance" xsi:type="dcterms:W3CDTF">2026-07-11T12:16:12Z</dcterms:modified>
  <cp:lastModifiedBy>Will Donin</cp:lastModifiedBy>
</cp:coreProperties>
</file>