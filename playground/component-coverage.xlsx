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63315749a040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c089cf408dc548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.0"/>
  </x:numFmts>
  <x:fonts count="4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</x:fonts>
  <x:fills count="2">
    <x:fill>
      <x:patternFill patternType="none"/>
    </x:fill>
    <x:fill>
      <x:patternFill patternType="gray125"/>
    </x:fill>
  </x:fills>
  <x:borders count="1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</x:borders>
  <x:cellStyleXfs count="1">
    <x:xf numFmtId="0" fontId="0" fillId="0" borderId="0"/>
  </x:cellStyleXfs>
  <x:cellXfs count="28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1" borderId="0" xfId="0" applyNumberFormat="1" applyFont="1" applyFill="0" applyBorder="1"/>
    <x:xf numFmtId="0" fontId="2" fillId="0" borderId="0" xfId="0" applyNumberFormat="1" applyFont="1" applyFill="1" applyBorder="1"/>
    <x:xf numFmtId="0" fontId="0" borderId="0" xfId="0" applyNumberFormat="1" applyFont="1" applyFill="0" applyBorder="1"/>
    <x:xf numFmtId="200" fontId="0" borderId="0" xfId="0" applyNumberFormat="1" applyFont="1" applyFill="0" applyBorder="1"/>
    <x:xf numFmtId="0" fontId="0" borderId="1" xfId="0" applyNumberFormat="1" applyFont="1" applyFill="0" applyBorder="1"/>
    <x:xf numFmtId="200" fontId="0" borderId="2" xfId="0" applyNumberFormat="1" applyFont="1" applyFill="0" applyBorder="1"/>
    <x:xf numFmtId="0" fontId="0" borderId="2" xfId="0" applyNumberFormat="1" applyFont="1" applyFill="0" applyBorder="1"/>
    <x:xf numFmtId="0" fontId="0" borderId="3" xfId="0" applyNumberFormat="1" applyFont="1" applyFill="0" applyBorder="1"/>
    <x:xf numFmtId="0" fontId="0" borderId="4" xfId="0" applyNumberFormat="1" applyFont="1" applyFill="0" applyBorder="1"/>
    <x:xf numFmtId="0" fontId="0" borderId="5" xfId="0" applyNumberFormat="1" applyFont="1" applyFill="0" applyBorder="1"/>
    <x:xf numFmtId="0" fontId="0" borderId="6" xfId="0" applyNumberFormat="1" applyFont="1" applyFill="0" applyBorder="1"/>
    <x:xf numFmtId="0" fontId="0" borderId="7" xfId="0" applyNumberFormat="1" applyFont="1" applyFill="0" applyBorder="1"/>
    <x:xf numFmtId="0" fontId="0" borderId="8" xfId="0" applyNumberFormat="1" applyFont="1" applyFill="0" applyBorder="1"/>
    <x:xf numFmtId="0" fontId="0" borderId="9" xfId="0" applyNumberFormat="1" applyFont="1" applyFill="0" applyBorder="1"/>
    <x:xf numFmtId="0" fontId="3" fillId="0" borderId="0" xfId="0" applyNumberFormat="1" applyFont="1" applyFill="1" applyBorder="1"/>
    <x:xf numFmtId="0" fontId="3" borderId="0" xfId="0" applyNumberFormat="1" applyFont="1" applyFill="0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201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54471b1db648c5" /><Relationship Type="http://schemas.openxmlformats.org/officeDocument/2006/relationships/theme" Target="/xl/theme/theme1.xml" Id="R9a1305cf10894560" /><Relationship Type="http://schemas.openxmlformats.org/officeDocument/2006/relationships/sharedStrings" Target="/xl/sharedStrings.xml" Id="Rc103319496064897" /><Relationship Type="http://schemas.openxmlformats.org/officeDocument/2006/relationships/worksheet" Target="/xl/worksheets/sheet1.xml" Id="Rc089cf408dc5482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16" hidden="0" customWidth="1"/>
    <x:col min="4" max="4" width="36" hidden="0" customWidth="1"/>
    <x:col min="5" max="5" width="12" hidden="0" customWidth="1"/>
    <x:col min="6" max="6" width="42" hidden="0" customWidth="1"/>
    <x:col min="7" max="7" width="38" hidden="0" customWidth="1"/>
    <x:col min="8" max="8" width="9" hidden="0" customWidth="1"/>
  </x:cols>
  <x:sheetData>
    <x:row r="1">
      <x:c r="A1" s="4" t="str">
        <x:v>Dialog Playground Coverage</x:v>
      </x:c>
      <x:c r="B1" s="4"/>
      <x:c r="C1" s="4"/>
      <x:c r="D1" s="4"/>
      <x:c r="E1" s="4"/>
      <x:c r="F1" s="4"/>
      <x:c r="G1" s="4"/>
      <x:c r="H1" s="4"/>
    </x:row>
    <x:row r="2">
      <x:c r="A2" s="5" t="str">
        <x:v>Tracks complete Dialog test surface coverage for the Atom playground. Update Status as scenarios are added.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Coverage</x:v>
      </x:c>
      <x:c r="B4" s="9" t="n">
        <x:f>IFERROR((COUNTIF(E9:E200,"covered")+(COUNTIF(E9:E200,"partial")*0.5))/COUNTA(E9:E200),0)</x:f>
        <x:v>0.8817204301075269</x:v>
      </x:c>
      <x:c r="C4" s="10" t="str">
        <x:v>Covered</x:v>
      </x:c>
      <x:c r="D4" s="10" t="n">
        <x:f>COUNTIF(E9:E200,"covered")</x:f>
        <x:v>82</x:v>
      </x:c>
      <x:c r="E4" s="10" t="str">
        <x:v>Partial</x:v>
      </x:c>
      <x:c r="F4" s="10" t="n">
        <x:f>COUNTIF(E9:E200,"partial")</x:f>
        <x:v>0</x:v>
      </x:c>
      <x:c r="G4" s="10" t="str">
        <x:v>Missing</x:v>
      </x:c>
      <x:c r="H4" s="11" t="n">
        <x:f>COUNTIF(E9:E200,"missing")</x:f>
        <x:v>11</x:v>
      </x:c>
    </x:row>
    <x:row r="5">
      <x:c r="A5" s="12"/>
      <x:c r="B5" s="13"/>
      <x:c r="C5" s="13"/>
      <x:c r="D5" s="13"/>
      <x:c r="E5" s="13"/>
      <x:c r="F5" s="13"/>
      <x:c r="G5" s="13"/>
      <x:c r="H5" s="14"/>
    </x:row>
    <x:row r="6">
      <x:c r="A6" s="15" t="str">
        <x:v>Scoring</x:v>
      </x:c>
      <x:c r="B6" s="16" t="str">
        <x:v>covered = 1 point, partial = 0.5 points, missing = 0 points</x:v>
      </x:c>
      <x:c r="C6" s="16"/>
      <x:c r="D6" s="16"/>
      <x:c r="E6" s="16"/>
      <x:c r="F6" s="16"/>
      <x:c r="G6" s="16"/>
      <x:c r="H6" s="17"/>
    </x:row>
    <x:row r="8">
      <x:c r="A8" s="19" t="str">
        <x:v>ID</x:v>
      </x:c>
      <x:c r="B8" s="19" t="str">
        <x:v>Area</x:v>
      </x:c>
      <x:c r="C8" s="19" t="str">
        <x:v>Part</x:v>
      </x:c>
      <x:c r="D8" s="19" t="str">
        <x:v>Test item</x:v>
      </x:c>
      <x:c r="E8" s="19" t="str">
        <x:v>Status</x:v>
      </x:c>
      <x:c r="F8" s="19" t="str">
        <x:v>Currently covered by</x:v>
      </x:c>
      <x:c r="G8" s="19" t="str">
        <x:v>Missing / next step</x:v>
      </x:c>
      <x:c r="H8" s="19" t="str">
        <x:v>Score</x:v>
      </x:c>
    </x:row>
    <x:row r="9">
      <x:c r="A9" s="25" t="n">
        <x:v>1</x:v>
      </x:c>
      <x:c r="B9" s="26" t="str">
        <x:v>Public API</x:v>
      </x:c>
      <x:c r="C9" s="26" t="str">
        <x:v>Root</x:v>
      </x:c>
      <x:c r="D9" s="26" t="str">
        <x:v>controlled open prop</x:v>
      </x:c>
      <x:c r="E9" s="25" t="str">
        <x:v>covered</x:v>
      </x:c>
      <x:c r="F9" s="26" t="str">
        <x:v>Toolbar Controlled + Anatomy Root mode + Log</x:v>
      </x:c>
      <x:c r="G9" s="26" t="str"/>
      <x:c r="H9" s="27" t="n">
        <x:f>IF(E9="covered",1,IF(E9="partial",0.5,0))</x:f>
        <x:v>1</x:v>
      </x:c>
    </x:row>
    <x:row r="10">
      <x:c r="A10" s="25" t="n">
        <x:v>2</x:v>
      </x:c>
      <x:c r="B10" s="26" t="str">
        <x:v>Public API</x:v>
      </x:c>
      <x:c r="C10" s="26" t="str">
        <x:v>Root</x:v>
      </x:c>
      <x:c r="D10" s="26" t="str">
        <x:v>defaultOpen / uncontrolled state</x:v>
      </x:c>
      <x:c r="E10" s="25" t="str">
        <x:v>covered</x:v>
      </x:c>
      <x:c r="F10" s="26" t="str">
        <x:v>Default scenario opens/closes without controlled toggle</x:v>
      </x:c>
      <x:c r="G10" s="26" t="str"/>
      <x:c r="H10" s="27" t="n">
        <x:f>IF(E10="covered",1,IF(E10="partial",0.5,0))</x:f>
        <x:v>1</x:v>
      </x:c>
    </x:row>
    <x:row r="11">
      <x:c r="A11" s="25" t="n">
        <x:v>3</x:v>
      </x:c>
      <x:c r="B11" s="26" t="str">
        <x:v>Public API</x:v>
      </x:c>
      <x:c r="C11" s="26" t="str">
        <x:v>Root</x:v>
      </x:c>
      <x:c r="D11" s="26" t="str">
        <x:v>onOpenChange callback</x:v>
      </x:c>
      <x:c r="E11" s="25" t="str">
        <x:v>covered</x:v>
      </x:c>
      <x:c r="F11" s="26" t="str">
        <x:v>Log records open and close events</x:v>
      </x:c>
      <x:c r="G11" s="26" t="str"/>
      <x:c r="H11" s="27" t="n">
        <x:f>IF(E11="covered",1,IF(E11="partial",0.5,0))</x:f>
        <x:v>1</x:v>
      </x:c>
    </x:row>
    <x:row r="12">
      <x:c r="A12" s="25" t="n">
        <x:v>4</x:v>
      </x:c>
      <x:c r="B12" s="26" t="str">
        <x:v>Public API</x:v>
      </x:c>
      <x:c r="C12" s="26" t="str">
        <x:v>Root</x:v>
      </x:c>
      <x:c r="D12" s="26" t="str">
        <x:v>onOpenChange close reason</x:v>
      </x:c>
      <x:c r="E12" s="25" t="str">
        <x:v>covered</x:v>
      </x:c>
      <x:c r="F12" s="26" t="str">
        <x:v>Log records escapeKeyDown, backdropClick, closeClick</x:v>
      </x:c>
      <x:c r="G12" s="26" t="str"/>
      <x:c r="H12" s="27" t="n">
        <x:f>IF(E12="covered",1,IF(E12="partial",0.5,0))</x:f>
        <x:v>1</x:v>
      </x:c>
    </x:row>
    <x:row r="13">
      <x:c r="A13" s="25" t="n">
        <x:v>5</x:v>
      </x:c>
      <x:c r="B13" s="26" t="str">
        <x:v>Public API</x:v>
      </x:c>
      <x:c r="C13" s="26" t="str">
        <x:v>Root</x:v>
      </x:c>
      <x:c r="D13" s="26" t="str">
        <x:v>disabled</x:v>
      </x:c>
      <x:c r="E13" s="25" t="str">
        <x:v>covered</x:v>
      </x:c>
      <x:c r="F13" s="26" t="str">
        <x:v>Toolbar Disabled + Anatomy Root/Trigger state</x:v>
      </x:c>
      <x:c r="G13" s="26" t="str"/>
      <x:c r="H13" s="27" t="n">
        <x:f>IF(E13="covered",1,IF(E13="partial",0.5,0))</x:f>
        <x:v>1</x:v>
      </x:c>
    </x:row>
    <x:row r="14">
      <x:c r="A14" s="25" t="n">
        <x:v>6</x:v>
      </x:c>
      <x:c r="B14" s="26" t="str">
        <x:v>Public API</x:v>
      </x:c>
      <x:c r="C14" s="26" t="str">
        <x:v>Root</x:v>
      </x:c>
      <x:c r="D14" s="26" t="str">
        <x:v>closeOnEscape</x:v>
      </x:c>
      <x:c r="E14" s="25" t="str">
        <x:v>covered</x:v>
      </x:c>
      <x:c r="F14" s="26" t="str">
        <x:v>Toolbar Escape closes</x:v>
      </x:c>
      <x:c r="G14" s="26" t="str"/>
      <x:c r="H14" s="27" t="n">
        <x:f>IF(E14="covered",1,IF(E14="partial",0.5,0))</x:f>
        <x:v>1</x:v>
      </x:c>
    </x:row>
    <x:row r="15">
      <x:c r="A15" s="25" t="n">
        <x:v>7</x:v>
      </x:c>
      <x:c r="B15" s="26" t="str">
        <x:v>Public API</x:v>
      </x:c>
      <x:c r="C15" s="26" t="str">
        <x:v>Root</x:v>
      </x:c>
      <x:c r="D15" s="26" t="str">
        <x:v>closeOnBackdropClick</x:v>
      </x:c>
      <x:c r="E15" s="25" t="str">
        <x:v>covered</x:v>
      </x:c>
      <x:c r="F15" s="26" t="str">
        <x:v>Toolbar Backdrop closes</x:v>
      </x:c>
      <x:c r="G15" s="26" t="str"/>
      <x:c r="H15" s="27" t="n">
        <x:f>IF(E15="covered",1,IF(E15="partial",0.5,0))</x:f>
        <x:v>1</x:v>
      </x:c>
    </x:row>
    <x:row r="16">
      <x:c r="A16" s="25" t="n">
        <x:v>8</x:v>
      </x:c>
      <x:c r="B16" s="26" t="str">
        <x:v>Public API</x:v>
      </x:c>
      <x:c r="C16" s="26" t="str">
        <x:v>Root</x:v>
      </x:c>
      <x:c r="D16" s="26" t="str">
        <x:v>keepMounted</x:v>
      </x:c>
      <x:c r="E16" s="25" t="str">
        <x:v>covered</x:v>
      </x:c>
      <x:c r="F16" s="26" t="str">
        <x:v>Toolbar Keep mounted + Anatomy Content hidden/state</x:v>
      </x:c>
      <x:c r="G16" s="26" t="str"/>
      <x:c r="H16" s="27" t="n">
        <x:f>IF(E16="covered",1,IF(E16="partial",0.5,0))</x:f>
        <x:v>1</x:v>
      </x:c>
    </x:row>
    <x:row r="17">
      <x:c r="A17" s="25" t="n">
        <x:v>9</x:v>
      </x:c>
      <x:c r="B17" s="26" t="str">
        <x:v>Public API</x:v>
      </x:c>
      <x:c r="C17" s="26" t="str">
        <x:v>Trigger</x:v>
      </x:c>
      <x:c r="D17" s="26" t="str">
        <x:v>click opens</x:v>
      </x:c>
      <x:c r="E17" s="25" t="str">
        <x:v>covered</x:v>
      </x:c>
      <x:c r="F17" s="26" t="str">
        <x:v>Open dialog trigger in Canvas</x:v>
      </x:c>
      <x:c r="G17" s="26" t="str"/>
      <x:c r="H17" s="27" t="n">
        <x:f>IF(E17="covered",1,IF(E17="partial",0.5,0))</x:f>
        <x:v>1</x:v>
      </x:c>
    </x:row>
    <x:row r="18">
      <x:c r="A18" s="25" t="n">
        <x:v>10</x:v>
      </x:c>
      <x:c r="B18" s="26" t="str">
        <x:v>Public API</x:v>
      </x:c>
      <x:c r="C18" s="26" t="str">
        <x:v>Trigger</x:v>
      </x:c>
      <x:c r="D18" s="26" t="str">
        <x:v>Enter opens</x:v>
      </x:c>
      <x:c r="E18" s="25" t="str">
        <x:v>covered</x:v>
      </x:c>
      <x:c r="F18" s="26" t="str">
        <x:v>Manual keyboard test through Focus Canvas</x:v>
      </x:c>
      <x:c r="G18" s="26" t="str"/>
      <x:c r="H18" s="27" t="n">
        <x:f>IF(E18="covered",1,IF(E18="partial",0.5,0))</x:f>
        <x:v>1</x:v>
      </x:c>
    </x:row>
    <x:row r="19">
      <x:c r="A19" s="25" t="n">
        <x:v>11</x:v>
      </x:c>
      <x:c r="B19" s="26" t="str">
        <x:v>Public API</x:v>
      </x:c>
      <x:c r="C19" s="26" t="str">
        <x:v>Trigger</x:v>
      </x:c>
      <x:c r="D19" s="26" t="str">
        <x:v>Space opens</x:v>
      </x:c>
      <x:c r="E19" s="25" t="str">
        <x:v>covered</x:v>
      </x:c>
      <x:c r="F19" s="26" t="str">
        <x:v>Manual keyboard test through Focus Canvas</x:v>
      </x:c>
      <x:c r="G19" s="26" t="str"/>
      <x:c r="H19" s="27" t="n">
        <x:f>IF(E19="covered",1,IF(E19="partial",0.5,0))</x:f>
        <x:v>1</x:v>
      </x:c>
    </x:row>
    <x:row r="20">
      <x:c r="A20" s="25" t="n">
        <x:v>12</x:v>
      </x:c>
      <x:c r="B20" s="26" t="str">
        <x:v>Public API</x:v>
      </x:c>
      <x:c r="C20" s="26" t="str">
        <x:v>Trigger</x:v>
      </x:c>
      <x:c r="D20" s="26" t="str">
        <x:v>disabled blocks click</x:v>
      </x:c>
      <x:c r="E20" s="25" t="str">
        <x:v>covered</x:v>
      </x:c>
      <x:c r="F20" s="26" t="str">
        <x:v>Toolbar Disabled</x:v>
      </x:c>
      <x:c r="G20" s="26" t="str"/>
      <x:c r="H20" s="27" t="n">
        <x:f>IF(E20="covered",1,IF(E20="partial",0.5,0))</x:f>
        <x:v>1</x:v>
      </x:c>
    </x:row>
    <x:row r="21">
      <x:c r="A21" s="25" t="n">
        <x:v>13</x:v>
      </x:c>
      <x:c r="B21" s="26" t="str">
        <x:v>Public API</x:v>
      </x:c>
      <x:c r="C21" s="26" t="str">
        <x:v>Trigger</x:v>
      </x:c>
      <x:c r="D21" s="26" t="str">
        <x:v>disabled blocks Enter/Space</x:v>
      </x:c>
      <x:c r="E21" s="25" t="str">
        <x:v>covered</x:v>
      </x:c>
      <x:c r="F21" s="26" t="str">
        <x:v>Toolbar disabled keyboard probes log Enter and Space blocked</x:v>
      </x:c>
      <x:c r="G21" s="26" t="str"/>
      <x:c r="H21" s="27" t="n">
        <x:f>IF(E21="covered",1,IF(E21="partial",0.5,0))</x:f>
        <x:v>1</x:v>
      </x:c>
    </x:row>
    <x:row r="22">
      <x:c r="A22" s="25" t="n">
        <x:v>14</x:v>
      </x:c>
      <x:c r="B22" s="26" t="str">
        <x:v>Public API</x:v>
      </x:c>
      <x:c r="C22" s="26" t="str">
        <x:v>Trigger</x:v>
      </x:c>
      <x:c r="D22" s="26" t="str">
        <x:v>data-state</x:v>
      </x:c>
      <x:c r="E22" s="25" t="str">
        <x:v>covered</x:v>
      </x:c>
      <x:c r="F22" s="26" t="str">
        <x:v>Anatomy Trigger data-state</x:v>
      </x:c>
      <x:c r="G22" s="26" t="str"/>
      <x:c r="H22" s="27" t="n">
        <x:f>IF(E22="covered",1,IF(E22="partial",0.5,0))</x:f>
        <x:v>1</x:v>
      </x:c>
    </x:row>
    <x:row r="23">
      <x:c r="A23" s="25" t="n">
        <x:v>15</x:v>
      </x:c>
      <x:c r="B23" s="26" t="str">
        <x:v>Public API</x:v>
      </x:c>
      <x:c r="C23" s="26" t="str">
        <x:v>Trigger</x:v>
      </x:c>
      <x:c r="D23" s="26" t="str">
        <x:v>aria-controls id match</x:v>
      </x:c>
      <x:c r="E23" s="25" t="str">
        <x:v>covered</x:v>
      </x:c>
      <x:c r="F23" s="26" t="str">
        <x:v>Anatomy Trigger aria-controls + Content id + Controls match</x:v>
      </x:c>
      <x:c r="G23" s="26" t="str"/>
      <x:c r="H23" s="27" t="n">
        <x:f>IF(E23="covered",1,IF(E23="partial",0.5,0))</x:f>
        <x:v>1</x:v>
      </x:c>
    </x:row>
    <x:row r="24">
      <x:c r="A24" s="25" t="n">
        <x:v>16</x:v>
      </x:c>
      <x:c r="B24" s="26" t="str">
        <x:v>Public API</x:v>
      </x:c>
      <x:c r="C24" s="26" t="str">
        <x:v>Trigger</x:v>
      </x:c>
      <x:c r="D24" s="26" t="str">
        <x:v>aria-haspopup / aria-expanded</x:v>
      </x:c>
      <x:c r="E24" s="25" t="str">
        <x:v>covered</x:v>
      </x:c>
      <x:c r="F24" s="26" t="str">
        <x:v>Anatomy Trigger aria-haspopup and aria-expanded rows</x:v>
      </x:c>
      <x:c r="G24" s="26" t="str"/>
      <x:c r="H24" s="27" t="n">
        <x:f>IF(E24="covered",1,IF(E24="partial",0.5,0))</x:f>
        <x:v>1</x:v>
      </x:c>
    </x:row>
    <x:row r="25">
      <x:c r="A25" s="25" t="n">
        <x:v>17</x:v>
      </x:c>
      <x:c r="B25" s="26" t="str">
        <x:v>Composition</x:v>
      </x:c>
      <x:c r="C25" s="26" t="str">
        <x:v>Trigger</x:v>
      </x:c>
      <x:c r="D25" s="26" t="str">
        <x:v>asChild</x:v>
      </x:c>
      <x:c r="E25" s="25" t="str">
        <x:v>covered</x:v>
      </x:c>
      <x:c r="F25" s="26" t="str">
        <x:v>Canvas Trigger mode asChild + Anatomy tag/role/tabindex</x:v>
      </x:c>
      <x:c r="G25" s="26" t="str"/>
      <x:c r="H25" s="27" t="n">
        <x:f>IF(E25="covered",1,IF(E25="partial",0.5,0))</x:f>
        <x:v>1</x:v>
      </x:c>
    </x:row>
    <x:row r="26">
      <x:c r="A26" s="25" t="n">
        <x:v>18</x:v>
      </x:c>
      <x:c r="B26" s="26" t="str">
        <x:v>Composition</x:v>
      </x:c>
      <x:c r="C26" s="26" t="str">
        <x:v>Trigger</x:v>
      </x:c>
      <x:c r="D26" s="26" t="str">
        <x:v>render prop</x:v>
      </x:c>
      <x:c r="E26" s="25" t="str">
        <x:v>covered</x:v>
      </x:c>
      <x:c r="F26" s="26" t="str">
        <x:v>Canvas Trigger mode render + Anatomy tag/role/tabindex</x:v>
      </x:c>
      <x:c r="G26" s="26" t="str"/>
      <x:c r="H26" s="27" t="n">
        <x:f>IF(E26="covered",1,IF(E26="partial",0.5,0))</x:f>
        <x:v>1</x:v>
      </x:c>
    </x:row>
    <x:row r="27">
      <x:c r="A27" s="25" t="n">
        <x:v>19</x:v>
      </x:c>
      <x:c r="B27" s="26" t="str">
        <x:v>Composition</x:v>
      </x:c>
      <x:c r="C27" s="26" t="str">
        <x:v>Trigger</x:v>
      </x:c>
      <x:c r="D27" s="26" t="str">
        <x:v>merged onClick</x:v>
      </x:c>
      <x:c r="E27" s="25" t="str">
        <x:v>covered</x:v>
      </x:c>
      <x:c r="F27" s="26" t="str">
        <x:v>Block trigger event toggle + Log user onClick/open behavior</x:v>
      </x:c>
      <x:c r="G27" s="26" t="str"/>
      <x:c r="H27" s="27" t="n">
        <x:f>IF(E27="covered",1,IF(E27="partial",0.5,0))</x:f>
        <x:v>1</x:v>
      </x:c>
    </x:row>
    <x:row r="28">
      <x:c r="A28" s="25" t="n">
        <x:v>20</x:v>
      </x:c>
      <x:c r="B28" s="26" t="str">
        <x:v>Composition</x:v>
      </x:c>
      <x:c r="C28" s="26" t="str">
        <x:v>Trigger</x:v>
      </x:c>
      <x:c r="D28" s="26" t="str">
        <x:v>merged onKeyDown</x:v>
      </x:c>
      <x:c r="E28" s="25" t="str">
        <x:v>covered</x:v>
      </x:c>
      <x:c r="F28" s="26" t="str">
        <x:v>Block trigger event toggle + Log user onKeyDown Enter/Space behavior</x:v>
      </x:c>
      <x:c r="G28" s="26" t="str"/>
      <x:c r="H28" s="27" t="n">
        <x:f>IF(E28="covered",1,IF(E28="partial",0.5,0))</x:f>
        <x:v>1</x:v>
      </x:c>
    </x:row>
    <x:row r="29">
      <x:c r="A29" s="25" t="n">
        <x:v>21</x:v>
      </x:c>
      <x:c r="B29" s="26" t="str">
        <x:v>Refs</x:v>
      </x:c>
      <x:c r="C29" s="26" t="str">
        <x:v>Trigger</x:v>
      </x:c>
      <x:c r="D29" s="26" t="str">
        <x:v>ref receives element</x:v>
      </x:c>
      <x:c r="E29" s="25" t="str">
        <x:v>covered</x:v>
      </x:c>
      <x:c r="F29" s="26" t="str">
        <x:v>Anatomy Trigger Ref row</x:v>
      </x:c>
      <x:c r="G29" s="26" t="str"/>
      <x:c r="H29" s="27" t="n">
        <x:f>IF(E29="covered",1,IF(E29="partial",0.5,0))</x:f>
        <x:v>1</x:v>
      </x:c>
    </x:row>
    <x:row r="30">
      <x:c r="A30" s="25" t="n">
        <x:v>22</x:v>
      </x:c>
      <x:c r="B30" s="26" t="str">
        <x:v>Props</x:v>
      </x:c>
      <x:c r="C30" s="26" t="str">
        <x:v>Trigger</x:v>
      </x:c>
      <x:c r="D30" s="26" t="str">
        <x:v>native button props passthrough</x:v>
      </x:c>
      <x:c r="E30" s="25" t="str">
        <x:v>covered</x:v>
      </x:c>
      <x:c r="F30" s="26" t="str">
        <x:v>Anatomy Trigger Props row checks id/name/title/data attr</x:v>
      </x:c>
      <x:c r="G30" s="26" t="str"/>
      <x:c r="H30" s="27" t="n">
        <x:f>IF(E30="covered",1,IF(E30="partial",0.5,0))</x:f>
        <x:v>1</x:v>
      </x:c>
    </x:row>
    <x:row r="31">
      <x:c r="A31" s="25" t="n">
        <x:v>23</x:v>
      </x:c>
      <x:c r="B31" s="26" t="str">
        <x:v>Styling hooks</x:v>
      </x:c>
      <x:c r="C31" s="26" t="str">
        <x:v>Trigger</x:v>
      </x:c>
      <x:c r="D31" s="26" t="str">
        <x:v>className passthrough</x:v>
      </x:c>
      <x:c r="E31" s="25" t="str">
        <x:v>missing</x:v>
      </x:c>
      <x:c r="F31" s="26" t="str"/>
      <x:c r="G31" s="26" t="str">
        <x:v>Add class marker check</x:v>
      </x:c>
      <x:c r="H31" s="27" t="n">
        <x:f>IF(E31="covered",1,IF(E31="partial",0.5,0))</x:f>
        <x:v>0</x:v>
      </x:c>
    </x:row>
    <x:row r="32">
      <x:c r="A32" s="25" t="n">
        <x:v>24</x:v>
      </x:c>
      <x:c r="B32" s="26" t="str">
        <x:v>Styling hooks</x:v>
      </x:c>
      <x:c r="C32" s="26" t="str">
        <x:v>Trigger</x:v>
      </x:c>
      <x:c r="D32" s="26" t="str">
        <x:v>data-slot override</x:v>
      </x:c>
      <x:c r="E32" s="25" t="str">
        <x:v>missing</x:v>
      </x:c>
      <x:c r="F32" s="26" t="str"/>
      <x:c r="G32" s="26" t="str">
        <x:v>Add data-slot override toggle</x:v>
      </x:c>
      <x:c r="H32" s="27" t="n">
        <x:f>IF(E32="covered",1,IF(E32="partial",0.5,0))</x:f>
        <x:v>0</x:v>
      </x:c>
    </x:row>
    <x:row r="33">
      <x:c r="A33" s="25" t="n">
        <x:v>25</x:v>
      </x:c>
      <x:c r="B33" s="26" t="str">
        <x:v>Public API</x:v>
      </x:c>
      <x:c r="C33" s="26" t="str">
        <x:v>Portal</x:v>
      </x:c>
      <x:c r="D33" s="26" t="str">
        <x:v>content mounts in body</x:v>
      </x:c>
      <x:c r="E33" s="25" t="str">
        <x:v>covered</x:v>
      </x:c>
      <x:c r="F33" s="26" t="str">
        <x:v>Anatomy Portal parent</x:v>
      </x:c>
      <x:c r="G33" s="26" t="str"/>
      <x:c r="H33" s="27" t="n">
        <x:f>IF(E33="covered",1,IF(E33="partial",0.5,0))</x:f>
        <x:v>1</x:v>
      </x:c>
    </x:row>
    <x:row r="34">
      <x:c r="A34" s="25" t="n">
        <x:v>26</x:v>
      </x:c>
      <x:c r="B34" s="26" t="str">
        <x:v>Public API</x:v>
      </x:c>
      <x:c r="C34" s="26" t="str">
        <x:v>Portal</x:v>
      </x:c>
      <x:c r="D34" s="26" t="str">
        <x:v>content not inside canvas</x:v>
      </x:c>
      <x:c r="E34" s="25" t="str">
        <x:v>covered</x:v>
      </x:c>
      <x:c r="F34" s="26" t="str">
        <x:v>Anatomy Portal inside canvas</x:v>
      </x:c>
      <x:c r="G34" s="26" t="str"/>
      <x:c r="H34" s="27" t="n">
        <x:f>IF(E34="covered",1,IF(E34="partial",0.5,0))</x:f>
        <x:v>1</x:v>
      </x:c>
    </x:row>
    <x:row r="35">
      <x:c r="A35" s="25" t="n">
        <x:v>27</x:v>
      </x:c>
      <x:c r="B35" s="26" t="str">
        <x:v>Public API</x:v>
      </x:c>
      <x:c r="C35" s="26" t="str">
        <x:v>Portal</x:v>
      </x:c>
      <x:c r="D35" s="26" t="str">
        <x:v>unmounts after close without keepMounted</x:v>
      </x:c>
      <x:c r="E35" s="25" t="str">
        <x:v>covered</x:v>
      </x:c>
      <x:c r="F35" s="26" t="str">
        <x:v>Anatomy Portal/Content exists after close</x:v>
      </x:c>
      <x:c r="G35" s="26" t="str"/>
      <x:c r="H35" s="27" t="n">
        <x:f>IF(E35="covered",1,IF(E35="partial",0.5,0))</x:f>
        <x:v>1</x:v>
      </x:c>
    </x:row>
    <x:row r="36">
      <x:c r="A36" s="25" t="n">
        <x:v>28</x:v>
      </x:c>
      <x:c r="B36" s="26" t="str">
        <x:v>Public API</x:v>
      </x:c>
      <x:c r="C36" s="26" t="str">
        <x:v>Portal</x:v>
      </x:c>
      <x:c r="D36" s="26" t="str">
        <x:v>stays mounted with keepMounted</x:v>
      </x:c>
      <x:c r="E36" s="25" t="str">
        <x:v>covered</x:v>
      </x:c>
      <x:c r="F36" s="26" t="str">
        <x:v>Anatomy Content exists/hidden/state</x:v>
      </x:c>
      <x:c r="G36" s="26" t="str"/>
      <x:c r="H36" s="27" t="n">
        <x:f>IF(E36="covered",1,IF(E36="partial",0.5,0))</x:f>
        <x:v>1</x:v>
      </x:c>
    </x:row>
    <x:row r="37">
      <x:c r="A37" s="25" t="n">
        <x:v>29</x:v>
      </x:c>
      <x:c r="B37" s="26" t="str">
        <x:v>Public API</x:v>
      </x:c>
      <x:c r="C37" s="26" t="str">
        <x:v>Overlay</x:v>
      </x:c>
      <x:c r="D37" s="26" t="str">
        <x:v>renders when open</x:v>
      </x:c>
      <x:c r="E37" s="25" t="str">
        <x:v>covered</x:v>
      </x:c>
      <x:c r="F37" s="26" t="str">
        <x:v>Anatomy Overlay exists</x:v>
      </x:c>
      <x:c r="G37" s="26" t="str"/>
      <x:c r="H37" s="27" t="n">
        <x:f>IF(E37="covered",1,IF(E37="partial",0.5,0))</x:f>
        <x:v>1</x:v>
      </x:c>
    </x:row>
    <x:row r="38">
      <x:c r="A38" s="25" t="n">
        <x:v>30</x:v>
      </x:c>
      <x:c r="B38" s="26" t="str">
        <x:v>Public API</x:v>
      </x:c>
      <x:c r="C38" s="26" t="str">
        <x:v>Overlay</x:v>
      </x:c>
      <x:c r="D38" s="26" t="str">
        <x:v>data-state</x:v>
      </x:c>
      <x:c r="E38" s="25" t="str">
        <x:v>covered</x:v>
      </x:c>
      <x:c r="F38" s="26" t="str">
        <x:v>Anatomy Overlay data-state</x:v>
      </x:c>
      <x:c r="G38" s="26" t="str"/>
      <x:c r="H38" s="27" t="n">
        <x:f>IF(E38="covered",1,IF(E38="partial",0.5,0))</x:f>
        <x:v>1</x:v>
      </x:c>
    </x:row>
    <x:row r="39">
      <x:c r="A39" s="25" t="n">
        <x:v>31</x:v>
      </x:c>
      <x:c r="B39" s="26" t="str">
        <x:v>Interaction</x:v>
      </x:c>
      <x:c r="C39" s="26" t="str">
        <x:v>Overlay</x:v>
      </x:c>
      <x:c r="D39" s="26" t="str">
        <x:v>backdrop click closes when enabled</x:v>
      </x:c>
      <x:c r="E39" s="25" t="str">
        <x:v>covered</x:v>
      </x:c>
      <x:c r="F39" s="26" t="str">
        <x:v>Toolbar Backdrop closes + manual click</x:v>
      </x:c>
      <x:c r="G39" s="26" t="str"/>
      <x:c r="H39" s="27" t="n">
        <x:f>IF(E39="covered",1,IF(E39="partial",0.5,0))</x:f>
        <x:v>1</x:v>
      </x:c>
    </x:row>
    <x:row r="40">
      <x:c r="A40" s="25" t="n">
        <x:v>32</x:v>
      </x:c>
      <x:c r="B40" s="26" t="str">
        <x:v>Interaction</x:v>
      </x:c>
      <x:c r="C40" s="26" t="str">
        <x:v>Overlay</x:v>
      </x:c>
      <x:c r="D40" s="26" t="str">
        <x:v>backdrop click does not close when disabled</x:v>
      </x:c>
      <x:c r="E40" s="25" t="str">
        <x:v>covered</x:v>
      </x:c>
      <x:c r="F40" s="26" t="str">
        <x:v>Toolbar Backdrop closes off + manual click</x:v>
      </x:c>
      <x:c r="G40" s="26" t="str"/>
      <x:c r="H40" s="27" t="n">
        <x:f>IF(E40="covered",1,IF(E40="partial",0.5,0))</x:f>
        <x:v>1</x:v>
      </x:c>
    </x:row>
    <x:row r="41">
      <x:c r="A41" s="25" t="n">
        <x:v>33</x:v>
      </x:c>
      <x:c r="B41" s="26" t="str">
        <x:v>Composition</x:v>
      </x:c>
      <x:c r="C41" s="26" t="str">
        <x:v>Overlay</x:v>
      </x:c>
      <x:c r="D41" s="26" t="str">
        <x:v>user onClick merges with close behavior</x:v>
      </x:c>
      <x:c r="E41" s="25" t="str">
        <x:v>covered</x:v>
      </x:c>
      <x:c r="F41" s="26" t="str">
        <x:v>Block backdrop close toggle + Log overlay user onClick/backdrop behavior</x:v>
      </x:c>
      <x:c r="G41" s="26" t="str"/>
      <x:c r="H41" s="27" t="n">
        <x:f>IF(E41="covered",1,IF(E41="partial",0.5,0))</x:f>
        <x:v>1</x:v>
      </x:c>
    </x:row>
    <x:row r="42">
      <x:c r="A42" s="25" t="n">
        <x:v>34</x:v>
      </x:c>
      <x:c r="B42" s="26" t="str">
        <x:v>Refs</x:v>
      </x:c>
      <x:c r="C42" s="26" t="str">
        <x:v>Overlay</x:v>
      </x:c>
      <x:c r="D42" s="26" t="str">
        <x:v>ref receives element</x:v>
      </x:c>
      <x:c r="E42" s="25" t="str">
        <x:v>covered</x:v>
      </x:c>
      <x:c r="F42" s="26" t="str">
        <x:v>Anatomy Overlay Ref row</x:v>
      </x:c>
      <x:c r="G42" s="26" t="str"/>
      <x:c r="H42" s="27" t="n">
        <x:f>IF(E42="covered",1,IF(E42="partial",0.5,0))</x:f>
        <x:v>1</x:v>
      </x:c>
    </x:row>
    <x:row r="43">
      <x:c r="A43" s="25" t="n">
        <x:v>35</x:v>
      </x:c>
      <x:c r="B43" s="26" t="str">
        <x:v>Props</x:v>
      </x:c>
      <x:c r="C43" s="26" t="str">
        <x:v>Overlay</x:v>
      </x:c>
      <x:c r="D43" s="26" t="str">
        <x:v>native div props passthrough</x:v>
      </x:c>
      <x:c r="E43" s="25" t="str">
        <x:v>covered</x:v>
      </x:c>
      <x:c r="F43" s="26" t="str">
        <x:v>Anatomy Overlay Props row checks id/title/data attr</x:v>
      </x:c>
      <x:c r="G43" s="26" t="str"/>
      <x:c r="H43" s="27" t="n">
        <x:f>IF(E43="covered",1,IF(E43="partial",0.5,0))</x:f>
        <x:v>1</x:v>
      </x:c>
    </x:row>
    <x:row r="44">
      <x:c r="A44" s="25" t="n">
        <x:v>36</x:v>
      </x:c>
      <x:c r="B44" s="26" t="str">
        <x:v>Styling hooks</x:v>
      </x:c>
      <x:c r="C44" s="26" t="str">
        <x:v>Overlay</x:v>
      </x:c>
      <x:c r="D44" s="26" t="str">
        <x:v>className passthrough</x:v>
      </x:c>
      <x:c r="E44" s="25" t="str">
        <x:v>covered</x:v>
      </x:c>
      <x:c r="F44" s="26" t="str">
        <x:v>Overlay uses playground className for visible styling</x:v>
      </x:c>
      <x:c r="G44" s="26" t="str"/>
      <x:c r="H44" s="27" t="n">
        <x:f>IF(E44="covered",1,IF(E44="partial",0.5,0))</x:f>
        <x:v>1</x:v>
      </x:c>
    </x:row>
    <x:row r="45">
      <x:c r="A45" s="25" t="n">
        <x:v>37</x:v>
      </x:c>
      <x:c r="B45" s="26" t="str">
        <x:v>Styling hooks</x:v>
      </x:c>
      <x:c r="C45" s="26" t="str">
        <x:v>Overlay</x:v>
      </x:c>
      <x:c r="D45" s="26" t="str">
        <x:v>data-slot override</x:v>
      </x:c>
      <x:c r="E45" s="25" t="str">
        <x:v>missing</x:v>
      </x:c>
      <x:c r="F45" s="26" t="str"/>
      <x:c r="G45" s="26" t="str">
        <x:v>Add data-slot override toggle</x:v>
      </x:c>
      <x:c r="H45" s="27" t="n">
        <x:f>IF(E45="covered",1,IF(E45="partial",0.5,0))</x:f>
        <x:v>0</x:v>
      </x:c>
    </x:row>
    <x:row r="46">
      <x:c r="A46" s="25" t="n">
        <x:v>38</x:v>
      </x:c>
      <x:c r="B46" s="26" t="str">
        <x:v>Public API</x:v>
      </x:c>
      <x:c r="C46" s="26" t="str">
        <x:v>Content</x:v>
      </x:c>
      <x:c r="D46" s="26" t="str">
        <x:v>renders when open</x:v>
      </x:c>
      <x:c r="E46" s="25" t="str">
        <x:v>covered</x:v>
      </x:c>
      <x:c r="F46" s="26" t="str">
        <x:v>Anatomy Content exists</x:v>
      </x:c>
      <x:c r="G46" s="26" t="str"/>
      <x:c r="H46" s="27" t="n">
        <x:f>IF(E46="covered",1,IF(E46="partial",0.5,0))</x:f>
        <x:v>1</x:v>
      </x:c>
    </x:row>
    <x:row r="47">
      <x:c r="A47" s="25" t="n">
        <x:v>39</x:v>
      </x:c>
      <x:c r="B47" s="26" t="str">
        <x:v>Public API</x:v>
      </x:c>
      <x:c r="C47" s="26" t="str">
        <x:v>Content</x:v>
      </x:c>
      <x:c r="D47" s="26" t="str">
        <x:v>unmounts when closed</x:v>
      </x:c>
      <x:c r="E47" s="25" t="str">
        <x:v>covered</x:v>
      </x:c>
      <x:c r="F47" s="26" t="str">
        <x:v>Anatomy Content exists none when closed without keepMounted</x:v>
      </x:c>
      <x:c r="G47" s="26" t="str"/>
      <x:c r="H47" s="27" t="n">
        <x:f>IF(E47="covered",1,IF(E47="partial",0.5,0))</x:f>
        <x:v>1</x:v>
      </x:c>
    </x:row>
    <x:row r="48">
      <x:c r="A48" s="25" t="n">
        <x:v>40</x:v>
      </x:c>
      <x:c r="B48" s="26" t="str">
        <x:v>Public API</x:v>
      </x:c>
      <x:c r="C48" s="26" t="str">
        <x:v>Content</x:v>
      </x:c>
      <x:c r="D48" s="26" t="str">
        <x:v>hidden with keepMounted</x:v>
      </x:c>
      <x:c r="E48" s="25" t="str">
        <x:v>covered</x:v>
      </x:c>
      <x:c r="F48" s="26" t="str">
        <x:v>Anatomy Content hidden/state</x:v>
      </x:c>
      <x:c r="G48" s="26" t="str"/>
      <x:c r="H48" s="27" t="n">
        <x:f>IF(E48="covered",1,IF(E48="partial",0.5,0))</x:f>
        <x:v>1</x:v>
      </x:c>
    </x:row>
    <x:row r="49">
      <x:c r="A49" s="25" t="n">
        <x:v>41</x:v>
      </x:c>
      <x:c r="B49" s="26" t="str">
        <x:v>Public API</x:v>
      </x:c>
      <x:c r="C49" s="26" t="str">
        <x:v>Content</x:v>
      </x:c>
      <x:c r="D49" s="26" t="str">
        <x:v>role dialog</x:v>
      </x:c>
      <x:c r="E49" s="25" t="str">
        <x:v>covered</x:v>
      </x:c>
      <x:c r="F49" s="26" t="str">
        <x:v>Anatomy Content role</x:v>
      </x:c>
      <x:c r="G49" s="26" t="str"/>
      <x:c r="H49" s="27" t="n">
        <x:f>IF(E49="covered",1,IF(E49="partial",0.5,0))</x:f>
        <x:v>1</x:v>
      </x:c>
    </x:row>
    <x:row r="50">
      <x:c r="A50" s="25" t="n">
        <x:v>42</x:v>
      </x:c>
      <x:c r="B50" s="26" t="str">
        <x:v>Public API</x:v>
      </x:c>
      <x:c r="C50" s="26" t="str">
        <x:v>Content</x:v>
      </x:c>
      <x:c r="D50" s="26" t="str">
        <x:v>role alertdialog</x:v>
      </x:c>
      <x:c r="E50" s="25" t="str">
        <x:v>missing</x:v>
      </x:c>
      <x:c r="F50" s="26" t="str"/>
      <x:c r="G50" s="26" t="str">
        <x:v>Add role control</x:v>
      </x:c>
      <x:c r="H50" s="27" t="n">
        <x:f>IF(E50="covered",1,IF(E50="partial",0.5,0))</x:f>
        <x:v>0</x:v>
      </x:c>
    </x:row>
    <x:row r="51">
      <x:c r="A51" s="25" t="n">
        <x:v>43</x:v>
      </x:c>
      <x:c r="B51" s="26" t="str">
        <x:v>Public API</x:v>
      </x:c>
      <x:c r="C51" s="26" t="str">
        <x:v>Content</x:v>
      </x:c>
      <x:c r="D51" s="26" t="str">
        <x:v>tabIndex -1</x:v>
      </x:c>
      <x:c r="E51" s="25" t="str">
        <x:v>covered</x:v>
      </x:c>
      <x:c r="F51" s="26" t="str">
        <x:v>Inspector tabindex attr when Content selected</x:v>
      </x:c>
      <x:c r="G51" s="26" t="str"/>
      <x:c r="H51" s="27" t="n">
        <x:f>IF(E51="covered",1,IF(E51="partial",0.5,0))</x:f>
        <x:v>1</x:v>
      </x:c>
    </x:row>
    <x:row r="52">
      <x:c r="A52" s="25" t="n">
        <x:v>44</x:v>
      </x:c>
      <x:c r="B52" s="26" t="str">
        <x:v>Public API</x:v>
      </x:c>
      <x:c r="C52" s="26" t="str">
        <x:v>Content</x:v>
      </x:c>
      <x:c r="D52" s="26" t="str">
        <x:v>data-state</x:v>
      </x:c>
      <x:c r="E52" s="25" t="str">
        <x:v>covered</x:v>
      </x:c>
      <x:c r="F52" s="26" t="str">
        <x:v>Anatomy Content data-state</x:v>
      </x:c>
      <x:c r="G52" s="26" t="str"/>
      <x:c r="H52" s="27" t="n">
        <x:f>IF(E52="covered",1,IF(E52="partial",0.5,0))</x:f>
        <x:v>1</x:v>
      </x:c>
    </x:row>
    <x:row r="53">
      <x:c r="A53" s="25" t="n">
        <x:v>45</x:v>
      </x:c>
      <x:c r="B53" s="26" t="str">
        <x:v>Public API</x:v>
      </x:c>
      <x:c r="C53" s="26" t="str">
        <x:v>Content</x:v>
      </x:c>
      <x:c r="D53" s="26" t="str">
        <x:v>data-positioned</x:v>
      </x:c>
      <x:c r="E53" s="25" t="str">
        <x:v>covered</x:v>
      </x:c>
      <x:c r="F53" s="26" t="str">
        <x:v>Anatomy Content data-positioned row</x:v>
      </x:c>
      <x:c r="G53" s="26" t="str"/>
      <x:c r="H53" s="27" t="n">
        <x:f>IF(E53="covered",1,IF(E53="partial",0.5,0))</x:f>
        <x:v>1</x:v>
      </x:c>
    </x:row>
    <x:row r="54">
      <x:c r="A54" s="25" t="n">
        <x:v>46</x:v>
      </x:c>
      <x:c r="B54" s="26" t="str">
        <x:v>Accessibility</x:v>
      </x:c>
      <x:c r="C54" s="26" t="str">
        <x:v>Content</x:v>
      </x:c>
      <x:c r="D54" s="26" t="str">
        <x:v>aria-modal</x:v>
      </x:c>
      <x:c r="E54" s="25" t="str">
        <x:v>covered</x:v>
      </x:c>
      <x:c r="F54" s="26" t="str">
        <x:v>Anatomy Content aria-modal</x:v>
      </x:c>
      <x:c r="G54" s="26" t="str"/>
      <x:c r="H54" s="27" t="n">
        <x:f>IF(E54="covered",1,IF(E54="partial",0.5,0))</x:f>
        <x:v>1</x:v>
      </x:c>
    </x:row>
    <x:row r="55">
      <x:c r="A55" s="25" t="n">
        <x:v>47</x:v>
      </x:c>
      <x:c r="B55" s="26" t="str">
        <x:v>Accessibility</x:v>
      </x:c>
      <x:c r="C55" s="26" t="str">
        <x:v>Content</x:v>
      </x:c>
      <x:c r="D55" s="26" t="str">
        <x:v>aria-labelledby</x:v>
      </x:c>
      <x:c r="E55" s="25" t="str">
        <x:v>covered</x:v>
      </x:c>
      <x:c r="F55" s="26" t="str">
        <x:v>Anatomy Content aria-labelledby + Title match</x:v>
      </x:c>
      <x:c r="G55" s="26" t="str"/>
      <x:c r="H55" s="27" t="n">
        <x:f>IF(E55="covered",1,IF(E55="partial",0.5,0))</x:f>
        <x:v>1</x:v>
      </x:c>
    </x:row>
    <x:row r="56">
      <x:c r="A56" s="25" t="n">
        <x:v>48</x:v>
      </x:c>
      <x:c r="B56" s="26" t="str">
        <x:v>Accessibility</x:v>
      </x:c>
      <x:c r="C56" s="26" t="str">
        <x:v>Content</x:v>
      </x:c>
      <x:c r="D56" s="26" t="str">
        <x:v>aria-describedby</x:v>
      </x:c>
      <x:c r="E56" s="25" t="str">
        <x:v>covered</x:v>
      </x:c>
      <x:c r="F56" s="26" t="str">
        <x:v>Anatomy Content aria-describedby + Description match</x:v>
      </x:c>
      <x:c r="G56" s="26" t="str"/>
      <x:c r="H56" s="27" t="n">
        <x:f>IF(E56="covered",1,IF(E56="partial",0.5,0))</x:f>
        <x:v>1</x:v>
      </x:c>
    </x:row>
    <x:row r="57">
      <x:c r="A57" s="25" t="n">
        <x:v>49</x:v>
      </x:c>
      <x:c r="B57" s="26" t="str">
        <x:v>Accessibility</x:v>
      </x:c>
      <x:c r="C57" s="26" t="str">
        <x:v>Content</x:v>
      </x:c>
      <x:c r="D57" s="26" t="str">
        <x:v>aria-label fallback</x:v>
      </x:c>
      <x:c r="E57" s="25" t="str">
        <x:v>covered</x:v>
      </x:c>
      <x:c r="F57" s="26" t="str">
        <x:v>Toolbar Use ariaLabel + Anatomy aria-label/labelledby</x:v>
      </x:c>
      <x:c r="G57" s="26" t="str"/>
      <x:c r="H57" s="27" t="n">
        <x:f>IF(E57="covered",1,IF(E57="partial",0.5,0))</x:f>
        <x:v>1</x:v>
      </x:c>
    </x:row>
    <x:row r="58">
      <x:c r="A58" s="25" t="n">
        <x:v>50</x:v>
      </x:c>
      <x:c r="B58" s="26" t="str">
        <x:v>Interaction</x:v>
      </x:c>
      <x:c r="C58" s="26" t="str">
        <x:v>Content</x:v>
      </x:c>
      <x:c r="D58" s="26" t="str">
        <x:v>click inside content does not close</x:v>
      </x:c>
      <x:c r="E58" s="25" t="str">
        <x:v>covered</x:v>
      </x:c>
      <x:c r="F58" s="26" t="str">
        <x:v>Manual content/form click test</x:v>
      </x:c>
      <x:c r="G58" s="26" t="str"/>
      <x:c r="H58" s="27" t="n">
        <x:f>IF(E58="covered",1,IF(E58="partial",0.5,0))</x:f>
        <x:v>1</x:v>
      </x:c>
    </x:row>
    <x:row r="59">
      <x:c r="A59" s="25" t="n">
        <x:v>51</x:v>
      </x:c>
      <x:c r="B59" s="26" t="str">
        <x:v>Interaction</x:v>
      </x:c>
      <x:c r="C59" s="26" t="str">
        <x:v>Content</x:v>
      </x:c>
      <x:c r="D59" s="26" t="str">
        <x:v>first focusable receives focus on open</x:v>
      </x:c>
      <x:c r="E59" s="25" t="str">
        <x:v>covered</x:v>
      </x:c>
      <x:c r="F59" s="26" t="str">
        <x:v>Inspector Focused + manual open</x:v>
      </x:c>
      <x:c r="G59" s="26" t="str"/>
      <x:c r="H59" s="27" t="n">
        <x:f>IF(E59="covered",1,IF(E59="partial",0.5,0))</x:f>
        <x:v>1</x:v>
      </x:c>
    </x:row>
    <x:row r="60">
      <x:c r="A60" s="25" t="n">
        <x:v>52</x:v>
      </x:c>
      <x:c r="B60" s="26" t="str">
        <x:v>Interaction</x:v>
      </x:c>
      <x:c r="C60" s="26" t="str">
        <x:v>Content</x:v>
      </x:c>
      <x:c r="D60" s="26" t="str">
        <x:v>no focusable child focuses content</x:v>
      </x:c>
      <x:c r="E60" s="25" t="str">
        <x:v>missing</x:v>
      </x:c>
      <x:c r="F60" s="26" t="str"/>
      <x:c r="G60" s="26" t="str">
        <x:v>Add no-focusable-content mode</x:v>
      </x:c>
      <x:c r="H60" s="27" t="n">
        <x:f>IF(E60="covered",1,IF(E60="partial",0.5,0))</x:f>
        <x:v>0</x:v>
      </x:c>
    </x:row>
    <x:row r="61">
      <x:c r="A61" s="25" t="n">
        <x:v>53</x:v>
      </x:c>
      <x:c r="B61" s="26" t="str">
        <x:v>Interaction</x:v>
      </x:c>
      <x:c r="C61" s="26" t="str">
        <x:v>Content</x:v>
      </x:c>
      <x:c r="D61" s="26" t="str">
        <x:v>focus trap Tab loop</x:v>
      </x:c>
      <x:c r="E61" s="25" t="str">
        <x:v>covered</x:v>
      </x:c>
      <x:c r="F61" s="26" t="str">
        <x:v>Log records forward focus loop path</x:v>
      </x:c>
      <x:c r="G61" s="26" t="str"/>
      <x:c r="H61" s="27" t="n">
        <x:f>IF(E61="covered",1,IF(E61="partial",0.5,0))</x:f>
        <x:v>1</x:v>
      </x:c>
    </x:row>
    <x:row r="62">
      <x:c r="A62" s="25" t="n">
        <x:v>54</x:v>
      </x:c>
      <x:c r="B62" s="26" t="str">
        <x:v>Interaction</x:v>
      </x:c>
      <x:c r="C62" s="26" t="str">
        <x:v>Content</x:v>
      </x:c>
      <x:c r="D62" s="26" t="str">
        <x:v>focus trap Shift+Tab loop</x:v>
      </x:c>
      <x:c r="E62" s="25" t="str">
        <x:v>covered</x:v>
      </x:c>
      <x:c r="F62" s="26" t="str">
        <x:v>Log records backward focus loop path</x:v>
      </x:c>
      <x:c r="G62" s="26" t="str"/>
      <x:c r="H62" s="27" t="n">
        <x:f>IF(E62="covered",1,IF(E62="partial",0.5,0))</x:f>
        <x:v>1</x:v>
      </x:c>
    </x:row>
    <x:row r="63">
      <x:c r="A63" s="25" t="n">
        <x:v>55</x:v>
      </x:c>
      <x:c r="B63" s="26" t="str">
        <x:v>Interaction</x:v>
      </x:c>
      <x:c r="C63" s="26" t="str">
        <x:v>Content</x:v>
      </x:c>
      <x:c r="D63" s="26" t="str">
        <x:v>focus cannot escape behind dialog</x:v>
      </x:c>
      <x:c r="E63" s="25" t="str">
        <x:v>covered</x:v>
      </x:c>
      <x:c r="F63" s="26" t="str">
        <x:v>Canvas focus escape probe verifies scoped modal focus containment</x:v>
      </x:c>
      <x:c r="G63" s="26" t="str"/>
      <x:c r="H63" s="27" t="n">
        <x:f>IF(E63="covered",1,IF(E63="partial",0.5,0))</x:f>
        <x:v>1</x:v>
      </x:c>
    </x:row>
    <x:row r="64">
      <x:c r="A64" s="25" t="n">
        <x:v>56</x:v>
      </x:c>
      <x:c r="B64" s="26" t="str">
        <x:v>Interaction</x:v>
      </x:c>
      <x:c r="C64" s="26" t="str">
        <x:v>Content</x:v>
      </x:c>
      <x:c r="D64" s="26" t="str">
        <x:v>focus restores to trigger after close</x:v>
      </x:c>
      <x:c r="E64" s="25" t="str">
        <x:v>covered</x:v>
      </x:c>
      <x:c r="F64" s="26" t="str">
        <x:v>Inspector Focused after close</x:v>
      </x:c>
      <x:c r="G64" s="26" t="str"/>
      <x:c r="H64" s="27" t="n">
        <x:f>IF(E64="covered",1,IF(E64="partial",0.5,0))</x:f>
        <x:v>1</x:v>
      </x:c>
    </x:row>
    <x:row r="65">
      <x:c r="A65" s="25" t="n">
        <x:v>57</x:v>
      </x:c>
      <x:c r="B65" s="26" t="str">
        <x:v>Interaction</x:v>
      </x:c>
      <x:c r="C65" s="26" t="str">
        <x:v>Content</x:v>
      </x:c>
      <x:c r="D65" s="26" t="str">
        <x:v>scroll lock on open</x:v>
      </x:c>
      <x:c r="E65" s="25" t="str">
        <x:v>missing</x:v>
      </x:c>
      <x:c r="F65" s="26" t="str"/>
      <x:c r="G65" s="26" t="str">
        <x:v>Add body overflow/scroll lock anatomy row</x:v>
      </x:c>
      <x:c r="H65" s="27" t="n">
        <x:f>IF(E65="covered",1,IF(E65="partial",0.5,0))</x:f>
        <x:v>0</x:v>
      </x:c>
    </x:row>
    <x:row r="66">
      <x:c r="A66" s="25" t="n">
        <x:v>58</x:v>
      </x:c>
      <x:c r="B66" s="26" t="str">
        <x:v>Refs</x:v>
      </x:c>
      <x:c r="C66" s="26" t="str">
        <x:v>Content</x:v>
      </x:c>
      <x:c r="D66" s="26" t="str">
        <x:v>ref receives element</x:v>
      </x:c>
      <x:c r="E66" s="25" t="str">
        <x:v>covered</x:v>
      </x:c>
      <x:c r="F66" s="26" t="str">
        <x:v>Anatomy Content Ref row</x:v>
      </x:c>
      <x:c r="G66" s="26" t="str"/>
      <x:c r="H66" s="27" t="n">
        <x:f>IF(E66="covered",1,IF(E66="partial",0.5,0))</x:f>
        <x:v>1</x:v>
      </x:c>
    </x:row>
    <x:row r="67">
      <x:c r="A67" s="25" t="n">
        <x:v>59</x:v>
      </x:c>
      <x:c r="B67" s="26" t="str">
        <x:v>Props</x:v>
      </x:c>
      <x:c r="C67" s="26" t="str">
        <x:v>Content</x:v>
      </x:c>
      <x:c r="D67" s="26" t="str">
        <x:v>native div props passthrough</x:v>
      </x:c>
      <x:c r="E67" s="25" t="str">
        <x:v>covered</x:v>
      </x:c>
      <x:c r="F67" s="26" t="str">
        <x:v>Anatomy Content Props row checks title/data attr</x:v>
      </x:c>
      <x:c r="G67" s="26" t="str"/>
      <x:c r="H67" s="27" t="n">
        <x:f>IF(E67="covered",1,IF(E67="partial",0.5,0))</x:f>
        <x:v>1</x:v>
      </x:c>
    </x:row>
    <x:row r="68">
      <x:c r="A68" s="25" t="n">
        <x:v>60</x:v>
      </x:c>
      <x:c r="B68" s="26" t="str">
        <x:v>Styling hooks</x:v>
      </x:c>
      <x:c r="C68" s="26" t="str">
        <x:v>Content</x:v>
      </x:c>
      <x:c r="D68" s="26" t="str">
        <x:v>className passthrough</x:v>
      </x:c>
      <x:c r="E68" s="25" t="str">
        <x:v>covered</x:v>
      </x:c>
      <x:c r="F68" s="26" t="str">
        <x:v>Content uses playground className for visible styling</x:v>
      </x:c>
      <x:c r="G68" s="26" t="str"/>
      <x:c r="H68" s="27" t="n">
        <x:f>IF(E68="covered",1,IF(E68="partial",0.5,0))</x:f>
        <x:v>1</x:v>
      </x:c>
    </x:row>
    <x:row r="69">
      <x:c r="A69" s="25" t="n">
        <x:v>61</x:v>
      </x:c>
      <x:c r="B69" s="26" t="str">
        <x:v>Styling hooks</x:v>
      </x:c>
      <x:c r="C69" s="26" t="str">
        <x:v>Content</x:v>
      </x:c>
      <x:c r="D69" s="26" t="str">
        <x:v>data-slot override</x:v>
      </x:c>
      <x:c r="E69" s="25" t="str">
        <x:v>missing</x:v>
      </x:c>
      <x:c r="F69" s="26" t="str"/>
      <x:c r="G69" s="26" t="str">
        <x:v>Add data-slot override toggle</x:v>
      </x:c>
      <x:c r="H69" s="27" t="n">
        <x:f>IF(E69="covered",1,IF(E69="partial",0.5,0))</x:f>
        <x:v>0</x:v>
      </x:c>
    </x:row>
    <x:row r="70">
      <x:c r="A70" s="25" t="n">
        <x:v>62</x:v>
      </x:c>
      <x:c r="B70" s="26" t="str">
        <x:v>Public API</x:v>
      </x:c>
      <x:c r="C70" s="26" t="str">
        <x:v>Title</x:v>
      </x:c>
      <x:c r="D70" s="26" t="str">
        <x:v>renders title</x:v>
      </x:c>
      <x:c r="E70" s="25" t="str">
        <x:v>covered</x:v>
      </x:c>
      <x:c r="F70" s="26" t="str">
        <x:v>Anatomy Title exists</x:v>
      </x:c>
      <x:c r="G70" s="26" t="str"/>
      <x:c r="H70" s="27" t="n">
        <x:f>IF(E70="covered",1,IF(E70="partial",0.5,0))</x:f>
        <x:v>1</x:v>
      </x:c>
    </x:row>
    <x:row r="71">
      <x:c r="A71" s="25" t="n">
        <x:v>63</x:v>
      </x:c>
      <x:c r="B71" s="26" t="str">
        <x:v>Public API</x:v>
      </x:c>
      <x:c r="C71" s="26" t="str">
        <x:v>Title</x:v>
      </x:c>
      <x:c r="D71" s="26" t="str">
        <x:v>id matches aria-labelledby</x:v>
      </x:c>
      <x:c r="E71" s="25" t="str">
        <x:v>covered</x:v>
      </x:c>
      <x:c r="F71" s="26" t="str">
        <x:v>Anatomy Title matches label</x:v>
      </x:c>
      <x:c r="G71" s="26" t="str"/>
      <x:c r="H71" s="27" t="n">
        <x:f>IF(E71="covered",1,IF(E71="partial",0.5,0))</x:f>
        <x:v>1</x:v>
      </x:c>
    </x:row>
    <x:row r="72">
      <x:c r="A72" s="25" t="n">
        <x:v>64</x:v>
      </x:c>
      <x:c r="B72" s="26" t="str">
        <x:v>Public API</x:v>
      </x:c>
      <x:c r="C72" s="26" t="str">
        <x:v>Title</x:v>
      </x:c>
      <x:c r="D72" s="26" t="str">
        <x:v>heading level default</x:v>
      </x:c>
      <x:c r="E72" s="25" t="str">
        <x:v>covered</x:v>
      </x:c>
      <x:c r="F72" s="26" t="str">
        <x:v>Anatomy Title tag row</x:v>
      </x:c>
      <x:c r="G72" s="26" t="str"/>
      <x:c r="H72" s="27" t="n">
        <x:f>IF(E72="covered",1,IF(E72="partial",0.5,0))</x:f>
        <x:v>1</x:v>
      </x:c>
    </x:row>
    <x:row r="73">
      <x:c r="A73" s="25" t="n">
        <x:v>65</x:v>
      </x:c>
      <x:c r="B73" s="26" t="str">
        <x:v>Public API</x:v>
      </x:c>
      <x:c r="C73" s="26" t="str">
        <x:v>Title</x:v>
      </x:c>
      <x:c r="D73" s="26" t="str">
        <x:v>heading level as prop</x:v>
      </x:c>
      <x:c r="E73" s="25" t="str">
        <x:v>missing</x:v>
      </x:c>
      <x:c r="F73" s="26" t="str"/>
      <x:c r="G73" s="26" t="str">
        <x:v>Add heading level control</x:v>
      </x:c>
      <x:c r="H73" s="27" t="n">
        <x:f>IF(E73="covered",1,IF(E73="partial",0.5,0))</x:f>
        <x:v>0</x:v>
      </x:c>
    </x:row>
    <x:row r="74">
      <x:c r="A74" s="25" t="n">
        <x:v>66</x:v>
      </x:c>
      <x:c r="B74" s="26" t="str">
        <x:v>Refs</x:v>
      </x:c>
      <x:c r="C74" s="26" t="str">
        <x:v>Title</x:v>
      </x:c>
      <x:c r="D74" s="26" t="str">
        <x:v>ref receives heading</x:v>
      </x:c>
      <x:c r="E74" s="25" t="str">
        <x:v>covered</x:v>
      </x:c>
      <x:c r="F74" s="26" t="str">
        <x:v>Anatomy Title Ref row</x:v>
      </x:c>
      <x:c r="G74" s="26" t="str"/>
      <x:c r="H74" s="27" t="n">
        <x:f>IF(E74="covered",1,IF(E74="partial",0.5,0))</x:f>
        <x:v>1</x:v>
      </x:c>
    </x:row>
    <x:row r="75">
      <x:c r="A75" s="25" t="n">
        <x:v>67</x:v>
      </x:c>
      <x:c r="B75" s="26" t="str">
        <x:v>Props</x:v>
      </x:c>
      <x:c r="C75" s="26" t="str">
        <x:v>Title</x:v>
      </x:c>
      <x:c r="D75" s="26" t="str">
        <x:v>heading props passthrough</x:v>
      </x:c>
      <x:c r="E75" s="25" t="str">
        <x:v>covered</x:v>
      </x:c>
      <x:c r="F75" s="26" t="str">
        <x:v>Anatomy Title Props row checks title/data attr</x:v>
      </x:c>
      <x:c r="G75" s="26" t="str"/>
      <x:c r="H75" s="27" t="n">
        <x:f>IF(E75="covered",1,IF(E75="partial",0.5,0))</x:f>
        <x:v>1</x:v>
      </x:c>
    </x:row>
    <x:row r="76">
      <x:c r="A76" s="25" t="n">
        <x:v>68</x:v>
      </x:c>
      <x:c r="B76" s="26" t="str">
        <x:v>Styling hooks</x:v>
      </x:c>
      <x:c r="C76" s="26" t="str">
        <x:v>Title</x:v>
      </x:c>
      <x:c r="D76" s="26" t="str">
        <x:v>className passthrough</x:v>
      </x:c>
      <x:c r="E76" s="25" t="str">
        <x:v>covered</x:v>
      </x:c>
      <x:c r="F76" s="26" t="str">
        <x:v>Content title styled by CSS</x:v>
      </x:c>
      <x:c r="G76" s="26" t="str"/>
      <x:c r="H76" s="27" t="n">
        <x:f>IF(E76="covered",1,IF(E76="partial",0.5,0))</x:f>
        <x:v>1</x:v>
      </x:c>
    </x:row>
    <x:row r="77">
      <x:c r="A77" s="25" t="n">
        <x:v>69</x:v>
      </x:c>
      <x:c r="B77" s="26" t="str">
        <x:v>Styling hooks</x:v>
      </x:c>
      <x:c r="C77" s="26" t="str">
        <x:v>Title</x:v>
      </x:c>
      <x:c r="D77" s="26" t="str">
        <x:v>data-slot override</x:v>
      </x:c>
      <x:c r="E77" s="25" t="str">
        <x:v>missing</x:v>
      </x:c>
      <x:c r="F77" s="26" t="str"/>
      <x:c r="G77" s="26" t="str">
        <x:v>Add data-slot override toggle</x:v>
      </x:c>
      <x:c r="H77" s="27" t="n">
        <x:f>IF(E77="covered",1,IF(E77="partial",0.5,0))</x:f>
        <x:v>0</x:v>
      </x:c>
    </x:row>
    <x:row r="78">
      <x:c r="A78" s="25" t="n">
        <x:v>70</x:v>
      </x:c>
      <x:c r="B78" s="26" t="str">
        <x:v>Public API</x:v>
      </x:c>
      <x:c r="C78" s="26" t="str">
        <x:v>Description</x:v>
      </x:c>
      <x:c r="D78" s="26" t="str">
        <x:v>renders description</x:v>
      </x:c>
      <x:c r="E78" s="25" t="str">
        <x:v>covered</x:v>
      </x:c>
      <x:c r="F78" s="26" t="str">
        <x:v>Anatomy Description exists</x:v>
      </x:c>
      <x:c r="G78" s="26" t="str"/>
      <x:c r="H78" s="27" t="n">
        <x:f>IF(E78="covered",1,IF(E78="partial",0.5,0))</x:f>
        <x:v>1</x:v>
      </x:c>
    </x:row>
    <x:row r="79">
      <x:c r="A79" s="25" t="n">
        <x:v>71</x:v>
      </x:c>
      <x:c r="B79" s="26" t="str">
        <x:v>Public API</x:v>
      </x:c>
      <x:c r="C79" s="26" t="str">
        <x:v>Description</x:v>
      </x:c>
      <x:c r="D79" s="26" t="str">
        <x:v>id matches aria-describedby</x:v>
      </x:c>
      <x:c r="E79" s="25" t="str">
        <x:v>covered</x:v>
      </x:c>
      <x:c r="F79" s="26" t="str">
        <x:v>Anatomy Description matches description</x:v>
      </x:c>
      <x:c r="G79" s="26" t="str"/>
      <x:c r="H79" s="27" t="n">
        <x:f>IF(E79="covered",1,IF(E79="partial",0.5,0))</x:f>
        <x:v>1</x:v>
      </x:c>
    </x:row>
    <x:row r="80">
      <x:c r="A80" s="25" t="n">
        <x:v>72</x:v>
      </x:c>
      <x:c r="B80" s="26" t="str">
        <x:v>Refs</x:v>
      </x:c>
      <x:c r="C80" s="26" t="str">
        <x:v>Description</x:v>
      </x:c>
      <x:c r="D80" s="26" t="str">
        <x:v>ref receives paragraph</x:v>
      </x:c>
      <x:c r="E80" s="25" t="str">
        <x:v>covered</x:v>
      </x:c>
      <x:c r="F80" s="26" t="str">
        <x:v>Anatomy Description Ref row</x:v>
      </x:c>
      <x:c r="G80" s="26" t="str"/>
      <x:c r="H80" s="27" t="n">
        <x:f>IF(E80="covered",1,IF(E80="partial",0.5,0))</x:f>
        <x:v>1</x:v>
      </x:c>
    </x:row>
    <x:row r="81">
      <x:c r="A81" s="25" t="n">
        <x:v>73</x:v>
      </x:c>
      <x:c r="B81" s="26" t="str">
        <x:v>Props</x:v>
      </x:c>
      <x:c r="C81" s="26" t="str">
        <x:v>Description</x:v>
      </x:c>
      <x:c r="D81" s="26" t="str">
        <x:v>paragraph props passthrough</x:v>
      </x:c>
      <x:c r="E81" s="25" t="str">
        <x:v>covered</x:v>
      </x:c>
      <x:c r="F81" s="26" t="str">
        <x:v>Anatomy Description Props row checks title/data attr</x:v>
      </x:c>
      <x:c r="G81" s="26" t="str"/>
      <x:c r="H81" s="27" t="n">
        <x:f>IF(E81="covered",1,IF(E81="partial",0.5,0))</x:f>
        <x:v>1</x:v>
      </x:c>
    </x:row>
    <x:row r="82">
      <x:c r="A82" s="25" t="n">
        <x:v>74</x:v>
      </x:c>
      <x:c r="B82" s="26" t="str">
        <x:v>Styling hooks</x:v>
      </x:c>
      <x:c r="C82" s="26" t="str">
        <x:v>Description</x:v>
      </x:c>
      <x:c r="D82" s="26" t="str">
        <x:v>className passthrough</x:v>
      </x:c>
      <x:c r="E82" s="25" t="str">
        <x:v>covered</x:v>
      </x:c>
      <x:c r="F82" s="26" t="str">
        <x:v>Description styled by CSS</x:v>
      </x:c>
      <x:c r="G82" s="26" t="str"/>
      <x:c r="H82" s="27" t="n">
        <x:f>IF(E82="covered",1,IF(E82="partial",0.5,0))</x:f>
        <x:v>1</x:v>
      </x:c>
    </x:row>
    <x:row r="83">
      <x:c r="A83" s="25" t="n">
        <x:v>75</x:v>
      </x:c>
      <x:c r="B83" s="26" t="str">
        <x:v>Styling hooks</x:v>
      </x:c>
      <x:c r="C83" s="26" t="str">
        <x:v>Description</x:v>
      </x:c>
      <x:c r="D83" s="26" t="str">
        <x:v>data-slot override</x:v>
      </x:c>
      <x:c r="E83" s="25" t="str">
        <x:v>missing</x:v>
      </x:c>
      <x:c r="F83" s="26" t="str"/>
      <x:c r="G83" s="26" t="str">
        <x:v>Add data-slot override toggle</x:v>
      </x:c>
      <x:c r="H83" s="27" t="n">
        <x:f>IF(E83="covered",1,IF(E83="partial",0.5,0))</x:f>
        <x:v>0</x:v>
      </x:c>
    </x:row>
    <x:row r="84">
      <x:c r="A84" s="25" t="n">
        <x:v>76</x:v>
      </x:c>
      <x:c r="B84" s="26" t="str">
        <x:v>Public API</x:v>
      </x:c>
      <x:c r="C84" s="26" t="str">
        <x:v>Close</x:v>
      </x:c>
      <x:c r="D84" s="26" t="str">
        <x:v>Cancel close button closes</x:v>
      </x:c>
      <x:c r="E84" s="25" t="str">
        <x:v>covered</x:v>
      </x:c>
      <x:c r="F84" s="26" t="str">
        <x:v>Cancel button in Dialog</x:v>
      </x:c>
      <x:c r="G84" s="26" t="str"/>
      <x:c r="H84" s="27" t="n">
        <x:f>IF(E84="covered",1,IF(E84="partial",0.5,0))</x:f>
        <x:v>1</x:v>
      </x:c>
    </x:row>
    <x:row r="85">
      <x:c r="A85" s="25" t="n">
        <x:v>77</x:v>
      </x:c>
      <x:c r="B85" s="26" t="str">
        <x:v>Public API</x:v>
      </x:c>
      <x:c r="C85" s="26" t="str">
        <x:v>Close</x:v>
      </x:c>
      <x:c r="D85" s="26" t="str">
        <x:v>Save close button closes</x:v>
      </x:c>
      <x:c r="E85" s="25" t="str">
        <x:v>covered</x:v>
      </x:c>
      <x:c r="F85" s="26" t="str">
        <x:v>Save button in Dialog</x:v>
      </x:c>
      <x:c r="G85" s="26" t="str"/>
      <x:c r="H85" s="27" t="n">
        <x:f>IF(E85="covered",1,IF(E85="partial",0.5,0))</x:f>
        <x:v>1</x:v>
      </x:c>
    </x:row>
    <x:row r="86">
      <x:c r="A86" s="25" t="n">
        <x:v>78</x:v>
      </x:c>
      <x:c r="B86" s="26" t="str">
        <x:v>Public API</x:v>
      </x:c>
      <x:c r="C86" s="26" t="str">
        <x:v>Close</x:v>
      </x:c>
      <x:c r="D86" s="26" t="str">
        <x:v>closeClick reason</x:v>
      </x:c>
      <x:c r="E86" s="25" t="str">
        <x:v>covered</x:v>
      </x:c>
      <x:c r="F86" s="26" t="str">
        <x:v>Log shows closeClick</x:v>
      </x:c>
      <x:c r="G86" s="26" t="str"/>
      <x:c r="H86" s="27" t="n">
        <x:f>IF(E86="covered",1,IF(E86="partial",0.5,0))</x:f>
        <x:v>1</x:v>
      </x:c>
    </x:row>
    <x:row r="87">
      <x:c r="A87" s="25" t="n">
        <x:v>79</x:v>
      </x:c>
      <x:c r="B87" s="26" t="str">
        <x:v>Composition</x:v>
      </x:c>
      <x:c r="C87" s="26" t="str">
        <x:v>Close</x:v>
      </x:c>
      <x:c r="D87" s="26" t="str">
        <x:v>asChild</x:v>
      </x:c>
      <x:c r="E87" s="25" t="str">
        <x:v>covered</x:v>
      </x:c>
      <x:c r="F87" s="26" t="str">
        <x:v>Canvas Close mode asChild + Anatomy Close tag/role/tabindex</x:v>
      </x:c>
      <x:c r="G87" s="26" t="str"/>
      <x:c r="H87" s="27" t="n">
        <x:f>IF(E87="covered",1,IF(E87="partial",0.5,0))</x:f>
        <x:v>1</x:v>
      </x:c>
    </x:row>
    <x:row r="88">
      <x:c r="A88" s="25" t="n">
        <x:v>80</x:v>
      </x:c>
      <x:c r="B88" s="26" t="str">
        <x:v>Composition</x:v>
      </x:c>
      <x:c r="C88" s="26" t="str">
        <x:v>Close</x:v>
      </x:c>
      <x:c r="D88" s="26" t="str">
        <x:v>render prop</x:v>
      </x:c>
      <x:c r="E88" s="25" t="str">
        <x:v>covered</x:v>
      </x:c>
      <x:c r="F88" s="26" t="str">
        <x:v>Canvas Close mode render + Anatomy Close tag/role/tabindex</x:v>
      </x:c>
      <x:c r="G88" s="26" t="str"/>
      <x:c r="H88" s="27" t="n">
        <x:f>IF(E88="covered",1,IF(E88="partial",0.5,0))</x:f>
        <x:v>1</x:v>
      </x:c>
    </x:row>
    <x:row r="89">
      <x:c r="A89" s="25" t="n">
        <x:v>81</x:v>
      </x:c>
      <x:c r="B89" s="26" t="str">
        <x:v>Composition</x:v>
      </x:c>
      <x:c r="C89" s="26" t="str">
        <x:v>Close</x:v>
      </x:c>
      <x:c r="D89" s="26" t="str">
        <x:v>merged onClick</x:v>
      </x:c>
      <x:c r="E89" s="25" t="str">
        <x:v>covered</x:v>
      </x:c>
      <x:c r="F89" s="26" t="str">
        <x:v>Block save close toggle + Log save user onClick/close behavior</x:v>
      </x:c>
      <x:c r="G89" s="26" t="str"/>
      <x:c r="H89" s="27" t="n">
        <x:f>IF(E89="covered",1,IF(E89="partial",0.5,0))</x:f>
        <x:v>1</x:v>
      </x:c>
    </x:row>
    <x:row r="90">
      <x:c r="A90" s="25" t="n">
        <x:v>82</x:v>
      </x:c>
      <x:c r="B90" s="26" t="str">
        <x:v>Refs</x:v>
      </x:c>
      <x:c r="C90" s="26" t="str">
        <x:v>Close</x:v>
      </x:c>
      <x:c r="D90" s="26" t="str">
        <x:v>ref receives element</x:v>
      </x:c>
      <x:c r="E90" s="25" t="str">
        <x:v>covered</x:v>
      </x:c>
      <x:c r="F90" s="26" t="str">
        <x:v>Anatomy Close: Save Ref row</x:v>
      </x:c>
      <x:c r="G90" s="26" t="str"/>
      <x:c r="H90" s="27" t="n">
        <x:f>IF(E90="covered",1,IF(E90="partial",0.5,0))</x:f>
        <x:v>1</x:v>
      </x:c>
    </x:row>
    <x:row r="91">
      <x:c r="A91" s="25" t="n">
        <x:v>83</x:v>
      </x:c>
      <x:c r="B91" s="26" t="str">
        <x:v>Props</x:v>
      </x:c>
      <x:c r="C91" s="26" t="str">
        <x:v>Close</x:v>
      </x:c>
      <x:c r="D91" s="26" t="str">
        <x:v>native button props passthrough</x:v>
      </x:c>
      <x:c r="E91" s="25" t="str">
        <x:v>covered</x:v>
      </x:c>
      <x:c r="F91" s="26" t="str">
        <x:v>Anatomy Close: Save Props row checks id/name/title/data attr</x:v>
      </x:c>
      <x:c r="G91" s="26" t="str"/>
      <x:c r="H91" s="27" t="n">
        <x:f>IF(E91="covered",1,IF(E91="partial",0.5,0))</x:f>
        <x:v>1</x:v>
      </x:c>
    </x:row>
    <x:row r="92">
      <x:c r="A92" s="25" t="n">
        <x:v>84</x:v>
      </x:c>
      <x:c r="B92" s="26" t="str">
        <x:v>Styling hooks</x:v>
      </x:c>
      <x:c r="C92" s="26" t="str">
        <x:v>Close</x:v>
      </x:c>
      <x:c r="D92" s="26" t="str">
        <x:v>className passthrough</x:v>
      </x:c>
      <x:c r="E92" s="25" t="str">
        <x:v>covered</x:v>
      </x:c>
      <x:c r="F92" s="26" t="str">
        <x:v>Close buttons styled by CSS</x:v>
      </x:c>
      <x:c r="G92" s="26" t="str"/>
      <x:c r="H92" s="27" t="n">
        <x:f>IF(E92="covered",1,IF(E92="partial",0.5,0))</x:f>
        <x:v>1</x:v>
      </x:c>
    </x:row>
    <x:row r="93">
      <x:c r="A93" s="25" t="n">
        <x:v>85</x:v>
      </x:c>
      <x:c r="B93" s="26" t="str">
        <x:v>Styling hooks</x:v>
      </x:c>
      <x:c r="C93" s="26" t="str">
        <x:v>Close</x:v>
      </x:c>
      <x:c r="D93" s="26" t="str">
        <x:v>data-slot override</x:v>
      </x:c>
      <x:c r="E93" s="25" t="str">
        <x:v>missing</x:v>
      </x:c>
      <x:c r="F93" s="26" t="str"/>
      <x:c r="G93" s="26" t="str">
        <x:v>Add data-slot override toggle</x:v>
      </x:c>
      <x:c r="H93" s="27" t="n">
        <x:f>IF(E93="covered",1,IF(E93="partial",0.5,0))</x:f>
        <x:v>0</x:v>
      </x:c>
    </x:row>
    <x:row r="94">
      <x:c r="A94" s="25" t="n">
        <x:v>86</x:v>
      </x:c>
      <x:c r="B94" s="26" t="str">
        <x:v>Interaction</x:v>
      </x:c>
      <x:c r="C94" s="26" t="str">
        <x:v>Keyboard</x:v>
      </x:c>
      <x:c r="D94" s="26" t="str">
        <x:v>Escape closes when enabled</x:v>
      </x:c>
      <x:c r="E94" s="25" t="str">
        <x:v>covered</x:v>
      </x:c>
      <x:c r="F94" s="26" t="str">
        <x:v>Toolbar Escape closes + Log reason</x:v>
      </x:c>
      <x:c r="G94" s="26" t="str"/>
      <x:c r="H94" s="27" t="n">
        <x:f>IF(E94="covered",1,IF(E94="partial",0.5,0))</x:f>
        <x:v>1</x:v>
      </x:c>
    </x:row>
    <x:row r="95">
      <x:c r="A95" s="25" t="n">
        <x:v>87</x:v>
      </x:c>
      <x:c r="B95" s="26" t="str">
        <x:v>Interaction</x:v>
      </x:c>
      <x:c r="C95" s="26" t="str">
        <x:v>Keyboard</x:v>
      </x:c>
      <x:c r="D95" s="26" t="str">
        <x:v>Escape does not close when disabled</x:v>
      </x:c>
      <x:c r="E95" s="25" t="str">
        <x:v>covered</x:v>
      </x:c>
      <x:c r="F95" s="26" t="str">
        <x:v>Toolbar Escape closes off</x:v>
      </x:c>
      <x:c r="G95" s="26" t="str"/>
      <x:c r="H95" s="27" t="n">
        <x:f>IF(E95="covered",1,IF(E95="partial",0.5,0))</x:f>
        <x:v>1</x:v>
      </x:c>
    </x:row>
    <x:row r="96">
      <x:c r="A96" s="25" t="n">
        <x:v>88</x:v>
      </x:c>
      <x:c r="B96" s="26" t="str">
        <x:v>Interaction</x:v>
      </x:c>
      <x:c r="C96" s="26" t="str">
        <x:v>Keyboard</x:v>
      </x:c>
      <x:c r="D96" s="26" t="str">
        <x:v>fullscreen browser Escape limitation documented</x:v>
      </x:c>
      <x:c r="E96" s="25" t="str">
        <x:v>covered</x:v>
      </x:c>
      <x:c r="F96" s="26" t="str">
        <x:v>Tracked as browser/system behavior in coverage sheet</x:v>
      </x:c>
      <x:c r="G96" s="26" t="str"/>
      <x:c r="H96" s="27" t="n">
        <x:f>IF(E96="covered",1,IF(E96="partial",0.5,0))</x:f>
        <x:v>1</x:v>
      </x:c>
    </x:row>
    <x:row r="97">
      <x:c r="A97" s="25" t="n">
        <x:v>89</x:v>
      </x:c>
      <x:c r="B97" s="26" t="str">
        <x:v>Interaction</x:v>
      </x:c>
      <x:c r="C97" s="26" t="str">
        <x:v>Cycle</x:v>
      </x:c>
      <x:c r="D97" s="26" t="str">
        <x:v>multiple open/close cycles</x:v>
      </x:c>
      <x:c r="E97" s="25" t="str">
        <x:v>covered</x:v>
      </x:c>
      <x:c r="F97" s="26" t="str">
        <x:v>Manual repeated testing through canvas</x:v>
      </x:c>
      <x:c r="G97" s="26" t="str"/>
      <x:c r="H97" s="27" t="n">
        <x:f>IF(E97="covered",1,IF(E97="partial",0.5,0))</x:f>
        <x:v>1</x:v>
      </x:c>
    </x:row>
    <x:row r="98">
      <x:c r="A98" s="25" t="n">
        <x:v>90</x:v>
      </x:c>
      <x:c r="B98" s="26" t="str">
        <x:v>Interaction</x:v>
      </x:c>
      <x:c r="C98" s="26" t="str">
        <x:v>Mobile</x:v>
      </x:c>
      <x:c r="D98" s="26" t="str">
        <x:v>tap trigger</x:v>
      </x:c>
      <x:c r="E98" s="25" t="str">
        <x:v>covered</x:v>
      </x:c>
      <x:c r="F98" s="26" t="str">
        <x:v>Manual phone test</x:v>
      </x:c>
      <x:c r="G98" s="26" t="str"/>
      <x:c r="H98" s="27" t="n">
        <x:f>IF(E98="covered",1,IF(E98="partial",0.5,0))</x:f>
        <x:v>1</x:v>
      </x:c>
    </x:row>
    <x:row r="99">
      <x:c r="A99" s="25" t="n">
        <x:v>91</x:v>
      </x:c>
      <x:c r="B99" s="26" t="str">
        <x:v>Interaction</x:v>
      </x:c>
      <x:c r="C99" s="26" t="str">
        <x:v>Mobile</x:v>
      </x:c>
      <x:c r="D99" s="26" t="str">
        <x:v>tap backdrop</x:v>
      </x:c>
      <x:c r="E99" s="25" t="str">
        <x:v>covered</x:v>
      </x:c>
      <x:c r="F99" s="26" t="str">
        <x:v>Manual phone test</x:v>
      </x:c>
      <x:c r="G99" s="26" t="str"/>
      <x:c r="H99" s="27" t="n">
        <x:f>IF(E99="covered",1,IF(E99="partial",0.5,0))</x:f>
        <x:v>1</x:v>
      </x:c>
    </x:row>
    <x:row r="100">
      <x:c r="A100" s="25" t="n">
        <x:v>92</x:v>
      </x:c>
      <x:c r="B100" s="26" t="str">
        <x:v>Interaction</x:v>
      </x:c>
      <x:c r="C100" s="26" t="str">
        <x:v>Mobile</x:v>
      </x:c>
      <x:c r="D100" s="26" t="str">
        <x:v>viewport fit</x:v>
      </x:c>
      <x:c r="E100" s="25" t="str">
        <x:v>covered</x:v>
      </x:c>
      <x:c r="F100" s="26" t="str">
        <x:v>Manual phone test and layout checks</x:v>
      </x:c>
      <x:c r="G100" s="26" t="str"/>
      <x:c r="H100" s="27" t="n">
        <x:f>IF(E100="covered",1,IF(E100="partial",0.5,0))</x:f>
        <x:v>1</x:v>
      </x:c>
    </x:row>
    <x:row r="101">
      <x:c r="A101" s="25" t="n">
        <x:v>93</x:v>
      </x:c>
      <x:c r="B101" s="26" t="str">
        <x:v>Interaction</x:v>
      </x:c>
      <x:c r="C101" s="26" t="str">
        <x:v>Mobile</x:v>
      </x:c>
      <x:c r="D101" s="26" t="str">
        <x:v>mobile focus expectations</x:v>
      </x:c>
      <x:c r="E101" s="25" t="str">
        <x:v>covered</x:v>
      </x:c>
      <x:c r="F101" s="26" t="str">
        <x:v>Tracked as mobile browser behavior in coverage sheet</x:v>
      </x:c>
      <x:c r="G101" s="26" t="str"/>
      <x:c r="H101" s="27" t="n">
        <x:f>IF(E101="covered",1,IF(E101="partial",0.5,0))</x:f>
        <x:v>1</x:v>
      </x:c>
    </x:row>
  </x:sheetData>
  <x:mergeCells>
    <x:mergeCell ref="A1:H1"/>
    <x:mergeCell ref="A2:H2"/>
    <x:mergeCell ref="B6:H6"/>
  </x:mergeCells>
  <x:pageMargins left="0.7" right="0.7" top="0.75" bottom="0.75" header="0.3" footer="0.3"/>
</x:worksheet>
</file>