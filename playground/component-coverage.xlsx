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Index" sheetId="1" state="visible" r:id="rId1"/>
    <sheet name="Accordion" sheetId="2" state="visible" r:id="rId2"/>
    <sheet name="AlertDialog" sheetId="3" state="visible" r:id="rId3"/>
    <sheet name="AppBar" sheetId="4" state="visible" r:id="rId4"/>
    <sheet name="AspectRatio" sheetId="5" state="visible" r:id="rId5"/>
    <sheet name="Avatar" sheetId="6" state="visible" r:id="rId6"/>
    <sheet name="Badge" sheetId="7" state="visible" r:id="rId7"/>
    <sheet name="BottomNavigation" sheetId="8" state="visible" r:id="rId8"/>
    <sheet name="Breadcrumb" sheetId="9" state="visible" r:id="rId9"/>
    <sheet name="Button" sheetId="10" state="visible" r:id="rId10"/>
    <sheet name="Checkbox" sheetId="11" state="visible" r:id="rId11"/>
    <sheet name="CheckboxGroup" sheetId="12" state="visible" r:id="rId12"/>
    <sheet name="Collapsible" sheetId="13" state="visible" r:id="rId13"/>
    <sheet name="Collection" sheetId="14" state="visible" r:id="rId14"/>
    <sheet name="Combobox" sheetId="15" state="visible" r:id="rId15"/>
    <sheet name="ContextMenu" sheetId="16" state="visible" r:id="rId16"/>
    <sheet name="DataGrid" sheetId="17" state="visible" r:id="rId17"/>
    <sheet name="Dialog" sheetId="18" state="visible" r:id="rId18"/>
    <sheet name="Direction" sheetId="19" state="visible" r:id="rId19"/>
    <sheet name="Divider" sheetId="20" state="visible" r:id="rId20"/>
    <sheet name="Drawer" sheetId="21" state="visible" r:id="rId21"/>
    <sheet name="DropdownMenu" sheetId="22" state="visible" r:id="rId22"/>
    <sheet name="Feed" sheetId="23" state="visible" r:id="rId23"/>
    <sheet name="Field" sheetId="24" state="visible" r:id="rId24"/>
    <sheet name="Fieldset" sheetId="25" state="visible" r:id="rId25"/>
    <sheet name="FileUpload" sheetId="26" state="visible" r:id="rId26"/>
    <sheet name="Form" sheetId="27" state="visible" r:id="rId27"/>
    <sheet name="HoverCard" sheetId="28" state="visible" r:id="rId28"/>
    <sheet name="Input" sheetId="29" state="visible" r:id="rId29"/>
    <sheet name="Label" sheetId="30" state="visible" r:id="rId30"/>
    <sheet name="List" sheetId="31" state="visible" r:id="rId31"/>
    <sheet name="Listbox" sheetId="32" state="visible" r:id="rId32"/>
    <sheet name="Menu" sheetId="33" state="visible" r:id="rId33"/>
    <sheet name="Menubar" sheetId="34" state="visible" r:id="rId34"/>
    <sheet name="Modal" sheetId="35" state="visible" r:id="rId35"/>
    <sheet name="NavList" sheetId="36" state="visible" r:id="rId36"/>
    <sheet name="NavigationMenu" sheetId="37" state="visible" r:id="rId37"/>
    <sheet name="NumberInput" sheetId="38" state="visible" r:id="rId38"/>
    <sheet name="OTPField" sheetId="39" state="visible" r:id="rId39"/>
    <sheet name="Pagination" sheetId="40" state="visible" r:id="rId40"/>
    <sheet name="PasswordToggleField" sheetId="41" state="visible" r:id="rId41"/>
    <sheet name="Popover" sheetId="42" state="visible" r:id="rId42"/>
    <sheet name="Portal" sheetId="43" state="visible" r:id="rId43"/>
    <sheet name="Pressable" sheetId="44" state="visible" r:id="rId44"/>
    <sheet name="Progress" sheetId="45" state="visible" r:id="rId45"/>
    <sheet name="RadioGroup" sheetId="46" state="visible" r:id="rId46"/>
    <sheet name="Rating" sheetId="47" state="visible" r:id="rId47"/>
    <sheet name="ScrollArea" sheetId="48" state="visible" r:id="rId48"/>
    <sheet name="Select" sheetId="49" state="visible" r:id="rId49"/>
    <sheet name="Sidebar" sheetId="50" state="visible" r:id="rId50"/>
    <sheet name="SkipLink" sheetId="51" state="visible" r:id="rId51"/>
    <sheet name="Slider" sheetId="52" state="visible" r:id="rId52"/>
    <sheet name="SwipeableItem" sheetId="53" state="visible" r:id="rId53"/>
    <sheet name="Switch" sheetId="54" state="visible" r:id="rId54"/>
    <sheet name="Table" sheetId="55" state="visible" r:id="rId55"/>
    <sheet name="Tabs" sheetId="56" state="visible" r:id="rId56"/>
    <sheet name="Textarea" sheetId="57" state="visible" r:id="rId57"/>
    <sheet name="Toast" sheetId="58" state="visible" r:id="rId58"/>
    <sheet name="Toggle" sheetId="59" state="visible" r:id="rId59"/>
    <sheet name="ToggleGroup" sheetId="60" state="visible" r:id="rId60"/>
    <sheet name="Toolbar" sheetId="61" state="visible" r:id="rId61"/>
    <sheet name="Tooltip" sheetId="62" state="visible" r:id="rId62"/>
    <sheet name="Tree" sheetId="63" state="visible" r:id="rId63"/>
    <sheet name="TreeGrid" sheetId="64" state="visible" r:id="rId64"/>
    <sheet name="Virtualizer" sheetId="65" state="visible" r:id="rId65"/>
    <sheet name="VisuallyHidden" sheetId="66" state="visible" r:id="rId66"/>
  </sheets>
  <definedNames/>
  <calcPr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color rgb="00006100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00E2F0D9"/>
      </patternFill>
    </fill>
  </fills>
  <borders count="5">
    <border/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  <border>
      <bottom style="thin">
        <color rgb="FFD6DEE8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</cellXfs>
  <cellStyles count="1">
    <cellStyle name="Normal" xf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style="52" min="1" max="1"/>
    <col width="12" customWidth="1" style="52" min="2" max="2"/>
    <col width="10" customWidth="1" style="52" min="3" max="6"/>
    <col width="12" customWidth="1" style="52" min="7" max="7"/>
    <col width="14" customWidth="1" style="52" min="8" max="8"/>
    <col width="10" customWidth="1" style="52" min="9" max="9"/>
  </cols>
  <sheetData>
    <row r="1" ht="23" customHeight="1" s="52">
      <c r="A1" s="48" t="inlineStr">
        <is>
          <t>Atom Playground Coverage Index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>
      <c r="A2" s="50" t="inlineStr">
        <is>
          <t>Formula-driven summary of component playground coverage. Component tabs are alphabetical; completion updates when each component table changes.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52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52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52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52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52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52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52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52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52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52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52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52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52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52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52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52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52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52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52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52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52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52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52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52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52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52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52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52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52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52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52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52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52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52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52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52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52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52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52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52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52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52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52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52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52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52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52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52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52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52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52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52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52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52">
      <c r="A58" s="55" t="inlineStr">
        <is>
          <t>SwipeableItem</t>
        </is>
      </c>
      <c r="B58" s="56">
        <f>COUNT(SwipeableItem!A9:A500)</f>
        <v/>
      </c>
      <c r="C58" s="56">
        <f>COUNTIF(SwipeableItem!H9:H500,"covered")</f>
        <v/>
      </c>
      <c r="D58" s="56">
        <f>COUNTIF(SwipeableItem!H9:H500,"partial")</f>
        <v/>
      </c>
      <c r="E58" s="56">
        <f>COUNTIF(SwipeableItem!H9:H500,"missing")</f>
        <v/>
      </c>
      <c r="F58" s="56">
        <f>COUNTIF(SwipeableItem!H9:H500,"untested")</f>
        <v/>
      </c>
      <c r="G58" s="57">
        <f>IFERROR(C58/B58,0)</f>
        <v/>
      </c>
      <c r="H58" s="58">
        <f>IF(AND(B58&gt;0,I58=0,G58=1),"Done","Open")</f>
        <v/>
      </c>
      <c r="I58" s="58">
        <f>MAX(0,B58-C58)</f>
        <v/>
      </c>
    </row>
    <row r="59" ht="15" customHeight="1" s="52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52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52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52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52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52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52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52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52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52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52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52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52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Accordion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AlertDialog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>
        <is>
          <t/>
        </is>
      </c>
      <c r="K9" s="6">
        <f>IF(AND(E9="yes",F9="yes",H9="covered"),1,IF(H9="partial",0.5,0))</f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>
        <is>
          <t/>
        </is>
      </c>
      <c r="K10" s="6">
        <f>IF(AND(E10="yes",F10="yes",H10="covered"),1,IF(H10="partial",0.5,0))</f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>
        <is>
          <t/>
        </is>
      </c>
      <c r="K11" s="6">
        <f>IF(AND(E11="yes",F11="yes",H11="covered"),1,IF(H11="partial",0.5,0))</f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>
        <is>
          <t/>
        </is>
      </c>
      <c r="K12" s="6">
        <f>IF(AND(E12="yes",F12="yes",H12="covered"),1,IF(H12="partial",0.5,0))</f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>
        <is>
          <t/>
        </is>
      </c>
      <c r="K13" s="6">
        <f>IF(AND(E13="yes",F13="yes",H13="covered"),1,IF(H13="partial",0.5,0))</f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>
        <is>
          <t/>
        </is>
      </c>
      <c r="K14" s="6">
        <f>IF(AND(E14="yes",F14="yes",H14="covered"),1,IF(H14="partial",0.5,0))</f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>
        <is>
          <t/>
        </is>
      </c>
      <c r="K15" s="6">
        <f>IF(AND(E15="yes",F15="yes",H15="covered"),1,IF(H15="partial",0.5,0))</f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>
        <is>
          <t/>
        </is>
      </c>
      <c r="K16" s="6">
        <f>IF(AND(E16="yes",F16="yes",H16="covered"),1,IF(H16="partial",0.5,0))</f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>
        <is>
          <t/>
        </is>
      </c>
      <c r="K17" s="6">
        <f>IF(AND(E17="yes",F17="yes",H17="covered"),1,IF(H17="partial",0.5,0))</f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>
        <is>
          <t/>
        </is>
      </c>
      <c r="K18" s="6">
        <f>IF(AND(E18="yes",F18="yes",H18="covered"),1,IF(H18="partial",0.5,0))</f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>
        <is>
          <t/>
        </is>
      </c>
      <c r="K19" s="6">
        <f>IF(AND(E19="yes",F19="yes",H19="covered"),1,IF(H19="partial",0.5,0))</f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>
        <is>
          <t/>
        </is>
      </c>
      <c r="K20" s="6">
        <f>IF(AND(E20="yes",F20="yes",H20="covered"),1,IF(H20="partial",0.5,0))</f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>
        <is>
          <t/>
        </is>
      </c>
      <c r="K21" s="6">
        <f>IF(AND(E21="yes",F21="yes",H21="covered"),1,IF(H21="partial",0.5,0))</f>
      </c>
    </row>
    <row r="22" ht="30" customHeight="1" s="52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>
        <is>
          <t/>
        </is>
      </c>
      <c r="K22" s="6">
        <f>IF(AND(E22="yes",F22="yes",H22="covered"),1,IF(H22="partial",0.5,0))</f>
      </c>
    </row>
    <row r="23" ht="30" customHeight="1" s="52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>
        <is>
          <t/>
        </is>
      </c>
      <c r="K23" s="6">
        <f>IF(AND(E23="yes",F23="yes",H23="covered"),1,IF(H23="partial",0.5,0))</f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>
        <is>
          <t/>
        </is>
      </c>
      <c r="K24" s="6">
        <f>IF(AND(E24="yes",F24="yes",H24="covered"),1,IF(H24="partial",0.5,0))</f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>
        <is>
          <t/>
        </is>
      </c>
      <c r="K25" s="6">
        <f>IF(AND(E25="yes",F25="yes",H25="covered"),1,IF(H25="partial",0.5,0))</f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>
        <is>
          <t/>
        </is>
      </c>
      <c r="K26" s="6">
        <f>IF(AND(E26="yes",F26="yes",H26="covered"),1,IF(H26="partial",0.5,0))</f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>
        <is>
          <t/>
        </is>
      </c>
      <c r="K27" s="6">
        <f>IF(AND(E27="yes",F27="yes",H27="covered"),1,IF(H27="partial",0.5,0))</f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>
        <is>
          <t/>
        </is>
      </c>
      <c r="K28" s="6">
        <f>IF(AND(E28="yes",F28="yes",H28="covered"),1,IF(H28="partial",0.5,0))</f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>
        <is>
          <t/>
        </is>
      </c>
      <c r="K29" s="6">
        <f>IF(AND(E29="yes",F29="yes",H29="covered"),1,IF(H29="partial",0.5,0))</f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>
        <is>
          <t/>
        </is>
      </c>
      <c r="K30" s="6">
        <f>IF(AND(E30="yes",F30="yes",H30="covered"),1,IF(H30="partial",0.5,0))</f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>
        <is>
          <t/>
        </is>
      </c>
      <c r="K31" s="6">
        <f>IF(AND(E31="yes",F31="yes",H31="covered"),1,IF(H31="partial",0.5,0))</f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>
        <is>
          <t/>
        </is>
      </c>
      <c r="K32" s="6">
        <f>IF(AND(E32="yes",F32="yes",H32="covered"),1,IF(H32="partial",0.5,0))</f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>
        <is>
          <t/>
        </is>
      </c>
      <c r="K33" s="6">
        <f>IF(AND(E33="yes",F33="yes",H33="covered"),1,IF(H33="partial",0.5,0))</f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>
        <is>
          <t/>
        </is>
      </c>
      <c r="K34" s="6">
        <f>IF(AND(E34="yes",F34="yes",H34="covered"),1,IF(H34="partial",0.5,0))</f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>
        <is>
          <t/>
        </is>
      </c>
      <c r="K35" s="6">
        <f>IF(AND(E35="yes",F35="yes",H35="covered"),1,IF(H35="partial",0.5,0))</f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>
        <is>
          <t/>
        </is>
      </c>
      <c r="K36" s="6">
        <f>IF(AND(E36="yes",F36="yes",H36="covered"),1,IF(H36="partial",0.5,0))</f>
      </c>
    </row>
    <row r="37" ht="15" customHeight="1" s="52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>
        <is>
          <t/>
        </is>
      </c>
      <c r="K37" s="6">
        <f>IF(AND(E37="yes",F37="yes",H37="covered"),1,IF(H37="partial",0.5,0))</f>
      </c>
    </row>
    <row r="38" ht="15" customHeight="1" s="52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>
        <is>
          <t/>
        </is>
      </c>
      <c r="K38" s="6">
        <f>IF(AND(E38="yes",F38="yes",H38="covered"),1,IF(H38="partial",0.5,0))</f>
      </c>
    </row>
    <row r="39" ht="15" customHeight="1" s="52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>
        <is>
          <t/>
        </is>
      </c>
      <c r="K39" s="6">
        <f>IF(AND(E39="yes",F39="yes",H39="covered"),1,IF(H39="partial",0.5,0))</f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>
        <is>
          <t/>
        </is>
      </c>
      <c r="K40" s="6">
        <f>IF(AND(E40="yes",F40="yes",H40="covered"),1,IF(H40="partial",0.5,0))</f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>
        <is>
          <t/>
        </is>
      </c>
      <c r="K41" s="6">
        <f>IF(AND(E41="yes",F41="yes",H41="covered"),1,IF(H41="partial",0.5,0))</f>
      </c>
    </row>
    <row r="42" ht="15" customHeight="1" s="52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>
        <is>
          <t/>
        </is>
      </c>
      <c r="K42" s="6">
        <f>IF(AND(E42="yes",F42="yes",H42="covered"),1,IF(H42="partial",0.5,0))</f>
      </c>
    </row>
    <row r="43" ht="30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>
        <is>
          <t/>
        </is>
      </c>
      <c r="K43" s="6">
        <f>IF(AND(E43="yes",F43="yes",H43="covered"),1,IF(H43="partial",0.5,0))</f>
      </c>
    </row>
    <row r="44" ht="30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>
        <is>
          <t/>
        </is>
      </c>
      <c r="K44" s="6">
        <f>IF(AND(E44="yes",F44="yes",H44="covered"),1,IF(H44="partial",0.5,0))</f>
      </c>
    </row>
    <row r="45" ht="30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>
        <is>
          <t/>
        </is>
      </c>
      <c r="K45" s="6">
        <f>IF(AND(E45="yes",F45="yes",H45="covered"),1,IF(H45="partial",0.5,0))</f>
      </c>
    </row>
    <row r="46" ht="30" customHeight="1" s="52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>
        <is>
          <t/>
        </is>
      </c>
      <c r="K46" s="6">
        <f>IF(AND(E46="yes",F46="yes",H46="covered"),1,IF(H46="partial",0.5,0))</f>
      </c>
    </row>
    <row r="47" ht="15" customHeight="1" s="52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>
        <is>
          <t/>
        </is>
      </c>
      <c r="K47" s="6">
        <f>IF(AND(E47="yes",F47="yes",H47="covered"),1,IF(H47="partial",0.5,0))</f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>
        <is>
          <t/>
        </is>
      </c>
      <c r="K48" s="6">
        <f>IF(AND(E48="yes",F48="yes",H48="covered"),1,IF(H48="partial",0.5,0))</f>
      </c>
    </row>
    <row r="49" ht="30" customHeight="1" s="52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>
        <is>
          <t/>
        </is>
      </c>
      <c r="K49" s="6">
        <f>IF(AND(E49="yes",F49="yes",H49="covered"),1,IF(H49="partial",0.5,0))</f>
      </c>
    </row>
    <row r="50" ht="15" customHeight="1" s="52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>
        <is>
          <t/>
        </is>
      </c>
      <c r="K50" s="6">
        <f>IF(AND(E50="yes",F50="yes",H50="covered"),1,IF(H50="partial",0.5,0))</f>
      </c>
    </row>
    <row r="51" ht="15" customHeight="1" s="52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>
        <is>
          <t/>
        </is>
      </c>
      <c r="K51" s="6">
        <f>IF(AND(E51="yes",F51="yes",H51="covered"),1,IF(H51="partial",0.5,0))</f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>
        <is>
          <t/>
        </is>
      </c>
      <c r="K52" s="6">
        <f>IF(AND(E52="yes",F52="yes",H52="covered"),1,IF(H52="partial",0.5,0))</f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>
        <is>
          <t/>
        </is>
      </c>
      <c r="K53" s="6">
        <f>IF(AND(E53="yes",F53="yes",H53="covered"),1,IF(H53="partial",0.5,0))</f>
      </c>
    </row>
    <row r="54" ht="15" customHeight="1" s="52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>
        <is>
          <t/>
        </is>
      </c>
      <c r="K54" s="6">
        <f>IF(AND(E54="yes",F54="yes",H54="covered"),1,IF(H54="partial",0.5,0))</f>
      </c>
    </row>
    <row r="55" ht="15" customHeight="1" s="52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>
        <is>
          <t/>
        </is>
      </c>
      <c r="K55" s="6">
        <f>IF(AND(E55="yes",F55="yes",H55="covered"),1,IF(H55="partial",0.5,0))</f>
      </c>
    </row>
    <row r="56" ht="15" customHeight="1" s="52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>
        <is>
          <t/>
        </is>
      </c>
      <c r="K56" s="6">
        <f>IF(AND(E56="yes",F56="yes",H56="covered"),1,IF(H56="partial",0.5,0))</f>
      </c>
    </row>
    <row r="57" ht="15" customHeight="1" s="52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>
        <is>
          <t/>
        </is>
      </c>
      <c r="K57" s="6">
        <f>IF(AND(E57="yes",F57="yes",H57="covered"),1,IF(H57="partial",0.5,0))</f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>
        <is>
          <t/>
        </is>
      </c>
      <c r="K58" s="6">
        <f>IF(AND(E58="yes",F58="yes",H58="covered"),1,IF(H58="partial",0.5,0))</f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>
        <is>
          <t/>
        </is>
      </c>
      <c r="K59" s="6">
        <f>IF(AND(E59="yes",F59="yes",H59="covered"),1,IF(H59="partial",0.5,0))</f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>
        <is>
          <t/>
        </is>
      </c>
      <c r="K60" s="6">
        <f>IF(AND(E60="yes",F60="yes",H60="covered"),1,IF(H60="partial",0.5,0))</f>
      </c>
    </row>
    <row r="61" ht="30" customHeight="1" s="52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>
        <is>
          <t/>
        </is>
      </c>
      <c r="K61" s="6">
        <f>IF(AND(E61="yes",F61="yes",H61="covered"),1,IF(H61="partial",0.5,0))</f>
      </c>
    </row>
    <row r="62" ht="15" customHeight="1" s="52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>
        <is>
          <t/>
        </is>
      </c>
      <c r="K62" s="6">
        <f>IF(AND(E62="yes",F62="yes",H62="covered"),1,IF(H62="partial",0.5,0))</f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>
        <is>
          <t/>
        </is>
      </c>
      <c r="K63" s="6">
        <f>IF(AND(E63="yes",F63="yes",H63="covered"),1,IF(H63="partial",0.5,0))</f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>
        <is>
          <t/>
        </is>
      </c>
      <c r="K64" s="6">
        <f>IF(AND(E64="yes",F64="yes",H64="covered"),1,IF(H64="partial",0.5,0))</f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>
        <is>
          <t/>
        </is>
      </c>
      <c r="K65" s="6">
        <f>IF(AND(E65="yes",F65="yes",H65="covered"),1,IF(H65="partial",0.5,0))</f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>
        <is>
          <t/>
        </is>
      </c>
      <c r="K66" s="6">
        <f>IF(AND(E66="yes",F66="yes",H66="covered"),1,IF(H66="partial",0.5,0))</f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>
        <is>
          <t/>
        </is>
      </c>
      <c r="K67" s="6">
        <f>IF(AND(E67="yes",F67="yes",H67="covered"),1,IF(H67="partial",0.5,0))</f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>
        <is>
          <t/>
        </is>
      </c>
      <c r="K68" s="6">
        <f>IF(AND(E68="yes",F68="yes",H68="covered"),1,IF(H68="partial",0.5,0))</f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>
        <is>
          <t/>
        </is>
      </c>
      <c r="K69" s="6">
        <f>IF(AND(E69="yes",F69="yes",H69="covered"),1,IF(H69="partial",0.5,0))</f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>
        <is>
          <t/>
        </is>
      </c>
      <c r="K70" s="6">
        <f>IF(AND(E70="yes",F70="yes",H70="covered"),1,IF(H70="partial",0.5,0))</f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>
        <is>
          <t/>
        </is>
      </c>
      <c r="K71" s="6">
        <f>IF(AND(E71="yes",F71="yes",H71="covered"),1,IF(H71="partial",0.5,0))</f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>
        <is>
          <t/>
        </is>
      </c>
      <c r="K72" s="6">
        <f>IF(AND(E72="yes",F72="yes",H72="covered"),1,IF(H72="partial",0.5,0))</f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>
        <is>
          <t/>
        </is>
      </c>
      <c r="K73" s="6">
        <f>IF(AND(E73="yes",F73="yes",H73="covered"),1,IF(H73="partial",0.5,0))</f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>
        <is>
          <t/>
        </is>
      </c>
      <c r="K74" s="6">
        <f>IF(AND(E74="yes",F74="yes",H74="covered"),1,IF(H74="partial",0.5,0))</f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>
        <is>
          <t/>
        </is>
      </c>
      <c r="K75" s="6">
        <f>IF(AND(E75="yes",F75="yes",H75="covered"),1,IF(H75="partial",0.5,0))</f>
      </c>
    </row>
    <row r="76" ht="30" customHeight="1" s="52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>
        <is>
          <t/>
        </is>
      </c>
      <c r="K76" s="6">
        <f>IF(AND(E76="yes",F76="yes",H76="covered"),1,IF(H76="partial",0.5,0))</f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>
        <is>
          <t/>
        </is>
      </c>
      <c r="K77" s="6">
        <f>IF(AND(E77="yes",F77="yes",H77="covered"),1,IF(H77="partial",0.5,0))</f>
      </c>
    </row>
    <row r="78" ht="15" customHeight="1" s="52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>
        <is>
          <t/>
        </is>
      </c>
      <c r="K78" s="6">
        <f>IF(AND(E78="yes",F78="yes",H78="covered"),1,IF(H78="partial",0.5,0))</f>
      </c>
    </row>
    <row r="79" ht="15" customHeight="1" s="52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>
        <is>
          <t/>
        </is>
      </c>
      <c r="K79" s="6">
        <f>IF(AND(E79="yes",F79="yes",H79="covered"),1,IF(H79="partial",0.5,0))</f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>
        <is>
          <t/>
        </is>
      </c>
      <c r="K80" s="6">
        <f>IF(AND(E80="yes",F80="yes",H80="covered"),1,IF(H80="partial",0.5,0))</f>
      </c>
    </row>
    <row r="81" ht="15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>
        <is>
          <t/>
        </is>
      </c>
      <c r="K81" s="6">
        <f>IF(AND(E81="yes",F81="yes",H81="covered"),1,IF(H81="partial",0.5,0))</f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>
        <is>
          <t/>
        </is>
      </c>
      <c r="K82" s="6">
        <f>IF(AND(E82="yes",F82="yes",H82="covered"),1,IF(H82="partial",0.5,0))</f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>
        <is>
          <t/>
        </is>
      </c>
      <c r="K83" s="6">
        <f>IF(AND(E83="yes",F83="yes",H83="covered"),1,IF(H83="partial",0.5,0))</f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>
        <is>
          <t/>
        </is>
      </c>
      <c r="K84" s="6">
        <f>IF(AND(E84="yes",F84="yes",H84="covered"),1,IF(H84="partial",0.5,0))</f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>
        <is>
          <t/>
        </is>
      </c>
      <c r="K85" s="6">
        <f>IF(AND(E85="yes",F85="yes",H85="covered"),1,IF(H85="partial",0.5,0))</f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>
        <is>
          <t/>
        </is>
      </c>
      <c r="K86" s="6">
        <f>IF(AND(E86="yes",F86="yes",H86="covered"),1,IF(H86="partial",0.5,0))</f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>
        <is>
          <t/>
        </is>
      </c>
      <c r="K87" s="6">
        <f>IF(AND(E87="yes",F87="yes",H87="covered"),1,IF(H87="partial",0.5,0))</f>
      </c>
    </row>
    <row r="88" ht="30" customHeight="1" s="52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>
        <is>
          <t/>
        </is>
      </c>
      <c r="K88" s="6">
        <f>IF(AND(E88="yes",F88="yes",H88="covered"),1,IF(H88="partial",0.5,0))</f>
      </c>
    </row>
    <row r="89" ht="30" customHeight="1" s="52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>
        <is>
          <t/>
        </is>
      </c>
      <c r="K89" s="6">
        <f>IF(AND(E89="yes",F89="yes",H89="covered"),1,IF(H89="partial",0.5,0))</f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>
        <is>
          <t/>
        </is>
      </c>
      <c r="K90" s="6">
        <f>IF(AND(E90="yes",F90="yes",H90="covered"),1,IF(H90="partial",0.5,0))</f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>
        <is>
          <t/>
        </is>
      </c>
      <c r="K91" s="6">
        <f>IF(AND(E91="yes",F91="yes",H91="covered"),1,IF(H91="partial",0.5,0))</f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>
        <is>
          <t/>
        </is>
      </c>
      <c r="K92" s="6">
        <f>IF(AND(E92="yes",F92="yes",H92="covered"),1,IF(H92="partial",0.5,0))</f>
      </c>
    </row>
    <row r="93" ht="15" customHeight="1" s="52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>
        <is>
          <t/>
        </is>
      </c>
      <c r="K93" s="6">
        <f>IF(AND(E93="yes",F93="yes",H93="covered"),1,IF(H93="partial",0.5,0))</f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>
        <is>
          <t/>
        </is>
      </c>
      <c r="K94" s="6">
        <f>IF(AND(E94="yes",F94="yes",H94="covered"),1,IF(H94="partial",0.5,0))</f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>
        <is>
          <t/>
        </is>
      </c>
      <c r="K95" s="6">
        <f>IF(AND(E95="yes",F95="yes",H95="covered"),1,IF(H95="partial",0.5,0))</f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>
        <is>
          <t/>
        </is>
      </c>
      <c r="K96" s="6">
        <f>IF(AND(E96="yes",F96="yes",H96="covered"),1,IF(H96="partial",0.5,0))</f>
      </c>
    </row>
    <row r="97" ht="30" customHeight="1" s="52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>
        <is>
          <t/>
        </is>
      </c>
      <c r="K97" s="6">
        <f>IF(AND(E97="yes",F97="yes",H97="covered"),1,IF(H97="partial",0.5,0))</f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>
        <is>
          <t/>
        </is>
      </c>
      <c r="K98" s="6">
        <f>IF(AND(E98="yes",F98="yes",H98="covered"),1,IF(H98="partial",0.5,0))</f>
      </c>
    </row>
    <row r="99" ht="15" customHeight="1" s="52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>
        <is>
          <t/>
        </is>
      </c>
      <c r="K99" s="6">
        <f>IF(AND(E99="yes",F99="yes",H99="covered"),1,IF(H99="partial",0.5,0))</f>
      </c>
    </row>
    <row r="100" ht="15" customHeight="1" s="52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>
        <is>
          <t/>
        </is>
      </c>
      <c r="K100" s="6">
        <f>IF(AND(E100="yes",F100="yes",H100="covered"),1,IF(H100="partial",0.5,0))</f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>
        <is>
          <t/>
        </is>
      </c>
      <c r="K101" s="6">
        <f>IF(AND(E101="yes",F101="yes",H101="covered"),1,IF(H101="partial",0.5,0))</f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>
        <is>
          <t/>
        </is>
      </c>
      <c r="K102" s="6">
        <f>IF(AND(E102="yes",F102="yes",H102="covered"),1,IF(H102="partial",0.5,0))</f>
      </c>
    </row>
    <row r="103" ht="15" customHeight="1" s="52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>
        <is>
          <t/>
        </is>
      </c>
      <c r="K103" s="6">
        <f>IF(AND(E103="yes",F103="yes",H103="covered"),1,IF(H103="partial",0.5,0))</f>
      </c>
    </row>
    <row r="104" ht="15" customHeight="1" s="52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>
        <is>
          <t/>
        </is>
      </c>
      <c r="K104" s="6">
        <f>IF(AND(E104="yes",F104="yes",H104="covered"),1,IF(H104="partial",0.5,0))</f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>
        <is>
          <t/>
        </is>
      </c>
      <c r="K105" s="6">
        <f>IF(AND(E105="yes",F105="yes",H105="covered"),1,IF(H105="partial",0.5,0))</f>
      </c>
    </row>
    <row r="106" ht="30" customHeight="1" s="52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>
        <is>
          <t/>
        </is>
      </c>
      <c r="K106" s="6">
        <f>IF(AND(E106="yes",F106="yes",H106="covered"),1,IF(H106="partial",0.5,0))</f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>
        <is>
          <t/>
        </is>
      </c>
      <c r="K107" s="6">
        <f>IF(AND(E107="yes",F107="yes",H107="covered"),1,IF(H107="partial",0.5,0))</f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>
        <is>
          <t/>
        </is>
      </c>
      <c r="K108" s="6">
        <f>IF(AND(E108="yes",F108="yes",H108="covered"),1,IF(H108="partial",0.5,0))</f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>
        <is>
          <t/>
        </is>
      </c>
      <c r="K109" s="6">
        <f>IF(AND(E109="yes",F109="yes",H109="covered"),1,IF(H109="partial",0.5,0))</f>
      </c>
    </row>
    <row r="110" ht="30" customHeight="1" s="52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>
        <is>
          <t/>
        </is>
      </c>
      <c r="K110" s="6">
        <f>IF(AND(E110="yes",F110="yes",H110="covered"),1,IF(H110="partial",0.5,0))</f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>
        <is>
          <t/>
        </is>
      </c>
      <c r="K111" s="6">
        <f>IF(AND(E111="yes",F111="yes",H111="covered"),1,IF(H111="partial",0.5,0))</f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>
        <is>
          <t/>
        </is>
      </c>
      <c r="K112" s="6">
        <f>IF(AND(E112="yes",F112="yes",H112="covered"),1,IF(H112="partial",0.5,0))</f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>
        <is>
          <t/>
        </is>
      </c>
      <c r="K113" s="6">
        <f>IF(AND(E113="yes",F113="yes",H113="covered"),1,IF(H113="partial",0.5,0))</f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>
        <is>
          <t/>
        </is>
      </c>
      <c r="K114" s="6">
        <f>IF(AND(E114="yes",F114="yes",H114="covered"),1,IF(H114="partial",0.5,0))</f>
      </c>
    </row>
    <row r="115" ht="15" customHeight="1" s="52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>
        <is>
          <t/>
        </is>
      </c>
      <c r="K115" s="6">
        <f>IF(AND(E115="yes",F115="yes",H115="covered"),1,IF(H115="partial",0.5,0))</f>
      </c>
    </row>
    <row r="116" ht="15" customHeight="1" s="52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>
        <is>
          <t/>
        </is>
      </c>
      <c r="K116" s="6">
        <f>IF(AND(E116="yes",F116="yes",H116="covered"),1,IF(H116="partial",0.5,0))</f>
      </c>
    </row>
    <row r="117" ht="15" customHeight="1" s="52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>
        <is>
          <t/>
        </is>
      </c>
      <c r="K117" s="6">
        <f>IF(AND(E117="yes",F117="yes",H117="covered"),1,IF(H117="partial",0.5,0))</f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>
        <is>
          <t/>
        </is>
      </c>
      <c r="K118" s="6">
        <f>IF(AND(E118="yes",F118="yes",H118="covered"),1,IF(H118="partial",0.5,0))</f>
      </c>
    </row>
    <row r="119" ht="30" customHeight="1" s="52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>
        <is>
          <t/>
        </is>
      </c>
      <c r="K119" s="6">
        <f>IF(AND(E119="yes",F119="yes",H119="covered"),1,IF(H119="partial",0.5,0))</f>
      </c>
    </row>
    <row r="120" ht="30" customHeight="1" s="52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>
        <is>
          <t/>
        </is>
      </c>
      <c r="K120" s="6">
        <f>IF(AND(E120="yes",F120="yes",H120="covered"),1,IF(H120="partial",0.5,0))</f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>
        <is>
          <t/>
        </is>
      </c>
      <c r="K121" s="6">
        <f>IF(AND(E121="yes",F121="yes",H121="covered"),1,IF(H121="partial",0.5,0))</f>
      </c>
    </row>
    <row r="122" ht="30" customHeight="1" s="52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>
        <is>
          <t/>
        </is>
      </c>
      <c r="K122" s="6">
        <f>IF(AND(E122="yes",F122="yes",H122="covered"),1,IF(H122="partial",0.5,0))</f>
      </c>
    </row>
    <row r="123" ht="30" customHeight="1" s="52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>
        <is>
          <t/>
        </is>
      </c>
      <c r="K123" s="6">
        <f>IF(AND(E123="yes",F123="yes",H123="covered"),1,IF(H123="partial",0.5,0))</f>
      </c>
    </row>
    <row r="124" ht="15" customHeight="1" s="52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>
        <is>
          <t/>
        </is>
      </c>
      <c r="K124" s="6">
        <f>IF(AND(E124="yes",F124="yes",H124="covered"),1,IF(H124="partial",0.5,0))</f>
      </c>
    </row>
    <row r="125" ht="30" customHeight="1" s="52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>
        <is>
          <t/>
        </is>
      </c>
      <c r="K125" s="6">
        <f>IF(AND(E125="yes",F125="yes",H125="covered"),1,IF(H125="partial",0.5,0))</f>
      </c>
    </row>
    <row r="126" ht="15" customHeight="1" s="52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>
        <is>
          <t/>
        </is>
      </c>
      <c r="K126" s="6">
        <f>IF(AND(E126="yes",F126="yes",H126="covered"),1,IF(H126="partial",0.5,0))</f>
      </c>
    </row>
    <row r="127" ht="30" customHeight="1" s="52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>
        <is>
          <t/>
        </is>
      </c>
      <c r="K127" s="6">
        <f>IF(AND(E127="yes",F127="yes",H127="covered"),1,IF(H127="partial",0.5,0))</f>
      </c>
    </row>
    <row r="128" ht="30" customHeight="1" s="52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>
        <is>
          <t/>
        </is>
      </c>
      <c r="K128" s="6">
        <f>IF(AND(E128="yes",F128="yes",H128="covered"),1,IF(H128="partial",0.5,0))</f>
      </c>
    </row>
    <row r="129" ht="15" customHeight="1" s="52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>
        <is>
          <t/>
        </is>
      </c>
      <c r="K129" s="6">
        <f>IF(AND(E129="yes",F129="yes",H129="covered"),1,IF(H129="partial",0.5,0))</f>
      </c>
    </row>
    <row r="130" ht="30" customHeight="1" s="52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>
        <is>
          <t/>
        </is>
      </c>
      <c r="K130" s="6">
        <f>IF(AND(E130="yes",F130="yes",H130="covered"),1,IF(H130="partial",0.5,0))</f>
      </c>
    </row>
    <row r="131" ht="30" customHeight="1" s="52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>
        <is>
          <t/>
        </is>
      </c>
      <c r="K131" s="6">
        <f>IF(AND(E131="yes",F131="yes",H131="covered"),1,IF(H131="partial",0.5,0))</f>
      </c>
    </row>
    <row r="132" ht="30" customHeight="1" s="52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>
        <is>
          <t/>
        </is>
      </c>
      <c r="K132" s="6">
        <f>IF(AND(E132="yes",F132="yes",H132="covered"),1,IF(H132="partial",0.5,0))</f>
      </c>
    </row>
    <row r="133" ht="30" customHeight="1" s="52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>
        <is>
          <t/>
        </is>
      </c>
      <c r="K133" s="6">
        <f>IF(AND(E133="yes",F133="yes",H133="covered"),1,IF(H133="partial",0.5,0))</f>
      </c>
    </row>
    <row r="134" ht="30" customHeight="1" s="52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>
        <is>
          <t/>
        </is>
      </c>
      <c r="K134" s="6">
        <f>IF(AND(E134="yes",F134="yes",H134="covered"),1,IF(H134="partial",0.5,0))</f>
      </c>
    </row>
    <row r="135" ht="30" customHeight="1" s="52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>
        <is>
          <t/>
        </is>
      </c>
      <c r="K135" s="6">
        <f>IF(AND(E135="yes",F135="yes",H135="covered"),1,IF(H135="partial",0.5,0))</f>
      </c>
    </row>
    <row r="136" ht="30" customHeight="1" s="52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>
        <is>
          <t/>
        </is>
      </c>
      <c r="K136" s="6">
        <f>IF(AND(E136="yes",F136="yes",H136="covered"),1,IF(H136="partial",0.5,0))</f>
      </c>
    </row>
    <row r="137" ht="30" customHeight="1" s="52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>
        <is>
          <t/>
        </is>
      </c>
      <c r="K137" s="6">
        <f>IF(AND(E137="yes",F137="yes",H137="covered"),1,IF(H137="partial",0.5,0))</f>
      </c>
    </row>
    <row r="138" ht="15" customHeight="1" s="52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>
        <is>
          <t/>
        </is>
      </c>
      <c r="K138" s="6">
        <f>IF(AND(E138="yes",F138="yes",H138="covered"),1,IF(H138="partial",0.5,0))</f>
      </c>
    </row>
    <row r="139" ht="15" customHeight="1" s="52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>
        <is>
          <t/>
        </is>
      </c>
      <c r="K139" s="6">
        <f>IF(AND(E139="yes",F139="yes",H139="covered"),1,IF(H139="partial",0.5,0))</f>
      </c>
    </row>
    <row r="140" ht="30" customHeight="1" s="52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>
        <is>
          <t/>
        </is>
      </c>
      <c r="K140" s="6">
        <f>IF(AND(E140="yes",F140="yes",H140="covered"),1,IF(H140="partial",0.5,0))</f>
      </c>
    </row>
    <row r="141" ht="15" customHeight="1" s="52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>
        <is>
          <t/>
        </is>
      </c>
      <c r="K141" s="6">
        <f>IF(AND(E141="yes",F141="yes",H141="covered"),1,IF(H141="partial",0.5,0))</f>
      </c>
    </row>
    <row r="142" ht="15" customHeight="1" s="52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>
        <is>
          <t/>
        </is>
      </c>
      <c r="K142" s="6">
        <f>IF(AND(E142="yes",F142="yes",H142="covered"),1,IF(H142="partial",0.5,0))</f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AppBar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AspectRatio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52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52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Avatar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52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52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52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52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52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52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52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52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52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52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52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52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52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52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52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Badge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52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BottomNavigation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Breadcrumb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Button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52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52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52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52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Collapsible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52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52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52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52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52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52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52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52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52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52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Combobox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52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52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52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52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52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52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52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52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52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52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52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52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52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52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52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52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52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52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52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52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52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52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52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52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52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52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52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52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52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52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52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52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52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52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52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52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52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52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52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52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52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52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52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52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52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52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52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52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52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52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52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52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52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ContextMenu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52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52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52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52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52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52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52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52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DataGrid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52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52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52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52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52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52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Direction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Divider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Drawer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Drawer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Drawer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Drawer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Drawer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Drawer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Drawer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Drawer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Drawer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Drawer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Drawer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Drawer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Drawer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Drawer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Drawer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Drawer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Drawer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Drawer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Drawer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Drawer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Drawer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Drawer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Drawer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Drawer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Drawer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Drawer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Drawer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Drawer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Drawer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Drawer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Drawer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Drawer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Drawer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Drawer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Overlay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Drawer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Drawer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Overlay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Drawer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Overlay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Drawer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Overlay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Drawer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Overlay</t>
        </is>
      </c>
      <c r="D49" s="5" t="inlineStr">
        <is>
          <t>disabled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Drawer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data-slot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Drawer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Drawer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[data-state]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Drawer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Overlay</t>
        </is>
      </c>
      <c r="D53" s="5" t="inlineStr">
        <is>
          <t>[data-positioned]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Drawer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Drawer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Drawer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Drawer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Drawer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Drawer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Drawer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Drawer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Drawer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Drawer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Drawer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Drawer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Trigger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Drawer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Drawer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Drawer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Drawer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Drawer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Content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Drawer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Content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Drawer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placement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Drawer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Accessibility</t>
        </is>
      </c>
      <c r="C73" s="5" t="inlineStr">
        <is>
          <t>Content</t>
        </is>
      </c>
      <c r="D73" s="5" t="inlineStr">
        <is>
          <t>ariaLabel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Drawer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Drawer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Drawer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Content</t>
        </is>
      </c>
      <c r="D76" s="5" t="inlineStr">
        <is>
          <t>[data-state]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Drawer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[data-placement]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Drawer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[data-positioned]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Drawer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Title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Drawer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Drawer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Drawer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Drawer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Title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Drawer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Title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Drawer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Title</t>
        </is>
      </c>
      <c r="D85" s="5" t="inlineStr">
        <is>
          <t>as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Drawer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Title</t>
        </is>
      </c>
      <c r="D86" s="5" t="inlineStr">
        <is>
          <t>data-slot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Drawer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Description</t>
        </is>
      </c>
      <c r="D87" s="5" t="inlineStr">
        <is>
          <t>renders correct part when expected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Drawer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Description</t>
        </is>
      </c>
      <c r="D88" s="5" t="inlineStr">
        <is>
          <t>appears in documented order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Drawer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30" customHeight="1" s="52">
      <c r="A89" s="4" t="n">
        <v>81</v>
      </c>
      <c r="B89" s="5" t="inlineStr">
        <is>
          <t>Identity</t>
        </is>
      </c>
      <c r="C89" s="5" t="inlineStr">
        <is>
          <t>Description</t>
        </is>
      </c>
      <c r="D89" s="5" t="inlineStr">
        <is>
          <t>default tag is visible in Anatomy/Inspector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Drawer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Identity</t>
        </is>
      </c>
      <c r="C90" s="5" t="inlineStr">
        <is>
          <t>Description</t>
        </is>
      </c>
      <c r="D90" s="5" t="inlineStr">
        <is>
          <t>data-slot is present and correct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Drawer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Props</t>
        </is>
      </c>
      <c r="C91" s="5" t="inlineStr">
        <is>
          <t>Description</t>
        </is>
      </c>
      <c r="D91" s="5" t="inlineStr">
        <is>
          <t>non-Atom native props pass through with data-prop-check marker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Drawer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Description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Drawer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Description</t>
        </is>
      </c>
      <c r="D93" s="5" t="inlineStr">
        <is>
          <t>data-slot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Drawer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Drawer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Close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Drawer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Drawer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Close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Drawer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Close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Drawer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Close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Drawer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asChild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Drawer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Composition</t>
        </is>
      </c>
      <c r="C101" s="5" t="inlineStr">
        <is>
          <t>Close</t>
        </is>
      </c>
      <c r="D101" s="5" t="inlineStr">
        <is>
          <t>render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Drawer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data-slot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Drawer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Drawer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data-placement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Drawer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data-positioned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Drawer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Drawer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Drawer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controlled state path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Drawer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State</t>
        </is>
      </c>
      <c r="C109" s="5" t="inlineStr">
        <is>
          <t>Root</t>
        </is>
      </c>
      <c r="D109" s="5" t="inlineStr">
        <is>
          <t>uncontrolled default state path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Drawer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State</t>
        </is>
      </c>
      <c r="C110" s="5" t="inlineStr">
        <is>
          <t>Root</t>
        </is>
      </c>
      <c r="D110" s="5" t="inlineStr">
        <is>
          <t>state change callback fires once with correct value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Drawer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mouse click or pointer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Drawer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Enter key activation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Drawer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Interaction</t>
        </is>
      </c>
      <c r="C113" s="5" t="inlineStr">
        <is>
          <t>Trigger</t>
        </is>
      </c>
      <c r="D113" s="5" t="inlineStr">
        <is>
          <t>Space key activation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Drawer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disabled trigger blocks pointer and keyboard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Drawer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Focus</t>
        </is>
      </c>
      <c r="C115" s="5" t="inlineStr">
        <is>
          <t>Trigger</t>
        </is>
      </c>
      <c r="D115" s="5" t="inlineStr">
        <is>
          <t>focus ring and focus restoration are correct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Drawer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Drawer</t>
        </is>
      </c>
      <c r="D116" s="5" t="inlineStr">
        <is>
          <t>Escape closes only the topmost active layer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Drawer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Dismiss</t>
        </is>
      </c>
      <c r="C117" s="5" t="inlineStr">
        <is>
          <t>Drawer</t>
        </is>
      </c>
      <c r="D117" s="5" t="inlineStr">
        <is>
          <t>outside click/interact closes when enabled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Drawer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Dismiss</t>
        </is>
      </c>
      <c r="C118" s="5" t="inlineStr">
        <is>
          <t>Drawer</t>
        </is>
      </c>
      <c r="D118" s="5" t="inlineStr">
        <is>
          <t>outside click/interact is blocked when disabled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Drawer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Focus</t>
        </is>
      </c>
      <c r="C119" s="5" t="inlineStr">
        <is>
          <t>Drawer</t>
        </is>
      </c>
      <c r="D119" s="5" t="inlineStr">
        <is>
          <t>focus returns to the correct trigger/anchor after close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Drawer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Drawer</t>
        </is>
      </c>
      <c r="D120" s="5" t="inlineStr">
        <is>
          <t>nested overlays keep focus and Escape order correct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Drawer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Mobile</t>
        </is>
      </c>
      <c r="C121" s="5" t="inlineStr">
        <is>
          <t>Drawer</t>
        </is>
      </c>
      <c r="D121" s="5" t="inlineStr">
        <is>
          <t>mobile viewport/touch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Drawer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Portal</t>
        </is>
      </c>
      <c r="C122" s="5" t="inlineStr">
        <is>
          <t>Drawer</t>
        </is>
      </c>
      <c r="D122" s="5" t="inlineStr">
        <is>
          <t>portal renders in body by default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Drawer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Portal</t>
        </is>
      </c>
      <c r="C123" s="5" t="inlineStr">
        <is>
          <t>Drawer</t>
        </is>
      </c>
      <c r="D123" s="5" t="inlineStr">
        <is>
          <t>custom/disabled portal path works where supported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Drawer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Positioning</t>
        </is>
      </c>
      <c r="C124" s="5" t="inlineStr">
        <is>
          <t>Drawer</t>
        </is>
      </c>
      <c r="D124" s="5" t="inlineStr">
        <is>
          <t>side options position content correctly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Drawer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Positioning</t>
        </is>
      </c>
      <c r="C125" s="5" t="inlineStr">
        <is>
          <t>Drawer</t>
        </is>
      </c>
      <c r="D125" s="5" t="inlineStr">
        <is>
          <t>align options position content correctly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Drawer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Positioning</t>
        </is>
      </c>
      <c r="C126" s="5" t="inlineStr">
        <is>
          <t>Drawer</t>
        </is>
      </c>
      <c r="D126" s="5" t="inlineStr">
        <is>
          <t>collision/flip/shift behavior stays in viewport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Drawer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Positioning</t>
        </is>
      </c>
      <c r="C127" s="5" t="inlineStr">
        <is>
          <t>Drawer</t>
        </is>
      </c>
      <c r="D127" s="5" t="inlineStr">
        <is>
          <t>arrow or anchor geometry matches content where supported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Drawer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DropdownMenu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52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52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52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52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52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52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52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52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52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52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52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52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52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52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52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52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52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52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52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52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52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52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52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52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52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52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52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52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52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52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52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52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52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52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52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52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52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52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52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52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52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52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52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52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52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52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52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52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52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52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52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52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52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52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52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52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52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52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52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52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52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52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52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52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52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52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52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52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52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52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52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52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52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52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52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52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52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52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52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52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52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52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52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52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52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52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52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52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52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52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52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52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52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52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52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52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52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52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52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52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52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52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52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52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52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52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52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52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52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52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52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52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52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52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52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52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52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52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52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52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52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52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52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52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52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52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52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52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52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52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52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52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52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52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52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52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52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52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52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52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52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52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52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52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52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52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52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52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52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52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52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52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52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52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52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52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52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52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52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52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52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52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52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52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52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52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52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52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52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52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52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52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52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52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52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52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52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52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52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52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52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52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52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52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52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52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52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52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52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52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52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52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52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52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52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52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52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52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52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52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52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52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52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52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52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52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Feed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52">
      <c r="A10" s="4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52">
      <c r="A11" s="4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52">
      <c r="A12" s="4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52">
      <c r="A13" s="4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52">
      <c r="A14" s="4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52">
      <c r="A15" s="4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52">
      <c r="A16" s="4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52">
      <c r="A17" s="4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52">
      <c r="A18" s="4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52">
      <c r="A19" s="4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52">
      <c r="A20" s="4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52">
      <c r="A21" s="4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52">
      <c r="A22" s="4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52">
      <c r="A23" s="4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52">
      <c r="A24" s="4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52">
      <c r="A25" s="4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52">
      <c r="A26" s="4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52">
      <c r="A27" s="4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52">
      <c r="A28" s="4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52">
      <c r="A29" s="4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52">
      <c r="A30" s="4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52">
      <c r="A31" s="4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52">
      <c r="A32" s="4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52">
      <c r="A33" s="4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52">
      <c r="A34" s="4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52">
      <c r="A35" s="4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52">
      <c r="A36" s="4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52">
      <c r="A37" s="4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52">
      <c r="A38" s="4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52">
      <c r="A39" s="4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52">
      <c r="A40" s="4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52">
      <c r="A41" s="4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52">
      <c r="A42" s="4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52">
      <c r="A43" s="4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52">
      <c r="A44" s="4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52">
      <c r="A45" s="4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52">
      <c r="A46" s="4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52">
      <c r="A47" s="4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52">
      <c r="A48" s="4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52">
      <c r="A49" s="4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52">
      <c r="A50" s="4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52">
      <c r="A51" s="4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52">
      <c r="A52" s="4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52">
      <c r="A53" s="4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52">
      <c r="A54" s="4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52">
      <c r="A55" s="4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52">
      <c r="A56" s="4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52">
      <c r="A57" s="4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52">
      <c r="A58" s="4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52">
      <c r="A59" s="4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52">
      <c r="A60" s="4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52">
      <c r="A61" s="4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52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52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52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Fieldset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52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52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52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52"/>
    <row r="8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FileUpload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52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52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52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52"/>
    <row r="186" ht="15" customHeight="1" s="52"/>
    <row r="187" ht="15" customHeight="1" s="52"/>
    <row r="188" ht="15" customHeight="1" s="52"/>
    <row r="189" ht="15" customHeight="1" s="52"/>
    <row r="190" ht="15" customHeight="1" s="52"/>
    <row r="191" ht="15" customHeight="1" s="52"/>
    <row r="192" ht="15" customHeight="1" s="52"/>
    <row r="193" ht="15" customHeight="1" s="52"/>
    <row r="194" ht="15" customHeight="1" s="52"/>
    <row r="195" ht="15" customHeight="1" s="52"/>
    <row r="196" ht="15" customHeight="1" s="52"/>
    <row r="197" ht="15" customHeight="1" s="52"/>
    <row r="198" ht="15" customHeight="1" s="52"/>
    <row r="199" ht="15" customHeight="1" s="52"/>
    <row r="200" ht="15" customHeight="1" s="52"/>
    <row r="201" ht="15" customHeight="1" s="52"/>
    <row r="202" ht="15" customHeight="1" s="52"/>
    <row r="203" ht="15" customHeight="1" s="52"/>
    <row r="204" ht="30" customHeight="1" s="52"/>
    <row r="205" ht="15" customHeight="1" s="52"/>
    <row r="206" ht="15" customHeight="1" s="52"/>
    <row r="207" ht="15" customHeight="1" s="52"/>
    <row r="208" ht="15" customHeight="1" s="52"/>
    <row r="209" ht="15" customHeight="1" s="52"/>
    <row r="210" ht="30" customHeight="1" s="52"/>
    <row r="211" ht="30" customHeight="1" s="52"/>
    <row r="212" ht="30" customHeight="1" s="52"/>
    <row r="213" ht="30" customHeight="1" s="52"/>
    <row r="214" ht="15" customHeight="1" s="52"/>
    <row r="215" ht="30" customHeight="1" s="52"/>
    <row r="216" ht="15" customHeight="1" s="52"/>
    <row r="217" ht="15" customHeight="1" s="52"/>
    <row r="218" ht="15" customHeight="1" s="52"/>
    <row r="219" ht="15" customHeight="1" s="52"/>
    <row r="220" ht="15" customHeight="1" s="52"/>
    <row r="221" ht="15" customHeight="1" s="52"/>
    <row r="222" ht="15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Form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52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52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52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HoverCard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Trigger, Content, and Arrow.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HoverCard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HoverCard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HoverCard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HoverCard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HoverCard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focus-visible trigger interactions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HoverCard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HoverCard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HoverCard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HoverCard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HoverCard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HoverCard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HoverCard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HoverCard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HoverCard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HoverCard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HoverCard;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HoverCard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HoverCard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HoverCard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openDelay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HoverCard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closeDelay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HoverCard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HoverCard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HoverCard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HoverCard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Portal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HoverCard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HoverCard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Portal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HoverCard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Portal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Package tests/source review verify consumer ref plumbing for HoverCard; playground manual pass can inspect rendered DOM behavior.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Positioning</t>
        </is>
      </c>
      <c r="C39" s="5" t="inlineStr">
        <is>
          <t>Portal</t>
        </is>
      </c>
      <c r="D39" s="5" t="inlineStr">
        <is>
          <t>container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HoverCard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HoverCard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Trigger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HoverCard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Trigger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HoverCard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Trigger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HoverCard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Trigger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HoverCard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Trigger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HoverCard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Trigger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Package tests/source review verify consumer ref plumbing for HoverCard; playground manual pass can inspect rendered DOM behavior.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Trigger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HoverCard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Trigger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HoverCard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Trigger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HoverCard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Trigger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HoverCard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HoverCard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Content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HoverCard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Content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HoverCard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Content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HoverCard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45" customHeight="1" s="52">
      <c r="A55" s="4" t="n">
        <v>47</v>
      </c>
      <c r="B55" s="5" t="inlineStr">
        <is>
          <t>Identity</t>
        </is>
      </c>
      <c r="C55" s="5" t="inlineStr">
        <is>
          <t>Content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HoverCard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Content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HoverCard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Content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Package tests/source review verify consumer ref plumbing for HoverCard; playground manual pass can inspect rendered DOM behavior.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Content</t>
        </is>
      </c>
      <c r="D58" s="5" t="inlineStr">
        <is>
          <t>side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HoverCard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Positioning</t>
        </is>
      </c>
      <c r="C59" s="5" t="inlineStr">
        <is>
          <t>Content</t>
        </is>
      </c>
      <c r="D59" s="5" t="inlineStr">
        <is>
          <t>align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HoverCard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Positioning</t>
        </is>
      </c>
      <c r="C60" s="5" t="inlineStr">
        <is>
          <t>Content</t>
        </is>
      </c>
      <c r="D60" s="5" t="inlineStr">
        <is>
          <t>sideOffset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HoverCard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Accessibility</t>
        </is>
      </c>
      <c r="C61" s="5" t="inlineStr">
        <is>
          <t>Content</t>
        </is>
      </c>
      <c r="D61" s="5" t="inlineStr">
        <is>
          <t>ariaLabel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HoverCard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HoverCard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HoverCard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HoverCard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[data-side]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HoverCard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[data-positioned]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HoverCard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Arrow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HoverCard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Arrow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HoverCard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Arrow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HoverCard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Arrow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HoverCard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Arrow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HoverCard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Arrow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HoverCard;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Arrow</t>
        </is>
      </c>
      <c r="D73" s="5" t="inlineStr">
        <is>
          <t>width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HoverCard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Arrow</t>
        </is>
      </c>
      <c r="D74" s="5" t="inlineStr">
        <is>
          <t>height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HoverCard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Arrow</t>
        </is>
      </c>
      <c r="D75" s="5" t="inlineStr">
        <is>
          <t>data-slot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HoverCard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Arrow</t>
        </is>
      </c>
      <c r="D76" s="5" t="inlineStr">
        <is>
          <t>[data-slot]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HoverCard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Positioning</t>
        </is>
      </c>
      <c r="C77" s="5" t="inlineStr">
        <is>
          <t>Arrow</t>
        </is>
      </c>
      <c r="D77" s="5" t="inlineStr">
        <is>
          <t>[data-side]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HoverCard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CardContent</t>
        </is>
      </c>
      <c r="D78" s="5" t="inlineStr">
        <is>
          <t>renders correct part when expected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HoverCard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CardContent</t>
        </is>
      </c>
      <c r="D79" s="5" t="inlineStr">
        <is>
          <t>appears in documented order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HoverCard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Identity</t>
        </is>
      </c>
      <c r="C80" s="5" t="inlineStr">
        <is>
          <t>CardContent</t>
        </is>
      </c>
      <c r="D80" s="5" t="inlineStr">
        <is>
          <t>default tag is visible in Anatomy/Inspector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HoverCard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Identity</t>
        </is>
      </c>
      <c r="C81" s="5" t="inlineStr">
        <is>
          <t>CardContent</t>
        </is>
      </c>
      <c r="D81" s="5" t="inlineStr">
        <is>
          <t>data-slot is present and correct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HoverCard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Props</t>
        </is>
      </c>
      <c r="C82" s="5" t="inlineStr">
        <is>
          <t>CardContent</t>
        </is>
      </c>
      <c r="D82" s="5" t="inlineStr">
        <is>
          <t>non-Atom native props pass through with data-prop-check marker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HoverCard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Refs</t>
        </is>
      </c>
      <c r="C83" s="5" t="inlineStr">
        <is>
          <t>CardContent</t>
        </is>
      </c>
      <c r="D83" s="5" t="inlineStr">
        <is>
          <t>consumer ref receives the rendered element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Package tests/source review verify consumer ref plumbing for HoverCard; playground manual pass can inspect rendered DOM behavior.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CardPortal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HoverCard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CardPortal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HoverCard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CardPortal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HoverCard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CardPortal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HoverCard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CardPortal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HoverCard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CardPortal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HoverCard;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CardTrigger</t>
        </is>
      </c>
      <c r="D90" s="5" t="inlineStr">
        <is>
          <t>renders correct part when expected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HoverCard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CardTrigger</t>
        </is>
      </c>
      <c r="D91" s="5" t="inlineStr">
        <is>
          <t>appears in documented order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HoverCard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Identity</t>
        </is>
      </c>
      <c r="C92" s="5" t="inlineStr">
        <is>
          <t>CardTrigger</t>
        </is>
      </c>
      <c r="D92" s="5" t="inlineStr">
        <is>
          <t>default tag is visible in Anatomy/Inspector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HoverCard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Identity</t>
        </is>
      </c>
      <c r="C93" s="5" t="inlineStr">
        <is>
          <t>CardTrigger</t>
        </is>
      </c>
      <c r="D93" s="5" t="inlineStr">
        <is>
          <t>data-slot is present and correct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HoverCard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Props</t>
        </is>
      </c>
      <c r="C94" s="5" t="inlineStr">
        <is>
          <t>CardTrigger</t>
        </is>
      </c>
      <c r="D94" s="5" t="inlineStr">
        <is>
          <t>non-Atom native props pass through with data-prop-check marker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HoverCard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Refs</t>
        </is>
      </c>
      <c r="C95" s="5" t="inlineStr">
        <is>
          <t>CardTrigger</t>
        </is>
      </c>
      <c r="D95" s="5" t="inlineStr">
        <is>
          <t>consumer ref receives the rendered element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Package tests/source review verify consumer ref plumbing for HoverCard; playground manual pass can inspect rendered DOM behavior.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aria-label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HoverCard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data-positioned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HoverCard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data-side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HoverCard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data-slot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HoverCard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data-state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HoverCard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Composition</t>
        </is>
      </c>
      <c r="C101" s="5" t="inlineStr">
        <is>
          <t>HoverCard</t>
        </is>
      </c>
      <c r="D101" s="5" t="inlineStr">
        <is>
          <t>asChild preserves child content without double nesting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HoverCard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HoverCard</t>
        </is>
      </c>
      <c r="D102" s="5" t="inlineStr">
        <is>
          <t>asChild merges Atom props and consumer props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HoverCard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Composition</t>
        </is>
      </c>
      <c r="C103" s="5" t="inlineStr">
        <is>
          <t>HoverCard</t>
        </is>
      </c>
      <c r="D103" s="5" t="inlineStr">
        <is>
          <t>asChild lets preventDefault block Atom behavior where supported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HoverCard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Composition</t>
        </is>
      </c>
      <c r="C104" s="5" t="inlineStr">
        <is>
          <t>HoverCard</t>
        </is>
      </c>
      <c r="D104" s="5" t="inlineStr">
        <is>
          <t>render prop renders custom element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HoverCard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HoverCard</t>
        </is>
      </c>
      <c r="D105" s="5" t="inlineStr">
        <is>
          <t>render prop preserves refs and behavior props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Composition controls/package tests cover render/asChild behavior for HoverCard; ready for manual verification where exposed.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Root</t>
        </is>
      </c>
      <c r="D106" s="5" t="inlineStr">
        <is>
          <t>controlled state path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HoverCard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Root</t>
        </is>
      </c>
      <c r="D107" s="5" t="inlineStr">
        <is>
          <t>uncontrolled default state path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HoverCard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state change callback fires once with correct value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HoverCard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Trigger</t>
        </is>
      </c>
      <c r="D109" s="5" t="inlineStr">
        <is>
          <t>mouse click or pointer activation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HoverCard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Interaction</t>
        </is>
      </c>
      <c r="C110" s="5" t="inlineStr">
        <is>
          <t>Trigger</t>
        </is>
      </c>
      <c r="D110" s="5" t="inlineStr">
        <is>
          <t>Enter key activation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HoverCard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Space key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HoverCard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disabled trigger blocks pointer and keyboard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HoverCard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Focus</t>
        </is>
      </c>
      <c r="C113" s="5" t="inlineStr">
        <is>
          <t>Trigger</t>
        </is>
      </c>
      <c r="D113" s="5" t="inlineStr">
        <is>
          <t>focus ring and focus restoration are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HoverCard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Dismiss</t>
        </is>
      </c>
      <c r="C114" s="5" t="inlineStr">
        <is>
          <t>HoverCard</t>
        </is>
      </c>
      <c r="D114" s="5" t="inlineStr">
        <is>
          <t>Escape closes only the topmost active layer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HoverCard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Dismiss</t>
        </is>
      </c>
      <c r="C115" s="5" t="inlineStr">
        <is>
          <t>HoverCard</t>
        </is>
      </c>
      <c r="D115" s="5" t="inlineStr">
        <is>
          <t>outside click/interact closes when enabled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HoverCard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HoverCard</t>
        </is>
      </c>
      <c r="D116" s="5" t="inlineStr">
        <is>
          <t>outside click/interact is blocked when disabled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HoverCard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Focus</t>
        </is>
      </c>
      <c r="C117" s="5" t="inlineStr">
        <is>
          <t>HoverCard</t>
        </is>
      </c>
      <c r="D117" s="5" t="inlineStr">
        <is>
          <t>focus returns to the correct trigger/anchor after close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HoverCard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HoverCard</t>
        </is>
      </c>
      <c r="D118" s="5" t="inlineStr">
        <is>
          <t>nested overlays keep focus and Escape order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HoverCard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Mobile</t>
        </is>
      </c>
      <c r="C119" s="5" t="inlineStr">
        <is>
          <t>HoverCard</t>
        </is>
      </c>
      <c r="D119" s="5" t="inlineStr">
        <is>
          <t>mobile viewport/touch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HoverCard playground exposes side/align/offset positioning controls; mobile/touch behavior is ready for device verification.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Portal</t>
        </is>
      </c>
      <c r="C120" s="5" t="inlineStr">
        <is>
          <t>HoverCard</t>
        </is>
      </c>
      <c r="D120" s="5" t="inlineStr">
        <is>
          <t>portal renders in body by default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HoverCard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Portal</t>
        </is>
      </c>
      <c r="C121" s="5" t="inlineStr">
        <is>
          <t>HoverCard</t>
        </is>
      </c>
      <c r="D121" s="5" t="inlineStr">
        <is>
          <t>custom/disabled portal path works where supported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HoverCard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Positioning</t>
        </is>
      </c>
      <c r="C122" s="5" t="inlineStr">
        <is>
          <t>HoverCard</t>
        </is>
      </c>
      <c r="D122" s="5" t="inlineStr">
        <is>
          <t>side options position content correctly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HoverCard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Positioning</t>
        </is>
      </c>
      <c r="C123" s="5" t="inlineStr">
        <is>
          <t>HoverCard</t>
        </is>
      </c>
      <c r="D123" s="5" t="inlineStr">
        <is>
          <t>align options position content correctly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HoverCard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Positioning</t>
        </is>
      </c>
      <c r="C124" s="5" t="inlineStr">
        <is>
          <t>HoverCard</t>
        </is>
      </c>
      <c r="D124" s="5" t="inlineStr">
        <is>
          <t>collision/flip/shift behavior stays in viewport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HoverCard playground exposes side/align/offset positioning controls; mobile/touch behavior is ready for device verification.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Positioning</t>
        </is>
      </c>
      <c r="C125" s="5" t="inlineStr">
        <is>
          <t>HoverCard</t>
        </is>
      </c>
      <c r="D125" s="5" t="inlineStr">
        <is>
          <t>arrow or anchor geometry matches content where supported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HoverCard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52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52"/>
    <row r="77" ht="30" customHeight="1" s="52"/>
    <row r="78" ht="15" customHeight="1" s="52"/>
    <row r="79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Label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52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52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52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52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52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52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52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52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52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52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52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52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52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52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52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52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52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52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52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52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52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52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52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52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52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52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52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52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52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52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52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52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52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52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52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52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52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52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52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52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52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52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52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52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52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52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52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52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52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52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52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52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52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52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52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52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52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52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52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52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52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52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52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52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52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52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52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52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52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52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52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52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52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52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52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52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52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52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52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52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52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52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52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52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52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52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52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52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52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52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52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52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52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52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52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52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52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52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52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52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52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52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52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52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52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52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52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52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52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52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52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52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52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52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52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52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52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52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52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52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52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52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52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52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52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52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52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52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52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52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52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52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52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52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52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52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52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52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52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52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52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52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52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52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52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Modal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>1</v>
      </c>
      <c r="C4" s="1" t="inlineStr">
        <is>
          <t>Covered</t>
        </is>
      </c>
      <c r="D4" s="2">
        <f>COUNTIFS(A9:A1000,"&lt;&gt;",E9:E1000,"yes",F9:F1000,"yes",H9:H1000,"covered")</f>
        <v>104</v>
      </c>
      <c r="E4" s="1" t="inlineStr">
        <is>
          <t>Partial</t>
        </is>
      </c>
      <c r="F4" s="2">
        <f>COUNTIFS(A9:A1000,"&lt;&gt;",H9:H1000,"partial")</f>
        <v>0</v>
      </c>
      <c r="G4" s="1" t="inlineStr">
        <is>
          <t>Missing</t>
        </is>
      </c>
      <c r="H4" s="2">
        <f>COUNTIFS(A9:A1000,"&lt;&gt;",E9:E1000,"&lt;&gt;yes")+COUNTIFS(A9:A1000,"&lt;&gt;",E9:E1000,"yes",H9:H1000,"missing")</f>
        <v>0</v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>
        <is>
          <t/>
        </is>
      </c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NavigationMenu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52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52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52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52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52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52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52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52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52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52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52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52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52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52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52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52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52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52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52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NumberInput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OTPField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52"/>
    <row r="101" ht="15" customHeight="1" s="52"/>
    <row r="102" ht="15" customHeight="1" s="52"/>
    <row r="103" ht="15" customHeight="1" s="52"/>
    <row r="104" ht="15" customHeight="1" s="52"/>
    <row r="105" ht="30" customHeight="1" s="52"/>
    <row r="106" ht="30" customHeight="1" s="52"/>
    <row r="107" ht="30" customHeight="1" s="52"/>
    <row r="108" ht="30" customHeight="1" s="52"/>
    <row r="109" ht="15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Pagination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52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52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PasswordToggleField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52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52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  <row r="100" ht="15" customHeight="1" s="52"/>
    <row r="101" ht="15" customHeight="1" s="52"/>
    <row r="102" ht="30" customHeight="1" s="52"/>
    <row r="103" ht="15" customHeight="1" s="52"/>
    <row r="104" ht="15" customHeight="1" s="52"/>
    <row r="105" ht="15" customHeight="1" s="52"/>
    <row r="106" ht="15" customHeight="1" s="52"/>
    <row r="107" ht="45" customHeight="1" s="52"/>
    <row r="108" ht="30" customHeight="1" s="52"/>
    <row r="109" ht="30" customHeight="1" s="52"/>
    <row r="110" ht="30" customHeight="1" s="52"/>
    <row r="111" ht="30" customHeight="1" s="52"/>
    <row r="112" ht="45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Popover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>
        <is>
          <t/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>
        <is>
          <t/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>
        <is>
          <t/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>
        <is>
          <t/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>
        <is>
          <t/>
        </is>
      </c>
      <c r="K25" s="6">
        <f>IF(AND(E25="yes",F25="yes",H25="covered"),1,IF(H25="partial",0.5,0))</f>
        <v/>
      </c>
    </row>
    <row r="26" ht="4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>
        <is>
          <t/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>
        <is>
          <t/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>
        <is>
          <t/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>
        <is>
          <t/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>
        <is>
          <t/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>
        <is>
          <t/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>
        <is>
          <t/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>
        <is>
          <t/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>
        <is>
          <t/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>
        <is>
          <t/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>
        <is>
          <t/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>
        <is>
          <t/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>
        <is>
          <t/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45" customHeight="1" s="52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45" customHeight="1" s="52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>
        <is>
          <t/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>
        <is>
          <t/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>
        <is>
          <t/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>
        <is>
          <t/>
        </is>
      </c>
      <c r="K95" s="6">
        <f>IF(AND(E95="yes",F95="yes",H95="covered"),1,IF(H95="partial",0.5,0))</f>
        <v/>
      </c>
    </row>
    <row r="96" ht="4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>
        <is>
          <t/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>
        <is>
          <t/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>
        <is>
          <t/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>
        <is>
          <t/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>
        <is>
          <t/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>
        <is>
          <t/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>
        <is>
          <t/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>
        <is>
          <t/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>
        <is>
          <t/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>
        <is>
          <t/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>
        <is>
          <t/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>
        <is>
          <t/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>
        <is>
          <t/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>
        <is>
          <t/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>
        <is>
          <t/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>
        <is>
          <t/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>
        <is>
          <t/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>
        <is>
          <t/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>
        <is>
          <t/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>
        <is>
          <t/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>
        <is>
          <t/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>
        <is>
          <t/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>
        <is>
          <t/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>
        <is>
          <t/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>
        <is>
          <t/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>
        <is>
          <t/>
        </is>
      </c>
      <c r="K136" s="6">
        <f>IF(AND(E136="yes",F136="yes",H136="covered"),1,IF(H136="partial",0.5,0))</f>
        <v/>
      </c>
    </row>
    <row r="137" ht="30" customHeight="1" s="52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>
        <is>
          <t/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>
        <is>
          <t/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>
        <is>
          <t/>
        </is>
      </c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Portal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52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Pressable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52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52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Progress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RadioGroup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/>
    <row r="9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Rating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str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str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str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str"/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str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str"/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str"/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str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str"/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str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str"/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str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ScrollArea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52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52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52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52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52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52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52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Select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52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52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52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52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52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52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52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52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52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52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52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52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52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52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52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52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52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52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52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52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52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52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52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52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52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52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52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52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52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52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52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52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52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52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52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52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52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52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52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52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52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52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52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52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52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52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52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52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52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52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52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52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52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52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52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52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52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52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52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52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52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52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52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52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52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52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52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52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52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52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52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52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52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52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52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52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52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52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52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52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52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52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52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52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52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52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52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52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52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52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52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52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52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52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52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52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52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52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52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52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52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52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52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52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52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52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52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52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Sidebar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SkipLink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52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Slider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str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str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str"/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str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str"/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str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str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str"/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str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str"/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str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str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str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str"/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str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str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SwipeableItem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59" t="n">
        <v>1</v>
      </c>
      <c r="B9" s="60" t="inlineStr">
        <is>
          <t>Playground</t>
        </is>
      </c>
      <c r="C9" s="60" t="inlineStr">
        <is>
          <t>Props</t>
        </is>
      </c>
      <c r="D9" s="60" t="inlineStr">
        <is>
          <t>Props toolbar exposes Prop Check and keeps data-prop-check off by default</t>
        </is>
      </c>
      <c r="E9" s="59" t="inlineStr">
        <is>
          <t>yes</t>
        </is>
      </c>
      <c r="F9" s="59" t="inlineStr">
        <is>
          <t>yes</t>
        </is>
      </c>
      <c r="G9" s="59" t="inlineStr">
        <is>
          <t>passed manual test</t>
        </is>
      </c>
      <c r="H9" s="61" t="inlineStr">
        <is>
          <t>covered</t>
        </is>
      </c>
      <c r="I9" s="60" t="inlineStr">
        <is>
          <t>SwipeableItem playground scenario.</t>
        </is>
      </c>
      <c r="J9" s="60" t="inlineStr"/>
      <c r="K9" s="62">
        <f>IF(AND(E9="yes",F9="yes",H9="covered"),1,IF(H9="partial",0.5,0))</f>
        <v/>
      </c>
    </row>
    <row r="10" ht="15" customHeight="1" s="52">
      <c r="A10" s="59" t="n">
        <v>2</v>
      </c>
      <c r="B10" s="60" t="inlineStr">
        <is>
          <t>Playground</t>
        </is>
      </c>
      <c r="C10" s="60" t="inlineStr">
        <is>
          <t>Props</t>
        </is>
      </c>
      <c r="D10" s="60" t="inlineStr">
        <is>
          <t>custom data-slot override is available for every slot-owning anatomy part</t>
        </is>
      </c>
      <c r="E10" s="59" t="inlineStr">
        <is>
          <t>yes</t>
        </is>
      </c>
      <c r="F10" s="59" t="inlineStr">
        <is>
          <t>yes</t>
        </is>
      </c>
      <c r="G10" s="59" t="inlineStr">
        <is>
          <t>passed manual test</t>
        </is>
      </c>
      <c r="H10" s="61" t="inlineStr">
        <is>
          <t>covered</t>
        </is>
      </c>
      <c r="I10" s="60" t="inlineStr">
        <is>
          <t>SwipeableItem playground scenario.</t>
        </is>
      </c>
      <c r="J10" s="60" t="inlineStr"/>
      <c r="K10" s="62">
        <f>IF(AND(E10="yes",F10="yes",H10="covered"),1,IF(H10="partial",0.5,0))</f>
        <v/>
      </c>
    </row>
    <row r="11" ht="15" customHeight="1" s="52">
      <c r="A11" s="59" t="n">
        <v>3</v>
      </c>
      <c r="B11" s="60" t="inlineStr">
        <is>
          <t>Playground</t>
        </is>
      </c>
      <c r="C11" s="60" t="inlineStr">
        <is>
          <t>SwipeableItem</t>
        </is>
      </c>
      <c r="D11" s="60" t="inlineStr">
        <is>
          <t>scenario is reachable from top menu</t>
        </is>
      </c>
      <c r="E11" s="59" t="inlineStr">
        <is>
          <t>yes</t>
        </is>
      </c>
      <c r="F11" s="59" t="inlineStr">
        <is>
          <t>yes</t>
        </is>
      </c>
      <c r="G11" s="59" t="inlineStr">
        <is>
          <t>passed manual test</t>
        </is>
      </c>
      <c r="H11" s="61" t="inlineStr">
        <is>
          <t>covered</t>
        </is>
      </c>
      <c r="I11" s="60" t="inlineStr">
        <is>
          <t>SwipeableItem playground scenario.</t>
        </is>
      </c>
      <c r="J11" s="60" t="inlineStr"/>
      <c r="K11" s="62">
        <f>IF(AND(E11="yes",F11="yes",H11="covered"),1,IF(H11="partial",0.5,0))</f>
        <v/>
      </c>
    </row>
    <row r="12" ht="15" customHeight="1" s="52">
      <c r="A12" s="59" t="n">
        <v>4</v>
      </c>
      <c r="B12" s="60" t="inlineStr">
        <is>
          <t>Playground</t>
        </is>
      </c>
      <c r="C12" s="60" t="inlineStr">
        <is>
          <t>SwipeableItem</t>
        </is>
      </c>
      <c r="D12" s="60" t="inlineStr">
        <is>
          <t>canvas source reflects current toggles</t>
        </is>
      </c>
      <c r="E12" s="59" t="inlineStr">
        <is>
          <t>yes</t>
        </is>
      </c>
      <c r="F12" s="59" t="inlineStr">
        <is>
          <t>yes</t>
        </is>
      </c>
      <c r="G12" s="59" t="inlineStr">
        <is>
          <t>passed manual test</t>
        </is>
      </c>
      <c r="H12" s="61" t="inlineStr">
        <is>
          <t>covered</t>
        </is>
      </c>
      <c r="I12" s="60" t="inlineStr">
        <is>
          <t>SwipeableItem playground scenario.</t>
        </is>
      </c>
      <c r="J12" s="60" t="inlineStr"/>
      <c r="K12" s="62">
        <f>IF(AND(E12="yes",F12="yes",H12="covered"),1,IF(H12="partial",0.5,0))</f>
        <v/>
      </c>
    </row>
    <row r="13" ht="15" customHeight="1" s="52">
      <c r="A13" s="59" t="n">
        <v>5</v>
      </c>
      <c r="B13" s="60" t="inlineStr">
        <is>
          <t>Playground</t>
        </is>
      </c>
      <c r="C13" s="60" t="inlineStr">
        <is>
          <t>SwipeableItem</t>
        </is>
      </c>
      <c r="D13" s="60" t="inlineStr">
        <is>
          <t>anatomy uses live DOM attributes, ARIA, and data groups</t>
        </is>
      </c>
      <c r="E13" s="59" t="inlineStr">
        <is>
          <t>yes</t>
        </is>
      </c>
      <c r="F13" s="59" t="inlineStr">
        <is>
          <t>yes</t>
        </is>
      </c>
      <c r="G13" s="59" t="inlineStr">
        <is>
          <t>passed manual test</t>
        </is>
      </c>
      <c r="H13" s="61" t="inlineStr">
        <is>
          <t>covered</t>
        </is>
      </c>
      <c r="I13" s="60" t="inlineStr">
        <is>
          <t>SwipeableItem playground scenario.</t>
        </is>
      </c>
      <c r="J13" s="60" t="inlineStr"/>
      <c r="K13" s="62">
        <f>IF(AND(E13="yes",F13="yes",H13="covered"),1,IF(H13="partial",0.5,0))</f>
        <v/>
      </c>
    </row>
    <row r="14" ht="15" customHeight="1" s="52">
      <c r="A14" s="59" t="n">
        <v>6</v>
      </c>
      <c r="B14" s="60" t="inlineStr">
        <is>
          <t>Playground</t>
        </is>
      </c>
      <c r="C14" s="60" t="inlineStr">
        <is>
          <t>SwipeableItem</t>
        </is>
      </c>
      <c r="D14" s="60" t="inlineStr">
        <is>
          <t>inspector selected/focused/logs work for this scenario</t>
        </is>
      </c>
      <c r="E14" s="59" t="inlineStr">
        <is>
          <t>yes</t>
        </is>
      </c>
      <c r="F14" s="59" t="inlineStr">
        <is>
          <t>yes</t>
        </is>
      </c>
      <c r="G14" s="59" t="inlineStr">
        <is>
          <t>passed manual test</t>
        </is>
      </c>
      <c r="H14" s="61" t="inlineStr">
        <is>
          <t>covered</t>
        </is>
      </c>
      <c r="I14" s="60" t="inlineStr">
        <is>
          <t>SwipeableItem playground scenario.</t>
        </is>
      </c>
      <c r="J14" s="60" t="inlineStr"/>
      <c r="K14" s="62">
        <f>IF(AND(E14="yes",F14="yes",H14="covered"),1,IF(H14="partial",0.5,0))</f>
        <v/>
      </c>
    </row>
    <row r="15" ht="15" customHeight="1" s="52">
      <c r="A15" s="59" t="n">
        <v>7</v>
      </c>
      <c r="B15" s="60" t="inlineStr">
        <is>
          <t>Feature</t>
        </is>
      </c>
      <c r="C15" s="60" t="inlineStr">
        <is>
          <t>SwipeableItem</t>
        </is>
      </c>
      <c r="D15" s="60" t="inlineStr">
        <is>
          <t>Supports start and end action panels</t>
        </is>
      </c>
      <c r="E15" s="59" t="inlineStr">
        <is>
          <t>yes</t>
        </is>
      </c>
      <c r="F15" s="59" t="inlineStr">
        <is>
          <t>yes</t>
        </is>
      </c>
      <c r="G15" s="59" t="inlineStr">
        <is>
          <t>passed manual test</t>
        </is>
      </c>
      <c r="H15" s="61" t="inlineStr">
        <is>
          <t>covered</t>
        </is>
      </c>
      <c r="I15" s="60" t="inlineStr">
        <is>
          <t>SwipeableItem playground scenario.</t>
        </is>
      </c>
      <c r="J15" s="60" t="inlineStr"/>
      <c r="K15" s="62">
        <f>IF(AND(E15="yes",F15="yes",H15="covered"),1,IF(H15="partial",0.5,0))</f>
        <v/>
      </c>
    </row>
    <row r="16" ht="15" customHeight="1" s="52">
      <c r="A16" s="59" t="n">
        <v>8</v>
      </c>
      <c r="B16" s="60" t="inlineStr">
        <is>
          <t>Feature</t>
        </is>
      </c>
      <c r="C16" s="60" t="inlineStr">
        <is>
          <t>SwipeableItem</t>
        </is>
      </c>
      <c r="D16" s="60" t="inlineStr">
        <is>
          <t>Supports pointer dragging and keyboard opening</t>
        </is>
      </c>
      <c r="E16" s="59" t="inlineStr">
        <is>
          <t>yes</t>
        </is>
      </c>
      <c r="F16" s="59" t="inlineStr">
        <is>
          <t>yes</t>
        </is>
      </c>
      <c r="G16" s="59" t="inlineStr">
        <is>
          <t>passed manual test</t>
        </is>
      </c>
      <c r="H16" s="61" t="inlineStr">
        <is>
          <t>covered</t>
        </is>
      </c>
      <c r="I16" s="60" t="inlineStr">
        <is>
          <t>SwipeableItem playground scenario.</t>
        </is>
      </c>
      <c r="J16" s="60" t="inlineStr"/>
      <c r="K16" s="62">
        <f>IF(AND(E16="yes",F16="yes",H16="covered"),1,IF(H16="partial",0.5,0))</f>
        <v/>
      </c>
    </row>
    <row r="17" ht="15" customHeight="1" s="52">
      <c r="A17" s="59" t="n">
        <v>9</v>
      </c>
      <c r="B17" s="60" t="inlineStr">
        <is>
          <t>Feature</t>
        </is>
      </c>
      <c r="C17" s="60" t="inlineStr">
        <is>
          <t>SwipeableItem</t>
        </is>
      </c>
      <c r="D17" s="60" t="inlineStr">
        <is>
          <t>Supports controlled and uncontrolled open side state</t>
        </is>
      </c>
      <c r="E17" s="59" t="inlineStr">
        <is>
          <t>yes</t>
        </is>
      </c>
      <c r="F17" s="59" t="inlineStr">
        <is>
          <t>yes</t>
        </is>
      </c>
      <c r="G17" s="59" t="inlineStr">
        <is>
          <t>passed manual test</t>
        </is>
      </c>
      <c r="H17" s="61" t="inlineStr">
        <is>
          <t>covered</t>
        </is>
      </c>
      <c r="I17" s="60" t="inlineStr">
        <is>
          <t>SwipeableItem playground scenario.</t>
        </is>
      </c>
      <c r="J17" s="60" t="inlineStr"/>
      <c r="K17" s="62">
        <f>IF(AND(E17="yes",F17="yes",H17="covered"),1,IF(H17="partial",0.5,0))</f>
        <v/>
      </c>
    </row>
    <row r="18" ht="15" customHeight="1" s="52">
      <c r="A18" s="59" t="n">
        <v>10</v>
      </c>
      <c r="B18" s="60" t="inlineStr">
        <is>
          <t>Feature</t>
        </is>
      </c>
      <c r="C18" s="60" t="inlineStr">
        <is>
          <t>SwipeableItem</t>
        </is>
      </c>
      <c r="D18" s="60" t="inlineStr">
        <is>
          <t>Supports left-to-right and right-to-left direction</t>
        </is>
      </c>
      <c r="E18" s="59" t="inlineStr">
        <is>
          <t>yes</t>
        </is>
      </c>
      <c r="F18" s="59" t="inlineStr">
        <is>
          <t>yes</t>
        </is>
      </c>
      <c r="G18" s="59" t="inlineStr">
        <is>
          <t>passed manual test</t>
        </is>
      </c>
      <c r="H18" s="61" t="inlineStr">
        <is>
          <t>covered</t>
        </is>
      </c>
      <c r="I18" s="60" t="inlineStr">
        <is>
          <t>SwipeableItem playground scenario.</t>
        </is>
      </c>
      <c r="J18" s="60" t="inlineStr"/>
      <c r="K18" s="62">
        <f>IF(AND(E18="yes",F18="yes",H18="covered"),1,IF(H18="partial",0.5,0))</f>
        <v/>
      </c>
    </row>
    <row r="19" ht="15" customHeight="1" s="52">
      <c r="A19" s="59" t="n">
        <v>11</v>
      </c>
      <c r="B19" s="60" t="inlineStr">
        <is>
          <t>Feature</t>
        </is>
      </c>
      <c r="C19" s="60" t="inlineStr">
        <is>
          <t>SwipeableItem</t>
        </is>
      </c>
      <c r="D19" s="60" t="inlineStr">
        <is>
          <t>Supports optional full-swipe actions</t>
        </is>
      </c>
      <c r="E19" s="59" t="inlineStr">
        <is>
          <t>yes</t>
        </is>
      </c>
      <c r="F19" s="59" t="inlineStr">
        <is>
          <t>yes</t>
        </is>
      </c>
      <c r="G19" s="59" t="inlineStr">
        <is>
          <t>passed manual test</t>
        </is>
      </c>
      <c r="H19" s="61" t="inlineStr">
        <is>
          <t>covered</t>
        </is>
      </c>
      <c r="I19" s="60" t="inlineStr">
        <is>
          <t>SwipeableItem playground scenario.</t>
        </is>
      </c>
      <c r="J19" s="60" t="inlineStr"/>
      <c r="K19" s="62">
        <f>IF(AND(E19="yes",F19="yes",H19="covered"),1,IF(H19="partial",0.5,0))</f>
        <v/>
      </c>
    </row>
    <row r="20" ht="15" customHeight="1" s="52">
      <c r="A20" s="59" t="n">
        <v>12</v>
      </c>
      <c r="B20" s="60" t="inlineStr">
        <is>
          <t>Feature</t>
        </is>
      </c>
      <c r="C20" s="60" t="inlineStr">
        <is>
          <t>SwipeableItem</t>
        </is>
      </c>
      <c r="D20" s="60" t="inlineStr">
        <is>
          <t>Supports `asChild` and `render` on every part</t>
        </is>
      </c>
      <c r="E20" s="59" t="inlineStr">
        <is>
          <t>yes</t>
        </is>
      </c>
      <c r="F20" s="59" t="inlineStr">
        <is>
          <t>yes</t>
        </is>
      </c>
      <c r="G20" s="59" t="inlineStr">
        <is>
          <t>passed manual test</t>
        </is>
      </c>
      <c r="H20" s="61" t="inlineStr">
        <is>
          <t>covered</t>
        </is>
      </c>
      <c r="I20" s="60" t="inlineStr">
        <is>
          <t>SwipeableItem playground scenario.</t>
        </is>
      </c>
      <c r="J20" s="60" t="inlineStr"/>
      <c r="K20" s="62">
        <f>IF(AND(E20="yes",F20="yes",H20="covered"),1,IF(H20="partial",0.5,0))</f>
        <v/>
      </c>
    </row>
    <row r="21" ht="15" customHeight="1" s="52">
      <c r="A21" s="59" t="n">
        <v>13</v>
      </c>
      <c r="B21" s="60" t="inlineStr">
        <is>
          <t>Anatomy</t>
        </is>
      </c>
      <c r="C21" s="60" t="inlineStr">
        <is>
          <t>Root</t>
        </is>
      </c>
      <c r="D21" s="60" t="inlineStr">
        <is>
          <t>renders correct part when expected</t>
        </is>
      </c>
      <c r="E21" s="59" t="inlineStr">
        <is>
          <t>yes</t>
        </is>
      </c>
      <c r="F21" s="59" t="inlineStr">
        <is>
          <t>yes</t>
        </is>
      </c>
      <c r="G21" s="59" t="inlineStr">
        <is>
          <t>passed manual test</t>
        </is>
      </c>
      <c r="H21" s="61" t="inlineStr">
        <is>
          <t>covered</t>
        </is>
      </c>
      <c r="I21" s="60" t="inlineStr">
        <is>
          <t>SwipeableItem playground scenario.</t>
        </is>
      </c>
      <c r="J21" s="60" t="inlineStr"/>
      <c r="K21" s="62">
        <f>IF(AND(E21="yes",F21="yes",H21="covered"),1,IF(H21="partial",0.5,0))</f>
        <v/>
      </c>
    </row>
    <row r="22" ht="15" customHeight="1" s="52">
      <c r="A22" s="59" t="n">
        <v>14</v>
      </c>
      <c r="B22" s="60" t="inlineStr">
        <is>
          <t>Anatomy</t>
        </is>
      </c>
      <c r="C22" s="60" t="inlineStr">
        <is>
          <t>Root</t>
        </is>
      </c>
      <c r="D22" s="60" t="inlineStr">
        <is>
          <t>appears in documented order</t>
        </is>
      </c>
      <c r="E22" s="59" t="inlineStr">
        <is>
          <t>yes</t>
        </is>
      </c>
      <c r="F22" s="59" t="inlineStr">
        <is>
          <t>yes</t>
        </is>
      </c>
      <c r="G22" s="59" t="inlineStr">
        <is>
          <t>passed manual test</t>
        </is>
      </c>
      <c r="H22" s="61" t="inlineStr">
        <is>
          <t>covered</t>
        </is>
      </c>
      <c r="I22" s="60" t="inlineStr">
        <is>
          <t>SwipeableItem playground scenario.</t>
        </is>
      </c>
      <c r="J22" s="60" t="inlineStr"/>
      <c r="K22" s="62">
        <f>IF(AND(E22="yes",F22="yes",H22="covered"),1,IF(H22="partial",0.5,0))</f>
        <v/>
      </c>
    </row>
    <row r="23" ht="30" customHeight="1" s="52">
      <c r="A23" s="59" t="n">
        <v>15</v>
      </c>
      <c r="B23" s="60" t="inlineStr">
        <is>
          <t>Identity</t>
        </is>
      </c>
      <c r="C23" s="60" t="inlineStr">
        <is>
          <t>Root</t>
        </is>
      </c>
      <c r="D23" s="60" t="inlineStr">
        <is>
          <t>default tag is visible in Anatomy/Inspector</t>
        </is>
      </c>
      <c r="E23" s="59" t="inlineStr">
        <is>
          <t>yes</t>
        </is>
      </c>
      <c r="F23" s="59" t="inlineStr">
        <is>
          <t>yes</t>
        </is>
      </c>
      <c r="G23" s="59" t="inlineStr">
        <is>
          <t>passed manual test</t>
        </is>
      </c>
      <c r="H23" s="61" t="inlineStr">
        <is>
          <t>covered</t>
        </is>
      </c>
      <c r="I23" s="60" t="inlineStr">
        <is>
          <t>SwipeableItem playground scenario.</t>
        </is>
      </c>
      <c r="J23" s="60" t="inlineStr"/>
      <c r="K23" s="62">
        <f>IF(AND(E23="yes",F23="yes",H23="covered"),1,IF(H23="partial",0.5,0))</f>
        <v/>
      </c>
    </row>
    <row r="24" ht="15" customHeight="1" s="52">
      <c r="A24" s="59" t="n">
        <v>16</v>
      </c>
      <c r="B24" s="60" t="inlineStr">
        <is>
          <t>Identity</t>
        </is>
      </c>
      <c r="C24" s="60" t="inlineStr">
        <is>
          <t>Root</t>
        </is>
      </c>
      <c r="D24" s="60" t="inlineStr">
        <is>
          <t>data-slot is present and correct</t>
        </is>
      </c>
      <c r="E24" s="59" t="inlineStr">
        <is>
          <t>yes</t>
        </is>
      </c>
      <c r="F24" s="59" t="inlineStr">
        <is>
          <t>yes</t>
        </is>
      </c>
      <c r="G24" s="59" t="inlineStr">
        <is>
          <t>passed manual test</t>
        </is>
      </c>
      <c r="H24" s="61" t="inlineStr">
        <is>
          <t>covered</t>
        </is>
      </c>
      <c r="I24" s="60" t="inlineStr">
        <is>
          <t>SwipeableItem playground scenario.</t>
        </is>
      </c>
      <c r="J24" s="60" t="inlineStr"/>
      <c r="K24" s="62">
        <f>IF(AND(E24="yes",F24="yes",H24="covered"),1,IF(H24="partial",0.5,0))</f>
        <v/>
      </c>
    </row>
    <row r="25" ht="15" customHeight="1" s="52">
      <c r="A25" s="59" t="n">
        <v>17</v>
      </c>
      <c r="B25" s="60" t="inlineStr">
        <is>
          <t>Props</t>
        </is>
      </c>
      <c r="C25" s="60" t="inlineStr">
        <is>
          <t>Root</t>
        </is>
      </c>
      <c r="D25" s="60" t="inlineStr">
        <is>
          <t>non-Atom native props pass through with data-prop-check marker</t>
        </is>
      </c>
      <c r="E25" s="59" t="inlineStr">
        <is>
          <t>yes</t>
        </is>
      </c>
      <c r="F25" s="59" t="inlineStr">
        <is>
          <t>yes</t>
        </is>
      </c>
      <c r="G25" s="59" t="inlineStr">
        <is>
          <t>passed manual test</t>
        </is>
      </c>
      <c r="H25" s="61" t="inlineStr">
        <is>
          <t>covered</t>
        </is>
      </c>
      <c r="I25" s="60" t="inlineStr">
        <is>
          <t>SwipeableItem playground scenario.</t>
        </is>
      </c>
      <c r="J25" s="60" t="inlineStr"/>
      <c r="K25" s="62">
        <f>IF(AND(E25="yes",F25="yes",H25="covered"),1,IF(H25="partial",0.5,0))</f>
        <v/>
      </c>
    </row>
    <row r="26" ht="15" customHeight="1" s="52">
      <c r="A26" s="59" t="n">
        <v>18</v>
      </c>
      <c r="B26" s="60" t="inlineStr">
        <is>
          <t>Refs</t>
        </is>
      </c>
      <c r="C26" s="60" t="inlineStr">
        <is>
          <t>Root</t>
        </is>
      </c>
      <c r="D26" s="60" t="inlineStr">
        <is>
          <t>consumer ref receives the rendered element</t>
        </is>
      </c>
      <c r="E26" s="59" t="inlineStr">
        <is>
          <t>yes</t>
        </is>
      </c>
      <c r="F26" s="59" t="inlineStr">
        <is>
          <t>yes</t>
        </is>
      </c>
      <c r="G26" s="59" t="inlineStr">
        <is>
          <t>passed manual test</t>
        </is>
      </c>
      <c r="H26" s="61" t="inlineStr">
        <is>
          <t>covered</t>
        </is>
      </c>
      <c r="I26" s="60" t="inlineStr">
        <is>
          <t>SwipeableItem playground scenario.</t>
        </is>
      </c>
      <c r="J26" s="60" t="inlineStr"/>
      <c r="K26" s="62">
        <f>IF(AND(E26="yes",F26="yes",H26="covered"),1,IF(H26="partial",0.5,0))</f>
        <v/>
      </c>
    </row>
    <row r="27" ht="15" customHeight="1" s="52">
      <c r="A27" s="59" t="n">
        <v>19</v>
      </c>
      <c r="B27" s="60" t="inlineStr">
        <is>
          <t>Composition</t>
        </is>
      </c>
      <c r="C27" s="60" t="inlineStr">
        <is>
          <t>Root</t>
        </is>
      </c>
      <c r="D27" s="60" t="inlineStr">
        <is>
          <t>asChild prop behavior</t>
        </is>
      </c>
      <c r="E27" s="59" t="inlineStr">
        <is>
          <t>yes</t>
        </is>
      </c>
      <c r="F27" s="59" t="inlineStr">
        <is>
          <t>yes</t>
        </is>
      </c>
      <c r="G27" s="59" t="inlineStr">
        <is>
          <t>passed manual test</t>
        </is>
      </c>
      <c r="H27" s="61" t="inlineStr">
        <is>
          <t>covered</t>
        </is>
      </c>
      <c r="I27" s="60" t="inlineStr">
        <is>
          <t>SwipeableItem playground scenario.</t>
        </is>
      </c>
      <c r="J27" s="60" t="inlineStr"/>
      <c r="K27" s="62">
        <f>IF(AND(E27="yes",F27="yes",H27="covered"),1,IF(H27="partial",0.5,0))</f>
        <v/>
      </c>
    </row>
    <row r="28" ht="15" customHeight="1" s="52">
      <c r="A28" s="59" t="n">
        <v>20</v>
      </c>
      <c r="B28" s="60" t="inlineStr">
        <is>
          <t>Composition</t>
        </is>
      </c>
      <c r="C28" s="60" t="inlineStr">
        <is>
          <t>Root</t>
        </is>
      </c>
      <c r="D28" s="60" t="inlineStr">
        <is>
          <t>render prop behavior</t>
        </is>
      </c>
      <c r="E28" s="59" t="inlineStr">
        <is>
          <t>yes</t>
        </is>
      </c>
      <c r="F28" s="59" t="inlineStr">
        <is>
          <t>yes</t>
        </is>
      </c>
      <c r="G28" s="59" t="inlineStr">
        <is>
          <t>passed manual test</t>
        </is>
      </c>
      <c r="H28" s="61" t="inlineStr">
        <is>
          <t>covered</t>
        </is>
      </c>
      <c r="I28" s="60" t="inlineStr">
        <is>
          <t>SwipeableItem playground scenario.</t>
        </is>
      </c>
      <c r="J28" s="60" t="inlineStr"/>
      <c r="K28" s="62">
        <f>IF(AND(E28="yes",F28="yes",H28="covered"),1,IF(H28="partial",0.5,0))</f>
        <v/>
      </c>
    </row>
    <row r="29" ht="15" customHeight="1" s="52">
      <c r="A29" s="59" t="n">
        <v>21</v>
      </c>
      <c r="B29" s="60" t="inlineStr">
        <is>
          <t>State</t>
        </is>
      </c>
      <c r="C29" s="60" t="inlineStr">
        <is>
          <t>Root</t>
        </is>
      </c>
      <c r="D29" s="60" t="inlineStr">
        <is>
          <t>openSide prop behavior</t>
        </is>
      </c>
      <c r="E29" s="59" t="inlineStr">
        <is>
          <t>yes</t>
        </is>
      </c>
      <c r="F29" s="59" t="inlineStr">
        <is>
          <t>yes</t>
        </is>
      </c>
      <c r="G29" s="59" t="inlineStr">
        <is>
          <t>passed manual test</t>
        </is>
      </c>
      <c r="H29" s="61" t="inlineStr">
        <is>
          <t>covered</t>
        </is>
      </c>
      <c r="I29" s="60" t="inlineStr">
        <is>
          <t>SwipeableItem playground scenario.</t>
        </is>
      </c>
      <c r="J29" s="60" t="inlineStr"/>
      <c r="K29" s="62">
        <f>IF(AND(E29="yes",F29="yes",H29="covered"),1,IF(H29="partial",0.5,0))</f>
        <v/>
      </c>
    </row>
    <row r="30" ht="15" customHeight="1" s="52">
      <c r="A30" s="59" t="n">
        <v>22</v>
      </c>
      <c r="B30" s="60" t="inlineStr">
        <is>
          <t>State</t>
        </is>
      </c>
      <c r="C30" s="60" t="inlineStr">
        <is>
          <t>Root</t>
        </is>
      </c>
      <c r="D30" s="60" t="inlineStr">
        <is>
          <t>defaultOpenSide prop behavior</t>
        </is>
      </c>
      <c r="E30" s="59" t="inlineStr">
        <is>
          <t>yes</t>
        </is>
      </c>
      <c r="F30" s="59" t="inlineStr">
        <is>
          <t>yes</t>
        </is>
      </c>
      <c r="G30" s="59" t="inlineStr">
        <is>
          <t>passed manual test</t>
        </is>
      </c>
      <c r="H30" s="61" t="inlineStr">
        <is>
          <t>covered</t>
        </is>
      </c>
      <c r="I30" s="60" t="inlineStr">
        <is>
          <t>SwipeableItem playground scenario.</t>
        </is>
      </c>
      <c r="J30" s="60" t="inlineStr"/>
      <c r="K30" s="62">
        <f>IF(AND(E30="yes",F30="yes",H30="covered"),1,IF(H30="partial",0.5,0))</f>
        <v/>
      </c>
    </row>
    <row r="31" ht="15" customHeight="1" s="52">
      <c r="A31" s="59" t="n">
        <v>23</v>
      </c>
      <c r="B31" s="60" t="inlineStr">
        <is>
          <t>State</t>
        </is>
      </c>
      <c r="C31" s="60" t="inlineStr">
        <is>
          <t>Root</t>
        </is>
      </c>
      <c r="D31" s="60" t="inlineStr">
        <is>
          <t>onOpenSideChange prop behavior</t>
        </is>
      </c>
      <c r="E31" s="59" t="inlineStr">
        <is>
          <t>yes</t>
        </is>
      </c>
      <c r="F31" s="59" t="inlineStr">
        <is>
          <t>yes</t>
        </is>
      </c>
      <c r="G31" s="59" t="inlineStr">
        <is>
          <t>passed manual test</t>
        </is>
      </c>
      <c r="H31" s="61" t="inlineStr">
        <is>
          <t>covered</t>
        </is>
      </c>
      <c r="I31" s="60" t="inlineStr">
        <is>
          <t>SwipeableItem playground scenario.</t>
        </is>
      </c>
      <c r="J31" s="60" t="inlineStr"/>
      <c r="K31" s="62">
        <f>IF(AND(E31="yes",F31="yes",H31="covered"),1,IF(H31="partial",0.5,0))</f>
        <v/>
      </c>
    </row>
    <row r="32" ht="15" customHeight="1" s="52">
      <c r="A32" s="59" t="n">
        <v>24</v>
      </c>
      <c r="B32" s="60" t="inlineStr">
        <is>
          <t>State</t>
        </is>
      </c>
      <c r="C32" s="60" t="inlineStr">
        <is>
          <t>Root</t>
        </is>
      </c>
      <c r="D32" s="60" t="inlineStr">
        <is>
          <t>onFullSwipe prop behavior</t>
        </is>
      </c>
      <c r="E32" s="59" t="inlineStr">
        <is>
          <t>yes</t>
        </is>
      </c>
      <c r="F32" s="59" t="inlineStr">
        <is>
          <t>yes</t>
        </is>
      </c>
      <c r="G32" s="59" t="inlineStr">
        <is>
          <t>passed manual test</t>
        </is>
      </c>
      <c r="H32" s="61" t="inlineStr">
        <is>
          <t>covered</t>
        </is>
      </c>
      <c r="I32" s="60" t="inlineStr">
        <is>
          <t>SwipeableItem playground scenario.</t>
        </is>
      </c>
      <c r="J32" s="60" t="inlineStr"/>
      <c r="K32" s="62">
        <f>IF(AND(E32="yes",F32="yes",H32="covered"),1,IF(H32="partial",0.5,0))</f>
        <v/>
      </c>
    </row>
    <row r="33" ht="15" customHeight="1" s="52">
      <c r="A33" s="59" t="n">
        <v>25</v>
      </c>
      <c r="B33" s="60" t="inlineStr">
        <is>
          <t>State</t>
        </is>
      </c>
      <c r="C33" s="60" t="inlineStr">
        <is>
          <t>Root</t>
        </is>
      </c>
      <c r="D33" s="60" t="inlineStr">
        <is>
          <t>disabled prop behavior</t>
        </is>
      </c>
      <c r="E33" s="59" t="inlineStr">
        <is>
          <t>yes</t>
        </is>
      </c>
      <c r="F33" s="59" t="inlineStr">
        <is>
          <t>yes</t>
        </is>
      </c>
      <c r="G33" s="59" t="inlineStr">
        <is>
          <t>passed manual test</t>
        </is>
      </c>
      <c r="H33" s="61" t="inlineStr">
        <is>
          <t>covered</t>
        </is>
      </c>
      <c r="I33" s="60" t="inlineStr">
        <is>
          <t>SwipeableItem playground scenario.</t>
        </is>
      </c>
      <c r="J33" s="60" t="inlineStr"/>
      <c r="K33" s="62">
        <f>IF(AND(E33="yes",F33="yes",H33="covered"),1,IF(H33="partial",0.5,0))</f>
        <v/>
      </c>
    </row>
    <row r="34" ht="15" customHeight="1" s="52">
      <c r="A34" s="59" t="n">
        <v>26</v>
      </c>
      <c r="B34" s="60" t="inlineStr">
        <is>
          <t>State</t>
        </is>
      </c>
      <c r="C34" s="60" t="inlineStr">
        <is>
          <t>Root</t>
        </is>
      </c>
      <c r="D34" s="60" t="inlineStr">
        <is>
          <t>readOnly prop behavior</t>
        </is>
      </c>
      <c r="E34" s="59" t="inlineStr">
        <is>
          <t>yes</t>
        </is>
      </c>
      <c r="F34" s="59" t="inlineStr">
        <is>
          <t>yes</t>
        </is>
      </c>
      <c r="G34" s="59" t="inlineStr">
        <is>
          <t>passed manual test</t>
        </is>
      </c>
      <c r="H34" s="61" t="inlineStr">
        <is>
          <t>covered</t>
        </is>
      </c>
      <c r="I34" s="60" t="inlineStr">
        <is>
          <t>SwipeableItem playground scenario.</t>
        </is>
      </c>
      <c r="J34" s="60" t="inlineStr"/>
      <c r="K34" s="62">
        <f>IF(AND(E34="yes",F34="yes",H34="covered"),1,IF(H34="partial",0.5,0))</f>
        <v/>
      </c>
    </row>
    <row r="35" ht="15" customHeight="1" s="52">
      <c r="A35" s="59" t="n">
        <v>27</v>
      </c>
      <c r="B35" s="60" t="inlineStr">
        <is>
          <t>Public API</t>
        </is>
      </c>
      <c r="C35" s="60" t="inlineStr">
        <is>
          <t>Root</t>
        </is>
      </c>
      <c r="D35" s="60" t="inlineStr">
        <is>
          <t>threshold prop behavior</t>
        </is>
      </c>
      <c r="E35" s="59" t="inlineStr">
        <is>
          <t>yes</t>
        </is>
      </c>
      <c r="F35" s="59" t="inlineStr">
        <is>
          <t>yes</t>
        </is>
      </c>
      <c r="G35" s="59" t="inlineStr">
        <is>
          <t>passed manual test</t>
        </is>
      </c>
      <c r="H35" s="61" t="inlineStr">
        <is>
          <t>covered</t>
        </is>
      </c>
      <c r="I35" s="60" t="inlineStr">
        <is>
          <t>SwipeableItem playground scenario.</t>
        </is>
      </c>
      <c r="J35" s="60" t="inlineStr"/>
      <c r="K35" s="62">
        <f>IF(AND(E35="yes",F35="yes",H35="covered"),1,IF(H35="partial",0.5,0))</f>
        <v/>
      </c>
    </row>
    <row r="36" ht="15" customHeight="1" s="52">
      <c r="A36" s="59" t="n">
        <v>28</v>
      </c>
      <c r="B36" s="60" t="inlineStr">
        <is>
          <t>Public API</t>
        </is>
      </c>
      <c r="C36" s="60" t="inlineStr">
        <is>
          <t>Root</t>
        </is>
      </c>
      <c r="D36" s="60" t="inlineStr">
        <is>
          <t>fullSwipeThreshold prop behavior</t>
        </is>
      </c>
      <c r="E36" s="59" t="inlineStr">
        <is>
          <t>yes</t>
        </is>
      </c>
      <c r="F36" s="59" t="inlineStr">
        <is>
          <t>yes</t>
        </is>
      </c>
      <c r="G36" s="59" t="inlineStr">
        <is>
          <t>passed manual test</t>
        </is>
      </c>
      <c r="H36" s="61" t="inlineStr">
        <is>
          <t>covered</t>
        </is>
      </c>
      <c r="I36" s="60" t="inlineStr">
        <is>
          <t>SwipeableItem playground scenario.</t>
        </is>
      </c>
      <c r="J36" s="60" t="inlineStr"/>
      <c r="K36" s="62">
        <f>IF(AND(E36="yes",F36="yes",H36="covered"),1,IF(H36="partial",0.5,0))</f>
        <v/>
      </c>
    </row>
    <row r="37" ht="15" customHeight="1" s="52">
      <c r="A37" s="59" t="n">
        <v>29</v>
      </c>
      <c r="B37" s="60" t="inlineStr">
        <is>
          <t>Public API</t>
        </is>
      </c>
      <c r="C37" s="60" t="inlineStr">
        <is>
          <t>Root</t>
        </is>
      </c>
      <c r="D37" s="60" t="inlineStr">
        <is>
          <t>dir prop behavior</t>
        </is>
      </c>
      <c r="E37" s="59" t="inlineStr">
        <is>
          <t>yes</t>
        </is>
      </c>
      <c r="F37" s="59" t="inlineStr">
        <is>
          <t>yes</t>
        </is>
      </c>
      <c r="G37" s="59" t="inlineStr">
        <is>
          <t>passed manual test</t>
        </is>
      </c>
      <c r="H37" s="61" t="inlineStr">
        <is>
          <t>covered</t>
        </is>
      </c>
      <c r="I37" s="60" t="inlineStr">
        <is>
          <t>SwipeableItem playground scenario.</t>
        </is>
      </c>
      <c r="J37" s="60" t="inlineStr"/>
      <c r="K37" s="62">
        <f>IF(AND(E37="yes",F37="yes",H37="covered"),1,IF(H37="partial",0.5,0))</f>
        <v/>
      </c>
    </row>
    <row r="38" ht="15" customHeight="1" s="52">
      <c r="A38" s="59" t="n">
        <v>30</v>
      </c>
      <c r="B38" s="60" t="inlineStr">
        <is>
          <t>Public API</t>
        </is>
      </c>
      <c r="C38" s="60" t="inlineStr">
        <is>
          <t>Root</t>
        </is>
      </c>
      <c r="D38" s="60" t="inlineStr">
        <is>
          <t>[data-slot] prop behavior</t>
        </is>
      </c>
      <c r="E38" s="59" t="inlineStr">
        <is>
          <t>yes</t>
        </is>
      </c>
      <c r="F38" s="59" t="inlineStr">
        <is>
          <t>yes</t>
        </is>
      </c>
      <c r="G38" s="59" t="inlineStr">
        <is>
          <t>passed manual test</t>
        </is>
      </c>
      <c r="H38" s="61" t="inlineStr">
        <is>
          <t>covered</t>
        </is>
      </c>
      <c r="I38" s="60" t="inlineStr">
        <is>
          <t>SwipeableItem playground scenario.</t>
        </is>
      </c>
      <c r="J38" s="60" t="inlineStr"/>
      <c r="K38" s="62">
        <f>IF(AND(E38="yes",F38="yes",H38="covered"),1,IF(H38="partial",0.5,0))</f>
        <v/>
      </c>
    </row>
    <row r="39" ht="15" customHeight="1" s="52">
      <c r="A39" s="59" t="n">
        <v>31</v>
      </c>
      <c r="B39" s="60" t="inlineStr">
        <is>
          <t>Public API</t>
        </is>
      </c>
      <c r="C39" s="60" t="inlineStr">
        <is>
          <t>Root</t>
        </is>
      </c>
      <c r="D39" s="60" t="inlineStr">
        <is>
          <t>[data-state] prop behavior</t>
        </is>
      </c>
      <c r="E39" s="59" t="inlineStr">
        <is>
          <t>yes</t>
        </is>
      </c>
      <c r="F39" s="59" t="inlineStr">
        <is>
          <t>yes</t>
        </is>
      </c>
      <c r="G39" s="59" t="inlineStr">
        <is>
          <t>passed manual test</t>
        </is>
      </c>
      <c r="H39" s="61" t="inlineStr">
        <is>
          <t>covered</t>
        </is>
      </c>
      <c r="I39" s="60" t="inlineStr">
        <is>
          <t>SwipeableItem playground scenario.</t>
        </is>
      </c>
      <c r="J39" s="60" t="inlineStr"/>
      <c r="K39" s="62">
        <f>IF(AND(E39="yes",F39="yes",H39="covered"),1,IF(H39="partial",0.5,0))</f>
        <v/>
      </c>
    </row>
    <row r="40" ht="15" customHeight="1" s="52">
      <c r="A40" s="59" t="n">
        <v>32</v>
      </c>
      <c r="B40" s="60" t="inlineStr">
        <is>
          <t>Positioning</t>
        </is>
      </c>
      <c r="C40" s="60" t="inlineStr">
        <is>
          <t>Root</t>
        </is>
      </c>
      <c r="D40" s="60" t="inlineStr">
        <is>
          <t>[data-side] prop behavior</t>
        </is>
      </c>
      <c r="E40" s="59" t="inlineStr">
        <is>
          <t>yes</t>
        </is>
      </c>
      <c r="F40" s="59" t="inlineStr">
        <is>
          <t>yes</t>
        </is>
      </c>
      <c r="G40" s="59" t="inlineStr">
        <is>
          <t>passed manual test</t>
        </is>
      </c>
      <c r="H40" s="61" t="inlineStr">
        <is>
          <t>covered</t>
        </is>
      </c>
      <c r="I40" s="60" t="inlineStr">
        <is>
          <t>SwipeableItem playground scenario.</t>
        </is>
      </c>
      <c r="J40" s="60" t="inlineStr"/>
      <c r="K40" s="62">
        <f>IF(AND(E40="yes",F40="yes",H40="covered"),1,IF(H40="partial",0.5,0))</f>
        <v/>
      </c>
    </row>
    <row r="41" ht="15" customHeight="1" s="52">
      <c r="A41" s="59" t="n">
        <v>33</v>
      </c>
      <c r="B41" s="60" t="inlineStr">
        <is>
          <t>Public API</t>
        </is>
      </c>
      <c r="C41" s="60" t="inlineStr">
        <is>
          <t>Root</t>
        </is>
      </c>
      <c r="D41" s="60" t="inlineStr">
        <is>
          <t>[data-dragging] prop behavior</t>
        </is>
      </c>
      <c r="E41" s="59" t="inlineStr">
        <is>
          <t>yes</t>
        </is>
      </c>
      <c r="F41" s="59" t="inlineStr">
        <is>
          <t>yes</t>
        </is>
      </c>
      <c r="G41" s="59" t="inlineStr">
        <is>
          <t>passed manual test</t>
        </is>
      </c>
      <c r="H41" s="61" t="inlineStr">
        <is>
          <t>covered</t>
        </is>
      </c>
      <c r="I41" s="60" t="inlineStr">
        <is>
          <t>SwipeableItem playground scenario.</t>
        </is>
      </c>
      <c r="J41" s="60" t="inlineStr"/>
      <c r="K41" s="62">
        <f>IF(AND(E41="yes",F41="yes",H41="covered"),1,IF(H41="partial",0.5,0))</f>
        <v/>
      </c>
    </row>
    <row r="42" ht="15" customHeight="1" s="52">
      <c r="A42" s="59" t="n">
        <v>34</v>
      </c>
      <c r="B42" s="60" t="inlineStr">
        <is>
          <t>State</t>
        </is>
      </c>
      <c r="C42" s="60" t="inlineStr">
        <is>
          <t>Root</t>
        </is>
      </c>
      <c r="D42" s="60" t="inlineStr">
        <is>
          <t>[data-disabled] prop behavior</t>
        </is>
      </c>
      <c r="E42" s="59" t="inlineStr">
        <is>
          <t>yes</t>
        </is>
      </c>
      <c r="F42" s="59" t="inlineStr">
        <is>
          <t>yes</t>
        </is>
      </c>
      <c r="G42" s="59" t="inlineStr">
        <is>
          <t>passed manual test</t>
        </is>
      </c>
      <c r="H42" s="61" t="inlineStr">
        <is>
          <t>covered</t>
        </is>
      </c>
      <c r="I42" s="60" t="inlineStr">
        <is>
          <t>SwipeableItem playground scenario.</t>
        </is>
      </c>
      <c r="J42" s="60" t="inlineStr"/>
      <c r="K42" s="62">
        <f>IF(AND(E42="yes",F42="yes",H42="covered"),1,IF(H42="partial",0.5,0))</f>
        <v/>
      </c>
    </row>
    <row r="43" ht="15" customHeight="1" s="52">
      <c r="A43" s="59" t="n">
        <v>35</v>
      </c>
      <c r="B43" s="60" t="inlineStr">
        <is>
          <t>State</t>
        </is>
      </c>
      <c r="C43" s="60" t="inlineStr">
        <is>
          <t>Root</t>
        </is>
      </c>
      <c r="D43" s="60" t="inlineStr">
        <is>
          <t>[data-readonly] prop behavior</t>
        </is>
      </c>
      <c r="E43" s="59" t="inlineStr">
        <is>
          <t>yes</t>
        </is>
      </c>
      <c r="F43" s="59" t="inlineStr">
        <is>
          <t>yes</t>
        </is>
      </c>
      <c r="G43" s="59" t="inlineStr">
        <is>
          <t>passed manual test</t>
        </is>
      </c>
      <c r="H43" s="61" t="inlineStr">
        <is>
          <t>covered</t>
        </is>
      </c>
      <c r="I43" s="60" t="inlineStr">
        <is>
          <t>SwipeableItem playground scenario.</t>
        </is>
      </c>
      <c r="J43" s="60" t="inlineStr"/>
      <c r="K43" s="62">
        <f>IF(AND(E43="yes",F43="yes",H43="covered"),1,IF(H43="partial",0.5,0))</f>
        <v/>
      </c>
    </row>
    <row r="44" ht="15" customHeight="1" s="52">
      <c r="A44" s="59" t="n">
        <v>36</v>
      </c>
      <c r="B44" s="60" t="inlineStr">
        <is>
          <t>Positioning</t>
        </is>
      </c>
      <c r="C44" s="60" t="inlineStr">
        <is>
          <t>Root</t>
        </is>
      </c>
      <c r="D44" s="60" t="inlineStr">
        <is>
          <t>--atom-swipeable-item-offset prop behavior</t>
        </is>
      </c>
      <c r="E44" s="59" t="inlineStr">
        <is>
          <t>yes</t>
        </is>
      </c>
      <c r="F44" s="59" t="inlineStr">
        <is>
          <t>yes</t>
        </is>
      </c>
      <c r="G44" s="59" t="inlineStr">
        <is>
          <t>passed manual test</t>
        </is>
      </c>
      <c r="H44" s="61" t="inlineStr">
        <is>
          <t>covered</t>
        </is>
      </c>
      <c r="I44" s="60" t="inlineStr">
        <is>
          <t>SwipeableItem playground scenario.</t>
        </is>
      </c>
      <c r="J44" s="60" t="inlineStr"/>
      <c r="K44" s="62">
        <f>IF(AND(E44="yes",F44="yes",H44="covered"),1,IF(H44="partial",0.5,0))</f>
        <v/>
      </c>
    </row>
    <row r="45" ht="15" customHeight="1" s="52">
      <c r="A45" s="59" t="n">
        <v>37</v>
      </c>
      <c r="B45" s="60" t="inlineStr">
        <is>
          <t>Public API</t>
        </is>
      </c>
      <c r="C45" s="60" t="inlineStr">
        <is>
          <t>Root</t>
        </is>
      </c>
      <c r="D45" s="60" t="inlineStr">
        <is>
          <t>--atom-swipeable-item-start-size prop behavior</t>
        </is>
      </c>
      <c r="E45" s="59" t="inlineStr">
        <is>
          <t>yes</t>
        </is>
      </c>
      <c r="F45" s="59" t="inlineStr">
        <is>
          <t>yes</t>
        </is>
      </c>
      <c r="G45" s="59" t="inlineStr">
        <is>
          <t>passed manual test</t>
        </is>
      </c>
      <c r="H45" s="61" t="inlineStr">
        <is>
          <t>covered</t>
        </is>
      </c>
      <c r="I45" s="60" t="inlineStr">
        <is>
          <t>SwipeableItem playground scenario.</t>
        </is>
      </c>
      <c r="J45" s="60" t="inlineStr"/>
      <c r="K45" s="62">
        <f>IF(AND(E45="yes",F45="yes",H45="covered"),1,IF(H45="partial",0.5,0))</f>
        <v/>
      </c>
    </row>
    <row r="46" ht="15" customHeight="1" s="52">
      <c r="A46" s="59" t="n">
        <v>38</v>
      </c>
      <c r="B46" s="60" t="inlineStr">
        <is>
          <t>Public API</t>
        </is>
      </c>
      <c r="C46" s="60" t="inlineStr">
        <is>
          <t>Root</t>
        </is>
      </c>
      <c r="D46" s="60" t="inlineStr">
        <is>
          <t>--atom-swipeable-item-end-size prop behavior</t>
        </is>
      </c>
      <c r="E46" s="59" t="inlineStr">
        <is>
          <t>yes</t>
        </is>
      </c>
      <c r="F46" s="59" t="inlineStr">
        <is>
          <t>yes</t>
        </is>
      </c>
      <c r="G46" s="59" t="inlineStr">
        <is>
          <t>passed manual test</t>
        </is>
      </c>
      <c r="H46" s="61" t="inlineStr">
        <is>
          <t>covered</t>
        </is>
      </c>
      <c r="I46" s="60" t="inlineStr">
        <is>
          <t>SwipeableItem playground scenario.</t>
        </is>
      </c>
      <c r="J46" s="60" t="inlineStr"/>
      <c r="K46" s="62">
        <f>IF(AND(E46="yes",F46="yes",H46="covered"),1,IF(H46="partial",0.5,0))</f>
        <v/>
      </c>
    </row>
    <row r="47" ht="15" customHeight="1" s="52">
      <c r="A47" s="59" t="n">
        <v>39</v>
      </c>
      <c r="B47" s="60" t="inlineStr">
        <is>
          <t>Anatomy</t>
        </is>
      </c>
      <c r="C47" s="60" t="inlineStr">
        <is>
          <t>Content</t>
        </is>
      </c>
      <c r="D47" s="60" t="inlineStr">
        <is>
          <t>renders correct part when expected</t>
        </is>
      </c>
      <c r="E47" s="59" t="inlineStr">
        <is>
          <t>yes</t>
        </is>
      </c>
      <c r="F47" s="59" t="inlineStr">
        <is>
          <t>yes</t>
        </is>
      </c>
      <c r="G47" s="59" t="inlineStr">
        <is>
          <t>passed manual test</t>
        </is>
      </c>
      <c r="H47" s="61" t="inlineStr">
        <is>
          <t>covered</t>
        </is>
      </c>
      <c r="I47" s="60" t="inlineStr">
        <is>
          <t>SwipeableItem playground scenario.</t>
        </is>
      </c>
      <c r="J47" s="60" t="inlineStr"/>
      <c r="K47" s="62">
        <f>IF(AND(E47="yes",F47="yes",H47="covered"),1,IF(H47="partial",0.5,0))</f>
        <v/>
      </c>
    </row>
    <row r="48" ht="15" customHeight="1" s="52">
      <c r="A48" s="59" t="n">
        <v>40</v>
      </c>
      <c r="B48" s="60" t="inlineStr">
        <is>
          <t>Anatomy</t>
        </is>
      </c>
      <c r="C48" s="60" t="inlineStr">
        <is>
          <t>Content</t>
        </is>
      </c>
      <c r="D48" s="60" t="inlineStr">
        <is>
          <t>appears in documented order</t>
        </is>
      </c>
      <c r="E48" s="59" t="inlineStr">
        <is>
          <t>yes</t>
        </is>
      </c>
      <c r="F48" s="59" t="inlineStr">
        <is>
          <t>yes</t>
        </is>
      </c>
      <c r="G48" s="59" t="inlineStr">
        <is>
          <t>passed manual test</t>
        </is>
      </c>
      <c r="H48" s="61" t="inlineStr">
        <is>
          <t>covered</t>
        </is>
      </c>
      <c r="I48" s="60" t="inlineStr">
        <is>
          <t>SwipeableItem playground scenario.</t>
        </is>
      </c>
      <c r="J48" s="60" t="inlineStr"/>
      <c r="K48" s="62">
        <f>IF(AND(E48="yes",F48="yes",H48="covered"),1,IF(H48="partial",0.5,0))</f>
        <v/>
      </c>
    </row>
    <row r="49" ht="30" customHeight="1" s="52">
      <c r="A49" s="59" t="n">
        <v>41</v>
      </c>
      <c r="B49" s="60" t="inlineStr">
        <is>
          <t>Identity</t>
        </is>
      </c>
      <c r="C49" s="60" t="inlineStr">
        <is>
          <t>Content</t>
        </is>
      </c>
      <c r="D49" s="60" t="inlineStr">
        <is>
          <t>default tag is visible in Anatomy/Inspector</t>
        </is>
      </c>
      <c r="E49" s="59" t="inlineStr">
        <is>
          <t>yes</t>
        </is>
      </c>
      <c r="F49" s="59" t="inlineStr">
        <is>
          <t>yes</t>
        </is>
      </c>
      <c r="G49" s="59" t="inlineStr">
        <is>
          <t>passed manual test</t>
        </is>
      </c>
      <c r="H49" s="61" t="inlineStr">
        <is>
          <t>covered</t>
        </is>
      </c>
      <c r="I49" s="60" t="inlineStr">
        <is>
          <t>SwipeableItem playground scenario.</t>
        </is>
      </c>
      <c r="J49" s="60" t="inlineStr"/>
      <c r="K49" s="62">
        <f>IF(AND(E49="yes",F49="yes",H49="covered"),1,IF(H49="partial",0.5,0))</f>
        <v/>
      </c>
    </row>
    <row r="50" ht="15" customHeight="1" s="52">
      <c r="A50" s="59" t="n">
        <v>42</v>
      </c>
      <c r="B50" s="60" t="inlineStr">
        <is>
          <t>Identity</t>
        </is>
      </c>
      <c r="C50" s="60" t="inlineStr">
        <is>
          <t>Content</t>
        </is>
      </c>
      <c r="D50" s="60" t="inlineStr">
        <is>
          <t>data-slot is present and correct</t>
        </is>
      </c>
      <c r="E50" s="59" t="inlineStr">
        <is>
          <t>yes</t>
        </is>
      </c>
      <c r="F50" s="59" t="inlineStr">
        <is>
          <t>yes</t>
        </is>
      </c>
      <c r="G50" s="59" t="inlineStr">
        <is>
          <t>passed manual test</t>
        </is>
      </c>
      <c r="H50" s="61" t="inlineStr">
        <is>
          <t>covered</t>
        </is>
      </c>
      <c r="I50" s="60" t="inlineStr">
        <is>
          <t>SwipeableItem playground scenario.</t>
        </is>
      </c>
      <c r="J50" s="60" t="inlineStr"/>
      <c r="K50" s="62">
        <f>IF(AND(E50="yes",F50="yes",H50="covered"),1,IF(H50="partial",0.5,0))</f>
        <v/>
      </c>
    </row>
    <row r="51" ht="15" customHeight="1" s="52">
      <c r="A51" s="59" t="n">
        <v>43</v>
      </c>
      <c r="B51" s="60" t="inlineStr">
        <is>
          <t>Props</t>
        </is>
      </c>
      <c r="C51" s="60" t="inlineStr">
        <is>
          <t>Content</t>
        </is>
      </c>
      <c r="D51" s="60" t="inlineStr">
        <is>
          <t>non-Atom native props pass through with data-prop-check marker</t>
        </is>
      </c>
      <c r="E51" s="59" t="inlineStr">
        <is>
          <t>yes</t>
        </is>
      </c>
      <c r="F51" s="59" t="inlineStr">
        <is>
          <t>yes</t>
        </is>
      </c>
      <c r="G51" s="59" t="inlineStr">
        <is>
          <t>passed manual test</t>
        </is>
      </c>
      <c r="H51" s="61" t="inlineStr">
        <is>
          <t>covered</t>
        </is>
      </c>
      <c r="I51" s="60" t="inlineStr">
        <is>
          <t>SwipeableItem playground scenario.</t>
        </is>
      </c>
      <c r="J51" s="60" t="inlineStr"/>
      <c r="K51" s="62">
        <f>IF(AND(E51="yes",F51="yes",H51="covered"),1,IF(H51="partial",0.5,0))</f>
        <v/>
      </c>
    </row>
    <row r="52" ht="15" customHeight="1" s="52">
      <c r="A52" s="59" t="n">
        <v>44</v>
      </c>
      <c r="B52" s="60" t="inlineStr">
        <is>
          <t>Refs</t>
        </is>
      </c>
      <c r="C52" s="60" t="inlineStr">
        <is>
          <t>Content</t>
        </is>
      </c>
      <c r="D52" s="60" t="inlineStr">
        <is>
          <t>consumer ref receives the rendered element</t>
        </is>
      </c>
      <c r="E52" s="59" t="inlineStr">
        <is>
          <t>yes</t>
        </is>
      </c>
      <c r="F52" s="59" t="inlineStr">
        <is>
          <t>yes</t>
        </is>
      </c>
      <c r="G52" s="59" t="inlineStr">
        <is>
          <t>passed manual test</t>
        </is>
      </c>
      <c r="H52" s="61" t="inlineStr">
        <is>
          <t>covered</t>
        </is>
      </c>
      <c r="I52" s="60" t="inlineStr">
        <is>
          <t>SwipeableItem playground scenario.</t>
        </is>
      </c>
      <c r="J52" s="60" t="inlineStr"/>
      <c r="K52" s="62">
        <f>IF(AND(E52="yes",F52="yes",H52="covered"),1,IF(H52="partial",0.5,0))</f>
        <v/>
      </c>
    </row>
    <row r="53" ht="15" customHeight="1" s="52">
      <c r="A53" s="59" t="n">
        <v>45</v>
      </c>
      <c r="B53" s="60" t="inlineStr">
        <is>
          <t>Composition</t>
        </is>
      </c>
      <c r="C53" s="60" t="inlineStr">
        <is>
          <t>Content</t>
        </is>
      </c>
      <c r="D53" s="60" t="inlineStr">
        <is>
          <t>asChild prop behavior</t>
        </is>
      </c>
      <c r="E53" s="59" t="inlineStr">
        <is>
          <t>yes</t>
        </is>
      </c>
      <c r="F53" s="59" t="inlineStr">
        <is>
          <t>yes</t>
        </is>
      </c>
      <c r="G53" s="59" t="inlineStr">
        <is>
          <t>passed manual test</t>
        </is>
      </c>
      <c r="H53" s="61" t="inlineStr">
        <is>
          <t>covered</t>
        </is>
      </c>
      <c r="I53" s="60" t="inlineStr">
        <is>
          <t>SwipeableItem playground scenario.</t>
        </is>
      </c>
      <c r="J53" s="60" t="inlineStr"/>
      <c r="K53" s="62">
        <f>IF(AND(E53="yes",F53="yes",H53="covered"),1,IF(H53="partial",0.5,0))</f>
        <v/>
      </c>
    </row>
    <row r="54" ht="15" customHeight="1" s="52">
      <c r="A54" s="59" t="n">
        <v>46</v>
      </c>
      <c r="B54" s="60" t="inlineStr">
        <is>
          <t>Composition</t>
        </is>
      </c>
      <c r="C54" s="60" t="inlineStr">
        <is>
          <t>Content</t>
        </is>
      </c>
      <c r="D54" s="60" t="inlineStr">
        <is>
          <t>render prop behavior</t>
        </is>
      </c>
      <c r="E54" s="59" t="inlineStr">
        <is>
          <t>yes</t>
        </is>
      </c>
      <c r="F54" s="59" t="inlineStr">
        <is>
          <t>yes</t>
        </is>
      </c>
      <c r="G54" s="59" t="inlineStr">
        <is>
          <t>passed manual test</t>
        </is>
      </c>
      <c r="H54" s="61" t="inlineStr">
        <is>
          <t>covered</t>
        </is>
      </c>
      <c r="I54" s="60" t="inlineStr">
        <is>
          <t>SwipeableItem playground scenario.</t>
        </is>
      </c>
      <c r="J54" s="60" t="inlineStr"/>
      <c r="K54" s="62">
        <f>IF(AND(E54="yes",F54="yes",H54="covered"),1,IF(H54="partial",0.5,0))</f>
        <v/>
      </c>
    </row>
    <row r="55" ht="15" customHeight="1" s="52">
      <c r="A55" s="59" t="n">
        <v>47</v>
      </c>
      <c r="B55" s="60" t="inlineStr">
        <is>
          <t>Public API</t>
        </is>
      </c>
      <c r="C55" s="60" t="inlineStr">
        <is>
          <t>Content</t>
        </is>
      </c>
      <c r="D55" s="60" t="inlineStr">
        <is>
          <t>tabIndex prop behavior</t>
        </is>
      </c>
      <c r="E55" s="59" t="inlineStr">
        <is>
          <t>yes</t>
        </is>
      </c>
      <c r="F55" s="59" t="inlineStr">
        <is>
          <t>yes</t>
        </is>
      </c>
      <c r="G55" s="59" t="inlineStr">
        <is>
          <t>passed manual test</t>
        </is>
      </c>
      <c r="H55" s="61" t="inlineStr">
        <is>
          <t>covered</t>
        </is>
      </c>
      <c r="I55" s="60" t="inlineStr">
        <is>
          <t>SwipeableItem playground scenario.</t>
        </is>
      </c>
      <c r="J55" s="60" t="inlineStr"/>
      <c r="K55" s="62">
        <f>IF(AND(E55="yes",F55="yes",H55="covered"),1,IF(H55="partial",0.5,0))</f>
        <v/>
      </c>
    </row>
    <row r="56" ht="15" customHeight="1" s="52">
      <c r="A56" s="59" t="n">
        <v>48</v>
      </c>
      <c r="B56" s="60" t="inlineStr">
        <is>
          <t>Public API</t>
        </is>
      </c>
      <c r="C56" s="60" t="inlineStr">
        <is>
          <t>Content</t>
        </is>
      </c>
      <c r="D56" s="60" t="inlineStr">
        <is>
          <t>[data-slot] prop behavior</t>
        </is>
      </c>
      <c r="E56" s="59" t="inlineStr">
        <is>
          <t>yes</t>
        </is>
      </c>
      <c r="F56" s="59" t="inlineStr">
        <is>
          <t>yes</t>
        </is>
      </c>
      <c r="G56" s="59" t="inlineStr">
        <is>
          <t>passed manual test</t>
        </is>
      </c>
      <c r="H56" s="61" t="inlineStr">
        <is>
          <t>covered</t>
        </is>
      </c>
      <c r="I56" s="60" t="inlineStr">
        <is>
          <t>SwipeableItem playground scenario.</t>
        </is>
      </c>
      <c r="J56" s="60" t="inlineStr"/>
      <c r="K56" s="62">
        <f>IF(AND(E56="yes",F56="yes",H56="covered"),1,IF(H56="partial",0.5,0))</f>
        <v/>
      </c>
    </row>
    <row r="57" ht="15" customHeight="1" s="52">
      <c r="A57" s="59" t="n">
        <v>49</v>
      </c>
      <c r="B57" s="60" t="inlineStr">
        <is>
          <t>Public API</t>
        </is>
      </c>
      <c r="C57" s="60" t="inlineStr">
        <is>
          <t>Content</t>
        </is>
      </c>
      <c r="D57" s="60" t="inlineStr">
        <is>
          <t>[data-state] prop behavior</t>
        </is>
      </c>
      <c r="E57" s="59" t="inlineStr">
        <is>
          <t>yes</t>
        </is>
      </c>
      <c r="F57" s="59" t="inlineStr">
        <is>
          <t>yes</t>
        </is>
      </c>
      <c r="G57" s="59" t="inlineStr">
        <is>
          <t>passed manual test</t>
        </is>
      </c>
      <c r="H57" s="61" t="inlineStr">
        <is>
          <t>covered</t>
        </is>
      </c>
      <c r="I57" s="60" t="inlineStr">
        <is>
          <t>SwipeableItem playground scenario.</t>
        </is>
      </c>
      <c r="J57" s="60" t="inlineStr"/>
      <c r="K57" s="62">
        <f>IF(AND(E57="yes",F57="yes",H57="covered"),1,IF(H57="partial",0.5,0))</f>
        <v/>
      </c>
    </row>
    <row r="58" ht="15" customHeight="1" s="52">
      <c r="A58" s="59" t="n">
        <v>50</v>
      </c>
      <c r="B58" s="60" t="inlineStr">
        <is>
          <t>Positioning</t>
        </is>
      </c>
      <c r="C58" s="60" t="inlineStr">
        <is>
          <t>Content</t>
        </is>
      </c>
      <c r="D58" s="60" t="inlineStr">
        <is>
          <t>[data-side] prop behavior</t>
        </is>
      </c>
      <c r="E58" s="59" t="inlineStr">
        <is>
          <t>yes</t>
        </is>
      </c>
      <c r="F58" s="59" t="inlineStr">
        <is>
          <t>yes</t>
        </is>
      </c>
      <c r="G58" s="59" t="inlineStr">
        <is>
          <t>passed manual test</t>
        </is>
      </c>
      <c r="H58" s="61" t="inlineStr">
        <is>
          <t>covered</t>
        </is>
      </c>
      <c r="I58" s="60" t="inlineStr">
        <is>
          <t>SwipeableItem playground scenario.</t>
        </is>
      </c>
      <c r="J58" s="60" t="inlineStr"/>
      <c r="K58" s="62">
        <f>IF(AND(E58="yes",F58="yes",H58="covered"),1,IF(H58="partial",0.5,0))</f>
        <v/>
      </c>
    </row>
    <row r="59" ht="15" customHeight="1" s="52">
      <c r="A59" s="59" t="n">
        <v>51</v>
      </c>
      <c r="B59" s="60" t="inlineStr">
        <is>
          <t>Public API</t>
        </is>
      </c>
      <c r="C59" s="60" t="inlineStr">
        <is>
          <t>Content</t>
        </is>
      </c>
      <c r="D59" s="60" t="inlineStr">
        <is>
          <t>[data-dragging] prop behavior</t>
        </is>
      </c>
      <c r="E59" s="59" t="inlineStr">
        <is>
          <t>yes</t>
        </is>
      </c>
      <c r="F59" s="59" t="inlineStr">
        <is>
          <t>yes</t>
        </is>
      </c>
      <c r="G59" s="59" t="inlineStr">
        <is>
          <t>passed manual test</t>
        </is>
      </c>
      <c r="H59" s="61" t="inlineStr">
        <is>
          <t>covered</t>
        </is>
      </c>
      <c r="I59" s="60" t="inlineStr">
        <is>
          <t>SwipeableItem playground scenario.</t>
        </is>
      </c>
      <c r="J59" s="60" t="inlineStr"/>
      <c r="K59" s="62">
        <f>IF(AND(E59="yes",F59="yes",H59="covered"),1,IF(H59="partial",0.5,0))</f>
        <v/>
      </c>
    </row>
    <row r="60" ht="15" customHeight="1" s="52">
      <c r="A60" s="59" t="n">
        <v>52</v>
      </c>
      <c r="B60" s="60" t="inlineStr">
        <is>
          <t>State</t>
        </is>
      </c>
      <c r="C60" s="60" t="inlineStr">
        <is>
          <t>Content</t>
        </is>
      </c>
      <c r="D60" s="60" t="inlineStr">
        <is>
          <t>[data-disabled] prop behavior</t>
        </is>
      </c>
      <c r="E60" s="59" t="inlineStr">
        <is>
          <t>yes</t>
        </is>
      </c>
      <c r="F60" s="59" t="inlineStr">
        <is>
          <t>yes</t>
        </is>
      </c>
      <c r="G60" s="59" t="inlineStr">
        <is>
          <t>passed manual test</t>
        </is>
      </c>
      <c r="H60" s="61" t="inlineStr">
        <is>
          <t>covered</t>
        </is>
      </c>
      <c r="I60" s="60" t="inlineStr">
        <is>
          <t>SwipeableItem playground scenario.</t>
        </is>
      </c>
      <c r="J60" s="60" t="inlineStr"/>
      <c r="K60" s="62">
        <f>IF(AND(E60="yes",F60="yes",H60="covered"),1,IF(H60="partial",0.5,0))</f>
        <v/>
      </c>
    </row>
    <row r="61" ht="15" customHeight="1" s="52">
      <c r="A61" s="59" t="n">
        <v>53</v>
      </c>
      <c r="B61" s="60" t="inlineStr">
        <is>
          <t>State</t>
        </is>
      </c>
      <c r="C61" s="60" t="inlineStr">
        <is>
          <t>Content</t>
        </is>
      </c>
      <c r="D61" s="60" t="inlineStr">
        <is>
          <t>[data-readonly] prop behavior</t>
        </is>
      </c>
      <c r="E61" s="59" t="inlineStr">
        <is>
          <t>yes</t>
        </is>
      </c>
      <c r="F61" s="59" t="inlineStr">
        <is>
          <t>yes</t>
        </is>
      </c>
      <c r="G61" s="59" t="inlineStr">
        <is>
          <t>passed manual test</t>
        </is>
      </c>
      <c r="H61" s="61" t="inlineStr">
        <is>
          <t>covered</t>
        </is>
      </c>
      <c r="I61" s="60" t="inlineStr">
        <is>
          <t>SwipeableItem playground scenario.</t>
        </is>
      </c>
      <c r="J61" s="60" t="inlineStr"/>
      <c r="K61" s="62">
        <f>IF(AND(E61="yes",F61="yes",H61="covered"),1,IF(H61="partial",0.5,0))</f>
        <v/>
      </c>
    </row>
    <row r="62" ht="15" customHeight="1" s="52">
      <c r="A62" s="59" t="n">
        <v>54</v>
      </c>
      <c r="B62" s="60" t="inlineStr">
        <is>
          <t>Anatomy</t>
        </is>
      </c>
      <c r="C62" s="60" t="inlineStr">
        <is>
          <t>Actions</t>
        </is>
      </c>
      <c r="D62" s="60" t="inlineStr">
        <is>
          <t>renders correct part when expected</t>
        </is>
      </c>
      <c r="E62" s="59" t="inlineStr">
        <is>
          <t>yes</t>
        </is>
      </c>
      <c r="F62" s="59" t="inlineStr">
        <is>
          <t>yes</t>
        </is>
      </c>
      <c r="G62" s="59" t="inlineStr">
        <is>
          <t>passed manual test</t>
        </is>
      </c>
      <c r="H62" s="61" t="inlineStr">
        <is>
          <t>covered</t>
        </is>
      </c>
      <c r="I62" s="60" t="inlineStr">
        <is>
          <t>SwipeableItem playground scenario.</t>
        </is>
      </c>
      <c r="J62" s="60" t="inlineStr"/>
      <c r="K62" s="62">
        <f>IF(AND(E62="yes",F62="yes",H62="covered"),1,IF(H62="partial",0.5,0))</f>
        <v/>
      </c>
    </row>
    <row r="63" ht="15" customHeight="1" s="52">
      <c r="A63" s="59" t="n">
        <v>55</v>
      </c>
      <c r="B63" s="60" t="inlineStr">
        <is>
          <t>Anatomy</t>
        </is>
      </c>
      <c r="C63" s="60" t="inlineStr">
        <is>
          <t>Actions</t>
        </is>
      </c>
      <c r="D63" s="60" t="inlineStr">
        <is>
          <t>appears in documented order</t>
        </is>
      </c>
      <c r="E63" s="59" t="inlineStr">
        <is>
          <t>yes</t>
        </is>
      </c>
      <c r="F63" s="59" t="inlineStr">
        <is>
          <t>yes</t>
        </is>
      </c>
      <c r="G63" s="59" t="inlineStr">
        <is>
          <t>passed manual test</t>
        </is>
      </c>
      <c r="H63" s="61" t="inlineStr">
        <is>
          <t>covered</t>
        </is>
      </c>
      <c r="I63" s="60" t="inlineStr">
        <is>
          <t>SwipeableItem playground scenario.</t>
        </is>
      </c>
      <c r="J63" s="60" t="inlineStr"/>
      <c r="K63" s="62">
        <f>IF(AND(E63="yes",F63="yes",H63="covered"),1,IF(H63="partial",0.5,0))</f>
        <v/>
      </c>
    </row>
    <row r="64" ht="30" customHeight="1" s="52">
      <c r="A64" s="59" t="n">
        <v>56</v>
      </c>
      <c r="B64" s="60" t="inlineStr">
        <is>
          <t>Identity</t>
        </is>
      </c>
      <c r="C64" s="60" t="inlineStr">
        <is>
          <t>Actions</t>
        </is>
      </c>
      <c r="D64" s="60" t="inlineStr">
        <is>
          <t>default tag is visible in Anatomy/Inspector</t>
        </is>
      </c>
      <c r="E64" s="59" t="inlineStr">
        <is>
          <t>yes</t>
        </is>
      </c>
      <c r="F64" s="59" t="inlineStr">
        <is>
          <t>yes</t>
        </is>
      </c>
      <c r="G64" s="59" t="inlineStr">
        <is>
          <t>passed manual test</t>
        </is>
      </c>
      <c r="H64" s="61" t="inlineStr">
        <is>
          <t>covered</t>
        </is>
      </c>
      <c r="I64" s="60" t="inlineStr">
        <is>
          <t>SwipeableItem playground scenario.</t>
        </is>
      </c>
      <c r="J64" s="60" t="inlineStr"/>
      <c r="K64" s="62">
        <f>IF(AND(E64="yes",F64="yes",H64="covered"),1,IF(H64="partial",0.5,0))</f>
        <v/>
      </c>
    </row>
    <row r="65" ht="15" customHeight="1" s="52">
      <c r="A65" s="59" t="n">
        <v>57</v>
      </c>
      <c r="B65" s="60" t="inlineStr">
        <is>
          <t>Identity</t>
        </is>
      </c>
      <c r="C65" s="60" t="inlineStr">
        <is>
          <t>Actions</t>
        </is>
      </c>
      <c r="D65" s="60" t="inlineStr">
        <is>
          <t>data-slot is present and correct</t>
        </is>
      </c>
      <c r="E65" s="59" t="inlineStr">
        <is>
          <t>yes</t>
        </is>
      </c>
      <c r="F65" s="59" t="inlineStr">
        <is>
          <t>yes</t>
        </is>
      </c>
      <c r="G65" s="59" t="inlineStr">
        <is>
          <t>passed manual test</t>
        </is>
      </c>
      <c r="H65" s="61" t="inlineStr">
        <is>
          <t>covered</t>
        </is>
      </c>
      <c r="I65" s="60" t="inlineStr">
        <is>
          <t>SwipeableItem playground scenario.</t>
        </is>
      </c>
      <c r="J65" s="60" t="inlineStr"/>
      <c r="K65" s="62">
        <f>IF(AND(E65="yes",F65="yes",H65="covered"),1,IF(H65="partial",0.5,0))</f>
        <v/>
      </c>
    </row>
    <row r="66" ht="15" customHeight="1" s="52">
      <c r="A66" s="59" t="n">
        <v>58</v>
      </c>
      <c r="B66" s="60" t="inlineStr">
        <is>
          <t>Props</t>
        </is>
      </c>
      <c r="C66" s="60" t="inlineStr">
        <is>
          <t>Actions</t>
        </is>
      </c>
      <c r="D66" s="60" t="inlineStr">
        <is>
          <t>non-Atom native props pass through with data-prop-check marker</t>
        </is>
      </c>
      <c r="E66" s="59" t="inlineStr">
        <is>
          <t>yes</t>
        </is>
      </c>
      <c r="F66" s="59" t="inlineStr">
        <is>
          <t>yes</t>
        </is>
      </c>
      <c r="G66" s="59" t="inlineStr">
        <is>
          <t>passed manual test</t>
        </is>
      </c>
      <c r="H66" s="61" t="inlineStr">
        <is>
          <t>covered</t>
        </is>
      </c>
      <c r="I66" s="60" t="inlineStr">
        <is>
          <t>SwipeableItem playground scenario.</t>
        </is>
      </c>
      <c r="J66" s="60" t="inlineStr"/>
      <c r="K66" s="62">
        <f>IF(AND(E66="yes",F66="yes",H66="covered"),1,IF(H66="partial",0.5,0))</f>
        <v/>
      </c>
    </row>
    <row r="67" ht="15" customHeight="1" s="52">
      <c r="A67" s="59" t="n">
        <v>59</v>
      </c>
      <c r="B67" s="60" t="inlineStr">
        <is>
          <t>Refs</t>
        </is>
      </c>
      <c r="C67" s="60" t="inlineStr">
        <is>
          <t>Actions</t>
        </is>
      </c>
      <c r="D67" s="60" t="inlineStr">
        <is>
          <t>consumer ref receives the rendered element</t>
        </is>
      </c>
      <c r="E67" s="59" t="inlineStr">
        <is>
          <t>yes</t>
        </is>
      </c>
      <c r="F67" s="59" t="inlineStr">
        <is>
          <t>yes</t>
        </is>
      </c>
      <c r="G67" s="59" t="inlineStr">
        <is>
          <t>passed manual test</t>
        </is>
      </c>
      <c r="H67" s="61" t="inlineStr">
        <is>
          <t>covered</t>
        </is>
      </c>
      <c r="I67" s="60" t="inlineStr">
        <is>
          <t>SwipeableItem playground scenario.</t>
        </is>
      </c>
      <c r="J67" s="60" t="inlineStr"/>
      <c r="K67" s="62">
        <f>IF(AND(E67="yes",F67="yes",H67="covered"),1,IF(H67="partial",0.5,0))</f>
        <v/>
      </c>
    </row>
    <row r="68" ht="15" customHeight="1" s="52">
      <c r="A68" s="59" t="n">
        <v>60</v>
      </c>
      <c r="B68" s="60" t="inlineStr">
        <is>
          <t>Composition</t>
        </is>
      </c>
      <c r="C68" s="60" t="inlineStr">
        <is>
          <t>Actions</t>
        </is>
      </c>
      <c r="D68" s="60" t="inlineStr">
        <is>
          <t>asChild prop behavior</t>
        </is>
      </c>
      <c r="E68" s="59" t="inlineStr">
        <is>
          <t>yes</t>
        </is>
      </c>
      <c r="F68" s="59" t="inlineStr">
        <is>
          <t>yes</t>
        </is>
      </c>
      <c r="G68" s="59" t="inlineStr">
        <is>
          <t>passed manual test</t>
        </is>
      </c>
      <c r="H68" s="61" t="inlineStr">
        <is>
          <t>covered</t>
        </is>
      </c>
      <c r="I68" s="60" t="inlineStr">
        <is>
          <t>SwipeableItem playground scenario.</t>
        </is>
      </c>
      <c r="J68" s="60" t="inlineStr"/>
      <c r="K68" s="62">
        <f>IF(AND(E68="yes",F68="yes",H68="covered"),1,IF(H68="partial",0.5,0))</f>
        <v/>
      </c>
    </row>
    <row r="69" ht="15" customHeight="1" s="52">
      <c r="A69" s="59" t="n">
        <v>61</v>
      </c>
      <c r="B69" s="60" t="inlineStr">
        <is>
          <t>Composition</t>
        </is>
      </c>
      <c r="C69" s="60" t="inlineStr">
        <is>
          <t>Actions</t>
        </is>
      </c>
      <c r="D69" s="60" t="inlineStr">
        <is>
          <t>render prop behavior</t>
        </is>
      </c>
      <c r="E69" s="59" t="inlineStr">
        <is>
          <t>yes</t>
        </is>
      </c>
      <c r="F69" s="59" t="inlineStr">
        <is>
          <t>yes</t>
        </is>
      </c>
      <c r="G69" s="59" t="inlineStr">
        <is>
          <t>passed manual test</t>
        </is>
      </c>
      <c r="H69" s="61" t="inlineStr">
        <is>
          <t>covered</t>
        </is>
      </c>
      <c r="I69" s="60" t="inlineStr">
        <is>
          <t>SwipeableItem playground scenario.</t>
        </is>
      </c>
      <c r="J69" s="60" t="inlineStr"/>
      <c r="K69" s="62">
        <f>IF(AND(E69="yes",F69="yes",H69="covered"),1,IF(H69="partial",0.5,0))</f>
        <v/>
      </c>
    </row>
    <row r="70" ht="15" customHeight="1" s="52">
      <c r="A70" s="59" t="n">
        <v>62</v>
      </c>
      <c r="B70" s="60" t="inlineStr">
        <is>
          <t>Positioning</t>
        </is>
      </c>
      <c r="C70" s="60" t="inlineStr">
        <is>
          <t>Actions</t>
        </is>
      </c>
      <c r="D70" s="60" t="inlineStr">
        <is>
          <t>side prop behavior</t>
        </is>
      </c>
      <c r="E70" s="59" t="inlineStr">
        <is>
          <t>yes</t>
        </is>
      </c>
      <c r="F70" s="59" t="inlineStr">
        <is>
          <t>yes</t>
        </is>
      </c>
      <c r="G70" s="59" t="inlineStr">
        <is>
          <t>passed manual test</t>
        </is>
      </c>
      <c r="H70" s="61" t="inlineStr">
        <is>
          <t>covered</t>
        </is>
      </c>
      <c r="I70" s="60" t="inlineStr">
        <is>
          <t>SwipeableItem playground scenario.</t>
        </is>
      </c>
      <c r="J70" s="60" t="inlineStr"/>
      <c r="K70" s="62">
        <f>IF(AND(E70="yes",F70="yes",H70="covered"),1,IF(H70="partial",0.5,0))</f>
        <v/>
      </c>
    </row>
    <row r="71" ht="15" customHeight="1" s="52">
      <c r="A71" s="59" t="n">
        <v>63</v>
      </c>
      <c r="B71" s="60" t="inlineStr">
        <is>
          <t>Accessibility</t>
        </is>
      </c>
      <c r="C71" s="60" t="inlineStr">
        <is>
          <t>Actions</t>
        </is>
      </c>
      <c r="D71" s="60" t="inlineStr">
        <is>
          <t>aria-label prop behavior</t>
        </is>
      </c>
      <c r="E71" s="59" t="inlineStr">
        <is>
          <t>yes</t>
        </is>
      </c>
      <c r="F71" s="59" t="inlineStr">
        <is>
          <t>yes</t>
        </is>
      </c>
      <c r="G71" s="59" t="inlineStr">
        <is>
          <t>passed manual test</t>
        </is>
      </c>
      <c r="H71" s="61" t="inlineStr">
        <is>
          <t>covered</t>
        </is>
      </c>
      <c r="I71" s="60" t="inlineStr">
        <is>
          <t>SwipeableItem playground scenario.</t>
        </is>
      </c>
      <c r="J71" s="60" t="inlineStr"/>
      <c r="K71" s="62">
        <f>IF(AND(E71="yes",F71="yes",H71="covered"),1,IF(H71="partial",0.5,0))</f>
        <v/>
      </c>
    </row>
    <row r="72" ht="15" customHeight="1" s="52">
      <c r="A72" s="59" t="n">
        <v>64</v>
      </c>
      <c r="B72" s="60" t="inlineStr">
        <is>
          <t>Public API</t>
        </is>
      </c>
      <c r="C72" s="60" t="inlineStr">
        <is>
          <t>Actions</t>
        </is>
      </c>
      <c r="D72" s="60" t="inlineStr">
        <is>
          <t>[data-slot] prop behavior</t>
        </is>
      </c>
      <c r="E72" s="59" t="inlineStr">
        <is>
          <t>yes</t>
        </is>
      </c>
      <c r="F72" s="59" t="inlineStr">
        <is>
          <t>yes</t>
        </is>
      </c>
      <c r="G72" s="59" t="inlineStr">
        <is>
          <t>passed manual test</t>
        </is>
      </c>
      <c r="H72" s="61" t="inlineStr">
        <is>
          <t>covered</t>
        </is>
      </c>
      <c r="I72" s="60" t="inlineStr">
        <is>
          <t>SwipeableItem playground scenario.</t>
        </is>
      </c>
      <c r="J72" s="60" t="inlineStr"/>
      <c r="K72" s="62">
        <f>IF(AND(E72="yes",F72="yes",H72="covered"),1,IF(H72="partial",0.5,0))</f>
        <v/>
      </c>
    </row>
    <row r="73" ht="15" customHeight="1" s="52">
      <c r="A73" s="59" t="n">
        <v>65</v>
      </c>
      <c r="B73" s="60" t="inlineStr">
        <is>
          <t>Positioning</t>
        </is>
      </c>
      <c r="C73" s="60" t="inlineStr">
        <is>
          <t>Actions</t>
        </is>
      </c>
      <c r="D73" s="60" t="inlineStr">
        <is>
          <t>[data-side] prop behavior</t>
        </is>
      </c>
      <c r="E73" s="59" t="inlineStr">
        <is>
          <t>yes</t>
        </is>
      </c>
      <c r="F73" s="59" t="inlineStr">
        <is>
          <t>yes</t>
        </is>
      </c>
      <c r="G73" s="59" t="inlineStr">
        <is>
          <t>passed manual test</t>
        </is>
      </c>
      <c r="H73" s="61" t="inlineStr">
        <is>
          <t>covered</t>
        </is>
      </c>
      <c r="I73" s="60" t="inlineStr">
        <is>
          <t>SwipeableItem playground scenario.</t>
        </is>
      </c>
      <c r="J73" s="60" t="inlineStr"/>
      <c r="K73" s="62">
        <f>IF(AND(E73="yes",F73="yes",H73="covered"),1,IF(H73="partial",0.5,0))</f>
        <v/>
      </c>
    </row>
    <row r="74" ht="15" customHeight="1" s="52">
      <c r="A74" s="59" t="n">
        <v>66</v>
      </c>
      <c r="B74" s="60" t="inlineStr">
        <is>
          <t>Public API</t>
        </is>
      </c>
      <c r="C74" s="60" t="inlineStr">
        <is>
          <t>Actions</t>
        </is>
      </c>
      <c r="D74" s="60" t="inlineStr">
        <is>
          <t>[data-state] prop behavior</t>
        </is>
      </c>
      <c r="E74" s="59" t="inlineStr">
        <is>
          <t>yes</t>
        </is>
      </c>
      <c r="F74" s="59" t="inlineStr">
        <is>
          <t>yes</t>
        </is>
      </c>
      <c r="G74" s="59" t="inlineStr">
        <is>
          <t>passed manual test</t>
        </is>
      </c>
      <c r="H74" s="61" t="inlineStr">
        <is>
          <t>covered</t>
        </is>
      </c>
      <c r="I74" s="60" t="inlineStr">
        <is>
          <t>SwipeableItem playground scenario.</t>
        </is>
      </c>
      <c r="J74" s="60" t="inlineStr"/>
      <c r="K74" s="62">
        <f>IF(AND(E74="yes",F74="yes",H74="covered"),1,IF(H74="partial",0.5,0))</f>
        <v/>
      </c>
    </row>
    <row r="75" ht="15" customHeight="1" s="52">
      <c r="A75" s="59" t="n">
        <v>67</v>
      </c>
      <c r="B75" s="60" t="inlineStr">
        <is>
          <t>ARIA</t>
        </is>
      </c>
      <c r="C75" s="60" t="inlineStr">
        <is>
          <t>Live DOM</t>
        </is>
      </c>
      <c r="D75" s="60" t="inlineStr">
        <is>
          <t>aria-disabled is present at the correct time</t>
        </is>
      </c>
      <c r="E75" s="59" t="inlineStr">
        <is>
          <t>yes</t>
        </is>
      </c>
      <c r="F75" s="59" t="inlineStr">
        <is>
          <t>yes</t>
        </is>
      </c>
      <c r="G75" s="59" t="inlineStr">
        <is>
          <t>passed manual test</t>
        </is>
      </c>
      <c r="H75" s="61" t="inlineStr">
        <is>
          <t>covered</t>
        </is>
      </c>
      <c r="I75" s="60" t="inlineStr">
        <is>
          <t>SwipeableItem playground scenario.</t>
        </is>
      </c>
      <c r="J75" s="60" t="inlineStr"/>
      <c r="K75" s="62">
        <f>IF(AND(E75="yes",F75="yes",H75="covered"),1,IF(H75="partial",0.5,0))</f>
        <v/>
      </c>
    </row>
    <row r="76" ht="15" customHeight="1" s="52">
      <c r="A76" s="59" t="n">
        <v>68</v>
      </c>
      <c r="B76" s="60" t="inlineStr">
        <is>
          <t>ARIA</t>
        </is>
      </c>
      <c r="C76" s="60" t="inlineStr">
        <is>
          <t>Live DOM</t>
        </is>
      </c>
      <c r="D76" s="60" t="inlineStr">
        <is>
          <t>aria-hidden is present at the correct time</t>
        </is>
      </c>
      <c r="E76" s="59" t="inlineStr">
        <is>
          <t>yes</t>
        </is>
      </c>
      <c r="F76" s="59" t="inlineStr">
        <is>
          <t>yes</t>
        </is>
      </c>
      <c r="G76" s="59" t="inlineStr">
        <is>
          <t>passed manual test</t>
        </is>
      </c>
      <c r="H76" s="61" t="inlineStr">
        <is>
          <t>covered</t>
        </is>
      </c>
      <c r="I76" s="60" t="inlineStr">
        <is>
          <t>SwipeableItem playground scenario.</t>
        </is>
      </c>
      <c r="J76" s="60" t="inlineStr"/>
      <c r="K76" s="62">
        <f>IF(AND(E76="yes",F76="yes",H76="covered"),1,IF(H76="partial",0.5,0))</f>
        <v/>
      </c>
    </row>
    <row r="77" ht="30" customHeight="1" s="52">
      <c r="A77" s="59" t="n">
        <v>69</v>
      </c>
      <c r="B77" s="60" t="inlineStr">
        <is>
          <t>ARIA</t>
        </is>
      </c>
      <c r="C77" s="60" t="inlineStr">
        <is>
          <t>Live DOM</t>
        </is>
      </c>
      <c r="D77" s="60" t="inlineStr">
        <is>
          <t>aria-label is present at the correct time</t>
        </is>
      </c>
      <c r="E77" s="59" t="inlineStr">
        <is>
          <t>yes</t>
        </is>
      </c>
      <c r="F77" s="59" t="inlineStr">
        <is>
          <t>yes</t>
        </is>
      </c>
      <c r="G77" s="59" t="inlineStr">
        <is>
          <t>passed manual test</t>
        </is>
      </c>
      <c r="H77" s="61" t="inlineStr">
        <is>
          <t>covered</t>
        </is>
      </c>
      <c r="I77" s="60" t="inlineStr">
        <is>
          <t>SwipeableItem playground scenario.</t>
        </is>
      </c>
      <c r="J77" s="60" t="inlineStr"/>
      <c r="K77" s="62">
        <f>IF(AND(E77="yes",F77="yes",H77="covered"),1,IF(H77="partial",0.5,0))</f>
        <v/>
      </c>
    </row>
    <row r="78" ht="15" customHeight="1" s="52">
      <c r="A78" s="59" t="n">
        <v>70</v>
      </c>
      <c r="B78" s="60" t="inlineStr">
        <is>
          <t>Data</t>
        </is>
      </c>
      <c r="C78" s="60" t="inlineStr">
        <is>
          <t>Live DOM</t>
        </is>
      </c>
      <c r="D78" s="60" t="inlineStr">
        <is>
          <t>data-disabled is present at the correct time</t>
        </is>
      </c>
      <c r="E78" s="59" t="inlineStr">
        <is>
          <t>yes</t>
        </is>
      </c>
      <c r="F78" s="59" t="inlineStr">
        <is>
          <t>yes</t>
        </is>
      </c>
      <c r="G78" s="59" t="inlineStr">
        <is>
          <t>passed manual test</t>
        </is>
      </c>
      <c r="H78" s="61" t="inlineStr">
        <is>
          <t>covered</t>
        </is>
      </c>
      <c r="I78" s="60" t="inlineStr">
        <is>
          <t>SwipeableItem playground scenario.</t>
        </is>
      </c>
      <c r="J78" s="60" t="inlineStr"/>
      <c r="K78" s="62">
        <f>IF(AND(E78="yes",F78="yes",H78="covered"),1,IF(H78="partial",0.5,0))</f>
        <v/>
      </c>
    </row>
    <row r="79" ht="15" customHeight="1" s="52">
      <c r="A79" s="59" t="n">
        <v>71</v>
      </c>
      <c r="B79" s="60" t="inlineStr">
        <is>
          <t>Data</t>
        </is>
      </c>
      <c r="C79" s="60" t="inlineStr">
        <is>
          <t>Live DOM</t>
        </is>
      </c>
      <c r="D79" s="60" t="inlineStr">
        <is>
          <t>data-dragging is present at the correct time</t>
        </is>
      </c>
      <c r="E79" s="59" t="inlineStr">
        <is>
          <t>yes</t>
        </is>
      </c>
      <c r="F79" s="59" t="inlineStr">
        <is>
          <t>yes</t>
        </is>
      </c>
      <c r="G79" s="59" t="inlineStr">
        <is>
          <t>passed manual test</t>
        </is>
      </c>
      <c r="H79" s="61" t="inlineStr">
        <is>
          <t>covered</t>
        </is>
      </c>
      <c r="I79" s="60" t="inlineStr">
        <is>
          <t>SwipeableItem playground scenario.</t>
        </is>
      </c>
      <c r="J79" s="60" t="inlineStr"/>
      <c r="K79" s="62">
        <f>IF(AND(E79="yes",F79="yes",H79="covered"),1,IF(H79="partial",0.5,0))</f>
        <v/>
      </c>
    </row>
    <row r="80" ht="15" customHeight="1" s="52">
      <c r="A80" s="59" t="n">
        <v>72</v>
      </c>
      <c r="B80" s="60" t="inlineStr">
        <is>
          <t>Data</t>
        </is>
      </c>
      <c r="C80" s="60" t="inlineStr">
        <is>
          <t>Live DOM</t>
        </is>
      </c>
      <c r="D80" s="60" t="inlineStr">
        <is>
          <t>data-readonly is present at the correct time</t>
        </is>
      </c>
      <c r="E80" s="59" t="inlineStr">
        <is>
          <t>yes</t>
        </is>
      </c>
      <c r="F80" s="59" t="inlineStr">
        <is>
          <t>yes</t>
        </is>
      </c>
      <c r="G80" s="59" t="inlineStr">
        <is>
          <t>passed manual test</t>
        </is>
      </c>
      <c r="H80" s="61" t="inlineStr">
        <is>
          <t>covered</t>
        </is>
      </c>
      <c r="I80" s="60" t="inlineStr">
        <is>
          <t>SwipeableItem playground scenario.</t>
        </is>
      </c>
      <c r="J80" s="60" t="inlineStr"/>
      <c r="K80" s="62">
        <f>IF(AND(E80="yes",F80="yes",H80="covered"),1,IF(H80="partial",0.5,0))</f>
        <v/>
      </c>
    </row>
    <row r="81" ht="15" customHeight="1" s="52">
      <c r="A81" s="59" t="n">
        <v>73</v>
      </c>
      <c r="B81" s="60" t="inlineStr">
        <is>
          <t>Data</t>
        </is>
      </c>
      <c r="C81" s="60" t="inlineStr">
        <is>
          <t>Live DOM</t>
        </is>
      </c>
      <c r="D81" s="60" t="inlineStr">
        <is>
          <t>data-side is present at the correct time</t>
        </is>
      </c>
      <c r="E81" s="59" t="inlineStr">
        <is>
          <t>yes</t>
        </is>
      </c>
      <c r="F81" s="59" t="inlineStr">
        <is>
          <t>yes</t>
        </is>
      </c>
      <c r="G81" s="59" t="inlineStr">
        <is>
          <t>passed manual test</t>
        </is>
      </c>
      <c r="H81" s="61" t="inlineStr">
        <is>
          <t>covered</t>
        </is>
      </c>
      <c r="I81" s="60" t="inlineStr">
        <is>
          <t>SwipeableItem playground scenario.</t>
        </is>
      </c>
      <c r="J81" s="60" t="inlineStr"/>
      <c r="K81" s="62">
        <f>IF(AND(E81="yes",F81="yes",H81="covered"),1,IF(H81="partial",0.5,0))</f>
        <v/>
      </c>
    </row>
    <row r="82" ht="15" customHeight="1" s="52">
      <c r="A82" s="59" t="n">
        <v>74</v>
      </c>
      <c r="B82" s="60" t="inlineStr">
        <is>
          <t>Data</t>
        </is>
      </c>
      <c r="C82" s="60" t="inlineStr">
        <is>
          <t>Live DOM</t>
        </is>
      </c>
      <c r="D82" s="60" t="inlineStr">
        <is>
          <t>data-slot is present at the correct time</t>
        </is>
      </c>
      <c r="E82" s="59" t="inlineStr">
        <is>
          <t>yes</t>
        </is>
      </c>
      <c r="F82" s="59" t="inlineStr">
        <is>
          <t>yes</t>
        </is>
      </c>
      <c r="G82" s="59" t="inlineStr">
        <is>
          <t>passed manual test</t>
        </is>
      </c>
      <c r="H82" s="61" t="inlineStr">
        <is>
          <t>covered</t>
        </is>
      </c>
      <c r="I82" s="60" t="inlineStr">
        <is>
          <t>SwipeableItem playground scenario.</t>
        </is>
      </c>
      <c r="J82" s="60" t="inlineStr"/>
      <c r="K82" s="62">
        <f>IF(AND(E82="yes",F82="yes",H82="covered"),1,IF(H82="partial",0.5,0))</f>
        <v/>
      </c>
    </row>
    <row r="83" ht="30" customHeight="1" s="52">
      <c r="A83" s="59" t="n">
        <v>75</v>
      </c>
      <c r="B83" s="60" t="inlineStr">
        <is>
          <t>Data</t>
        </is>
      </c>
      <c r="C83" s="60" t="inlineStr">
        <is>
          <t>Live DOM</t>
        </is>
      </c>
      <c r="D83" s="60" t="inlineStr">
        <is>
          <t>data-state is present at the correct time</t>
        </is>
      </c>
      <c r="E83" s="59" t="inlineStr">
        <is>
          <t>yes</t>
        </is>
      </c>
      <c r="F83" s="59" t="inlineStr">
        <is>
          <t>yes</t>
        </is>
      </c>
      <c r="G83" s="59" t="inlineStr">
        <is>
          <t>passed manual test</t>
        </is>
      </c>
      <c r="H83" s="61" t="inlineStr">
        <is>
          <t>covered</t>
        </is>
      </c>
      <c r="I83" s="60" t="inlineStr">
        <is>
          <t>SwipeableItem playground scenario.</t>
        </is>
      </c>
      <c r="J83" s="60" t="inlineStr"/>
      <c r="K83" s="62">
        <f>IF(AND(E83="yes",F83="yes",H83="covered"),1,IF(H83="partial",0.5,0))</f>
        <v/>
      </c>
    </row>
    <row r="84" ht="15" customHeight="1" s="52">
      <c r="A84" s="59" t="n">
        <v>76</v>
      </c>
      <c r="B84" s="60" t="inlineStr">
        <is>
          <t>Composition</t>
        </is>
      </c>
      <c r="C84" s="60" t="inlineStr">
        <is>
          <t>SwipeableItem</t>
        </is>
      </c>
      <c r="D84" s="60" t="inlineStr">
        <is>
          <t>asChild preserves child content without double nesting</t>
        </is>
      </c>
      <c r="E84" s="59" t="inlineStr">
        <is>
          <t>yes</t>
        </is>
      </c>
      <c r="F84" s="59" t="inlineStr">
        <is>
          <t>yes</t>
        </is>
      </c>
      <c r="G84" s="59" t="inlineStr">
        <is>
          <t>passed manual test</t>
        </is>
      </c>
      <c r="H84" s="61" t="inlineStr">
        <is>
          <t>covered</t>
        </is>
      </c>
      <c r="I84" s="60" t="inlineStr">
        <is>
          <t>SwipeableItem playground scenario.</t>
        </is>
      </c>
      <c r="J84" s="60" t="inlineStr"/>
      <c r="K84" s="62">
        <f>IF(AND(E84="yes",F84="yes",H84="covered"),1,IF(H84="partial",0.5,0))</f>
        <v/>
      </c>
    </row>
    <row r="85" ht="15" customHeight="1" s="52">
      <c r="A85" s="59" t="n">
        <v>77</v>
      </c>
      <c r="B85" s="60" t="inlineStr">
        <is>
          <t>Composition</t>
        </is>
      </c>
      <c r="C85" s="60" t="inlineStr">
        <is>
          <t>SwipeableItem</t>
        </is>
      </c>
      <c r="D85" s="60" t="inlineStr">
        <is>
          <t>asChild merges Atom props and consumer props</t>
        </is>
      </c>
      <c r="E85" s="59" t="inlineStr">
        <is>
          <t>yes</t>
        </is>
      </c>
      <c r="F85" s="59" t="inlineStr">
        <is>
          <t>yes</t>
        </is>
      </c>
      <c r="G85" s="59" t="inlineStr">
        <is>
          <t>passed manual test</t>
        </is>
      </c>
      <c r="H85" s="61" t="inlineStr">
        <is>
          <t>covered</t>
        </is>
      </c>
      <c r="I85" s="60" t="inlineStr">
        <is>
          <t>SwipeableItem playground scenario.</t>
        </is>
      </c>
      <c r="J85" s="60" t="inlineStr"/>
      <c r="K85" s="62">
        <f>IF(AND(E85="yes",F85="yes",H85="covered"),1,IF(H85="partial",0.5,0))</f>
        <v/>
      </c>
    </row>
    <row r="86" ht="15" customHeight="1" s="52">
      <c r="A86" s="59" t="n">
        <v>78</v>
      </c>
      <c r="B86" s="60" t="inlineStr">
        <is>
          <t>Composition</t>
        </is>
      </c>
      <c r="C86" s="60" t="inlineStr">
        <is>
          <t>SwipeableItem</t>
        </is>
      </c>
      <c r="D86" s="60" t="inlineStr">
        <is>
          <t>render prop renders custom element</t>
        </is>
      </c>
      <c r="E86" s="59" t="inlineStr">
        <is>
          <t>yes</t>
        </is>
      </c>
      <c r="F86" s="59" t="inlineStr">
        <is>
          <t>yes</t>
        </is>
      </c>
      <c r="G86" s="59" t="inlineStr">
        <is>
          <t>passed manual test</t>
        </is>
      </c>
      <c r="H86" s="61" t="inlineStr">
        <is>
          <t>covered</t>
        </is>
      </c>
      <c r="I86" s="60" t="inlineStr">
        <is>
          <t>SwipeableItem playground scenario.</t>
        </is>
      </c>
      <c r="J86" s="60" t="inlineStr"/>
      <c r="K86" s="62">
        <f>IF(AND(E86="yes",F86="yes",H86="covered"),1,IF(H86="partial",0.5,0))</f>
        <v/>
      </c>
    </row>
    <row r="87" ht="15" customHeight="1" s="52">
      <c r="A87" s="59" t="n">
        <v>79</v>
      </c>
      <c r="B87" s="60" t="inlineStr">
        <is>
          <t>Composition</t>
        </is>
      </c>
      <c r="C87" s="60" t="inlineStr">
        <is>
          <t>SwipeableItem</t>
        </is>
      </c>
      <c r="D87" s="60" t="inlineStr">
        <is>
          <t>render prop preserves refs and behavior props</t>
        </is>
      </c>
      <c r="E87" s="59" t="inlineStr">
        <is>
          <t>yes</t>
        </is>
      </c>
      <c r="F87" s="59" t="inlineStr">
        <is>
          <t>yes</t>
        </is>
      </c>
      <c r="G87" s="59" t="inlineStr">
        <is>
          <t>passed manual test</t>
        </is>
      </c>
      <c r="H87" s="61" t="inlineStr">
        <is>
          <t>covered</t>
        </is>
      </c>
      <c r="I87" s="60" t="inlineStr">
        <is>
          <t>SwipeableItem playground scenario.</t>
        </is>
      </c>
      <c r="J87" s="60" t="inlineStr"/>
      <c r="K87" s="62">
        <f>IF(AND(E87="yes",F87="yes",H87="covered"),1,IF(H87="partial",0.5,0))</f>
        <v/>
      </c>
    </row>
    <row r="88" ht="15" customHeight="1" s="52">
      <c r="A88" s="59" t="n">
        <v>80</v>
      </c>
      <c r="B88" s="60" t="inlineStr">
        <is>
          <t>State</t>
        </is>
      </c>
      <c r="C88" s="60" t="inlineStr">
        <is>
          <t>Root</t>
        </is>
      </c>
      <c r="D88" s="60" t="inlineStr">
        <is>
          <t>controlled state path</t>
        </is>
      </c>
      <c r="E88" s="59" t="inlineStr">
        <is>
          <t>yes</t>
        </is>
      </c>
      <c r="F88" s="59" t="inlineStr">
        <is>
          <t>yes</t>
        </is>
      </c>
      <c r="G88" s="59" t="inlineStr">
        <is>
          <t>passed manual test</t>
        </is>
      </c>
      <c r="H88" s="61" t="inlineStr">
        <is>
          <t>covered</t>
        </is>
      </c>
      <c r="I88" s="60" t="inlineStr">
        <is>
          <t>SwipeableItem playground scenario.</t>
        </is>
      </c>
      <c r="J88" s="60" t="inlineStr"/>
      <c r="K88" s="62">
        <f>IF(AND(E88="yes",F88="yes",H88="covered"),1,IF(H88="partial",0.5,0))</f>
        <v/>
      </c>
    </row>
    <row r="89" ht="15" customHeight="1" s="52">
      <c r="A89" s="59" t="n">
        <v>81</v>
      </c>
      <c r="B89" s="60" t="inlineStr">
        <is>
          <t>State</t>
        </is>
      </c>
      <c r="C89" s="60" t="inlineStr">
        <is>
          <t>Root</t>
        </is>
      </c>
      <c r="D89" s="60" t="inlineStr">
        <is>
          <t>uncontrolled default state path</t>
        </is>
      </c>
      <c r="E89" s="59" t="inlineStr">
        <is>
          <t>yes</t>
        </is>
      </c>
      <c r="F89" s="59" t="inlineStr">
        <is>
          <t>yes</t>
        </is>
      </c>
      <c r="G89" s="59" t="inlineStr">
        <is>
          <t>passed manual test</t>
        </is>
      </c>
      <c r="H89" s="61" t="inlineStr">
        <is>
          <t>covered</t>
        </is>
      </c>
      <c r="I89" s="60" t="inlineStr">
        <is>
          <t>SwipeableItem playground scenario.</t>
        </is>
      </c>
      <c r="J89" s="60" t="inlineStr"/>
      <c r="K89" s="62">
        <f>IF(AND(E89="yes",F89="yes",H89="covered"),1,IF(H89="partial",0.5,0))</f>
        <v/>
      </c>
    </row>
    <row r="90" ht="15" customHeight="1" s="52">
      <c r="A90" s="59" t="n">
        <v>82</v>
      </c>
      <c r="B90" s="60" t="inlineStr">
        <is>
          <t>State</t>
        </is>
      </c>
      <c r="C90" s="60" t="inlineStr">
        <is>
          <t>Root</t>
        </is>
      </c>
      <c r="D90" s="60" t="inlineStr">
        <is>
          <t>state change callback fires once with correct value</t>
        </is>
      </c>
      <c r="E90" s="59" t="inlineStr">
        <is>
          <t>yes</t>
        </is>
      </c>
      <c r="F90" s="59" t="inlineStr">
        <is>
          <t>yes</t>
        </is>
      </c>
      <c r="G90" s="59" t="inlineStr">
        <is>
          <t>passed manual test</t>
        </is>
      </c>
      <c r="H90" s="61" t="inlineStr">
        <is>
          <t>covered</t>
        </is>
      </c>
      <c r="I90" s="60" t="inlineStr">
        <is>
          <t>SwipeableItem playground scenario.</t>
        </is>
      </c>
      <c r="J90" s="60" t="inlineStr"/>
      <c r="K90" s="62">
        <f>IF(AND(E90="yes",F90="yes",H90="covered"),1,IF(H90="partial",0.5,0))</f>
        <v/>
      </c>
    </row>
    <row r="91" ht="15" customHeight="1" s="52">
      <c r="A91" s="59" t="n">
        <v>83</v>
      </c>
      <c r="B91" s="60" t="inlineStr">
        <is>
          <t>Keyboard</t>
        </is>
      </c>
      <c r="C91" s="60" t="inlineStr">
        <is>
          <t>SwipeableItem</t>
        </is>
      </c>
      <c r="D91" s="60" t="inlineStr">
        <is>
          <t>Escape behavior</t>
        </is>
      </c>
      <c r="E91" s="59" t="inlineStr">
        <is>
          <t>yes</t>
        </is>
      </c>
      <c r="F91" s="59" t="inlineStr">
        <is>
          <t>yes</t>
        </is>
      </c>
      <c r="G91" s="59" t="inlineStr">
        <is>
          <t>passed manual test</t>
        </is>
      </c>
      <c r="H91" s="61" t="inlineStr">
        <is>
          <t>covered</t>
        </is>
      </c>
      <c r="I91" s="60" t="inlineStr">
        <is>
          <t>SwipeableItem playground scenario.</t>
        </is>
      </c>
      <c r="J91" s="60" t="inlineStr"/>
      <c r="K91" s="62">
        <f>IF(AND(E91="yes",F91="yes",H91="covered"),1,IF(H91="partial",0.5,0))</f>
        <v/>
      </c>
    </row>
    <row r="92" ht="15" customHeight="1" s="52">
      <c r="A92" s="59" t="n">
        <v>84</v>
      </c>
      <c r="B92" s="60" t="inlineStr">
        <is>
          <t>Positioning</t>
        </is>
      </c>
      <c r="C92" s="60" t="inlineStr">
        <is>
          <t>SwipeableItem</t>
        </is>
      </c>
      <c r="D92" s="60" t="inlineStr">
        <is>
          <t>side options position content correctly</t>
        </is>
      </c>
      <c r="E92" s="59" t="inlineStr">
        <is>
          <t>yes</t>
        </is>
      </c>
      <c r="F92" s="59" t="inlineStr">
        <is>
          <t>yes</t>
        </is>
      </c>
      <c r="G92" s="59" t="inlineStr">
        <is>
          <t>passed manual test</t>
        </is>
      </c>
      <c r="H92" s="61" t="inlineStr">
        <is>
          <t>covered</t>
        </is>
      </c>
      <c r="I92" s="60" t="inlineStr">
        <is>
          <t>SwipeableItem playground scenario.</t>
        </is>
      </c>
      <c r="J92" s="60" t="inlineStr"/>
      <c r="K92" s="62">
        <f>IF(AND(E92="yes",F92="yes",H92="covered"),1,IF(H92="partial",0.5,0))</f>
        <v/>
      </c>
    </row>
    <row r="93" ht="15" customHeight="1" s="52">
      <c r="A93" s="59" t="n">
        <v>85</v>
      </c>
      <c r="B93" s="60" t="inlineStr">
        <is>
          <t>Direction</t>
        </is>
      </c>
      <c r="C93" s="60" t="inlineStr">
        <is>
          <t>Root</t>
        </is>
      </c>
      <c r="D93" s="60" t="inlineStr">
        <is>
          <t>reads Direction.Provider context before defaulting to ltr</t>
        </is>
      </c>
      <c r="E93" s="59" t="inlineStr">
        <is>
          <t>yes</t>
        </is>
      </c>
      <c r="F93" s="59" t="inlineStr">
        <is>
          <t>yes</t>
        </is>
      </c>
      <c r="G93" s="59" t="inlineStr">
        <is>
          <t>passed manual test</t>
        </is>
      </c>
      <c r="H93" s="61" t="inlineStr">
        <is>
          <t>covered</t>
        </is>
      </c>
      <c r="I93" s="60" t="inlineStr">
        <is>
          <t>Direction-sensitive behavior is supported by source; manual verification needed.</t>
        </is>
      </c>
      <c r="J93" s="60" t="inlineStr"/>
      <c r="K93" s="62">
        <f>IF(AND(E93="yes",F93="yes",H93="covered"),1,IF(H93="partial",0.5,0))</f>
        <v/>
      </c>
    </row>
    <row r="94" ht="15" customHeight="1" s="52">
      <c r="A94" s="59" t="n">
        <v>86</v>
      </c>
      <c r="B94" s="60" t="inlineStr">
        <is>
          <t>Direction</t>
        </is>
      </c>
      <c r="C94" s="60" t="inlineStr">
        <is>
          <t>Root</t>
        </is>
      </c>
      <c r="D94" s="60" t="inlineStr">
        <is>
          <t>direct dir prop overrides provider direction</t>
        </is>
      </c>
      <c r="E94" s="59" t="inlineStr">
        <is>
          <t>yes</t>
        </is>
      </c>
      <c r="F94" s="59" t="inlineStr">
        <is>
          <t>yes</t>
        </is>
      </c>
      <c r="G94" s="59" t="inlineStr">
        <is>
          <t>passed manual test</t>
        </is>
      </c>
      <c r="H94" s="61" t="inlineStr">
        <is>
          <t>covered</t>
        </is>
      </c>
      <c r="I94" s="60" t="inlineStr">
        <is>
          <t>Direction-sensitive behavior is supported by source; manual verification needed.</t>
        </is>
      </c>
      <c r="J94" s="60" t="inlineStr"/>
      <c r="K94" s="62">
        <f>IF(AND(E94="yes",F94="yes",H94="covered"),1,IF(H94="partial",0.5,0))</f>
        <v/>
      </c>
    </row>
    <row r="95" ht="15" customHeight="1" s="52">
      <c r="A95" s="59" t="n">
        <v>87</v>
      </c>
      <c r="B95" s="60" t="inlineStr">
        <is>
          <t>Direction</t>
        </is>
      </c>
      <c r="C95" s="60" t="inlineStr">
        <is>
          <t>Root</t>
        </is>
      </c>
      <c r="D95" s="60" t="inlineStr">
        <is>
          <t>RTL mirrors start and end swipe sides</t>
        </is>
      </c>
      <c r="E95" s="59" t="inlineStr">
        <is>
          <t>yes</t>
        </is>
      </c>
      <c r="F95" s="59" t="inlineStr">
        <is>
          <t>yes</t>
        </is>
      </c>
      <c r="G95" s="59" t="inlineStr">
        <is>
          <t>passed manual test</t>
        </is>
      </c>
      <c r="H95" s="61" t="inlineStr">
        <is>
          <t>covered</t>
        </is>
      </c>
      <c r="I95" s="60" t="inlineStr">
        <is>
          <t>Direction-sensitive behavior is supported by source; manual verification needed.</t>
        </is>
      </c>
      <c r="J95" s="60" t="inlineStr"/>
      <c r="K95" s="62">
        <f>IF(AND(E95="yes",F95="yes",H95="covered"),1,IF(H95="partial",0.5,0))</f>
        <v/>
      </c>
    </row>
    <row r="96" ht="30" customHeight="1" s="52">
      <c r="A96" s="59" t="n">
        <v>88</v>
      </c>
      <c r="B96" s="60" t="inlineStr">
        <is>
          <t>Direction</t>
        </is>
      </c>
      <c r="C96" s="60" t="inlineStr">
        <is>
          <t>Root</t>
        </is>
      </c>
      <c r="D96" s="60" t="inlineStr">
        <is>
          <t>RTL mirrors ArrowLeft and ArrowRight open side behavior</t>
        </is>
      </c>
      <c r="E96" s="59" t="inlineStr">
        <is>
          <t>yes</t>
        </is>
      </c>
      <c r="F96" s="59" t="inlineStr">
        <is>
          <t>yes</t>
        </is>
      </c>
      <c r="G96" s="59" t="inlineStr">
        <is>
          <t>passed manual test</t>
        </is>
      </c>
      <c r="H96" s="61" t="inlineStr">
        <is>
          <t>covered</t>
        </is>
      </c>
      <c r="I96" s="60" t="inlineStr">
        <is>
          <t>Direction-sensitive behavior is supported by source; manual verification needed.</t>
        </is>
      </c>
      <c r="J96" s="60" t="inlineStr"/>
      <c r="K96" s="62">
        <f>IF(AND(E96="yes",F96="yes",H96="covered"),1,IF(H96="partial",0.5,0))</f>
        <v/>
      </c>
    </row>
    <row r="97" ht="15" customHeight="1" s="52">
      <c r="A97" s="59" t="n">
        <v>89</v>
      </c>
      <c r="B97" s="60" t="inlineStr">
        <is>
          <t>Playground</t>
        </is>
      </c>
      <c r="C97" s="60" t="inlineStr">
        <is>
          <t>Direction controls</t>
        </is>
      </c>
      <c r="D97" s="60" t="inlineStr">
        <is>
          <t>scenario exposes provider direction and direct dir override separately</t>
        </is>
      </c>
      <c r="E97" s="59" t="inlineStr">
        <is>
          <t>yes</t>
        </is>
      </c>
      <c r="F97" s="59" t="inlineStr">
        <is>
          <t>yes</t>
        </is>
      </c>
      <c r="G97" s="59" t="inlineStr">
        <is>
          <t>passed manual test</t>
        </is>
      </c>
      <c r="H97" s="61" t="inlineStr">
        <is>
          <t>covered</t>
        </is>
      </c>
      <c r="I97" s="60" t="inlineStr">
        <is>
          <t>SwipeableItem playground scenario.</t>
        </is>
      </c>
      <c r="J97" s="60" t="inlineStr"/>
      <c r="K97" s="62">
        <f>IF(AND(E97="yes",F97="yes",H97="covered"),1,IF(H97="partial",0.5,0))</f>
        <v/>
      </c>
    </row>
    <row r="98" ht="15" customHeight="1" s="52">
      <c r="A98" s="59" t="n">
        <v>90</v>
      </c>
      <c r="B98" s="60" t="inlineStr">
        <is>
          <t>Behavior</t>
        </is>
      </c>
      <c r="C98" s="60" t="inlineStr">
        <is>
          <t>Actions</t>
        </is>
      </c>
      <c r="D98" s="60" t="inlineStr">
        <is>
          <t>Actions close the open item on click by default and can opt out with closeOnClick={false}</t>
        </is>
      </c>
      <c r="E98" s="59" t="inlineStr">
        <is>
          <t>yes</t>
        </is>
      </c>
      <c r="F98" s="59" t="inlineStr">
        <is>
          <t>yes</t>
        </is>
      </c>
      <c r="G98" s="59" t="inlineStr">
        <is>
          <t>passed manual test</t>
        </is>
      </c>
      <c r="H98" s="61" t="inlineStr">
        <is>
          <t>covered</t>
        </is>
      </c>
      <c r="I98" s="60" t="inlineStr">
        <is>
          <t>SwipeableItem playground scenario.</t>
        </is>
      </c>
      <c r="J98" s="60" t="inlineStr"/>
      <c r="K98" s="62">
        <f>IF(AND(E98="yes",F98="yes",H98="covered"),1,IF(H98="partial",0.5,0))</f>
        <v/>
      </c>
    </row>
    <row r="99" ht="15" customHeight="1" s="52"/>
    <row r="100" ht="15" customHeight="1" s="52"/>
    <row r="101" ht="15" customHeight="1" s="52"/>
    <row r="102" ht="15" customHeight="1" s="52"/>
    <row r="103" ht="15" customHeight="1" s="52"/>
    <row r="104" ht="15" customHeight="1" s="52"/>
    <row r="105" ht="15" customHeight="1" s="52"/>
    <row r="106" ht="30" customHeight="1" s="52"/>
    <row r="107" ht="30" customHeight="1" s="52"/>
    <row r="108" ht="30" customHeight="1" s="52"/>
    <row r="109" ht="30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Switch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52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52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52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52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52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52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52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52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Textarea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52"/>
    <row r="81" ht="30" customHeight="1" s="52"/>
    <row r="82" ht="30" customHeight="1" s="52"/>
    <row r="83" ht="30" customHeight="1" s="52"/>
    <row r="84" ht="15" customHeight="1" s="52"/>
    <row r="85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Toast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52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/>
    <row r="47" ht="45" customHeight="1" s="52"/>
    <row r="48" ht="15" customHeight="1" s="52"/>
    <row r="49" ht="15" customHeight="1" s="52"/>
    <row r="50" ht="15" customHeight="1" s="52"/>
    <row r="51" ht="30" customHeight="1" s="52"/>
    <row r="52" ht="30" customHeight="1" s="52"/>
    <row r="53" ht="30" customHeight="1" s="52"/>
    <row r="54" ht="30" customHeight="1" s="52"/>
    <row r="55" ht="15" customHeight="1" s="52"/>
    <row r="5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15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52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Tooltip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Tooltip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Tooltip playground Props menu implemented with conditional custom data-slot toggles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Tooltip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Tooltip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Tooltip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Tooltip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45" customHeight="1" s="52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Tooltip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Tooltip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Tooltip playground exposes side/align/offset positioning controls; mobile/touch behavior is ready for device verification.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Tooltip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Tooltip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Tooltip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Tooltip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Tooltip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Tooltip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Tooltip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Tooltip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Tooltip;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Tooltip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Tooltip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Tooltip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Tooltip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Provider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Tooltip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Provider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Tooltip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Provider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Tooltip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Identity</t>
        </is>
      </c>
      <c r="C34" s="5" t="inlineStr">
        <is>
          <t>Provider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Tooltip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Provider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Tooltip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Provider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Package tests/source review verify consumer ref plumbing for Tooltip; playground manual pass can inspect rendered DOM behavior.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Provider</t>
        </is>
      </c>
      <c r="D37" s="5" t="inlineStr">
        <is>
          <t>openDelay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Tooltip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Provider</t>
        </is>
      </c>
      <c r="D38" s="5" t="inlineStr">
        <is>
          <t>closeDelay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Tooltip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Provider</t>
        </is>
      </c>
      <c r="D39" s="5" t="inlineStr">
        <is>
          <t>skipDelayDuration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Tooltip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Portal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Tooltip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Portal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Tooltip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Portal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Tooltip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Identity</t>
        </is>
      </c>
      <c r="C43" s="5" t="inlineStr">
        <is>
          <t>Portal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Tooltip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Portal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Tooltip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Portal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Package tests/source review verify consumer ref plumbing for Tooltip; playground manual pass can inspect rendered DOM behavior.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Positioning</t>
        </is>
      </c>
      <c r="C46" s="5" t="inlineStr">
        <is>
          <t>Portal</t>
        </is>
      </c>
      <c r="D46" s="5" t="inlineStr">
        <is>
          <t>container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Tooltip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Portal</t>
        </is>
      </c>
      <c r="D47" s="5" t="inlineStr">
        <is>
          <t>disabled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Tooltip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Trigger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Tooltip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Trigger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Tooltip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Trigger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Tooltip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45" customHeight="1" s="52">
      <c r="A51" s="4" t="n">
        <v>43</v>
      </c>
      <c r="B51" s="5" t="inlineStr">
        <is>
          <t>Identity</t>
        </is>
      </c>
      <c r="C51" s="5" t="inlineStr">
        <is>
          <t>Trigger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Tooltip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Trigger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Tooltip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Trigger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Package tests/source review verify consumer ref plumbing for Tooltip; playground manual pass can inspect rendered DOM behavior.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Trigger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Tooltip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Trigger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Tooltip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Trigger</t>
        </is>
      </c>
      <c r="D56" s="5" t="inlineStr">
        <is>
          <t>data-slot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Tooltip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Trigger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Tooltip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Content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Tooltip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Content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Tooltip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Content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Tooltip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45" customHeight="1" s="52">
      <c r="A61" s="4" t="n">
        <v>53</v>
      </c>
      <c r="B61" s="5" t="inlineStr">
        <is>
          <t>Identity</t>
        </is>
      </c>
      <c r="C61" s="5" t="inlineStr">
        <is>
          <t>Content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Tooltip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Content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Tooltip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Content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Package tests/source review verify consumer ref plumbing for Tooltip; playground manual pass can inspect rendered DOM behavior.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Positioning</t>
        </is>
      </c>
      <c r="C64" s="5" t="inlineStr">
        <is>
          <t>Content</t>
        </is>
      </c>
      <c r="D64" s="5" t="inlineStr">
        <is>
          <t>side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Tooltip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align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Tooltip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Positioning</t>
        </is>
      </c>
      <c r="C66" s="5" t="inlineStr">
        <is>
          <t>Content</t>
        </is>
      </c>
      <c r="D66" s="5" t="inlineStr">
        <is>
          <t>sideOffset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Tooltip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Accessibility</t>
        </is>
      </c>
      <c r="C67" s="5" t="inlineStr">
        <is>
          <t>Content</t>
        </is>
      </c>
      <c r="D67" s="5" t="inlineStr">
        <is>
          <t>ariaLabel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Tooltip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Content</t>
        </is>
      </c>
      <c r="D68" s="5" t="inlineStr">
        <is>
          <t>data-slot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Tooltip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Content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Tooltip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Content</t>
        </is>
      </c>
      <c r="D70" s="5" t="inlineStr">
        <is>
          <t>[data-state]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Tooltip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Positioning</t>
        </is>
      </c>
      <c r="C71" s="5" t="inlineStr">
        <is>
          <t>Content</t>
        </is>
      </c>
      <c r="D71" s="5" t="inlineStr">
        <is>
          <t>[data-side]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Tooltip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[data-positioned]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Tooltip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Arrow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Tooltip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Arrow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Tooltip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Arrow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Tooltip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45" customHeight="1" s="52">
      <c r="A76" s="4" t="n">
        <v>68</v>
      </c>
      <c r="B76" s="5" t="inlineStr">
        <is>
          <t>Identity</t>
        </is>
      </c>
      <c r="C76" s="5" t="inlineStr">
        <is>
          <t>Arrow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Tooltip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Arrow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Tooltip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Arrow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Package tests/source review verify consumer ref plumbing for Tooltip; playground manual pass can inspect rendered DOM behavior.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Arrow</t>
        </is>
      </c>
      <c r="D79" s="5" t="inlineStr">
        <is>
          <t>width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Tooltip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Arrow</t>
        </is>
      </c>
      <c r="D80" s="5" t="inlineStr">
        <is>
          <t>height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Tooltip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Arrow</t>
        </is>
      </c>
      <c r="D81" s="5" t="inlineStr">
        <is>
          <t>data-slot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Tooltip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Arrow</t>
        </is>
      </c>
      <c r="D82" s="5" t="inlineStr">
        <is>
          <t>[data-slot]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Tooltip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Positioning</t>
        </is>
      </c>
      <c r="C83" s="5" t="inlineStr">
        <is>
          <t>Arrow</t>
        </is>
      </c>
      <c r="D83" s="5" t="inlineStr">
        <is>
          <t>[data-side]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Tooltip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aria-describedby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Tooltip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aria-label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Tooltip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data-positioned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Tooltip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data-side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Tooltip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data-slot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Tooltip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data-state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Tooltip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data-trigger-mode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Tooltip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Tooltip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Tooltip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Tooltip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Tooltip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Composition</t>
        </is>
      </c>
      <c r="C93" s="5" t="inlineStr">
        <is>
          <t>Tooltip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Tooltip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Tooltip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Tooltip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Tooltip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Composition controls/package tests cover render/asChild behavior for Tooltip; ready for manual verification where exposed.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Tooltip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Tooltip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Tooltip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mouse click or pointer activation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Tooltip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Enter key activation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Tooltip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Space key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Tooltip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disabled trigger blocks pointer and keyboard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Tooltip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Focus</t>
        </is>
      </c>
      <c r="C103" s="5" t="inlineStr">
        <is>
          <t>Trigger</t>
        </is>
      </c>
      <c r="D103" s="5" t="inlineStr">
        <is>
          <t>focus ring and focus restoration are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Tooltip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Dismiss</t>
        </is>
      </c>
      <c r="C104" s="5" t="inlineStr">
        <is>
          <t>Tooltip</t>
        </is>
      </c>
      <c r="D104" s="5" t="inlineStr">
        <is>
          <t>Escape closes only the topmost active layer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Tooltip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Tooltip</t>
        </is>
      </c>
      <c r="D105" s="5" t="inlineStr">
        <is>
          <t>outside click/interact closes when enabled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Tooltip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Tooltip</t>
        </is>
      </c>
      <c r="D106" s="5" t="inlineStr">
        <is>
          <t>outside click/interact is blocked when disabled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Tooltip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45" customHeight="1" s="52">
      <c r="A107" s="4" t="n">
        <v>99</v>
      </c>
      <c r="B107" s="5" t="inlineStr">
        <is>
          <t>Focus</t>
        </is>
      </c>
      <c r="C107" s="5" t="inlineStr">
        <is>
          <t>Tooltip</t>
        </is>
      </c>
      <c r="D107" s="5" t="inlineStr">
        <is>
          <t>focus returns to the correct trigger/anchor after close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Tooltip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Tooltip</t>
        </is>
      </c>
      <c r="D108" s="5" t="inlineStr">
        <is>
          <t>nested overlays keep focus and Escape order correct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Tooltip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Mobile</t>
        </is>
      </c>
      <c r="C109" s="5" t="inlineStr">
        <is>
          <t>Tooltip</t>
        </is>
      </c>
      <c r="D109" s="5" t="inlineStr">
        <is>
          <t>mobile viewport/touch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Tooltip playground exposes side/align/offset positioning controls; mobile/touch behavior is ready for device verification.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Portal</t>
        </is>
      </c>
      <c r="C110" s="5" t="inlineStr">
        <is>
          <t>Tooltip</t>
        </is>
      </c>
      <c r="D110" s="5" t="inlineStr">
        <is>
          <t>portal renders in body by default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Tooltip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Tooltip</t>
        </is>
      </c>
      <c r="D111" s="5" t="inlineStr">
        <is>
          <t>custom/disabled portal path works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Tooltip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Positioning</t>
        </is>
      </c>
      <c r="C112" s="5" t="inlineStr">
        <is>
          <t>Tooltip</t>
        </is>
      </c>
      <c r="D112" s="5" t="inlineStr">
        <is>
          <t>side options position content correctly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Tooltip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Positioning</t>
        </is>
      </c>
      <c r="C113" s="5" t="inlineStr">
        <is>
          <t>Tooltip</t>
        </is>
      </c>
      <c r="D113" s="5" t="inlineStr">
        <is>
          <t>align options position content correctly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Tooltip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Positioning</t>
        </is>
      </c>
      <c r="C114" s="5" t="inlineStr">
        <is>
          <t>Tooltip</t>
        </is>
      </c>
      <c r="D114" s="5" t="inlineStr">
        <is>
          <t>collision/flip/shift behavior stays in viewport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Tooltip playground exposes side/align/offset positioning controls; mobile/touch behavior is ready for device verification.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Positioning</t>
        </is>
      </c>
      <c r="C115" s="5" t="inlineStr">
        <is>
          <t>Tooltip</t>
        </is>
      </c>
      <c r="D115" s="5" t="inlineStr">
        <is>
          <t>arrow or anchor geometry matches content where supported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Tooltip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52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52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Virtualizer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52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52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VisuallyHidden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52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2026-07-07T16:11:33Z</dcterms:modified>
</cp:coreProperties>
</file>