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</sheets>
  <definedNames>
    <definedName name="_xlnm._FilterDatabase" localSheetId="0" hidden="1">'Index'!$A$6:$I$72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'NavigationMenu'!$A$8:$K$133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2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73" t="inlineStr">
        <is>
          <t>AspectRatio</t>
        </is>
      </c>
      <c r="B10" s="74">
        <f>COUNT('AspectRatio'!A9:A500)</f>
        <v/>
      </c>
      <c r="C10" s="74">
        <f>COUNTIF('AspectRatio'!H9:H500,"covered")</f>
        <v/>
      </c>
      <c r="D10" s="74">
        <f>COUNTIF('AspectRatio'!H9:H500,"partial")</f>
        <v/>
      </c>
      <c r="E10" s="74">
        <f>COUNTIF('AspectRatio'!H9:H500,"missing")</f>
        <v/>
      </c>
      <c r="F10" s="74">
        <f>COUNTIF('AspectRatio'!H9:H500,"untested")</f>
        <v/>
      </c>
      <c r="G10" s="75">
        <f>IFERROR(C10/B10,0)</f>
        <v/>
      </c>
      <c r="H10" s="74">
        <f>IF(AND(B10&gt;0,I10=0,G10=1),"Done","Open")</f>
        <v/>
      </c>
      <c r="I10" s="74">
        <f>MAX(0,B10-C10)</f>
        <v/>
      </c>
    </row>
    <row r="11" ht="15" customHeight="1" s="58">
      <c r="A11" s="76" t="inlineStr">
        <is>
          <t>Avatar</t>
        </is>
      </c>
      <c r="B11" s="77">
        <f>COUNT('Avatar'!A9:A500)</f>
        <v/>
      </c>
      <c r="C11" s="77">
        <f>COUNTIF('Avatar'!H9:H500,"covered")</f>
        <v/>
      </c>
      <c r="D11" s="77">
        <f>COUNTIF('Avatar'!H9:H500,"partial")</f>
        <v/>
      </c>
      <c r="E11" s="77">
        <f>COUNTIF('Avatar'!H9:H500,"missing")</f>
        <v/>
      </c>
      <c r="F11" s="77">
        <f>COUNTIF('Avatar'!H9:H500,"untested")</f>
        <v/>
      </c>
      <c r="G11" s="75">
        <f>IFERROR(C11/B11,0)</f>
        <v/>
      </c>
      <c r="H11" s="74">
        <f>IF(AND(B11&gt;0,I11=0,G11=1),"Done","Open")</f>
        <v/>
      </c>
      <c r="I11" s="74">
        <f>MAX(0,B11-C11)</f>
        <v/>
      </c>
    </row>
    <row r="12" ht="15" customHeight="1" s="58">
      <c r="A12" s="76" t="inlineStr">
        <is>
          <t>Badge</t>
        </is>
      </c>
      <c r="B12" s="77">
        <f>COUNT('Badge'!A9:A500)</f>
        <v/>
      </c>
      <c r="C12" s="77">
        <f>COUNTIF('Badge'!H9:H500,"covered")</f>
        <v/>
      </c>
      <c r="D12" s="77">
        <f>COUNTIF('Badge'!H9:H500,"partial")</f>
        <v/>
      </c>
      <c r="E12" s="77">
        <f>COUNTIF('Badge'!H9:H500,"missing")</f>
        <v/>
      </c>
      <c r="F12" s="77">
        <f>COUNTIF('Badge'!H9:H500,"untested")</f>
        <v/>
      </c>
      <c r="G12" s="75">
        <f>IFERROR(C12/B12,0)</f>
        <v/>
      </c>
      <c r="H12" s="74">
        <f>IF(AND(B12&gt;0,I12=0,G12=1),"Done","Open")</f>
        <v/>
      </c>
      <c r="I12" s="74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76" t="inlineStr">
        <is>
          <t>Button</t>
        </is>
      </c>
      <c r="B15" s="77">
        <f>COUNT('Button'!A9:A500)</f>
        <v/>
      </c>
      <c r="C15" s="77">
        <f>COUNTIF('Button'!H9:H500,"covered")</f>
        <v/>
      </c>
      <c r="D15" s="77">
        <f>COUNTIF('Button'!H9:H500,"partial")</f>
        <v/>
      </c>
      <c r="E15" s="77">
        <f>COUNTIF('Button'!H9:H500,"missing")</f>
        <v/>
      </c>
      <c r="F15" s="77">
        <f>COUNTIF('Button'!H9:H500,"untested")</f>
        <v/>
      </c>
      <c r="G15" s="75">
        <f>IFERROR(C15/B15,0)</f>
        <v/>
      </c>
      <c r="H15" s="74">
        <f>IF(AND(B15&gt;0,I15=0,G15=1),"Done","Open")</f>
        <v/>
      </c>
      <c r="I15" s="74">
        <f>MAX(0,B15-C15)</f>
        <v/>
      </c>
    </row>
    <row r="16" ht="15" customHeight="1" s="58">
      <c r="A16" s="76" t="inlineStr">
        <is>
          <t>Checkbox</t>
        </is>
      </c>
      <c r="B16" s="77">
        <f>COUNT('Checkbox'!A9:A500)</f>
        <v/>
      </c>
      <c r="C16" s="77">
        <f>COUNTIF('Checkbox'!H9:H500,"covered")</f>
        <v/>
      </c>
      <c r="D16" s="77">
        <f>COUNTIF('Checkbox'!H9:H500,"partial")</f>
        <v/>
      </c>
      <c r="E16" s="77">
        <f>COUNTIF('Checkbox'!H9:H500,"missing")</f>
        <v/>
      </c>
      <c r="F16" s="77">
        <f>COUNTIF('Checkbox'!H9:H500,"untested")</f>
        <v/>
      </c>
      <c r="G16" s="75">
        <f>IFERROR(C16/B16,0)</f>
        <v/>
      </c>
      <c r="H16" s="74">
        <f>IF(AND(B16&gt;0,I16=0,G16=1),"Done","Open")</f>
        <v/>
      </c>
      <c r="I16" s="74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Collapsible</t>
        </is>
      </c>
      <c r="B18" s="70">
        <f>COUNT('Collapsible'!A9:A500)</f>
        <v/>
      </c>
      <c r="C18" s="70">
        <f>COUNTIF('Collapsible'!H9:H500,"covered")</f>
        <v/>
      </c>
      <c r="D18" s="70">
        <f>COUNTIF('Collapsible'!H9:H500,"partial")</f>
        <v/>
      </c>
      <c r="E18" s="70">
        <f>COUNTIF('Collapsible'!H9:H500,"missing")</f>
        <v/>
      </c>
      <c r="F18" s="70">
        <f>COUNTIF('Collapsible'!H9:H500,"untested")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73" t="inlineStr">
        <is>
          <t>Collection</t>
        </is>
      </c>
      <c r="B19" s="74">
        <f>COUNT('Collection'!A9:A500)</f>
        <v/>
      </c>
      <c r="C19" s="74">
        <f>COUNTIF('Collection'!H9:H500,"covered")</f>
        <v/>
      </c>
      <c r="D19" s="74">
        <f>COUNTIF('Collection'!H9:H500,"partial")</f>
        <v/>
      </c>
      <c r="E19" s="74">
        <f>COUNTIF('Collection'!H9:H500,"missing")</f>
        <v/>
      </c>
      <c r="F19" s="74">
        <f>COUNTIF('Collection'!H9:H500,"untested")</f>
        <v/>
      </c>
      <c r="G19" s="75">
        <f>IFERROR(C19/B19,0)</f>
        <v/>
      </c>
      <c r="H19" s="74">
        <f>IF(AND(B19&gt;0,I19=0,G19=1),"Done","Open")</f>
        <v/>
      </c>
      <c r="I19" s="74">
        <f>MAX(0,B19-C19)</f>
        <v/>
      </c>
    </row>
    <row r="20" ht="15" customHeight="1" s="58">
      <c r="A20" s="76" t="inlineStr">
        <is>
          <t>Combobox</t>
        </is>
      </c>
      <c r="B20" s="77">
        <f>COUNT('Combobox'!A9:A500)</f>
        <v/>
      </c>
      <c r="C20" s="77">
        <f>COUNTIF('Combobox'!H9:H500,"covered")</f>
        <v/>
      </c>
      <c r="D20" s="77">
        <f>COUNTIF('Combobox'!H9:H500,"partial")</f>
        <v/>
      </c>
      <c r="E20" s="77">
        <f>COUNTIF('Combobox'!H9:H500,"missing")</f>
        <v/>
      </c>
      <c r="F20" s="77">
        <f>COUNTIF('Combobox'!H9:H500,"untested")</f>
        <v/>
      </c>
      <c r="G20" s="75">
        <f>IFERROR(C20/B20,0)</f>
        <v/>
      </c>
      <c r="H20" s="74">
        <f>IF(AND(B20&gt;0,I20=0,G20=1),"Done","Open")</f>
        <v/>
      </c>
      <c r="I20" s="74">
        <f>MAX(0,B20-C20)</f>
        <v/>
      </c>
    </row>
    <row r="21" ht="15" customHeight="1" s="58">
      <c r="A21" s="69" t="inlineStr">
        <is>
          <t>ContextMenu</t>
        </is>
      </c>
      <c r="B21" s="70">
        <f>COUNT('ContextMenu'!A9:A500)</f>
        <v/>
      </c>
      <c r="C21" s="70">
        <f>COUNTIF('ContextMenu'!H9:H500,"covered")</f>
        <v/>
      </c>
      <c r="D21" s="70">
        <f>COUNTIF('ContextMenu'!H9:H500,"partial")</f>
        <v/>
      </c>
      <c r="E21" s="70">
        <f>COUNTIF('ContextMenu'!H9:H500,"missing")</f>
        <v/>
      </c>
      <c r="F21" s="70">
        <f>COUNTIF('ContextMenu'!H9:H500,"untested")</f>
        <v/>
      </c>
      <c r="G21" s="71">
        <f>IFERROR(C21/B21,0)</f>
        <v/>
      </c>
      <c r="H21" s="72">
        <f>IF(AND(B21&gt;0,I21=0,G21=1),"Done","Open")</f>
        <v/>
      </c>
      <c r="I21" s="72">
        <f>MAX(0,B21-C21)</f>
        <v/>
      </c>
    </row>
    <row r="22" ht="15" customHeight="1" s="58">
      <c r="A22" s="69" t="inlineStr">
        <is>
          <t>DataGrid</t>
        </is>
      </c>
      <c r="B22" s="70">
        <f>COUNT('DataGrid'!A9:A500)</f>
        <v/>
      </c>
      <c r="C22" s="70">
        <f>COUNTIF('DataGrid'!H9:H500,"covered")</f>
        <v/>
      </c>
      <c r="D22" s="70">
        <f>COUNTIF('DataGrid'!H9:H500,"partial")</f>
        <v/>
      </c>
      <c r="E22" s="70">
        <f>COUNTIF('DataGrid'!H9:H500,"missing")</f>
        <v/>
      </c>
      <c r="F22" s="70">
        <f>COUNTIF('DataGrid'!H9:H500,"untested")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76" t="inlineStr">
        <is>
          <t>Dialog</t>
        </is>
      </c>
      <c r="B23" s="77">
        <f>COUNT('Dialog'!A9:A500)</f>
        <v/>
      </c>
      <c r="C23" s="77">
        <f>COUNTIF('Dialog'!H9:H500,"covered")</f>
        <v/>
      </c>
      <c r="D23" s="77">
        <f>COUNTIF('Dialog'!H9:H500,"partial")</f>
        <v/>
      </c>
      <c r="E23" s="77">
        <f>COUNTIF('Dialog'!H9:H500,"missing")</f>
        <v/>
      </c>
      <c r="F23" s="77">
        <f>COUNTIF('Dialog'!H9:H500,"untested")</f>
        <v/>
      </c>
      <c r="G23" s="75">
        <f>IFERROR(C23/B23,0)</f>
        <v/>
      </c>
      <c r="H23" s="74">
        <f>IF(AND(B23&gt;0,I23=0,G23=1),"Done","Open")</f>
        <v/>
      </c>
      <c r="I23" s="74">
        <f>MAX(0,B23-C23)</f>
        <v/>
      </c>
    </row>
    <row r="24" ht="15" customHeight="1" s="58">
      <c r="A24" s="73" t="inlineStr">
        <is>
          <t>Direction</t>
        </is>
      </c>
      <c r="B24" s="74">
        <f>COUNT('Direction'!A9:A500)</f>
        <v/>
      </c>
      <c r="C24" s="74">
        <f>COUNTIF('Direction'!H9:H500,"covered")</f>
        <v/>
      </c>
      <c r="D24" s="74">
        <f>COUNTIF('Direction'!H9:H500,"partial")</f>
        <v/>
      </c>
      <c r="E24" s="74">
        <f>COUNTIF('Direction'!H9:H500,"missing")</f>
        <v/>
      </c>
      <c r="F24" s="74">
        <f>COUNTIF('Direction'!H9:H500,"untested")</f>
        <v/>
      </c>
      <c r="G24" s="75">
        <f>IFERROR(C24/B24,0)</f>
        <v/>
      </c>
      <c r="H24" s="74">
        <f>IF(AND(B24&gt;0,I24=0,G24=1),"Done","Open")</f>
        <v/>
      </c>
      <c r="I24" s="74">
        <f>MAX(0,B24-C24)</f>
        <v/>
      </c>
    </row>
    <row r="25" ht="15" customHeight="1" s="58">
      <c r="A25" s="73" t="inlineStr">
        <is>
          <t>Divider</t>
        </is>
      </c>
      <c r="B25" s="74">
        <f>COUNT('Divider'!A9:A500)</f>
        <v/>
      </c>
      <c r="C25" s="74">
        <f>COUNTIF('Divider'!H9:H500,"covered")</f>
        <v/>
      </c>
      <c r="D25" s="74">
        <f>COUNTIF('Divider'!H9:H500,"partial")</f>
        <v/>
      </c>
      <c r="E25" s="74">
        <f>COUNTIF('Divider'!H9:H500,"missing")</f>
        <v/>
      </c>
      <c r="F25" s="74">
        <f>COUNTIF('Divider'!H9:H500,"untested")</f>
        <v/>
      </c>
      <c r="G25" s="75">
        <f>IFERROR(C25/B25,0)</f>
        <v/>
      </c>
      <c r="H25" s="74">
        <f>IF(AND(B25&gt;0,I25=0,G25=1),"Done","Open")</f>
        <v/>
      </c>
      <c r="I25" s="74">
        <f>MAX(0,B25-C25)</f>
        <v/>
      </c>
    </row>
    <row r="26" ht="15" customHeight="1" s="58">
      <c r="A26" s="69" t="inlineStr">
        <is>
          <t>Drawer</t>
        </is>
      </c>
      <c r="B26" s="70">
        <f>COUNT('Drawer'!A9:A500)</f>
        <v/>
      </c>
      <c r="C26" s="70">
        <f>COUNTIF('Drawer'!H9:H500,"covered")</f>
        <v/>
      </c>
      <c r="D26" s="70">
        <f>COUNTIF('Drawer'!H9:H500,"partial")</f>
        <v/>
      </c>
      <c r="E26" s="70">
        <f>COUNTIF('Drawer'!H9:H500,"missing")</f>
        <v/>
      </c>
      <c r="F26" s="70">
        <f>COUNTIF('Drawer'!H9:H500,"untested")</f>
        <v/>
      </c>
      <c r="G26" s="71">
        <f>IFERROR(C26/B26,0)</f>
        <v/>
      </c>
      <c r="H26" s="72">
        <f>IF(AND(B26&gt;0,I26=0,G26=1),"Done","Open")</f>
        <v/>
      </c>
      <c r="I26" s="72">
        <f>MAX(0,B26-C26)</f>
        <v/>
      </c>
    </row>
    <row r="27" ht="15" customHeight="1" s="58">
      <c r="A27" s="76" t="inlineStr">
        <is>
          <t>DropdownMenu</t>
        </is>
      </c>
      <c r="B27" s="77">
        <f>COUNT('DropdownMenu'!A9:A500)</f>
        <v/>
      </c>
      <c r="C27" s="77">
        <f>COUNTIF('DropdownMenu'!H9:H500,"covered")</f>
        <v/>
      </c>
      <c r="D27" s="77">
        <f>COUNTIF('DropdownMenu'!H9:H500,"partial")</f>
        <v/>
      </c>
      <c r="E27" s="77">
        <f>COUNTIF('DropdownMenu'!H9:H500,"missing")</f>
        <v/>
      </c>
      <c r="F27" s="77">
        <f>COUNTIF('DropdownMenu'!H9:H500,"untested")</f>
        <v/>
      </c>
      <c r="G27" s="75">
        <f>IFERROR(C27/B27,0)</f>
        <v/>
      </c>
      <c r="H27" s="74">
        <f>IF(AND(B27&gt;0,I27=0,G27=1),"Done","Open")</f>
        <v/>
      </c>
      <c r="I27" s="74">
        <f>MAX(0,B27-C27)</f>
        <v/>
      </c>
    </row>
    <row r="28" ht="15" customHeight="1" s="58">
      <c r="A28" s="69" t="inlineStr">
        <is>
          <t>Feed</t>
        </is>
      </c>
      <c r="B28" s="70">
        <f>COUNT('Feed'!A9:A500)</f>
        <v/>
      </c>
      <c r="C28" s="70">
        <f>COUNTIF('Feed'!H9:H500,"covered")</f>
        <v/>
      </c>
      <c r="D28" s="70">
        <f>COUNTIF('Feed'!H9:H500,"partial")</f>
        <v/>
      </c>
      <c r="E28" s="70">
        <f>COUNTIF('Feed'!H9:H500,"missing")</f>
        <v/>
      </c>
      <c r="F28" s="70">
        <f>COUNTIF('Feed'!H9:H500,"untested")</f>
        <v/>
      </c>
      <c r="G28" s="71">
        <f>IFERROR(C28/B28,0)</f>
        <v/>
      </c>
      <c r="H28" s="72">
        <f>IF(AND(B28&gt;0,I28=0,G28=1),"Done","Open")</f>
        <v/>
      </c>
      <c r="I28" s="72">
        <f>MAX(0,B28-C28)</f>
        <v/>
      </c>
    </row>
    <row r="29" ht="15" customHeight="1" s="58">
      <c r="A29" s="76" t="inlineStr">
        <is>
          <t>Field</t>
        </is>
      </c>
      <c r="B29" s="77">
        <f>COUNT('Field'!A9:A500)</f>
        <v/>
      </c>
      <c r="C29" s="77">
        <f>COUNTIF('Field'!H9:H500,"covered")</f>
        <v/>
      </c>
      <c r="D29" s="77">
        <f>COUNTIF('Field'!H9:H500,"partial")</f>
        <v/>
      </c>
      <c r="E29" s="77">
        <f>COUNTIF('Field'!H9:H500,"missing")</f>
        <v/>
      </c>
      <c r="F29" s="77">
        <f>COUNTIF('Field'!H9:H500,"untested")</f>
        <v/>
      </c>
      <c r="G29" s="75">
        <f>IFERROR(C29/B29,0)</f>
        <v/>
      </c>
      <c r="H29" s="74">
        <f>IF(AND(B29&gt;0,I29=0,G29=1),"Done","Open")</f>
        <v/>
      </c>
      <c r="I29" s="74">
        <f>MAX(0,B29-C29)</f>
        <v/>
      </c>
    </row>
    <row r="30" ht="15" customHeight="1" s="58">
      <c r="A30" s="76" t="inlineStr">
        <is>
          <t>Fieldset</t>
        </is>
      </c>
      <c r="B30" s="77">
        <f>COUNT('Fieldset'!A9:A500)</f>
        <v/>
      </c>
      <c r="C30" s="77">
        <f>COUNTIF('Fieldset'!H9:H500,"covered")</f>
        <v/>
      </c>
      <c r="D30" s="77">
        <f>COUNTIF('Fieldset'!H9:H500,"partial")</f>
        <v/>
      </c>
      <c r="E30" s="77">
        <f>COUNTIF('Fieldset'!H9:H500,"missing")</f>
        <v/>
      </c>
      <c r="F30" s="77">
        <f>COUNTIF('Fieldset'!H9:H500,"untested")</f>
        <v/>
      </c>
      <c r="G30" s="75">
        <f>IFERROR(C30/B30,0)</f>
        <v/>
      </c>
      <c r="H30" s="74">
        <f>IF(AND(B30&gt;0,I30=0,G30=1),"Done","Open")</f>
        <v/>
      </c>
      <c r="I30" s="74">
        <f>MAX(0,B30-C30)</f>
        <v/>
      </c>
    </row>
    <row r="31" ht="15" customHeight="1" s="58">
      <c r="A31" s="76" t="inlineStr">
        <is>
          <t>FileUpload</t>
        </is>
      </c>
      <c r="B31" s="77">
        <f>COUNT('FileUpload'!A9:A500)</f>
        <v/>
      </c>
      <c r="C31" s="77">
        <f>COUNTIF('FileUpload'!H9:H500,"covered")</f>
        <v/>
      </c>
      <c r="D31" s="77">
        <f>COUNTIF('FileUpload'!H9:H500,"partial")</f>
        <v/>
      </c>
      <c r="E31" s="77">
        <f>COUNTIF('FileUpload'!H9:H500,"missing")</f>
        <v/>
      </c>
      <c r="F31" s="77">
        <f>COUNTIF('FileUpload'!H9:H500,"untested")</f>
        <v/>
      </c>
      <c r="G31" s="75">
        <f>IFERROR(C31/B31,0)</f>
        <v/>
      </c>
      <c r="H31" s="74">
        <f>IF(AND(B31&gt;0,I31=0,G31=1),"Done","Open")</f>
        <v/>
      </c>
      <c r="I31" s="74">
        <f>MAX(0,B31-C31)</f>
        <v/>
      </c>
    </row>
    <row r="32" ht="15" customHeight="1" s="58">
      <c r="A32" s="76" t="inlineStr">
        <is>
          <t>Form</t>
        </is>
      </c>
      <c r="B32" s="77">
        <f>COUNT('Form'!A9:A500)</f>
        <v/>
      </c>
      <c r="C32" s="77">
        <f>COUNTIF('Form'!H9:H500,"covered")</f>
        <v/>
      </c>
      <c r="D32" s="77">
        <f>COUNTIF('Form'!H9:H500,"partial")</f>
        <v/>
      </c>
      <c r="E32" s="77">
        <f>COUNTIF('Form'!H9:H500,"missing")</f>
        <v/>
      </c>
      <c r="F32" s="77">
        <f>COUNTIF('Form'!H9:H500,"untested")</f>
        <v/>
      </c>
      <c r="G32" s="75">
        <f>IFERROR(C32/B32,0)</f>
        <v/>
      </c>
      <c r="H32" s="74">
        <f>IF(AND(B32&gt;0,I32=0,G32=1),"Done","Open")</f>
        <v/>
      </c>
      <c r="I32" s="74">
        <f>MAX(0,B32-C32)</f>
        <v/>
      </c>
    </row>
    <row r="33" ht="15" customHeight="1" s="58">
      <c r="A33" s="69" t="inlineStr">
        <is>
          <t>HoverCard</t>
        </is>
      </c>
      <c r="B33" s="70">
        <f>COUNT('HoverCard'!A9:A500)</f>
        <v/>
      </c>
      <c r="C33" s="70">
        <f>COUNTIF('HoverCard'!H9:H500,"covered")</f>
        <v/>
      </c>
      <c r="D33" s="70">
        <f>COUNTIF('HoverCard'!H9:H500,"partial")</f>
        <v/>
      </c>
      <c r="E33" s="70">
        <f>COUNTIF('HoverCard'!H9:H500,"missing")</f>
        <v/>
      </c>
      <c r="F33" s="70">
        <f>COUNTIF('HoverCard'!H9:H500,"untested")</f>
        <v/>
      </c>
      <c r="G33" s="71">
        <f>IFERROR(C33/B33,0)</f>
        <v/>
      </c>
      <c r="H33" s="72">
        <f>IF(AND(B33&gt;0,I33=0,G33=1),"Done","Open")</f>
        <v/>
      </c>
      <c r="I33" s="72">
        <f>MAX(0,B33-C33)</f>
        <v/>
      </c>
    </row>
    <row r="34" ht="15" customHeight="1" s="58">
      <c r="A34" s="76" t="inlineStr">
        <is>
          <t>Input</t>
        </is>
      </c>
      <c r="B34" s="77">
        <f>COUNT('Input'!A9:A500)</f>
        <v/>
      </c>
      <c r="C34" s="77">
        <f>COUNTIF('Input'!H9:H500,"covered")</f>
        <v/>
      </c>
      <c r="D34" s="77">
        <f>COUNTIF('Input'!H9:H500,"partial")</f>
        <v/>
      </c>
      <c r="E34" s="77">
        <f>COUNTIF('Input'!H9:H500,"missing")</f>
        <v/>
      </c>
      <c r="F34" s="77">
        <f>COUNTIF('Input'!H9:H500,"untested")</f>
        <v/>
      </c>
      <c r="G34" s="75">
        <f>IFERROR(C34/B34,0)</f>
        <v/>
      </c>
      <c r="H34" s="74">
        <f>IF(AND(B34&gt;0,I34=0,G34=1),"Done","Open")</f>
        <v/>
      </c>
      <c r="I34" s="74">
        <f>MAX(0,B34-C34)</f>
        <v/>
      </c>
    </row>
    <row r="35" ht="15" customHeight="1" s="58">
      <c r="A35" s="76" t="inlineStr">
        <is>
          <t>Label</t>
        </is>
      </c>
      <c r="B35" s="77">
        <f>COUNT('Label'!A9:A500)</f>
        <v/>
      </c>
      <c r="C35" s="77">
        <f>COUNTIF('Label'!H9:H500,"covered")</f>
        <v/>
      </c>
      <c r="D35" s="77">
        <f>COUNTIF('Label'!H9:H500,"partial")</f>
        <v/>
      </c>
      <c r="E35" s="77">
        <f>COUNTIF('Label'!H9:H500,"missing")</f>
        <v/>
      </c>
      <c r="F35" s="77">
        <f>COUNTIF('Label'!H9:H500,"untested")</f>
        <v/>
      </c>
      <c r="G35" s="75">
        <f>IFERROR(C35/B35,0)</f>
        <v/>
      </c>
      <c r="H35" s="74">
        <f>IF(AND(B35&gt;0,I35=0,G35=1),"Done","Open")</f>
        <v/>
      </c>
      <c r="I35" s="74">
        <f>MAX(0,B35-C35)</f>
        <v/>
      </c>
    </row>
    <row r="36" ht="15" customHeight="1" s="58">
      <c r="A36" s="76" t="inlineStr">
        <is>
          <t>Link</t>
        </is>
      </c>
      <c r="B36" s="77">
        <f>COUNT('Link'!A9:A500)</f>
        <v/>
      </c>
      <c r="C36" s="77">
        <f>COUNTIF('Link'!H9:H500,"covered")</f>
        <v/>
      </c>
      <c r="D36" s="77">
        <f>COUNTIF('Link'!H9:H500,"partial")</f>
        <v/>
      </c>
      <c r="E36" s="77">
        <f>COUNTIF('Link'!H9:H500,"missing")</f>
        <v/>
      </c>
      <c r="F36" s="77">
        <f>COUNTIF('Link'!H9:H500,"untested")</f>
        <v/>
      </c>
      <c r="G36" s="75">
        <f>IFERROR(C36/B36,0)</f>
        <v/>
      </c>
      <c r="H36" s="74">
        <f>IF(AND(B36&gt;0,I36=0,G36=1),"Done","Open")</f>
        <v/>
      </c>
      <c r="I36" s="74">
        <f>MAX(0,B36-C36)</f>
        <v/>
      </c>
    </row>
    <row r="37" ht="15" customHeight="1" s="58">
      <c r="A37" s="76" t="inlineStr">
        <is>
          <t>List</t>
        </is>
      </c>
      <c r="B37" s="77">
        <f>COUNT('List'!A9:A500)</f>
        <v/>
      </c>
      <c r="C37" s="77">
        <f>COUNTIF('List'!H9:H500,"covered")</f>
        <v/>
      </c>
      <c r="D37" s="77">
        <f>COUNTIF('List'!H9:H500,"partial")</f>
        <v/>
      </c>
      <c r="E37" s="77">
        <f>COUNTIF('List'!H9:H500,"missing")</f>
        <v/>
      </c>
      <c r="F37" s="77">
        <f>COUNTIF('List'!H9:H500,"untested")</f>
        <v/>
      </c>
      <c r="G37" s="75">
        <f>IFERROR(C37/B37,0)</f>
        <v/>
      </c>
      <c r="H37" s="74">
        <f>IF(AND(B37&gt;0,I37=0,G37=1),"Done","Open")</f>
        <v/>
      </c>
      <c r="I37" s="74">
        <f>MAX(0,B37-C37)</f>
        <v/>
      </c>
    </row>
    <row r="38" ht="15" customHeight="1" s="58">
      <c r="A38" s="76" t="inlineStr">
        <is>
          <t>Listbox</t>
        </is>
      </c>
      <c r="B38" s="77">
        <f>COUNT('Listbox'!A9:A500)</f>
        <v/>
      </c>
      <c r="C38" s="77">
        <f>COUNTIF('Listbox'!H9:H500,"covered")</f>
        <v/>
      </c>
      <c r="D38" s="77">
        <f>COUNTIF('Listbox'!H9:H500,"partial")</f>
        <v/>
      </c>
      <c r="E38" s="77">
        <f>COUNTIF('Listbox'!H9:H500,"missing")</f>
        <v/>
      </c>
      <c r="F38" s="77">
        <f>COUNTIF('Listbox'!H9:H500,"untested")</f>
        <v/>
      </c>
      <c r="G38" s="75">
        <f>IFERROR(C38/B38,0)</f>
        <v/>
      </c>
      <c r="H38" s="74">
        <f>IF(AND(B38&gt;0,I38=0,G38=1),"Done","Open")</f>
        <v/>
      </c>
      <c r="I38" s="74">
        <f>MAX(0,B38-C38)</f>
        <v/>
      </c>
    </row>
    <row r="39" ht="15" customHeight="1" s="58">
      <c r="A39" s="76" t="inlineStr">
        <is>
          <t>Menu</t>
        </is>
      </c>
      <c r="B39" s="77">
        <f>COUNT('Menu'!A9:A500)</f>
        <v/>
      </c>
      <c r="C39" s="77">
        <f>COUNTIF('Menu'!H9:H500,"covered")</f>
        <v/>
      </c>
      <c r="D39" s="77">
        <f>COUNTIF('Menu'!H9:H500,"partial")</f>
        <v/>
      </c>
      <c r="E39" s="77">
        <f>COUNTIF('Menu'!H9:H500,"missing")</f>
        <v/>
      </c>
      <c r="F39" s="77">
        <f>COUNTIF('Menu'!H9:H500,"untested")</f>
        <v/>
      </c>
      <c r="G39" s="75">
        <f>IFERROR(C39/B39,0)</f>
        <v/>
      </c>
      <c r="H39" s="74">
        <f>IF(AND(B39&gt;0,I39=0,G39=1),"Done","Open")</f>
        <v/>
      </c>
      <c r="I39" s="74">
        <f>MAX(0,B39-C39)</f>
        <v/>
      </c>
    </row>
    <row r="40" ht="15" customHeight="1" s="58">
      <c r="A40" s="69" t="inlineStr">
        <is>
          <t>Menubar</t>
        </is>
      </c>
      <c r="B40" s="70">
        <f>COUNT('Menubar'!A9:A500)</f>
        <v/>
      </c>
      <c r="C40" s="70">
        <f>COUNTIF('Menubar'!H9:H500,"covered")</f>
        <v/>
      </c>
      <c r="D40" s="70">
        <f>COUNTIF('Menubar'!H9:H500,"partial")</f>
        <v/>
      </c>
      <c r="E40" s="70">
        <f>COUNTIF('Menubar'!H9:H500,"missing")</f>
        <v/>
      </c>
      <c r="F40" s="70">
        <f>COUNTIF('Menubar'!H9:H500,"untested")</f>
        <v/>
      </c>
      <c r="G40" s="71">
        <f>IFERROR(C40/B40,0)</f>
        <v/>
      </c>
      <c r="H40" s="72">
        <f>IF(AND(B40&gt;0,I40=0,G40=1),"Done","Open")</f>
        <v/>
      </c>
      <c r="I40" s="72">
        <f>MAX(0,B40-C40)</f>
        <v/>
      </c>
    </row>
    <row r="41" ht="15" customHeight="1" s="58">
      <c r="A41" s="69" t="inlineStr">
        <is>
          <t>Modal</t>
        </is>
      </c>
      <c r="B41" s="70">
        <f>COUNT('Modal'!A9:A500)</f>
        <v/>
      </c>
      <c r="C41" s="70">
        <f>COUNTIF('Modal'!H9:H500,"covered")</f>
        <v/>
      </c>
      <c r="D41" s="70">
        <f>COUNTIF('Modal'!H9:H500,"partial")</f>
        <v/>
      </c>
      <c r="E41" s="70">
        <f>COUNTIF('Modal'!H9:H500,"missing")</f>
        <v/>
      </c>
      <c r="F41" s="70">
        <f>COUNTIF('Modal'!H9:H500,"untested")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NavigationMenu</t>
        </is>
      </c>
      <c r="B42" s="70">
        <f>COUNT('NavigationMenu'!A9:A500)</f>
        <v/>
      </c>
      <c r="C42" s="70">
        <f>COUNTIF('NavigationMenu'!H9:H500,"covered")</f>
        <v/>
      </c>
      <c r="D42" s="70">
        <f>COUNTIF('NavigationMenu'!H9:H500,"partial")</f>
        <v/>
      </c>
      <c r="E42" s="70">
        <f>COUNTIF('NavigationMenu'!H9:H500,"missing")</f>
        <v/>
      </c>
      <c r="F42" s="70">
        <f>COUNTIF('NavigationMenu'!H9:H500,"untested")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NavList</t>
        </is>
      </c>
      <c r="B43" s="70">
        <f>COUNT('NavList'!A9:A500)</f>
        <v/>
      </c>
      <c r="C43" s="70">
        <f>COUNTIF('NavList'!H9:H500,"covered")</f>
        <v/>
      </c>
      <c r="D43" s="70">
        <f>COUNTIF('NavList'!H9:H500,"partial")</f>
        <v/>
      </c>
      <c r="E43" s="70">
        <f>COUNTIF('NavList'!H9:H500,"missing")</f>
        <v/>
      </c>
      <c r="F43" s="70">
        <f>COUNTIF('NavList'!H9:H500,"untested")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76" t="inlineStr">
        <is>
          <t>NumberInput</t>
        </is>
      </c>
      <c r="B44" s="77">
        <f>COUNT('NumberInput'!A9:A500)</f>
        <v/>
      </c>
      <c r="C44" s="77">
        <f>COUNTIF('NumberInput'!H9:H500,"covered")</f>
        <v/>
      </c>
      <c r="D44" s="77">
        <f>COUNTIF('NumberInput'!H9:H500,"partial")</f>
        <v/>
      </c>
      <c r="E44" s="77">
        <f>COUNTIF('NumberInput'!H9:H500,"missing")</f>
        <v/>
      </c>
      <c r="F44" s="77">
        <f>COUNTIF('NumberInput'!H9:H500,"untested")</f>
        <v/>
      </c>
      <c r="G44" s="75">
        <f>IFERROR(C44/B44,0)</f>
        <v/>
      </c>
      <c r="H44" s="74">
        <f>IF(AND(B44&gt;0,I44=0,G44=1),"Done","Open")</f>
        <v/>
      </c>
      <c r="I44" s="74">
        <f>MAX(0,B44-C44)</f>
        <v/>
      </c>
    </row>
    <row r="45" ht="15" customHeight="1" s="58">
      <c r="A45" s="76" t="inlineStr">
        <is>
          <t>OTPField</t>
        </is>
      </c>
      <c r="B45" s="77">
        <f>COUNT('OTPField'!A9:A500)</f>
        <v/>
      </c>
      <c r="C45" s="77">
        <f>COUNTIF('OTPField'!H9:H500,"covered")</f>
        <v/>
      </c>
      <c r="D45" s="77">
        <f>COUNTIF('OTPField'!H9:H500,"partial")</f>
        <v/>
      </c>
      <c r="E45" s="77">
        <f>COUNTIF('OTPField'!H9:H500,"missing")</f>
        <v/>
      </c>
      <c r="F45" s="77">
        <f>COUNTIF('OTPField'!H9:H500,"untested")</f>
        <v/>
      </c>
      <c r="G45" s="78">
        <f>IFERROR(C45/B45,0)</f>
        <v/>
      </c>
      <c r="H45" s="77">
        <f>IF(AND(B45&gt;0,I45=0,G45=1),"Done","Open")</f>
        <v/>
      </c>
      <c r="I45" s="77">
        <f>MAX(0,B45-C45)</f>
        <v/>
      </c>
    </row>
    <row r="46" ht="15" customHeight="1" s="58">
      <c r="A46" s="69" t="inlineStr">
        <is>
          <t>Pagination</t>
        </is>
      </c>
      <c r="B46" s="70">
        <f>COUNT('Pagination'!A9:A500)</f>
        <v/>
      </c>
      <c r="C46" s="70">
        <f>COUNTIF('Pagination'!H9:H500,"covered")</f>
        <v/>
      </c>
      <c r="D46" s="70">
        <f>COUNTIF('Pagination'!H9:H500,"partial")</f>
        <v/>
      </c>
      <c r="E46" s="70">
        <f>COUNTIF('Pagination'!H9:H500,"missing")</f>
        <v/>
      </c>
      <c r="F46" s="70">
        <f>COUNTIF('Pagination'!H9:H500,"untested")</f>
        <v/>
      </c>
      <c r="G46" s="71">
        <f>IFERROR(C46/B46,0)</f>
        <v/>
      </c>
      <c r="H46" s="72">
        <f>IF(AND(B46&gt;0,I46=0,G46=1),"Done","Open")</f>
        <v/>
      </c>
      <c r="I46" s="72">
        <f>MAX(0,B46-C46)</f>
        <v/>
      </c>
    </row>
    <row r="47" ht="15" customHeight="1" s="58">
      <c r="A47" s="76" t="inlineStr">
        <is>
          <t>PasswordToggleField</t>
        </is>
      </c>
      <c r="B47" s="77">
        <f>COUNT('PasswordToggleField'!A9:A500)</f>
        <v/>
      </c>
      <c r="C47" s="77">
        <f>COUNTIF('PasswordToggleField'!H9:H500,"covered")</f>
        <v/>
      </c>
      <c r="D47" s="77">
        <f>COUNTIF('PasswordToggleField'!H9:H500,"partial")</f>
        <v/>
      </c>
      <c r="E47" s="77">
        <f>COUNTIF('PasswordToggleField'!H9:H500,"missing")</f>
        <v/>
      </c>
      <c r="F47" s="77">
        <f>COUNTIF('PasswordToggleField'!H9:H500,"untested")</f>
        <v/>
      </c>
      <c r="G47" s="75">
        <f>IFERROR(C47/B47,0)</f>
        <v/>
      </c>
      <c r="H47" s="74">
        <f>IF(AND(B47&gt;0,I47=0,G47=1),"Done","Open")</f>
        <v/>
      </c>
      <c r="I47" s="74">
        <f>MAX(0,B47-C47)</f>
        <v/>
      </c>
    </row>
    <row r="48" ht="15" customHeight="1" s="58">
      <c r="A48" s="69" t="inlineStr">
        <is>
          <t>Popover</t>
        </is>
      </c>
      <c r="B48" s="70">
        <f>COUNT('Popover'!A9:A500)</f>
        <v/>
      </c>
      <c r="C48" s="70">
        <f>COUNTIF('Popover'!H9:H500,"covered")</f>
        <v/>
      </c>
      <c r="D48" s="70">
        <f>COUNTIF('Popover'!H9:H500,"partial")</f>
        <v/>
      </c>
      <c r="E48" s="70">
        <f>COUNTIF('Popover'!H9:H500,"missing")</f>
        <v/>
      </c>
      <c r="F48" s="70">
        <f>COUNTIF('Popover'!H9:H500,"untested")</f>
        <v/>
      </c>
      <c r="G48" s="71">
        <f>IFERROR(C48/B48,0)</f>
        <v/>
      </c>
      <c r="H48" s="72">
        <f>IF(AND(B48&gt;0,I48=0,G48=1),"Done","Open")</f>
        <v/>
      </c>
      <c r="I48" s="72">
        <f>MAX(0,B48-C48)</f>
        <v/>
      </c>
    </row>
    <row r="49" ht="15" customHeight="1" s="58">
      <c r="A49" s="73" t="inlineStr">
        <is>
          <t>Portal</t>
        </is>
      </c>
      <c r="B49" s="74">
        <f>COUNT('Portal'!A9:A500)</f>
        <v/>
      </c>
      <c r="C49" s="74">
        <f>COUNTIF('Portal'!H9:H500,"covered")</f>
        <v/>
      </c>
      <c r="D49" s="74">
        <f>COUNTIF('Portal'!H9:H500,"partial")</f>
        <v/>
      </c>
      <c r="E49" s="74">
        <f>COUNTIF('Portal'!H9:H500,"missing")</f>
        <v/>
      </c>
      <c r="F49" s="74">
        <f>COUNTIF('Portal'!H9:H500,"untested")</f>
        <v/>
      </c>
      <c r="G49" s="75">
        <f>IFERROR(C49/B49,0)</f>
        <v/>
      </c>
      <c r="H49" s="74">
        <f>IF(AND(B49&gt;0,I49=0,G49=1),"Done","Open")</f>
        <v/>
      </c>
      <c r="I49" s="74">
        <f>MAX(0,B49-C49)</f>
        <v/>
      </c>
    </row>
    <row r="50" ht="15" customHeight="1" s="58">
      <c r="A50" s="76" t="inlineStr">
        <is>
          <t>Pressable</t>
        </is>
      </c>
      <c r="B50" s="77">
        <f>COUNT('Pressable'!A9:A500)</f>
        <v/>
      </c>
      <c r="C50" s="77">
        <f>COUNTIF('Pressable'!H9:H500,"covered")</f>
        <v/>
      </c>
      <c r="D50" s="77">
        <f>COUNTIF('Pressable'!H9:H500,"partial")</f>
        <v/>
      </c>
      <c r="E50" s="77">
        <f>COUNTIF('Pressable'!H9:H500,"missing")</f>
        <v/>
      </c>
      <c r="F50" s="77">
        <f>COUNTIF('Pressable'!H9:H500,"untested")</f>
        <v/>
      </c>
      <c r="G50" s="75">
        <f>IFERROR(C50/B50,0)</f>
        <v/>
      </c>
      <c r="H50" s="74">
        <f>IF(AND(B50&gt;0,I50=0,G50=1),"Done","Open")</f>
        <v/>
      </c>
      <c r="I50" s="74">
        <f>MAX(0,B50-C50)</f>
        <v/>
      </c>
    </row>
    <row r="51" ht="15" customHeight="1" s="58">
      <c r="A51" s="76" t="inlineStr">
        <is>
          <t>Progress</t>
        </is>
      </c>
      <c r="B51" s="77">
        <f>COUNT('Progress'!A9:A500)</f>
        <v/>
      </c>
      <c r="C51" s="77">
        <f>COUNTIF('Progress'!H9:H500,"covered")</f>
        <v/>
      </c>
      <c r="D51" s="77">
        <f>COUNTIF('Progress'!H9:H500,"partial")</f>
        <v/>
      </c>
      <c r="E51" s="77">
        <f>COUNTIF('Progress'!H9:H500,"missing")</f>
        <v/>
      </c>
      <c r="F51" s="77">
        <f>COUNTIF('Progress'!H9:H500,"untested")</f>
        <v/>
      </c>
      <c r="G51" s="75">
        <f>IFERROR(C51/B51,0)</f>
        <v/>
      </c>
      <c r="H51" s="74">
        <f>IF(AND(B51&gt;0,I51=0,G51=1),"Done","Open")</f>
        <v/>
      </c>
      <c r="I51" s="74">
        <f>MAX(0,B51-C51)</f>
        <v/>
      </c>
    </row>
    <row r="52" ht="15" customHeight="1" s="58">
      <c r="A52" s="69" t="inlineStr">
        <is>
          <t>RadioGroup</t>
        </is>
      </c>
      <c r="B52" s="70">
        <f>COUNT('RadioGroup'!A9:A500)</f>
        <v/>
      </c>
      <c r="C52" s="70">
        <f>COUNTIF('RadioGroup'!H9:H500,"covered")</f>
        <v/>
      </c>
      <c r="D52" s="70">
        <f>COUNTIF('RadioGroup'!H9:H500,"partial")</f>
        <v/>
      </c>
      <c r="E52" s="70">
        <f>COUNTIF('RadioGroup'!H9:H500,"missing")</f>
        <v/>
      </c>
      <c r="F52" s="70">
        <f>COUNTIF('RadioGroup'!H9:H500,"untested")</f>
        <v/>
      </c>
      <c r="G52" s="71">
        <f>IFERROR(C52/B52,0)</f>
        <v/>
      </c>
      <c r="H52" s="72">
        <f>IF(AND(B52&gt;0,I52=0,G52=1),"Done","Open")</f>
        <v/>
      </c>
      <c r="I52" s="72">
        <f>MAX(0,B52-C52)</f>
        <v/>
      </c>
    </row>
    <row r="53" ht="15" customHeight="1" s="58">
      <c r="A53" s="69" t="inlineStr">
        <is>
          <t>Rating</t>
        </is>
      </c>
      <c r="B53" s="70">
        <f>COUNT('Rating'!A9:A500)</f>
        <v/>
      </c>
      <c r="C53" s="70">
        <f>COUNTIF('Rating'!H9:H500,"covered")</f>
        <v/>
      </c>
      <c r="D53" s="70">
        <f>COUNTIF('Rating'!H9:H500,"partial")</f>
        <v/>
      </c>
      <c r="E53" s="70">
        <f>COUNTIF('Rating'!H9:H500,"missing")</f>
        <v/>
      </c>
      <c r="F53" s="70">
        <f>COUNTIF('Rating'!H9:H500,"untested")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73" t="inlineStr">
        <is>
          <t>ScrollArea</t>
        </is>
      </c>
      <c r="B54" s="74">
        <f>COUNT('ScrollArea'!A9:A500)</f>
        <v/>
      </c>
      <c r="C54" s="74">
        <f>COUNTIF('ScrollArea'!H9:H500,"covered")</f>
        <v/>
      </c>
      <c r="D54" s="74">
        <f>COUNTIF('ScrollArea'!H9:H500,"partial")</f>
        <v/>
      </c>
      <c r="E54" s="74">
        <f>COUNTIF('ScrollArea'!H9:H500,"missing")</f>
        <v/>
      </c>
      <c r="F54" s="74">
        <f>COUNTIF('ScrollArea'!H9:H500,"untested")</f>
        <v/>
      </c>
      <c r="G54" s="75">
        <f>IFERROR(C54/B54,0)</f>
        <v/>
      </c>
      <c r="H54" s="74">
        <f>IF(AND(B54&gt;0,I54=0,G54=1),"Done","Open")</f>
        <v/>
      </c>
      <c r="I54" s="74">
        <f>MAX(0,B54-C54)</f>
        <v/>
      </c>
    </row>
    <row r="55" ht="15" customHeight="1" s="58">
      <c r="A55" s="76" t="inlineStr">
        <is>
          <t>Select</t>
        </is>
      </c>
      <c r="B55" s="77">
        <f>COUNT('Select'!A9:A500)</f>
        <v/>
      </c>
      <c r="C55" s="77">
        <f>COUNTIF('Select'!H9:H500,"covered")</f>
        <v/>
      </c>
      <c r="D55" s="77">
        <f>COUNTIF('Select'!H9:H500,"partial")</f>
        <v/>
      </c>
      <c r="E55" s="77">
        <f>COUNTIF('Select'!H9:H500,"missing")</f>
        <v/>
      </c>
      <c r="F55" s="77">
        <f>COUNTIF('Select'!H9:H500,"untested")</f>
        <v/>
      </c>
      <c r="G55" s="75">
        <f>IFERROR(C55/B55,0)</f>
        <v/>
      </c>
      <c r="H55" s="74">
        <f>IF(AND(B55&gt;0,I55=0,G55=1),"Done","Open")</f>
        <v/>
      </c>
      <c r="I55" s="74">
        <f>MAX(0,B55-C55)</f>
        <v/>
      </c>
    </row>
    <row r="56" ht="15" customHeight="1" s="58">
      <c r="A56" s="69" t="inlineStr">
        <is>
          <t>Sidebar</t>
        </is>
      </c>
      <c r="B56" s="70">
        <f>COUNT('Sidebar'!A9:A500)</f>
        <v/>
      </c>
      <c r="C56" s="70">
        <f>COUNTIF('Sidebar'!H9:H500,"covered")</f>
        <v/>
      </c>
      <c r="D56" s="70">
        <f>COUNTIF('Sidebar'!H9:H500,"partial")</f>
        <v/>
      </c>
      <c r="E56" s="70">
        <f>COUNTIF('Sidebar'!H9:H500,"missing")</f>
        <v/>
      </c>
      <c r="F56" s="70">
        <f>COUNTIF('Sidebar'!H9:H500,"untested")</f>
        <v/>
      </c>
      <c r="G56" s="71">
        <f>IFERROR(C56/B56,0)</f>
        <v/>
      </c>
      <c r="H56" s="72">
        <f>IF(AND(B56&gt;0,I56=0,G56=1),"Done","Open")</f>
        <v/>
      </c>
      <c r="I56" s="72">
        <f>MAX(0,B56-C56)</f>
        <v/>
      </c>
    </row>
    <row r="57" ht="15" customHeight="1" s="58">
      <c r="A57" s="73" t="inlineStr">
        <is>
          <t>SkipLink</t>
        </is>
      </c>
      <c r="B57" s="74">
        <f>COUNT('SkipLink'!A9:A500)</f>
        <v/>
      </c>
      <c r="C57" s="74">
        <f>COUNTIF('SkipLink'!H9:H500,"covered")</f>
        <v/>
      </c>
      <c r="D57" s="74">
        <f>COUNTIF('SkipLink'!H9:H500,"partial")</f>
        <v/>
      </c>
      <c r="E57" s="74">
        <f>COUNTIF('SkipLink'!H9:H500,"missing")</f>
        <v/>
      </c>
      <c r="F57" s="74">
        <f>COUNTIF('SkipLink'!H9:H500,"untested")</f>
        <v/>
      </c>
      <c r="G57" s="75">
        <f>IFERROR(C57/B57,0)</f>
        <v/>
      </c>
      <c r="H57" s="74">
        <f>IF(AND(B57&gt;0,I57=0,G57=1),"Done","Open")</f>
        <v/>
      </c>
      <c r="I57" s="74">
        <f>MAX(0,B57-C57)</f>
        <v/>
      </c>
    </row>
    <row r="58" ht="15" customHeight="1" s="58">
      <c r="A58" s="69" t="inlineStr">
        <is>
          <t>Slider</t>
        </is>
      </c>
      <c r="B58" s="70">
        <f>COUNT('Slider'!A9:A500)</f>
        <v/>
      </c>
      <c r="C58" s="70">
        <f>COUNTIF('Slider'!H9:H500,"covered")</f>
        <v/>
      </c>
      <c r="D58" s="70">
        <f>COUNTIF('Slider'!H9:H500,"partial")</f>
        <v/>
      </c>
      <c r="E58" s="70">
        <f>COUNTIF('Slider'!H9:H500,"missing")</f>
        <v/>
      </c>
      <c r="F58" s="70">
        <f>COUNTIF('Slider'!H9:H500,"untested")</f>
        <v/>
      </c>
      <c r="G58" s="71">
        <f>IFERROR(C58/B58,0)</f>
        <v/>
      </c>
      <c r="H58" s="72">
        <f>IF(AND(B58&gt;0,I58=0,G58=1),"Done","Open")</f>
        <v/>
      </c>
      <c r="I58" s="72">
        <f>MAX(0,B58-C58)</f>
        <v/>
      </c>
    </row>
    <row r="59" ht="15" customHeight="1" s="58">
      <c r="A59" s="79" t="inlineStr">
        <is>
          <t>SwipeableItem</t>
        </is>
      </c>
      <c r="B59" s="80">
        <f>COUNT('SwipeableItem'!A9:A500)</f>
        <v/>
      </c>
      <c r="C59" s="80">
        <f>COUNTIF('SwipeableItem'!H9:H500,"covered")</f>
        <v/>
      </c>
      <c r="D59" s="80">
        <f>COUNTIF('SwipeableItem'!H9:H500,"partial")</f>
        <v/>
      </c>
      <c r="E59" s="80">
        <f>COUNTIF('SwipeableItem'!H9:H500,"missing")</f>
        <v/>
      </c>
      <c r="F59" s="80">
        <f>COUNTIF('SwipeableItem'!H9:H500,"untested")</f>
        <v/>
      </c>
      <c r="G59" s="81">
        <f>IFERROR(C59/B59,0)</f>
        <v/>
      </c>
      <c r="H59" s="82">
        <f>IF(AND(B59&gt;0,I59=0,G59=1),"Done","Open")</f>
        <v/>
      </c>
      <c r="I59" s="82">
        <f>MAX(0,B59-C59)</f>
        <v/>
      </c>
    </row>
    <row r="60" ht="15" customHeight="1" s="58">
      <c r="A60" s="69" t="inlineStr">
        <is>
          <t>Switch</t>
        </is>
      </c>
      <c r="B60" s="70">
        <f>COUNT('Switch'!A9:A500)</f>
        <v/>
      </c>
      <c r="C60" s="70">
        <f>COUNTIF('Switch'!H9:H500,"covered")</f>
        <v/>
      </c>
      <c r="D60" s="70">
        <f>COUNTIF('Switch'!H9:H500,"partial")</f>
        <v/>
      </c>
      <c r="E60" s="70">
        <f>COUNTIF('Switch'!H9:H500,"missing")</f>
        <v/>
      </c>
      <c r="F60" s="70">
        <f>COUNTIF('Switch'!H9:H500,"untested")</f>
        <v/>
      </c>
      <c r="G60" s="71">
        <f>IFERROR(C60/B60,0)</f>
        <v/>
      </c>
      <c r="H60" s="72">
        <f>IF(AND(B60&gt;0,I60=0,G60=1),"Done","Open")</f>
        <v/>
      </c>
      <c r="I60" s="72">
        <f>MAX(0,B60-C60)</f>
        <v/>
      </c>
    </row>
    <row r="61" ht="15" customHeight="1" s="58">
      <c r="A61" s="69" t="inlineStr">
        <is>
          <t>Table</t>
        </is>
      </c>
      <c r="B61" s="70">
        <f>COUNT('Table'!A9:A500)</f>
        <v/>
      </c>
      <c r="C61" s="70">
        <f>COUNTIF('Table'!H9:H500,"covered")</f>
        <v/>
      </c>
      <c r="D61" s="70">
        <f>COUNTIF('Table'!H9:H500,"partial")</f>
        <v/>
      </c>
      <c r="E61" s="70">
        <f>COUNTIF('Table'!H9:H500,"missing")</f>
        <v/>
      </c>
      <c r="F61" s="70">
        <f>COUNTIF('Table'!H9:H500,"untested")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Tabs</t>
        </is>
      </c>
      <c r="B62" s="70">
        <f>COUNT('Tabs'!A9:A500)</f>
        <v/>
      </c>
      <c r="C62" s="70">
        <f>COUNTIF('Tabs'!H9:H500,"covered")</f>
        <v/>
      </c>
      <c r="D62" s="70">
        <f>COUNTIF('Tabs'!H9:H500,"partial")</f>
        <v/>
      </c>
      <c r="E62" s="70">
        <f>COUNTIF('Tabs'!H9:H500,"missing")</f>
        <v/>
      </c>
      <c r="F62" s="70">
        <f>COUNTIF('Tabs'!H9:H500,"untested")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76" t="inlineStr">
        <is>
          <t>Textarea</t>
        </is>
      </c>
      <c r="B63" s="77">
        <f>COUNT('Textarea'!A9:A500)</f>
        <v/>
      </c>
      <c r="C63" s="77">
        <f>COUNTIF('Textarea'!H9:H500,"covered")</f>
        <v/>
      </c>
      <c r="D63" s="77">
        <f>COUNTIF('Textarea'!H9:H500,"partial")</f>
        <v/>
      </c>
      <c r="E63" s="77">
        <f>COUNTIF('Textarea'!H9:H500,"missing")</f>
        <v/>
      </c>
      <c r="F63" s="77">
        <f>COUNTIF('Textarea'!H9:H500,"untested")</f>
        <v/>
      </c>
      <c r="G63" s="75">
        <f>IFERROR(C63/B63,0)</f>
        <v/>
      </c>
      <c r="H63" s="74">
        <f>IF(AND(B63&gt;0,I63=0,G63=1),"Done","Open")</f>
        <v/>
      </c>
      <c r="I63" s="74">
        <f>MAX(0,B63-C63)</f>
        <v/>
      </c>
    </row>
    <row r="64" ht="15" customHeight="1" s="58">
      <c r="A64" s="69" t="inlineStr">
        <is>
          <t>Toast</t>
        </is>
      </c>
      <c r="B64" s="70">
        <f>COUNT('Toast'!A9:A500)</f>
        <v/>
      </c>
      <c r="C64" s="70">
        <f>COUNTIF('Toast'!H9:H500,"covered")</f>
        <v/>
      </c>
      <c r="D64" s="70">
        <f>COUNTIF('Toast'!H9:H500,"partial")</f>
        <v/>
      </c>
      <c r="E64" s="70">
        <f>COUNTIF('Toast'!H9:H500,"missing")</f>
        <v/>
      </c>
      <c r="F64" s="70">
        <f>COUNTIF('Toast'!H9:H500,"untested")</f>
        <v/>
      </c>
      <c r="G64" s="71">
        <f>IFERROR(C64/B64,0)</f>
        <v/>
      </c>
      <c r="H64" s="72">
        <f>IF(AND(B64&gt;0,I64=0,G64=1),"Done","Open")</f>
        <v/>
      </c>
      <c r="I64" s="72">
        <f>MAX(0,B64-C64)</f>
        <v/>
      </c>
    </row>
    <row r="65" ht="15" customHeight="1" s="58">
      <c r="A65" s="76" t="inlineStr">
        <is>
          <t>Toggle</t>
        </is>
      </c>
      <c r="B65" s="77">
        <f>COUNT('Toggle'!A9:A500)</f>
        <v/>
      </c>
      <c r="C65" s="77">
        <f>COUNTIF('Toggle'!H9:H500,"covered")</f>
        <v/>
      </c>
      <c r="D65" s="77">
        <f>COUNTIF('Toggle'!H9:H500,"partial")</f>
        <v/>
      </c>
      <c r="E65" s="77">
        <f>COUNTIF('Toggle'!H9:H500,"missing")</f>
        <v/>
      </c>
      <c r="F65" s="77">
        <f>COUNTIF('Toggle'!H9:H500,"untested")</f>
        <v/>
      </c>
      <c r="G65" s="75">
        <f>IFERROR(C65/B65,0)</f>
        <v/>
      </c>
      <c r="H65" s="74">
        <f>IF(AND(B65&gt;0,I65=0,G65=1),"Done","Open")</f>
        <v/>
      </c>
      <c r="I65" s="74">
        <f>MAX(0,B65-C65)</f>
        <v/>
      </c>
    </row>
    <row r="66" ht="15" customHeight="1" s="58">
      <c r="A66" s="76" t="inlineStr">
        <is>
          <t>ToggleGroup</t>
        </is>
      </c>
      <c r="B66" s="77">
        <f>COUNT('ToggleGroup'!A9:A500)</f>
        <v/>
      </c>
      <c r="C66" s="77">
        <f>COUNTIF('ToggleGroup'!H9:H500,"covered")</f>
        <v/>
      </c>
      <c r="D66" s="77">
        <f>COUNTIF('ToggleGroup'!H9:H500,"partial")</f>
        <v/>
      </c>
      <c r="E66" s="77">
        <f>COUNTIF('ToggleGroup'!H9:H500,"missing")</f>
        <v/>
      </c>
      <c r="F66" s="77">
        <f>COUNTIF('ToggleGroup'!H9:H500,"untested")</f>
        <v/>
      </c>
      <c r="G66" s="75">
        <f>IFERROR(C66/B66,0)</f>
        <v/>
      </c>
      <c r="H66" s="74">
        <f>IF(AND(B66&gt;0,I66=0,G66=1),"Done","Open")</f>
        <v/>
      </c>
      <c r="I66" s="74">
        <f>MAX(0,B66-C66)</f>
        <v/>
      </c>
    </row>
    <row r="67" ht="15" customHeight="1" s="58">
      <c r="A67" s="69" t="inlineStr">
        <is>
          <t>Toolbar</t>
        </is>
      </c>
      <c r="B67" s="70">
        <f>COUNT('Toolbar'!A9:A500)</f>
        <v/>
      </c>
      <c r="C67" s="70">
        <f>COUNTIF('Toolbar'!H9:H500,"covered")</f>
        <v/>
      </c>
      <c r="D67" s="70">
        <f>COUNTIF('Toolbar'!H9:H500,"partial")</f>
        <v/>
      </c>
      <c r="E67" s="70">
        <f>COUNTIF('Toolbar'!H9:H500,"missing")</f>
        <v/>
      </c>
      <c r="F67" s="70">
        <f>COUNTIF('Toolbar'!H9:H500,"untested")</f>
        <v/>
      </c>
      <c r="G67" s="71">
        <f>IFERROR(C67/B67,0)</f>
        <v/>
      </c>
      <c r="H67" s="72">
        <f>IF(AND(B67&gt;0,I67=0,G67=1),"Done","Open")</f>
        <v/>
      </c>
      <c r="I67" s="72">
        <f>MAX(0,B67-C67)</f>
        <v/>
      </c>
    </row>
    <row r="68" ht="15" customHeight="1" s="58">
      <c r="A68" s="69" t="inlineStr">
        <is>
          <t>Tooltip</t>
        </is>
      </c>
      <c r="B68" s="70">
        <f>COUNT('Tooltip'!A9:A500)</f>
        <v/>
      </c>
      <c r="C68" s="70">
        <f>COUNTIF('Tooltip'!H9:H500,"covered")</f>
        <v/>
      </c>
      <c r="D68" s="70">
        <f>COUNTIF('Tooltip'!H9:H500,"partial")</f>
        <v/>
      </c>
      <c r="E68" s="70">
        <f>COUNTIF('Tooltip'!H9:H500,"missing")</f>
        <v/>
      </c>
      <c r="F68" s="70">
        <f>COUNTIF('Tooltip'!H9:H500,"untested")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Tree</t>
        </is>
      </c>
      <c r="B69" s="70">
        <f>COUNT('Tree'!A9:A500)</f>
        <v/>
      </c>
      <c r="C69" s="70">
        <f>COUNTIF('Tree'!H9:H500,"covered")</f>
        <v/>
      </c>
      <c r="D69" s="70">
        <f>COUNTIF('Tree'!H9:H500,"partial")</f>
        <v/>
      </c>
      <c r="E69" s="70">
        <f>COUNTIF('Tree'!H9:H500,"missing")</f>
        <v/>
      </c>
      <c r="F69" s="70">
        <f>COUNTIF('Tree'!H9:H500,"untested")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TreeGrid</t>
        </is>
      </c>
      <c r="B70" s="70">
        <f>COUNT('TreeGrid'!A9:A500)</f>
        <v/>
      </c>
      <c r="C70" s="70">
        <f>COUNTIF('TreeGrid'!H9:H500,"covered")</f>
        <v/>
      </c>
      <c r="D70" s="70">
        <f>COUNTIF('TreeGrid'!H9:H500,"partial")</f>
        <v/>
      </c>
      <c r="E70" s="70">
        <f>COUNTIF('TreeGrid'!H9:H500,"missing")</f>
        <v/>
      </c>
      <c r="F70" s="70">
        <f>COUNTIF('TreeGrid'!H9:H500,"untested")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73" t="inlineStr">
        <is>
          <t>Virtualizer</t>
        </is>
      </c>
      <c r="B71" s="74">
        <f>COUNT('Virtualizer'!A9:A500)</f>
        <v/>
      </c>
      <c r="C71" s="74">
        <f>COUNTIF('Virtualizer'!H9:H500,"covered")</f>
        <v/>
      </c>
      <c r="D71" s="74">
        <f>COUNTIF('Virtualizer'!H9:H500,"partial")</f>
        <v/>
      </c>
      <c r="E71" s="74">
        <f>COUNTIF('Virtualizer'!H9:H500,"missing")</f>
        <v/>
      </c>
      <c r="F71" s="74">
        <f>COUNTIF('Virtualizer'!H9:H500,"untested")</f>
        <v/>
      </c>
      <c r="G71" s="75">
        <f>IFERROR(C71/B71,0)</f>
        <v/>
      </c>
      <c r="H71" s="74">
        <f>IF(AND(B71&gt;0,I71=0,G71=1),"Done","Open")</f>
        <v/>
      </c>
      <c r="I71" s="74">
        <f>MAX(0,B71-C71)</f>
        <v/>
      </c>
    </row>
    <row r="72">
      <c r="A72" s="73" t="inlineStr">
        <is>
          <t>VisuallyHidden</t>
        </is>
      </c>
      <c r="B72" s="74">
        <f>COUNT('VisuallyHidden'!A9:A500)</f>
        <v/>
      </c>
      <c r="C72" s="74">
        <f>COUNTIF('VisuallyHidden'!H9:H500,"covered")</f>
        <v/>
      </c>
      <c r="D72" s="74">
        <f>COUNTIF('VisuallyHidden'!H9:H500,"partial")</f>
        <v/>
      </c>
      <c r="E72" s="74">
        <f>COUNTIF('VisuallyHidden'!H9:H500,"missing")</f>
        <v/>
      </c>
      <c r="F72" s="74">
        <f>COUNTIF('VisuallyHidden'!H9:H500,"untested")</f>
        <v/>
      </c>
      <c r="G72" s="75">
        <f>IFERROR(C72/B72,0)</f>
        <v/>
      </c>
      <c r="H72" s="74">
        <f>IF(AND(B72&gt;0,I72=0,G72=1),"Done","Open")</f>
        <v/>
      </c>
      <c r="I72" s="74">
        <f>MAX(0,B72-C72)</f>
        <v/>
      </c>
    </row>
  </sheetData>
  <autoFilter ref="A6:I72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showLabels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is skipped by keyboard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passed manual test</t>
        </is>
      </c>
      <c r="H69" s="108" t="inlineStr">
        <is>
          <t>covered</t>
        </is>
      </c>
      <c r="I69" s="113" t="inlineStr">
        <is>
          <t>ContextMenu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is skipped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passed manual test</t>
        </is>
      </c>
      <c r="H79" s="108" t="inlineStr">
        <is>
          <t>covered</t>
        </is>
      </c>
      <c r="I79" s="113" t="inlineStr">
        <is>
          <t>ContextMenu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is skipped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passed manual test</t>
        </is>
      </c>
      <c r="H89" s="108" t="inlineStr">
        <is>
          <t>covered</t>
        </is>
      </c>
      <c r="I89" s="113" t="inlineStr">
        <is>
          <t>ContextMenu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is skipped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manual test</t>
        </is>
      </c>
      <c r="H110" s="108" t="inlineStr">
        <is>
          <t>covered</t>
        </is>
      </c>
      <c r="I110" s="113" t="inlineStr">
        <is>
          <t>ContextMenu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menu and returns focus to trigger</t>
        </is>
      </c>
      <c r="E124" s="114" t="inlineStr">
        <is>
          <t>yes</t>
        </is>
      </c>
      <c r="F124" s="114" t="inlineStr">
        <is>
          <t>yes</t>
        </is>
      </c>
      <c r="G124" s="112" t="inlineStr">
        <is>
          <t>passed manual test</t>
        </is>
      </c>
      <c r="H124" s="108" t="inlineStr">
        <is>
          <t>covered</t>
        </is>
      </c>
      <c r="I124" s="113" t="inlineStr">
        <is>
          <t>ContextMenu playground scenario.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submenu first and returns focus to parent content</t>
        </is>
      </c>
      <c r="E126" s="114" t="inlineStr">
        <is>
          <t>yes</t>
        </is>
      </c>
      <c r="F126" s="114" t="inlineStr">
        <is>
          <t>yes</t>
        </is>
      </c>
      <c r="G126" s="112" t="inlineStr">
        <is>
          <t>passed manual test</t>
        </is>
      </c>
      <c r="H126" s="108" t="inlineStr">
        <is>
          <t>covered</t>
        </is>
      </c>
      <c r="I126" s="113" t="inlineStr">
        <is>
          <t>ContextMenu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highlight forward</t>
        </is>
      </c>
      <c r="E130" s="114" t="inlineStr">
        <is>
          <t>yes</t>
        </is>
      </c>
      <c r="F130" s="114" t="inlineStr">
        <is>
          <t>yes</t>
        </is>
      </c>
      <c r="G130" s="112" t="inlineStr">
        <is>
          <t>passed manual test</t>
        </is>
      </c>
      <c r="H130" s="108" t="inlineStr">
        <is>
          <t>covered</t>
        </is>
      </c>
      <c r="I130" s="113" t="inlineStr">
        <is>
          <t>ContextMenu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highlight backward</t>
        </is>
      </c>
      <c r="E131" s="114" t="inlineStr">
        <is>
          <t>yes</t>
        </is>
      </c>
      <c r="F131" s="114" t="inlineStr">
        <is>
          <t>yes</t>
        </is>
      </c>
      <c r="G131" s="112" t="inlineStr">
        <is>
          <t>passed manual test</t>
        </is>
      </c>
      <c r="H131" s="108" t="inlineStr">
        <is>
          <t>covered</t>
        </is>
      </c>
      <c r="I131" s="113" t="inlineStr">
        <is>
          <t>ContextMenu playground scenario.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are skipped</t>
        </is>
      </c>
      <c r="E134" s="114" t="inlineStr">
        <is>
          <t>yes</t>
        </is>
      </c>
      <c r="F134" s="114" t="inlineStr">
        <is>
          <t>yes</t>
        </is>
      </c>
      <c r="G134" s="112" t="inlineStr">
        <is>
          <t>passed manual test</t>
        </is>
      </c>
      <c r="H134" s="108" t="inlineStr">
        <is>
          <t>covered</t>
        </is>
      </c>
      <c r="I134" s="113" t="inlineStr">
        <is>
          <t>ContextMenu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hovering disabled item does not highlight it</t>
        </is>
      </c>
      <c r="E149" s="114" t="inlineStr">
        <is>
          <t>yes</t>
        </is>
      </c>
      <c r="F149" s="114" t="inlineStr">
        <is>
          <t>yes</t>
        </is>
      </c>
      <c r="G149" s="112" t="inlineStr">
        <is>
          <t>passed manual test</t>
        </is>
      </c>
      <c r="H149" s="108" t="inlineStr">
        <is>
          <t>covered</t>
        </is>
      </c>
      <c r="I149" s="113" t="inlineStr">
        <is>
          <t>ContextMenu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45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parent content on close</t>
        </is>
      </c>
      <c r="E187" s="114" t="inlineStr">
        <is>
          <t>yes</t>
        </is>
      </c>
      <c r="F187" s="114" t="inlineStr">
        <is>
          <t>yes</t>
        </is>
      </c>
      <c r="G187" s="112" t="inlineStr">
        <is>
          <t>passed manual test</t>
        </is>
      </c>
      <c r="H187" s="108" t="inlineStr">
        <is>
          <t>covered</t>
        </is>
      </c>
      <c r="I187" s="113" t="inlineStr">
        <is>
          <t>ContextMenu playground scenario.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15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current desktop pointer-down outside interaction closes ContextMenu</t>
        </is>
      </c>
      <c r="E189" s="114" t="inlineStr">
        <is>
          <t>yes</t>
        </is>
      </c>
      <c r="F189" s="114" t="inlineStr">
        <is>
          <t>yes</t>
        </is>
      </c>
      <c r="G189" s="112" t="inlineStr">
        <is>
          <t>passed existing desktop browser/manual baseline; mobile device qualification not run</t>
        </is>
      </c>
      <c r="H189" s="108" t="inlineStr">
        <is>
          <t>covered</t>
        </is>
      </c>
      <c r="I189" s="113" t="inlineStr">
        <is>
          <t>Existing desktop browser/manual baseline; not real iOS Safari or Android Chrome evidence.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1.5" customHeight="1" s="58">
      <c r="A82" s="120" t="n">
        <v>74</v>
      </c>
      <c r="B82" s="121" t="inlineStr">
        <is>
          <t>Public API</t>
        </is>
      </c>
      <c r="C82" s="121" t="inlineStr">
        <is>
          <t>Item</t>
        </is>
      </c>
      <c r="D82" s="121" t="inlineStr">
        <is>
          <t>disabled item is skipped by keyboard navigation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DropdownMenu playground manual verification.</t>
        </is>
      </c>
      <c r="J82" s="121" t="n"/>
      <c r="K82" s="122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1.5" customHeight="1" s="58">
      <c r="A98" s="120" t="n">
        <v>90</v>
      </c>
      <c r="B98" s="121" t="inlineStr">
        <is>
          <t>Public API</t>
        </is>
      </c>
      <c r="C98" s="121" t="inlineStr">
        <is>
          <t>Checkbox Item</t>
        </is>
      </c>
      <c r="D98" s="121" t="inlineStr">
        <is>
          <t>disabled checkbox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DropdownMenu playground manual verification.</t>
        </is>
      </c>
      <c r="J98" s="121" t="n"/>
      <c r="K98" s="122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1.5" customHeight="1" s="58">
      <c r="A111" s="120" t="n">
        <v>103</v>
      </c>
      <c r="B111" s="121" t="inlineStr">
        <is>
          <t>Public API</t>
        </is>
      </c>
      <c r="C111" s="121" t="inlineStr">
        <is>
          <t>Radio Item</t>
        </is>
      </c>
      <c r="D111" s="121" t="inlineStr">
        <is>
          <t>disabled radio item is skipped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DropdownMenu playground manual verification.</t>
        </is>
      </c>
      <c r="J111" s="121" t="n"/>
      <c r="K111" s="122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1.5" customHeight="1" s="58">
      <c r="A134" s="120" t="n">
        <v>126</v>
      </c>
      <c r="B134" s="121" t="inlineStr">
        <is>
          <t>Public API</t>
        </is>
      </c>
      <c r="C134" s="121" t="inlineStr">
        <is>
          <t>Sub Trigger</t>
        </is>
      </c>
      <c r="D134" s="121" t="inlineStr">
        <is>
          <t>disabled sub trigger is skipped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DropdownMenu playground manual verification.</t>
        </is>
      </c>
      <c r="J134" s="121" t="n"/>
      <c r="K134" s="122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1.5" customHeight="1" s="58">
      <c r="A151" s="120" t="n">
        <v>143</v>
      </c>
      <c r="B151" s="121" t="inlineStr">
        <is>
          <t>Interaction</t>
        </is>
      </c>
      <c r="C151" s="121" t="inlineStr">
        <is>
          <t>Open And Close</t>
        </is>
      </c>
      <c r="D151" s="121" t="inlineStr">
        <is>
          <t>Tab closes menu and returns focus to trigger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DropdownMenu playground manual verification.</t>
        </is>
      </c>
      <c r="J151" s="121" t="n"/>
      <c r="K151" s="122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1.5" customHeight="1" s="58">
      <c r="A153" s="120" t="n">
        <v>145</v>
      </c>
      <c r="B153" s="121" t="inlineStr">
        <is>
          <t>Interaction</t>
        </is>
      </c>
      <c r="C153" s="121" t="inlineStr">
        <is>
          <t>Open And Close</t>
        </is>
      </c>
      <c r="D153" s="121" t="inlineStr">
        <is>
          <t>Escape closes submenu first and returns focus to parent content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DropdownMenu playground manual verification.</t>
        </is>
      </c>
      <c r="J153" s="121" t="n"/>
      <c r="K153" s="122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1.5" customHeight="1" s="58">
      <c r="A161" s="120" t="n">
        <v>153</v>
      </c>
      <c r="B161" s="121" t="inlineStr">
        <is>
          <t>Keyboard</t>
        </is>
      </c>
      <c r="C161" s="121" t="inlineStr">
        <is>
          <t>Navigation</t>
        </is>
      </c>
      <c r="D161" s="121" t="inlineStr">
        <is>
          <t>ArrowDown moves to next enabled item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DropdownMenu playground manual verification.</t>
        </is>
      </c>
      <c r="J161" s="121" t="n"/>
      <c r="K161" s="122">
        <f>IF(AND(E161="yes",F161="yes",H161="covered"),1,IF(H161="partial",0.5,0))</f>
        <v/>
      </c>
    </row>
    <row r="162" ht="31.5" customHeight="1" s="58">
      <c r="A162" s="120" t="n">
        <v>154</v>
      </c>
      <c r="B162" s="121" t="inlineStr">
        <is>
          <t>Keyboard</t>
        </is>
      </c>
      <c r="C162" s="121" t="inlineStr">
        <is>
          <t>Navigation</t>
        </is>
      </c>
      <c r="D162" s="121" t="inlineStr">
        <is>
          <t>ArrowUp moves to previous enabled item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DropdownMenu playground manual verification.</t>
        </is>
      </c>
      <c r="J162" s="121" t="n"/>
      <c r="K162" s="122">
        <f>IF(AND(E162="yes",F162="yes",H162="covered"),1,IF(H162="partial",0.5,0))</f>
        <v/>
      </c>
    </row>
    <row r="163" ht="31.5" customHeight="1" s="58">
      <c r="A163" s="120" t="n">
        <v>155</v>
      </c>
      <c r="B163" s="121" t="inlineStr">
        <is>
          <t>Keyboard</t>
        </is>
      </c>
      <c r="C163" s="121" t="inlineStr">
        <is>
          <t>Navigation</t>
        </is>
      </c>
      <c r="D163" s="121" t="inlineStr">
        <is>
          <t>Home highlights first enabled item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DropdownMenu playground manual verification.</t>
        </is>
      </c>
      <c r="J163" s="121" t="n"/>
      <c r="K163" s="122">
        <f>IF(AND(E163="yes",F163="yes",H163="covered"),1,IF(H163="partial",0.5,0))</f>
        <v/>
      </c>
    </row>
    <row r="164" ht="31.5" customHeight="1" s="58">
      <c r="A164" s="120" t="n">
        <v>156</v>
      </c>
      <c r="B164" s="121" t="inlineStr">
        <is>
          <t>Keyboard</t>
        </is>
      </c>
      <c r="C164" s="121" t="inlineStr">
        <is>
          <t>Navigation</t>
        </is>
      </c>
      <c r="D164" s="121" t="inlineStr">
        <is>
          <t>End highlights last enabled item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DropdownMenu playground manual verification.</t>
        </is>
      </c>
      <c r="J164" s="121" t="n"/>
      <c r="K164" s="122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1.5" customHeight="1" s="58">
      <c r="A167" s="120" t="n">
        <v>159</v>
      </c>
      <c r="B167" s="121" t="inlineStr">
        <is>
          <t>Keyboard</t>
        </is>
      </c>
      <c r="C167" s="121" t="inlineStr">
        <is>
          <t>Navigation</t>
        </is>
      </c>
      <c r="D167" s="121" t="inlineStr">
        <is>
          <t>disabled items are skipped by Arrow keys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DropdownMenu playground manual verification.</t>
        </is>
      </c>
      <c r="J167" s="121" t="n"/>
      <c r="K167" s="122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1.5" customHeight="1" s="58">
      <c r="A177" s="120" t="n">
        <v>169</v>
      </c>
      <c r="B177" s="121" t="inlineStr">
        <is>
          <t>Pointer</t>
        </is>
      </c>
      <c r="C177" s="121" t="inlineStr">
        <is>
          <t>Highlight</t>
        </is>
      </c>
      <c r="D177" s="121" t="inlineStr">
        <is>
          <t>pointer enter highlights item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</t>
        </is>
      </c>
      <c r="H177" s="120" t="inlineStr">
        <is>
          <t>covered</t>
        </is>
      </c>
      <c r="I177" s="121" t="inlineStr">
        <is>
          <t>DropdownMenu playground manual verification.</t>
        </is>
      </c>
      <c r="J177" s="121" t="n"/>
      <c r="K177" s="122">
        <f>IF(AND(E177="yes",F177="yes",H177="covered"),1,IF(H177="partial",0.5,0))</f>
        <v/>
      </c>
    </row>
    <row r="178" ht="31.5" customHeight="1" s="58">
      <c r="A178" s="120" t="n">
        <v>170</v>
      </c>
      <c r="B178" s="121" t="inlineStr">
        <is>
          <t>Pointer</t>
        </is>
      </c>
      <c r="C178" s="121" t="inlineStr">
        <is>
          <t>Highlight</t>
        </is>
      </c>
      <c r="D178" s="121" t="inlineStr">
        <is>
          <t>pointer leave clears highlight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DropdownMenu playground manual verification.</t>
        </is>
      </c>
      <c r="J178" s="121" t="n"/>
      <c r="K178" s="122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1.5" customHeight="1" s="58">
      <c r="A182" s="120" t="n">
        <v>174</v>
      </c>
      <c r="B182" s="121" t="inlineStr">
        <is>
          <t>Pointer</t>
        </is>
      </c>
      <c r="C182" s="121" t="inlineStr">
        <is>
          <t>Highlight</t>
        </is>
      </c>
      <c r="D182" s="121" t="inlineStr">
        <is>
          <t>disabled item hover does not highlight</t>
        </is>
      </c>
      <c r="E182" s="120" t="inlineStr">
        <is>
          <t>yes</t>
        </is>
      </c>
      <c r="F182" s="120" t="inlineStr">
        <is>
          <t>yes</t>
        </is>
      </c>
      <c r="G182" s="120" t="inlineStr">
        <is>
          <t>pass</t>
        </is>
      </c>
      <c r="H182" s="120" t="inlineStr">
        <is>
          <t>covered</t>
        </is>
      </c>
      <c r="I182" s="121" t="inlineStr">
        <is>
          <t>DropdownMenu playground manual verification.</t>
        </is>
      </c>
      <c r="J182" s="121" t="n"/>
      <c r="K182" s="122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1.5" customHeight="1" s="58">
      <c r="A227" s="120" t="n">
        <v>219</v>
      </c>
      <c r="B227" s="121" t="inlineStr">
        <is>
          <t>Regression</t>
        </is>
      </c>
      <c r="C227" s="121" t="inlineStr">
        <is>
          <t>Recent Fixes</t>
        </is>
      </c>
      <c r="D227" s="121" t="inlineStr">
        <is>
          <t>submenu focus returns to parent content on close</t>
        </is>
      </c>
      <c r="E227" s="120" t="inlineStr">
        <is>
          <t>yes</t>
        </is>
      </c>
      <c r="F227" s="120" t="inlineStr">
        <is>
          <t>yes</t>
        </is>
      </c>
      <c r="G227" s="120" t="inlineStr">
        <is>
          <t>pass</t>
        </is>
      </c>
      <c r="H227" s="120" t="inlineStr">
        <is>
          <t>covered</t>
        </is>
      </c>
      <c r="I227" s="121" t="inlineStr">
        <is>
          <t>DropdownMenu playground manual verification.</t>
        </is>
      </c>
      <c r="J227" s="121" t="n"/>
      <c r="K227" s="122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20" t="n">
        <v>226</v>
      </c>
      <c r="B234" s="121" t="inlineStr">
        <is>
          <t>Interaction</t>
        </is>
      </c>
      <c r="C234" s="121" t="inlineStr">
        <is>
          <t>Outside interaction</t>
        </is>
      </c>
      <c r="D234" s="121" t="inlineStr">
        <is>
          <t>current desktop pointer-down outside interaction closes DropdownMenu</t>
        </is>
      </c>
      <c r="E234" s="120" t="inlineStr">
        <is>
          <t>yes</t>
        </is>
      </c>
      <c r="F234" s="120" t="inlineStr">
        <is>
          <t>yes</t>
        </is>
      </c>
      <c r="G234" s="120" t="inlineStr">
        <is>
          <t>passed existing desktop browser/manual baseline; mobile device qualification not run</t>
        </is>
      </c>
      <c r="H234" s="120" t="inlineStr">
        <is>
          <t>covered</t>
        </is>
      </c>
      <c r="I234" s="121" t="inlineStr">
        <is>
          <t>Existing desktop browser/manual baseline; not real iOS Safari or Android Chrome evidence.</t>
        </is>
      </c>
      <c r="J234" s="121" t="n"/>
      <c r="K234" s="122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20" t="n">
        <v>38</v>
      </c>
      <c r="B46" s="121" t="inlineStr">
        <is>
          <t>Public API</t>
        </is>
      </c>
      <c r="C46" s="121" t="inlineStr">
        <is>
          <t>Item</t>
        </is>
      </c>
      <c r="D46" s="121" t="inlineStr">
        <is>
          <t>disabled item is skipped by keyboard navigation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Menu playground manual verification.</t>
        </is>
      </c>
      <c r="J46" s="121" t="n"/>
      <c r="K46" s="122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Public API</t>
        </is>
      </c>
      <c r="C62" s="121" t="inlineStr">
        <is>
          <t>Checkbox Item</t>
        </is>
      </c>
      <c r="D62" s="121" t="inlineStr">
        <is>
          <t>disabled checkbox is skipped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Menu playground manual verification.</t>
        </is>
      </c>
      <c r="J62" s="121" t="n"/>
      <c r="K62" s="122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20" t="n">
        <v>67</v>
      </c>
      <c r="B75" s="121" t="inlineStr">
        <is>
          <t>Public API</t>
        </is>
      </c>
      <c r="C75" s="121" t="inlineStr">
        <is>
          <t>Radio Item</t>
        </is>
      </c>
      <c r="D75" s="121" t="inlineStr">
        <is>
          <t>disabled radio item is skipped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Menu playground manual verification.</t>
        </is>
      </c>
      <c r="J75" s="121" t="n"/>
      <c r="K75" s="122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20" t="n">
        <v>90</v>
      </c>
      <c r="B98" s="121" t="inlineStr">
        <is>
          <t>Public API</t>
        </is>
      </c>
      <c r="C98" s="121" t="inlineStr">
        <is>
          <t>Sub Trigger</t>
        </is>
      </c>
      <c r="D98" s="121" t="inlineStr">
        <is>
          <t>disabled sub trigger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Menu playground manual verification.</t>
        </is>
      </c>
      <c r="J98" s="121" t="n"/>
      <c r="K98" s="122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20" t="n">
        <v>106</v>
      </c>
      <c r="B114" s="121" t="inlineStr">
        <is>
          <t>Interaction</t>
        </is>
      </c>
      <c r="C114" s="121" t="inlineStr">
        <is>
          <t>Open And Close</t>
        </is>
      </c>
      <c r="D114" s="121" t="inlineStr">
        <is>
          <t>Tab closes menu and returns focus to trigger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Menu playground manual verification.</t>
        </is>
      </c>
      <c r="J114" s="121" t="n"/>
      <c r="K114" s="122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20" t="n">
        <v>108</v>
      </c>
      <c r="B116" s="121" t="inlineStr">
        <is>
          <t>Interaction</t>
        </is>
      </c>
      <c r="C116" s="121" t="inlineStr">
        <is>
          <t>Open And Close</t>
        </is>
      </c>
      <c r="D116" s="121" t="inlineStr">
        <is>
          <t>Escape closes submenu first and returns focus to parent content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Menu playground manual verification.</t>
        </is>
      </c>
      <c r="J116" s="121" t="n"/>
      <c r="K116" s="122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20" t="n">
        <v>111</v>
      </c>
      <c r="B119" s="121" t="inlineStr">
        <is>
          <t>Keyboard</t>
        </is>
      </c>
      <c r="C119" s="121" t="inlineStr">
        <is>
          <t>Navigation</t>
        </is>
      </c>
      <c r="D119" s="121" t="inlineStr">
        <is>
          <t>ArrowDown moves to next enabled item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Menu playground manual verification.</t>
        </is>
      </c>
      <c r="J119" s="121" t="n"/>
      <c r="K119" s="122">
        <f>IF(AND(E119="yes",F119="yes",H119="covered"),1,IF(H119="partial",0.5,0))</f>
        <v/>
      </c>
    </row>
    <row r="120" ht="30" customHeight="1" s="58">
      <c r="A120" s="120" t="n">
        <v>112</v>
      </c>
      <c r="B120" s="121" t="inlineStr">
        <is>
          <t>Keyboard</t>
        </is>
      </c>
      <c r="C120" s="121" t="inlineStr">
        <is>
          <t>Navigation</t>
        </is>
      </c>
      <c r="D120" s="121" t="inlineStr">
        <is>
          <t>ArrowUp moves to previous enabled item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Menu playground manual verification.</t>
        </is>
      </c>
      <c r="J120" s="121" t="n"/>
      <c r="K120" s="122">
        <f>IF(AND(E120="yes",F120="yes",H120="covered"),1,IF(H120="partial",0.5,0))</f>
        <v/>
      </c>
    </row>
    <row r="121" ht="30" customHeight="1" s="58">
      <c r="A121" s="120" t="n">
        <v>113</v>
      </c>
      <c r="B121" s="121" t="inlineStr">
        <is>
          <t>Keyboard</t>
        </is>
      </c>
      <c r="C121" s="121" t="inlineStr">
        <is>
          <t>Navigation</t>
        </is>
      </c>
      <c r="D121" s="121" t="inlineStr">
        <is>
          <t>Home highlights first enabled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Menu playground manual verification.</t>
        </is>
      </c>
      <c r="J121" s="121" t="n"/>
      <c r="K121" s="122">
        <f>IF(AND(E121="yes",F121="yes",H121="covered"),1,IF(H121="partial",0.5,0))</f>
        <v/>
      </c>
    </row>
    <row r="122" ht="30" customHeight="1" s="58">
      <c r="A122" s="120" t="n">
        <v>114</v>
      </c>
      <c r="B122" s="121" t="inlineStr">
        <is>
          <t>Keyboard</t>
        </is>
      </c>
      <c r="C122" s="121" t="inlineStr">
        <is>
          <t>Navigation</t>
        </is>
      </c>
      <c r="D122" s="121" t="inlineStr">
        <is>
          <t>End highlights last enabled item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Menu playground manual verification.</t>
        </is>
      </c>
      <c r="J122" s="121" t="n"/>
      <c r="K122" s="122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20" t="n">
        <v>117</v>
      </c>
      <c r="B125" s="121" t="inlineStr">
        <is>
          <t>Keyboard</t>
        </is>
      </c>
      <c r="C125" s="121" t="inlineStr">
        <is>
          <t>Navigation</t>
        </is>
      </c>
      <c r="D125" s="121" t="inlineStr">
        <is>
          <t>disabled items are skipped by Arrow keys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Menu playground manual verification.</t>
        </is>
      </c>
      <c r="J125" s="121" t="n"/>
      <c r="K125" s="122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20" t="n">
        <v>127</v>
      </c>
      <c r="B135" s="121" t="inlineStr">
        <is>
          <t>Pointer</t>
        </is>
      </c>
      <c r="C135" s="121" t="inlineStr">
        <is>
          <t>Highlight</t>
        </is>
      </c>
      <c r="D135" s="121" t="inlineStr">
        <is>
          <t>pointer enter highlights item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Menu playground manual verification.</t>
        </is>
      </c>
      <c r="J135" s="121" t="n"/>
      <c r="K135" s="122">
        <f>IF(AND(E135="yes",F135="yes",H135="covered"),1,IF(H135="partial",0.5,0))</f>
        <v/>
      </c>
    </row>
    <row r="136" ht="30" customHeight="1" s="58">
      <c r="A136" s="120" t="n">
        <v>128</v>
      </c>
      <c r="B136" s="121" t="inlineStr">
        <is>
          <t>Pointer</t>
        </is>
      </c>
      <c r="C136" s="121" t="inlineStr">
        <is>
          <t>Highlight</t>
        </is>
      </c>
      <c r="D136" s="121" t="inlineStr">
        <is>
          <t>pointer leave clears highlight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Menu playground manual verification.</t>
        </is>
      </c>
      <c r="J136" s="121" t="n"/>
      <c r="K136" s="122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45" customHeight="1" s="58">
      <c r="A139" s="120" t="n">
        <v>131</v>
      </c>
      <c r="B139" s="121" t="inlineStr">
        <is>
          <t>Pointer</t>
        </is>
      </c>
      <c r="C139" s="121" t="inlineStr">
        <is>
          <t>Highlight</t>
        </is>
      </c>
      <c r="D139" s="121" t="inlineStr">
        <is>
          <t>disabled item hover does not highlight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Menu playground manual verification.</t>
        </is>
      </c>
      <c r="J139" s="121" t="n"/>
      <c r="K139" s="122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20" t="n">
        <v>137</v>
      </c>
      <c r="B145" s="121" t="inlineStr">
        <is>
          <t>Accessibility</t>
        </is>
      </c>
      <c r="C145" s="121" t="inlineStr">
        <is>
          <t>Relationships</t>
        </is>
      </c>
      <c r="D145" s="121" t="inlineStr">
        <is>
          <t>focus stays inside modal menu while open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Menu playground manual verification.</t>
        </is>
      </c>
      <c r="J145" s="121" t="n"/>
      <c r="K145" s="122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15" customHeight="1" s="58">
      <c r="A171" s="120" t="n">
        <v>163</v>
      </c>
      <c r="B171" s="121" t="inlineStr">
        <is>
          <t>Regression</t>
        </is>
      </c>
      <c r="C171" s="121" t="inlineStr">
        <is>
          <t>Recent Fixes</t>
        </is>
      </c>
      <c r="D171" s="121" t="inlineStr">
        <is>
          <t>submenu focus returns to parent content on close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Menu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20" t="n">
        <v>169</v>
      </c>
      <c r="B177" s="121" t="inlineStr">
        <is>
          <t>Interaction</t>
        </is>
      </c>
      <c r="C177" s="121" t="inlineStr">
        <is>
          <t>Outside interaction</t>
        </is>
      </c>
      <c r="D177" s="121" t="inlineStr">
        <is>
          <t>current desktop pointer-down outside interaction closes Menu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passed existing desktop browser/manual baseline; mobile device qualification not run</t>
        </is>
      </c>
      <c r="H177" s="120" t="inlineStr">
        <is>
          <t>covered</t>
        </is>
      </c>
      <c r="I177" s="121" t="inlineStr">
        <is>
          <t>Existing desktop browser/manual baseline; not real iOS Safari or Android Chrome evidence.</t>
        </is>
      </c>
      <c r="J177" s="121" t="n"/>
      <c r="K177" s="122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8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8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focus returns to the active trigger after adjacent menu handoff and close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Step 3 Trigger And Top-Level Focus.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seed first/last item highlight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Step 4 Top-Level Keyboard And RTL.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8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8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8 Source / Inspector / Logs.</t>
        </is>
      </c>
      <c r="J67" s="113" t="n"/>
      <c r="K67" s="117">
        <f>IF(AND(E67="yes",F67="yes",H67="covered"),1,IF(H67="partial",0.5,0))</f>
        <v/>
      </c>
    </row>
    <row r="68" ht="15" customHeight="1" s="58"/>
    <row r="69" ht="15" customHeight="1" s="58"/>
    <row r="70" ht="30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30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15" customHeight="1" s="58"/>
    <row r="135" ht="30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2026-07-25T22:10:53Z</dcterms:modified>
  <cp:lastModifiedBy>Will Donin</cp:lastModifiedBy>
  <cp:revision>0</cp:revision>
</cp:coreProperties>
</file>